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epreciation Schedule" sheetId="1" state="visible" r:id="rId3"/>
    <sheet name="Policy Recalculation" sheetId="2" state="visible" r:id="rId4"/>
    <sheet name="Schedule to GL" sheetId="3" state="visible" r:id="rId5"/>
  </sheets>
  <definedNames>
    <definedName function="false" hidden="false" localSheetId="0" name="_xlnm.Print_Area" vbProcedure="false">'Depreciation Schedule'!$A$1:$K$33</definedName>
    <definedName function="false" hidden="false" localSheetId="0" name="_xlnm.Print_Titles" vbProcedure="false">'Depreciation Schedule'!$5:$5</definedName>
    <definedName function="false" hidden="true" localSheetId="0" name="_xlnm._FilterDatabase" vbProcedure="false">'Depreciation Schedule'!$A$5:$K$33</definedName>
    <definedName function="false" hidden="false" localSheetId="1" name="_xlnm.Print_Area" vbProcedure="false">'Policy Recalculation'!$A$1:$N$12</definedName>
    <definedName function="false" hidden="false" localSheetId="2" name="_xlnm.Print_Area" vbProcedure="false">'Schedule to GL'!$A$1:$B$9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<sst xmlns="http://schemas.openxmlformats.org/spreadsheetml/2006/main" count="214" uniqueCount="106">
  <si>
    <t xml:space="preserve">Quovalize Staffing Services, LLC</t>
  </si>
  <si>
    <t xml:space="preserve">Depreciation Schedule</t>
  </si>
  <si>
    <t xml:space="preserve">As of December 31, 2025</t>
  </si>
  <si>
    <t xml:space="preserve">Asset ID</t>
  </si>
  <si>
    <t xml:space="preserve">Asset</t>
  </si>
  <si>
    <t xml:space="preserve">Class</t>
  </si>
  <si>
    <t xml:space="preserve">In service</t>
  </si>
  <si>
    <t xml:space="preserve">Method</t>
  </si>
  <si>
    <t xml:space="preserve">Life</t>
  </si>
  <si>
    <t xml:space="preserve">Cost</t>
  </si>
  <si>
    <t xml:space="preserve">Opening accum</t>
  </si>
  <si>
    <t xml:space="preserve">Current depreciation</t>
  </si>
  <si>
    <t xml:space="preserve">Ending accum</t>
  </si>
  <si>
    <t xml:space="preserve">Net book value</t>
  </si>
  <si>
    <t xml:space="preserve">FA-1006</t>
  </si>
  <si>
    <t xml:space="preserve">Office improvements</t>
  </si>
  <si>
    <t xml:space="preserve">Building improvement</t>
  </si>
  <si>
    <t xml:space="preserve">04/01/2023</t>
  </si>
  <si>
    <t xml:space="preserve">S/L</t>
  </si>
  <si>
    <t xml:space="preserve">3.0</t>
  </si>
  <si>
    <t xml:space="preserve">FA-1003</t>
  </si>
  <si>
    <t xml:space="preserve">Office suite expansion</t>
  </si>
  <si>
    <t xml:space="preserve">07/01/2020</t>
  </si>
  <si>
    <t xml:space="preserve">7.0</t>
  </si>
  <si>
    <t xml:space="preserve">Total building improvement</t>
  </si>
  <si>
    <t xml:space="preserve">building improvement ending accumulated depreciation</t>
  </si>
  <si>
    <t xml:space="preserve">FA-1007</t>
  </si>
  <si>
    <t xml:space="preserve">Computer and IT equipment</t>
  </si>
  <si>
    <t xml:space="preserve">Equipment</t>
  </si>
  <si>
    <t xml:space="preserve">10/01/2023</t>
  </si>
  <si>
    <t xml:space="preserve">5.0</t>
  </si>
  <si>
    <t xml:space="preserve">FA-1008</t>
  </si>
  <si>
    <t xml:space="preserve">Servers and network infrastructure</t>
  </si>
  <si>
    <t xml:space="preserve">01/01/2024</t>
  </si>
  <si>
    <t xml:space="preserve">8.0</t>
  </si>
  <si>
    <t xml:space="preserve">FA-1009</t>
  </si>
  <si>
    <t xml:space="preserve">Telephone and conferencing systems</t>
  </si>
  <si>
    <t xml:space="preserve">FA-1002</t>
  </si>
  <si>
    <t xml:space="preserve">Office equipment</t>
  </si>
  <si>
    <t xml:space="preserve">10.0</t>
  </si>
  <si>
    <t xml:space="preserve">FA-1005</t>
  </si>
  <si>
    <t xml:space="preserve">Copiers and printing equipment</t>
  </si>
  <si>
    <t xml:space="preserve">07/01/2022</t>
  </si>
  <si>
    <t xml:space="preserve">Total equipment</t>
  </si>
  <si>
    <t xml:space="preserve">equipment ending accumulated depreciation</t>
  </si>
  <si>
    <t xml:space="preserve">FA-1004</t>
  </si>
  <si>
    <t xml:space="preserve">Office furnishings</t>
  </si>
  <si>
    <t xml:space="preserve">Furnishings fixtures</t>
  </si>
  <si>
    <t xml:space="preserve">04/01/2022</t>
  </si>
  <si>
    <t xml:space="preserve">FA-1011</t>
  </si>
  <si>
    <t xml:space="preserve">Conference and reception furnishings</t>
  </si>
  <si>
    <t xml:space="preserve">07/01/2024</t>
  </si>
  <si>
    <t xml:space="preserve">6.0</t>
  </si>
  <si>
    <t xml:space="preserve">Total furnishings fixtures</t>
  </si>
  <si>
    <t xml:space="preserve">furnishings fixtures ending accumulated depreciation</t>
  </si>
  <si>
    <t xml:space="preserve">FA-1001</t>
  </si>
  <si>
    <t xml:space="preserve">Company vehicles</t>
  </si>
  <si>
    <t xml:space="preserve">Vehicle</t>
  </si>
  <si>
    <t xml:space="preserve">10/01/2019</t>
  </si>
  <si>
    <t xml:space="preserve">FA-1010</t>
  </si>
  <si>
    <t xml:space="preserve">Field service vehicles</t>
  </si>
  <si>
    <t xml:space="preserve">04/01/2024</t>
  </si>
  <si>
    <t xml:space="preserve">4.0</t>
  </si>
  <si>
    <t xml:space="preserve">Total vehicle</t>
  </si>
  <si>
    <t xml:space="preserve">vehicle ending accumulated depreciation</t>
  </si>
  <si>
    <t xml:space="preserve">Grand total</t>
  </si>
  <si>
    <t xml:space="preserve">Life (years)</t>
  </si>
  <si>
    <t xml:space="preserve">Policy reference</t>
  </si>
  <si>
    <t xml:space="preserve">Cost basis</t>
  </si>
  <si>
    <t xml:space="preserve">Life applicability</t>
  </si>
  <si>
    <t xml:space="preserve">Life source</t>
  </si>
  <si>
    <t xml:space="preserve">Calculation basis</t>
  </si>
  <si>
    <t xml:space="preserve">Schedule depreciation</t>
  </si>
  <si>
    <t xml:space="preserve">Independent depreciation</t>
  </si>
  <si>
    <t xml:space="preserve">Difference</t>
  </si>
  <si>
    <t xml:space="preserve">Status</t>
  </si>
  <si>
    <t xml:space="preserve">Straight Line</t>
  </si>
  <si>
    <t xml:space="preserve">5</t>
  </si>
  <si>
    <t xml:space="preserve">Equipment capitalization policy</t>
  </si>
  <si>
    <t xml:space="preserve">Opening Asset Specific Estimate</t>
  </si>
  <si>
    <t xml:space="preserve">Approved fixed-asset capitalization policy</t>
  </si>
  <si>
    <t xml:space="preserve">opening layer: 365/365 days</t>
  </si>
  <si>
    <t xml:space="preserve">Tied</t>
  </si>
  <si>
    <t xml:space="preserve">8</t>
  </si>
  <si>
    <t xml:space="preserve">3</t>
  </si>
  <si>
    <t xml:space="preserve">10</t>
  </si>
  <si>
    <t xml:space="preserve">7</t>
  </si>
  <si>
    <t xml:space="preserve">Vehicle capitalization policy</t>
  </si>
  <si>
    <t xml:space="preserve">4</t>
  </si>
  <si>
    <t xml:space="preserve">Furnishings Fixtures</t>
  </si>
  <si>
    <t xml:space="preserve">Furnishings Fixtures capitalization policy</t>
  </si>
  <si>
    <t xml:space="preserve">6</t>
  </si>
  <si>
    <t xml:space="preserve">Building Improvement</t>
  </si>
  <si>
    <t xml:space="preserve">Building Improvement capitalization policy</t>
  </si>
  <si>
    <t xml:space="preserve">Reconciliation item</t>
  </si>
  <si>
    <t xml:space="preserve">Amount / state</t>
  </si>
  <si>
    <t xml:space="preserve">Independent policy depreciation</t>
  </si>
  <si>
    <t xml:space="preserve">Scheduled current depreciation</t>
  </si>
  <si>
    <t xml:space="preserve">Recorded depreciation expense</t>
  </si>
  <si>
    <t xml:space="preserve">Policy-to-schedule difference</t>
  </si>
  <si>
    <t xml:space="preserve">Schedule-to-GL difference</t>
  </si>
  <si>
    <t xml:space="preserve">Expected adjustment</t>
  </si>
  <si>
    <t xml:space="preserve">Expected adjustment state</t>
  </si>
  <si>
    <t xml:space="preserve">None Clean World</t>
  </si>
  <si>
    <t xml:space="preserve">Reconciliation status</t>
  </si>
  <si>
    <t xml:space="preserve">Tied No Adjustment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</si>
</sst>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"/>
    <numFmt numFmtId="166" formatCode="#,##0.00;\(#,##0.00\)"/>
    <numFmt numFmtId="167" formatCode="mm/dd/yyyy"/>
    <numFmt numFmtId="168" formatCode="_(\$* #,##0.00_);_(\$* \(#,##0.00\);_(\$* \-??_);_(@_)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mbria"/>
      <family val="0"/>
      <charset val="1"/>
    </font>
    <font>
      <b val="true"/>
      <sz val="11"/>
      <color rgb="FF1F3864"/>
      <name val="Cambria"/>
      <family val="0"/>
      <charset val="1"/>
    </font>
    <font>
      <b val="true"/>
      <sz val="10"/>
      <color rgb="FF1F3864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8EA9DB"/>
      </bottom>
      <diagonal/>
    </border>
    <border diagonalUp="false" diagonalDown="false">
      <left/>
      <right/>
      <top style="thin">
        <color rgb="FF40404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386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33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38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6" min="5" style="0" width="10"/>
    <col collapsed="false" customWidth="true" hidden="false" outlineLevel="0" max="7" min="7" style="0" width="12"/>
    <col collapsed="false" customWidth="true" hidden="false" outlineLevel="0" max="8" min="8" style="0" width="15"/>
    <col collapsed="false" customWidth="true" hidden="false" outlineLevel="0" max="9" min="9" style="0" width="22"/>
    <col collapsed="false" customWidth="true" hidden="false" outlineLevel="0" max="10" min="10" style="0" width="14"/>
    <col collapsed="false" customWidth="true" hidden="false" outlineLevel="0" max="11" min="11" style="0" width="1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</row>
    <row r="6" customFormat="false" ht="15" hidden="false" customHeight="false" outlineLevel="0" collapsed="false">
      <c r="A6" s="0" t="s">
        <v>14</v>
      </c>
      <c r="B6" s="0" t="s">
        <v>15</v>
      </c>
      <c r="C6" s="0" t="s">
        <v>16</v>
      </c>
      <c r="D6" s="0" t="s">
        <v>17</v>
      </c>
      <c r="E6" s="0" t="s">
        <v>18</v>
      </c>
      <c r="F6" s="0" t="s">
        <v>19</v>
      </c>
      <c r="G6" s="4" t="n">
        <v>26170</v>
      </c>
      <c r="H6" s="4" t="n">
        <v>15265.83</v>
      </c>
      <c r="I6" s="4" t="n">
        <v>8723.33</v>
      </c>
      <c r="J6" s="0" t="n">
        <f aca="false">H6+I6</f>
        <v>23989.16</v>
      </c>
      <c r="K6" s="0" t="n">
        <f aca="false">G6-J6</f>
        <v>2180.84</v>
      </c>
    </row>
    <row r="7" customFormat="false" ht="15" hidden="false" customHeight="false" outlineLevel="0" collapsed="false">
      <c r="A7" s="0" t="s">
        <v>20</v>
      </c>
      <c r="B7" s="0" t="s">
        <v>21</v>
      </c>
      <c r="C7" s="0" t="s">
        <v>16</v>
      </c>
      <c r="D7" s="0" t="s">
        <v>22</v>
      </c>
      <c r="E7" s="0" t="s">
        <v>18</v>
      </c>
      <c r="F7" s="0" t="s">
        <v>23</v>
      </c>
      <c r="G7" s="4" t="n">
        <v>24610</v>
      </c>
      <c r="H7" s="4" t="n">
        <v>15820.71</v>
      </c>
      <c r="I7" s="4" t="n">
        <v>3515.71</v>
      </c>
      <c r="J7" s="0" t="n">
        <f aca="false">H7+I7</f>
        <v>19336.42</v>
      </c>
      <c r="K7" s="0" t="n">
        <f aca="false">G7-J7</f>
        <v>5273.58</v>
      </c>
    </row>
    <row r="8" customFormat="false" ht="15" hidden="false" customHeight="false" outlineLevel="0" collapsed="false">
      <c r="A8" s="5"/>
      <c r="B8" s="6" t="s">
        <v>24</v>
      </c>
      <c r="C8" s="5"/>
      <c r="D8" s="5"/>
      <c r="E8" s="5"/>
      <c r="F8" s="5"/>
      <c r="G8" s="7" t="n">
        <f aca="false">SUM(G6:G7)</f>
        <v>50780</v>
      </c>
      <c r="H8" s="7" t="n">
        <f aca="false">SUM(H6:H7)</f>
        <v>31086.54</v>
      </c>
      <c r="I8" s="7" t="n">
        <f aca="false">SUM(I6:I7)</f>
        <v>12239.04</v>
      </c>
      <c r="J8" s="7" t="n">
        <v>43325.58</v>
      </c>
      <c r="K8" s="7" t="n">
        <v>7454.42</v>
      </c>
    </row>
    <row r="10" customFormat="false" ht="15" hidden="false" customHeight="false" outlineLevel="0" collapsed="false">
      <c r="A10" s="0" t="s">
        <v>25</v>
      </c>
      <c r="B10" s="4" t="n">
        <v>43325.58</v>
      </c>
    </row>
    <row r="12" customFormat="false" ht="15" hidden="false" customHeight="false" outlineLevel="0" collapsed="false">
      <c r="A12" s="0" t="s">
        <v>26</v>
      </c>
      <c r="B12" s="0" t="s">
        <v>27</v>
      </c>
      <c r="C12" s="0" t="s">
        <v>28</v>
      </c>
      <c r="D12" s="0" t="s">
        <v>29</v>
      </c>
      <c r="E12" s="0" t="s">
        <v>18</v>
      </c>
      <c r="F12" s="0" t="s">
        <v>30</v>
      </c>
      <c r="G12" s="4" t="n">
        <v>8570</v>
      </c>
      <c r="H12" s="4" t="n">
        <v>2142.5</v>
      </c>
      <c r="I12" s="4" t="n">
        <v>1714</v>
      </c>
      <c r="J12" s="0" t="n">
        <f aca="false">H12+I12</f>
        <v>3856.5</v>
      </c>
      <c r="K12" s="0" t="n">
        <f aca="false">G12-J12</f>
        <v>4713.5</v>
      </c>
    </row>
    <row r="13" customFormat="false" ht="15" hidden="false" customHeight="false" outlineLevel="0" collapsed="false">
      <c r="A13" s="0" t="s">
        <v>31</v>
      </c>
      <c r="B13" s="0" t="s">
        <v>32</v>
      </c>
      <c r="C13" s="0" t="s">
        <v>28</v>
      </c>
      <c r="D13" s="0" t="s">
        <v>33</v>
      </c>
      <c r="E13" s="0" t="s">
        <v>18</v>
      </c>
      <c r="F13" s="0" t="s">
        <v>34</v>
      </c>
      <c r="G13" s="4" t="n">
        <v>15340</v>
      </c>
      <c r="H13" s="4" t="n">
        <v>1917.5</v>
      </c>
      <c r="I13" s="4" t="n">
        <v>1917.5</v>
      </c>
      <c r="J13" s="0" t="n">
        <f aca="false">H13+I13</f>
        <v>3835</v>
      </c>
      <c r="K13" s="0" t="n">
        <f aca="false">G13-J13</f>
        <v>11505</v>
      </c>
    </row>
    <row r="14" customFormat="false" ht="15" hidden="false" customHeight="false" outlineLevel="0" collapsed="false">
      <c r="A14" s="0" t="s">
        <v>35</v>
      </c>
      <c r="B14" s="0" t="s">
        <v>36</v>
      </c>
      <c r="C14" s="0" t="s">
        <v>28</v>
      </c>
      <c r="D14" s="0" t="s">
        <v>33</v>
      </c>
      <c r="E14" s="0" t="s">
        <v>18</v>
      </c>
      <c r="F14" s="0" t="s">
        <v>19</v>
      </c>
      <c r="G14" s="4" t="n">
        <v>7490</v>
      </c>
      <c r="H14" s="4" t="n">
        <v>2496.67</v>
      </c>
      <c r="I14" s="4" t="n">
        <v>2496.67</v>
      </c>
      <c r="J14" s="0" t="n">
        <f aca="false">H14+I14</f>
        <v>4993.34</v>
      </c>
      <c r="K14" s="0" t="n">
        <f aca="false">G14-J14</f>
        <v>2496.66</v>
      </c>
    </row>
    <row r="15" customFormat="false" ht="15" hidden="false" customHeight="false" outlineLevel="0" collapsed="false">
      <c r="A15" s="0" t="s">
        <v>37</v>
      </c>
      <c r="B15" s="0" t="s">
        <v>38</v>
      </c>
      <c r="C15" s="0" t="s">
        <v>28</v>
      </c>
      <c r="D15" s="0" t="s">
        <v>22</v>
      </c>
      <c r="E15" s="0" t="s">
        <v>18</v>
      </c>
      <c r="F15" s="0" t="s">
        <v>39</v>
      </c>
      <c r="G15" s="4" t="n">
        <v>17210</v>
      </c>
      <c r="H15" s="4" t="n">
        <v>7744.5</v>
      </c>
      <c r="I15" s="4" t="n">
        <v>1721</v>
      </c>
      <c r="J15" s="0" t="n">
        <f aca="false">H15+I15</f>
        <v>9465.5</v>
      </c>
      <c r="K15" s="0" t="n">
        <f aca="false">G15-J15</f>
        <v>7744.5</v>
      </c>
    </row>
    <row r="16" customFormat="false" ht="15" hidden="false" customHeight="false" outlineLevel="0" collapsed="false">
      <c r="A16" s="0" t="s">
        <v>40</v>
      </c>
      <c r="B16" s="0" t="s">
        <v>41</v>
      </c>
      <c r="C16" s="0" t="s">
        <v>28</v>
      </c>
      <c r="D16" s="0" t="s">
        <v>42</v>
      </c>
      <c r="E16" s="0" t="s">
        <v>18</v>
      </c>
      <c r="F16" s="0" t="s">
        <v>23</v>
      </c>
      <c r="G16" s="4" t="n">
        <v>10280</v>
      </c>
      <c r="H16" s="4" t="n">
        <v>3671.43</v>
      </c>
      <c r="I16" s="4" t="n">
        <v>1468.57</v>
      </c>
      <c r="J16" s="0" t="n">
        <f aca="false">H16+I16</f>
        <v>5140</v>
      </c>
      <c r="K16" s="0" t="n">
        <f aca="false">G16-J16</f>
        <v>5140</v>
      </c>
    </row>
    <row r="17" customFormat="false" ht="15" hidden="false" customHeight="false" outlineLevel="0" collapsed="false">
      <c r="A17" s="5"/>
      <c r="B17" s="6" t="s">
        <v>43</v>
      </c>
      <c r="C17" s="5"/>
      <c r="D17" s="5"/>
      <c r="E17" s="5"/>
      <c r="F17" s="5"/>
      <c r="G17" s="7" t="n">
        <f aca="false">SUM(G12:G16)</f>
        <v>58890</v>
      </c>
      <c r="H17" s="7" t="n">
        <f aca="false">SUM(H12:H16)</f>
        <v>17972.6</v>
      </c>
      <c r="I17" s="7" t="n">
        <f aca="false">SUM(I12:I16)</f>
        <v>9317.74</v>
      </c>
      <c r="J17" s="7" t="n">
        <v>27290.34</v>
      </c>
      <c r="K17" s="7" t="n">
        <v>31599.66</v>
      </c>
    </row>
    <row r="19" customFormat="false" ht="15" hidden="false" customHeight="false" outlineLevel="0" collapsed="false">
      <c r="A19" s="0" t="s">
        <v>44</v>
      </c>
      <c r="B19" s="4" t="n">
        <v>27290.34</v>
      </c>
    </row>
    <row r="21" customFormat="false" ht="15" hidden="false" customHeight="false" outlineLevel="0" collapsed="false">
      <c r="A21" s="0" t="s">
        <v>45</v>
      </c>
      <c r="B21" s="0" t="s">
        <v>46</v>
      </c>
      <c r="C21" s="0" t="s">
        <v>47</v>
      </c>
      <c r="D21" s="0" t="s">
        <v>48</v>
      </c>
      <c r="E21" s="0" t="s">
        <v>18</v>
      </c>
      <c r="F21" s="0" t="s">
        <v>30</v>
      </c>
      <c r="G21" s="4" t="n">
        <v>22520</v>
      </c>
      <c r="H21" s="4" t="n">
        <v>12386</v>
      </c>
      <c r="I21" s="4" t="n">
        <v>4504</v>
      </c>
      <c r="J21" s="0" t="n">
        <f aca="false">H21+I21</f>
        <v>16890</v>
      </c>
      <c r="K21" s="0" t="n">
        <f aca="false">G21-J21</f>
        <v>5630</v>
      </c>
    </row>
    <row r="22" customFormat="false" ht="15" hidden="false" customHeight="false" outlineLevel="0" collapsed="false">
      <c r="A22" s="0" t="s">
        <v>49</v>
      </c>
      <c r="B22" s="0" t="s">
        <v>50</v>
      </c>
      <c r="C22" s="0" t="s">
        <v>47</v>
      </c>
      <c r="D22" s="0" t="s">
        <v>51</v>
      </c>
      <c r="E22" s="0" t="s">
        <v>18</v>
      </c>
      <c r="F22" s="0" t="s">
        <v>52</v>
      </c>
      <c r="G22" s="4" t="n">
        <v>11440</v>
      </c>
      <c r="H22" s="4" t="n">
        <v>953.33</v>
      </c>
      <c r="I22" s="4" t="n">
        <v>1906.67</v>
      </c>
      <c r="J22" s="0" t="n">
        <f aca="false">H22+I22</f>
        <v>2860</v>
      </c>
      <c r="K22" s="0" t="n">
        <f aca="false">G22-J22</f>
        <v>8580</v>
      </c>
    </row>
    <row r="23" customFormat="false" ht="15" hidden="false" customHeight="false" outlineLevel="0" collapsed="false">
      <c r="A23" s="5"/>
      <c r="B23" s="6" t="s">
        <v>53</v>
      </c>
      <c r="C23" s="5"/>
      <c r="D23" s="5"/>
      <c r="E23" s="5"/>
      <c r="F23" s="5"/>
      <c r="G23" s="7" t="n">
        <f aca="false">SUM(G21:G22)</f>
        <v>33960</v>
      </c>
      <c r="H23" s="7" t="n">
        <f aca="false">SUM(H21:H22)</f>
        <v>13339.33</v>
      </c>
      <c r="I23" s="7" t="n">
        <f aca="false">SUM(I21:I22)</f>
        <v>6410.67</v>
      </c>
      <c r="J23" s="7" t="n">
        <v>19750</v>
      </c>
      <c r="K23" s="7" t="n">
        <v>14210</v>
      </c>
    </row>
    <row r="25" customFormat="false" ht="15" hidden="false" customHeight="false" outlineLevel="0" collapsed="false">
      <c r="A25" s="0" t="s">
        <v>54</v>
      </c>
      <c r="B25" s="4" t="n">
        <v>19750</v>
      </c>
    </row>
    <row r="27" customFormat="false" ht="15" hidden="false" customHeight="false" outlineLevel="0" collapsed="false">
      <c r="A27" s="0" t="s">
        <v>55</v>
      </c>
      <c r="B27" s="0" t="s">
        <v>56</v>
      </c>
      <c r="C27" s="0" t="s">
        <v>57</v>
      </c>
      <c r="D27" s="0" t="s">
        <v>58</v>
      </c>
      <c r="E27" s="0" t="s">
        <v>18</v>
      </c>
      <c r="F27" s="0" t="s">
        <v>39</v>
      </c>
      <c r="G27" s="4" t="n">
        <v>22810</v>
      </c>
      <c r="H27" s="4" t="n">
        <v>11975.25</v>
      </c>
      <c r="I27" s="4" t="n">
        <v>2281</v>
      </c>
      <c r="J27" s="0" t="n">
        <f aca="false">H27+I27</f>
        <v>14256.25</v>
      </c>
      <c r="K27" s="0" t="n">
        <f aca="false">G27-J27</f>
        <v>8553.75</v>
      </c>
    </row>
    <row r="28" customFormat="false" ht="15" hidden="false" customHeight="false" outlineLevel="0" collapsed="false">
      <c r="A28" s="0" t="s">
        <v>59</v>
      </c>
      <c r="B28" s="0" t="s">
        <v>60</v>
      </c>
      <c r="C28" s="0" t="s">
        <v>57</v>
      </c>
      <c r="D28" s="0" t="s">
        <v>61</v>
      </c>
      <c r="E28" s="0" t="s">
        <v>18</v>
      </c>
      <c r="F28" s="0" t="s">
        <v>62</v>
      </c>
      <c r="G28" s="4" t="n">
        <v>12250</v>
      </c>
      <c r="H28" s="4" t="n">
        <v>2296.88</v>
      </c>
      <c r="I28" s="4" t="n">
        <v>3062.5</v>
      </c>
      <c r="J28" s="0" t="n">
        <f aca="false">H28+I28</f>
        <v>5359.38</v>
      </c>
      <c r="K28" s="0" t="n">
        <f aca="false">G28-J28</f>
        <v>6890.62</v>
      </c>
    </row>
    <row r="29" customFormat="false" ht="15" hidden="false" customHeight="false" outlineLevel="0" collapsed="false">
      <c r="A29" s="5"/>
      <c r="B29" s="6" t="s">
        <v>63</v>
      </c>
      <c r="C29" s="5"/>
      <c r="D29" s="5"/>
      <c r="E29" s="5"/>
      <c r="F29" s="5"/>
      <c r="G29" s="7" t="n">
        <f aca="false">SUM(G27:G28)</f>
        <v>35060</v>
      </c>
      <c r="H29" s="7" t="n">
        <f aca="false">SUM(H27:H28)</f>
        <v>14272.13</v>
      </c>
      <c r="I29" s="7" t="n">
        <f aca="false">SUM(I27:I28)</f>
        <v>5343.5</v>
      </c>
      <c r="J29" s="7" t="n">
        <v>19615.63</v>
      </c>
      <c r="K29" s="7" t="n">
        <v>15444.37</v>
      </c>
    </row>
    <row r="31" customFormat="false" ht="15" hidden="false" customHeight="false" outlineLevel="0" collapsed="false">
      <c r="A31" s="0" t="s">
        <v>64</v>
      </c>
      <c r="B31" s="4" t="n">
        <v>19615.63</v>
      </c>
    </row>
    <row r="33" customFormat="false" ht="15" hidden="false" customHeight="false" outlineLevel="0" collapsed="false">
      <c r="A33" s="5"/>
      <c r="B33" s="6" t="s">
        <v>65</v>
      </c>
      <c r="C33" s="5"/>
      <c r="D33" s="5"/>
      <c r="E33" s="5"/>
      <c r="F33" s="5"/>
      <c r="G33" s="7" t="n">
        <v>178690</v>
      </c>
      <c r="H33" s="7" t="n">
        <v>76670.6</v>
      </c>
      <c r="I33" s="7" t="n">
        <v>33310.95</v>
      </c>
      <c r="J33" s="7" t="n">
        <v>109981.55</v>
      </c>
      <c r="K33" s="7" t="n">
        <f aca="false">G33-J33</f>
        <v>68708.45</v>
      </c>
    </row>
  </sheetData>
  <autoFilter ref="A5:K33"/>
  <printOptions headings="false" gridLines="false" gridLinesSet="true" horizontalCentered="false" verticalCentered="false"/>
  <pageMargins left="0.35" right="0.35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12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15"/>
    <col collapsed="false" customWidth="true" hidden="false" outlineLevel="0" max="4" min="4" style="0" width="14"/>
    <col collapsed="false" customWidth="true" hidden="false" outlineLevel="0" max="5" min="5" style="0" width="44"/>
    <col collapsed="false" customWidth="true" hidden="false" outlineLevel="0" max="7" min="6" style="0" width="12"/>
    <col collapsed="false" customWidth="true" hidden="false" outlineLevel="0" max="8" min="8" style="0" width="33"/>
    <col collapsed="false" customWidth="true" hidden="false" outlineLevel="0" max="9" min="9" style="0" width="44"/>
    <col collapsed="false" customWidth="true" hidden="false" outlineLevel="0" max="10" min="10" style="0" width="29"/>
    <col collapsed="false" customWidth="true" hidden="false" outlineLevel="0" max="11" min="11" style="0" width="23"/>
    <col collapsed="false" customWidth="true" hidden="false" outlineLevel="0" max="12" min="12" style="0" width="26"/>
    <col collapsed="false" customWidth="true" hidden="false" outlineLevel="0" max="13" min="13" style="0" width="12"/>
    <col collapsed="false" customWidth="true" hidden="false" outlineLevel="0" max="14" min="14" style="0" width="10"/>
  </cols>
  <sheetData>
    <row r="1" customFormat="false" ht="15" hidden="false" customHeight="false" outlineLevel="0" collapsed="false">
      <c r="A1" s="3" t="s">
        <v>3</v>
      </c>
      <c r="B1" s="3" t="s">
        <v>5</v>
      </c>
      <c r="C1" s="3" t="s">
        <v>7</v>
      </c>
      <c r="D1" s="3" t="s">
        <v>66</v>
      </c>
      <c r="E1" s="3" t="s">
        <v>67</v>
      </c>
      <c r="F1" s="3" t="s">
        <v>68</v>
      </c>
      <c r="G1" s="3" t="s">
        <v>6</v>
      </c>
      <c r="H1" s="3" t="s">
        <v>69</v>
      </c>
      <c r="I1" s="3" t="s">
        <v>70</v>
      </c>
      <c r="J1" s="3" t="s">
        <v>71</v>
      </c>
      <c r="K1" s="3" t="s">
        <v>72</v>
      </c>
      <c r="L1" s="3" t="s">
        <v>73</v>
      </c>
      <c r="M1" s="3" t="s">
        <v>74</v>
      </c>
      <c r="N1" s="3" t="s">
        <v>75</v>
      </c>
    </row>
    <row r="2" customFormat="false" ht="15" hidden="false" customHeight="false" outlineLevel="0" collapsed="false">
      <c r="A2" s="0" t="s">
        <v>26</v>
      </c>
      <c r="B2" s="0" t="s">
        <v>28</v>
      </c>
      <c r="C2" s="0" t="s">
        <v>76</v>
      </c>
      <c r="D2" s="0" t="s">
        <v>77</v>
      </c>
      <c r="E2" s="0" t="s">
        <v>78</v>
      </c>
      <c r="F2" s="8" t="n">
        <v>8570</v>
      </c>
      <c r="G2" s="9" t="n">
        <v>45200</v>
      </c>
      <c r="H2" s="0" t="s">
        <v>79</v>
      </c>
      <c r="I2" s="0" t="s">
        <v>80</v>
      </c>
      <c r="J2" s="0" t="s">
        <v>81</v>
      </c>
      <c r="K2" s="8" t="n">
        <v>1714</v>
      </c>
      <c r="L2" s="8" t="n">
        <v>1714</v>
      </c>
      <c r="M2" s="0" t="n">
        <f aca="false">L2-K2</f>
        <v>0</v>
      </c>
      <c r="N2" s="0" t="s">
        <v>82</v>
      </c>
    </row>
    <row r="3" customFormat="false" ht="15" hidden="false" customHeight="false" outlineLevel="0" collapsed="false">
      <c r="A3" s="0" t="s">
        <v>31</v>
      </c>
      <c r="B3" s="0" t="s">
        <v>28</v>
      </c>
      <c r="C3" s="0" t="s">
        <v>76</v>
      </c>
      <c r="D3" s="0" t="s">
        <v>83</v>
      </c>
      <c r="E3" s="0" t="s">
        <v>78</v>
      </c>
      <c r="F3" s="10" t="n">
        <v>15340</v>
      </c>
      <c r="G3" s="9" t="n">
        <v>45292</v>
      </c>
      <c r="H3" s="0" t="s">
        <v>79</v>
      </c>
      <c r="I3" s="0" t="s">
        <v>80</v>
      </c>
      <c r="J3" s="0" t="s">
        <v>81</v>
      </c>
      <c r="K3" s="10" t="n">
        <v>1917.5</v>
      </c>
      <c r="L3" s="10" t="n">
        <v>1917.5</v>
      </c>
      <c r="M3" s="0" t="n">
        <f aca="false">L3-K3</f>
        <v>0</v>
      </c>
      <c r="N3" s="0" t="s">
        <v>82</v>
      </c>
    </row>
    <row r="4" customFormat="false" ht="15" hidden="false" customHeight="false" outlineLevel="0" collapsed="false">
      <c r="A4" s="0" t="s">
        <v>35</v>
      </c>
      <c r="B4" s="0" t="s">
        <v>28</v>
      </c>
      <c r="C4" s="0" t="s">
        <v>76</v>
      </c>
      <c r="D4" s="0" t="s">
        <v>84</v>
      </c>
      <c r="E4" s="0" t="s">
        <v>78</v>
      </c>
      <c r="F4" s="10" t="n">
        <v>7490</v>
      </c>
      <c r="G4" s="9" t="n">
        <v>45292</v>
      </c>
      <c r="H4" s="0" t="s">
        <v>79</v>
      </c>
      <c r="I4" s="0" t="s">
        <v>80</v>
      </c>
      <c r="J4" s="0" t="s">
        <v>81</v>
      </c>
      <c r="K4" s="10" t="n">
        <v>2496.67</v>
      </c>
      <c r="L4" s="10" t="n">
        <v>2496.67</v>
      </c>
      <c r="M4" s="0" t="n">
        <f aca="false">L4-K4</f>
        <v>0</v>
      </c>
      <c r="N4" s="0" t="s">
        <v>82</v>
      </c>
    </row>
    <row r="5" customFormat="false" ht="15" hidden="false" customHeight="false" outlineLevel="0" collapsed="false">
      <c r="A5" s="0" t="s">
        <v>37</v>
      </c>
      <c r="B5" s="0" t="s">
        <v>28</v>
      </c>
      <c r="C5" s="0" t="s">
        <v>76</v>
      </c>
      <c r="D5" s="0" t="s">
        <v>85</v>
      </c>
      <c r="E5" s="0" t="s">
        <v>78</v>
      </c>
      <c r="F5" s="10" t="n">
        <v>17210</v>
      </c>
      <c r="G5" s="9" t="n">
        <v>44013</v>
      </c>
      <c r="H5" s="0" t="s">
        <v>79</v>
      </c>
      <c r="I5" s="0" t="s">
        <v>80</v>
      </c>
      <c r="J5" s="0" t="s">
        <v>81</v>
      </c>
      <c r="K5" s="10" t="n">
        <v>1721</v>
      </c>
      <c r="L5" s="10" t="n">
        <v>1721</v>
      </c>
      <c r="M5" s="0" t="n">
        <f aca="false">L5-K5</f>
        <v>0</v>
      </c>
      <c r="N5" s="0" t="s">
        <v>82</v>
      </c>
    </row>
    <row r="6" customFormat="false" ht="15" hidden="false" customHeight="false" outlineLevel="0" collapsed="false">
      <c r="A6" s="0" t="s">
        <v>40</v>
      </c>
      <c r="B6" s="0" t="s">
        <v>28</v>
      </c>
      <c r="C6" s="0" t="s">
        <v>76</v>
      </c>
      <c r="D6" s="0" t="s">
        <v>86</v>
      </c>
      <c r="E6" s="0" t="s">
        <v>78</v>
      </c>
      <c r="F6" s="10" t="n">
        <v>10280</v>
      </c>
      <c r="G6" s="9" t="n">
        <v>44743</v>
      </c>
      <c r="H6" s="0" t="s">
        <v>79</v>
      </c>
      <c r="I6" s="0" t="s">
        <v>80</v>
      </c>
      <c r="J6" s="0" t="s">
        <v>81</v>
      </c>
      <c r="K6" s="10" t="n">
        <v>1468.57</v>
      </c>
      <c r="L6" s="10" t="n">
        <v>1468.57</v>
      </c>
      <c r="M6" s="0" t="n">
        <f aca="false">L6-K6</f>
        <v>0</v>
      </c>
      <c r="N6" s="0" t="s">
        <v>82</v>
      </c>
    </row>
    <row r="7" customFormat="false" ht="15" hidden="false" customHeight="false" outlineLevel="0" collapsed="false">
      <c r="A7" s="0" t="s">
        <v>55</v>
      </c>
      <c r="B7" s="0" t="s">
        <v>57</v>
      </c>
      <c r="C7" s="0" t="s">
        <v>76</v>
      </c>
      <c r="D7" s="0" t="s">
        <v>85</v>
      </c>
      <c r="E7" s="0" t="s">
        <v>87</v>
      </c>
      <c r="F7" s="10" t="n">
        <v>22810</v>
      </c>
      <c r="G7" s="9" t="n">
        <v>43739</v>
      </c>
      <c r="H7" s="0" t="s">
        <v>79</v>
      </c>
      <c r="I7" s="0" t="s">
        <v>80</v>
      </c>
      <c r="J7" s="0" t="s">
        <v>81</v>
      </c>
      <c r="K7" s="10" t="n">
        <v>2281</v>
      </c>
      <c r="L7" s="10" t="n">
        <v>2281</v>
      </c>
      <c r="M7" s="0" t="n">
        <f aca="false">L7-K7</f>
        <v>0</v>
      </c>
      <c r="N7" s="0" t="s">
        <v>82</v>
      </c>
    </row>
    <row r="8" customFormat="false" ht="15" hidden="false" customHeight="false" outlineLevel="0" collapsed="false">
      <c r="A8" s="0" t="s">
        <v>59</v>
      </c>
      <c r="B8" s="0" t="s">
        <v>57</v>
      </c>
      <c r="C8" s="0" t="s">
        <v>76</v>
      </c>
      <c r="D8" s="0" t="s">
        <v>88</v>
      </c>
      <c r="E8" s="0" t="s">
        <v>87</v>
      </c>
      <c r="F8" s="10" t="n">
        <v>12250</v>
      </c>
      <c r="G8" s="9" t="n">
        <v>45383</v>
      </c>
      <c r="H8" s="0" t="s">
        <v>79</v>
      </c>
      <c r="I8" s="0" t="s">
        <v>80</v>
      </c>
      <c r="J8" s="0" t="s">
        <v>81</v>
      </c>
      <c r="K8" s="10" t="n">
        <v>3062.5</v>
      </c>
      <c r="L8" s="10" t="n">
        <v>3062.5</v>
      </c>
      <c r="M8" s="0" t="n">
        <f aca="false">L8-K8</f>
        <v>0</v>
      </c>
      <c r="N8" s="0" t="s">
        <v>82</v>
      </c>
    </row>
    <row r="9" customFormat="false" ht="15" hidden="false" customHeight="false" outlineLevel="0" collapsed="false">
      <c r="A9" s="0" t="s">
        <v>45</v>
      </c>
      <c r="B9" s="0" t="s">
        <v>89</v>
      </c>
      <c r="C9" s="0" t="s">
        <v>76</v>
      </c>
      <c r="D9" s="0" t="s">
        <v>77</v>
      </c>
      <c r="E9" s="0" t="s">
        <v>90</v>
      </c>
      <c r="F9" s="10" t="n">
        <v>22520</v>
      </c>
      <c r="G9" s="9" t="n">
        <v>44652</v>
      </c>
      <c r="H9" s="0" t="s">
        <v>79</v>
      </c>
      <c r="I9" s="0" t="s">
        <v>80</v>
      </c>
      <c r="J9" s="0" t="s">
        <v>81</v>
      </c>
      <c r="K9" s="10" t="n">
        <v>4504</v>
      </c>
      <c r="L9" s="10" t="n">
        <v>4504</v>
      </c>
      <c r="M9" s="0" t="n">
        <f aca="false">L9-K9</f>
        <v>0</v>
      </c>
      <c r="N9" s="0" t="s">
        <v>82</v>
      </c>
    </row>
    <row r="10" customFormat="false" ht="15" hidden="false" customHeight="false" outlineLevel="0" collapsed="false">
      <c r="A10" s="0" t="s">
        <v>49</v>
      </c>
      <c r="B10" s="0" t="s">
        <v>89</v>
      </c>
      <c r="C10" s="0" t="s">
        <v>76</v>
      </c>
      <c r="D10" s="0" t="s">
        <v>91</v>
      </c>
      <c r="E10" s="0" t="s">
        <v>90</v>
      </c>
      <c r="F10" s="10" t="n">
        <v>11440</v>
      </c>
      <c r="G10" s="9" t="n">
        <v>45474</v>
      </c>
      <c r="H10" s="0" t="s">
        <v>79</v>
      </c>
      <c r="I10" s="0" t="s">
        <v>80</v>
      </c>
      <c r="J10" s="0" t="s">
        <v>81</v>
      </c>
      <c r="K10" s="10" t="n">
        <v>1906.67</v>
      </c>
      <c r="L10" s="10" t="n">
        <v>1906.67</v>
      </c>
      <c r="M10" s="0" t="n">
        <f aca="false">L10-K10</f>
        <v>0</v>
      </c>
      <c r="N10" s="0" t="s">
        <v>82</v>
      </c>
    </row>
    <row r="11" customFormat="false" ht="15" hidden="false" customHeight="false" outlineLevel="0" collapsed="false">
      <c r="A11" s="0" t="s">
        <v>14</v>
      </c>
      <c r="B11" s="0" t="s">
        <v>92</v>
      </c>
      <c r="C11" s="0" t="s">
        <v>76</v>
      </c>
      <c r="D11" s="0" t="s">
        <v>84</v>
      </c>
      <c r="E11" s="0" t="s">
        <v>93</v>
      </c>
      <c r="F11" s="10" t="n">
        <v>26170</v>
      </c>
      <c r="G11" s="9" t="n">
        <v>45017</v>
      </c>
      <c r="H11" s="0" t="s">
        <v>79</v>
      </c>
      <c r="I11" s="0" t="s">
        <v>80</v>
      </c>
      <c r="J11" s="0" t="s">
        <v>81</v>
      </c>
      <c r="K11" s="10" t="n">
        <v>8723.33</v>
      </c>
      <c r="L11" s="10" t="n">
        <v>8723.33</v>
      </c>
      <c r="M11" s="0" t="n">
        <f aca="false">L11-K11</f>
        <v>0</v>
      </c>
      <c r="N11" s="0" t="s">
        <v>82</v>
      </c>
    </row>
    <row r="12" customFormat="false" ht="15" hidden="false" customHeight="false" outlineLevel="0" collapsed="false">
      <c r="A12" s="0" t="s">
        <v>20</v>
      </c>
      <c r="B12" s="0" t="s">
        <v>92</v>
      </c>
      <c r="C12" s="0" t="s">
        <v>76</v>
      </c>
      <c r="D12" s="0" t="s">
        <v>86</v>
      </c>
      <c r="E12" s="0" t="s">
        <v>93</v>
      </c>
      <c r="F12" s="10" t="n">
        <v>24610</v>
      </c>
      <c r="G12" s="9" t="n">
        <v>44013</v>
      </c>
      <c r="H12" s="0" t="s">
        <v>79</v>
      </c>
      <c r="I12" s="0" t="s">
        <v>80</v>
      </c>
      <c r="J12" s="0" t="s">
        <v>81</v>
      </c>
      <c r="K12" s="10" t="n">
        <v>3515.71</v>
      </c>
      <c r="L12" s="10" t="n">
        <v>3515.71</v>
      </c>
      <c r="M12" s="0" t="n">
        <f aca="false">L12-K12</f>
        <v>0</v>
      </c>
      <c r="N12" s="0" t="s">
        <v>82</v>
      </c>
    </row>
  </sheetData>
  <printOptions headings="false" gridLines="false" gridLinesSet="true" horizontalCentered="false" verticalCentered="false"/>
  <pageMargins left="0.35" right="0.35" top="0.5" bottom="0.5" header="0.511811023622047" footer="0.511811023622047"/>
  <pageSetup paperSize="1" scale="100" fitToWidth="2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9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3"/>
    <col collapsed="false" customWidth="true" hidden="false" outlineLevel="0" max="2" min="2" style="0" width="20"/>
  </cols>
  <sheetData>
    <row r="1" customFormat="false" ht="15" hidden="false" customHeight="false" outlineLevel="0" collapsed="false">
      <c r="A1" s="3" t="s">
        <v>94</v>
      </c>
      <c r="B1" s="3" t="s">
        <v>95</v>
      </c>
    </row>
    <row r="2" customFormat="false" ht="15" hidden="false" customHeight="false" outlineLevel="0" collapsed="false">
      <c r="A2" s="0" t="s">
        <v>96</v>
      </c>
      <c r="B2" s="8" t="n">
        <v>33310.95</v>
      </c>
    </row>
    <row r="3" customFormat="false" ht="15" hidden="false" customHeight="false" outlineLevel="0" collapsed="false">
      <c r="A3" s="0" t="s">
        <v>97</v>
      </c>
      <c r="B3" s="8" t="n">
        <v>33310.95</v>
      </c>
    </row>
    <row r="4" customFormat="false" ht="15" hidden="false" customHeight="false" outlineLevel="0" collapsed="false">
      <c r="A4" s="0" t="s">
        <v>98</v>
      </c>
      <c r="B4" s="8" t="n">
        <v>33310.95</v>
      </c>
    </row>
    <row r="5" customFormat="false" ht="15" hidden="false" customHeight="false" outlineLevel="0" collapsed="false">
      <c r="A5" s="0" t="s">
        <v>99</v>
      </c>
      <c r="B5" s="8" t="n">
        <v>0</v>
      </c>
    </row>
    <row r="6" customFormat="false" ht="15" hidden="false" customHeight="false" outlineLevel="0" collapsed="false">
      <c r="A6" s="0" t="s">
        <v>100</v>
      </c>
      <c r="B6" s="8" t="n">
        <v>0</v>
      </c>
    </row>
    <row r="7" customFormat="false" ht="15" hidden="false" customHeight="false" outlineLevel="0" collapsed="false">
      <c r="A7" s="0" t="s">
        <v>101</v>
      </c>
      <c r="B7" s="8" t="n">
        <v>0</v>
      </c>
    </row>
    <row r="8" customFormat="false" ht="15" hidden="false" customHeight="false" outlineLevel="0" collapsed="false">
      <c r="A8" s="0" t="s">
        <v>102</v>
      </c>
      <c r="B8" s="0" t="s">
        <v>103</v>
      </c>
    </row>
    <row r="9" customFormat="false" ht="15" hidden="false" customHeight="false" outlineLevel="0" collapsed="false">
      <c r="A9" s="0" t="s">
        <v>104</v>
      </c>
      <c r="B9" s="0" t="s">
        <v>105</v>
      </c>
    </row>
  </sheetData>
  <printOptions headings="false" gridLines="false" gridLinesSet="true" horizontalCentered="false" verticalCentered="false"/>
  <pageMargins left="0.35" right="0.35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Jonathan Vorquix</dc:creator>
  <cp:lastModifiedBy>Jonathan Vorquix</cp:lastModifiedBy>
  <dcterms:created xsi:type="dcterms:W3CDTF">2026-02-01T12:05:00Z</dcterms:created>
  <dcterms:modified xsi:type="dcterms:W3CDTF">2026-02-01T14:52:00Z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