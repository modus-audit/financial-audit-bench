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500" firstSheet="0" activeTab="1" autoFilterDateGrouping="1"/>
  </bookViews>
  <sheets>
    <sheet xmlns:r="http://schemas.openxmlformats.org/officeDocument/2006/relationships" name="Library Procedures" sheetId="1" state="visible" r:id="rId1"/>
    <sheet xmlns:r="http://schemas.openxmlformats.org/officeDocument/2006/relationships" name="&lt;.1&gt; Cash Lead Sheet" sheetId="2" state="visible" r:id="rId2"/>
    <sheet xmlns:r="http://schemas.openxmlformats.org/officeDocument/2006/relationships" name="&lt;.2&gt; Bank Confirmation" sheetId="3" state="visible" r:id="rId3"/>
    <sheet xmlns:r="http://schemas.openxmlformats.org/officeDocument/2006/relationships" name="&lt;.3&gt; Bank Reconciliation" sheetId="4" state="visible" r:id="rId4"/>
    <sheet xmlns:r="http://schemas.openxmlformats.org/officeDocument/2006/relationships" name="&lt;.4&gt; Outstanding Checks" sheetId="5" state="visible" r:id="rId5"/>
    <sheet xmlns:r="http://schemas.openxmlformats.org/officeDocument/2006/relationships" name="&lt;.5&gt; Cutoff Procedures" sheetId="6" state="visible" r:id="rId6"/>
    <sheet xmlns:r="http://schemas.openxmlformats.org/officeDocument/2006/relationships" name="&lt;.6&gt; Depository Fin Condition" sheetId="7" state="visible" r:id="rId7"/>
    <sheet xmlns:r="http://schemas.openxmlformats.org/officeDocument/2006/relationships" name="&lt;.7&gt; Presentation &amp; Disclosure" sheetId="8" state="visible" r:id="rId8"/>
    <sheet xmlns:r="http://schemas.openxmlformats.org/officeDocument/2006/relationships" name="Planning Context" sheetId="9" state="visible" r:id="rId9"/>
    <sheet xmlns:r="http://schemas.openxmlformats.org/officeDocument/2006/relationships" name="Workpaper Sign-off" sheetId="10" state="visible" r:id="rId10"/>
  </sheets>
  <definedNames>
    <definedName name="WP_PLAN_S002_1_CASH_LEAD_SHEET_ENTITY_NAME">'&lt;.1&gt; Cash Lead Sheet'!$B$2</definedName>
    <definedName name="WP_PLAN_S002_1_CASH_LEAD_SHEET_FINANCIAL_STATEMENT_DATE">'&lt;.1&gt; Cash Lead Sheet'!$E$2</definedName>
    <definedName name="WP_PLAN_S002_1_CASH_LEAD_SHEET_REPORTING_CURRENCY">'&lt;.1&gt; Cash Lead Sheet'!$H$2</definedName>
    <definedName name="WP_PLAN_S002_1_CASH_LEAD_SHEET_PERFORMANCE_MATERIALITY">'&lt;.1&gt; Cash Lead Sheet'!$B$3</definedName>
    <definedName name="WP_PLAN_S002_1_CASH_LEAD_SHEET_TOLERABLE_MISSTATEMENT">'&lt;.1&gt; Cash Lead Sheet'!$E$3</definedName>
    <definedName name="WP_PLAN_S003_2_BANK_CONFIRMATION_ENTITY_NAME">'&lt;.2&gt; Bank Confirmation'!$B$2</definedName>
    <definedName name="WP_PLAN_S003_2_BANK_CONFIRMATION_FINANCIAL_STATEMENT_DATE">'&lt;.2&gt; Bank Confirmation'!$E$2</definedName>
    <definedName name="WP_PLAN_S003_2_BANK_CONFIRMATION_REPORTING_CURRENCY">'&lt;.2&gt; Bank Confirmation'!$H$2</definedName>
    <definedName name="WP_PLAN_S003_2_BANK_CONFIRMATION_PERFORMANCE_MATERIALITY">'&lt;.2&gt; Bank Confirmation'!$B$3</definedName>
    <definedName name="WP_PLAN_S003_2_BANK_CONFIRMATION_TOLERABLE_MISSTATEMENT">'&lt;.2&gt; Bank Confirmation'!$E$3</definedName>
    <definedName name="WP_PLAN_S004_3_BANK_RECONCILIATION_ENTITY_NAME">'&lt;.3&gt; Bank Reconciliation'!$B$2</definedName>
    <definedName name="WP_PLAN_S004_3_BANK_RECONCILIATION_FINANCIAL_STATEMENT_DATE">'&lt;.3&gt; Bank Reconciliation'!$E$2</definedName>
    <definedName name="WP_PLAN_S004_3_BANK_RECONCILIATION_REPORTING_CURRENCY">'&lt;.3&gt; Bank Reconciliation'!$H$2</definedName>
    <definedName name="WP_PLAN_S004_3_BANK_RECONCILIATION_PERFORMANCE_MATERIALITY">'&lt;.3&gt; Bank Reconciliation'!$B$3</definedName>
    <definedName name="WP_PLAN_S004_3_BANK_RECONCILIATION_TOLERABLE_MISSTATEMENT">'&lt;.3&gt; Bank Reconciliation'!$E$3</definedName>
    <definedName name="WP_PLAN_S005_4_OUTSTANDING_CHECKS_ENTITY_NAME">'&lt;.4&gt; Outstanding Checks'!$B$2</definedName>
    <definedName name="WP_PLAN_S005_4_OUTSTANDING_CHECKS_FINANCIAL_STATEMENT_DATE">'&lt;.4&gt; Outstanding Checks'!$E$2</definedName>
    <definedName name="WP_PLAN_S005_4_OUTSTANDING_CHECKS_REPORTING_CURRENCY">'&lt;.4&gt; Outstanding Checks'!$H$2</definedName>
    <definedName name="WP_PLAN_S005_4_OUTSTANDING_CHECKS_PERFORMANCE_MATERIALITY">'&lt;.4&gt; Outstanding Checks'!$B$3</definedName>
    <definedName name="WP_PLAN_S005_4_OUTSTANDING_CHECKS_TOLERABLE_MISSTATEMENT">'&lt;.4&gt; Outstanding Checks'!$E$3</definedName>
    <definedName name="WP_PLAN_S006_5_CUTOFF_PROCEDURES_ENTITY_NAME">'&lt;.5&gt; Cutoff Procedures'!$B$2</definedName>
    <definedName name="WP_PLAN_S006_5_CUTOFF_PROCEDURES_FINANCIAL_STATEMENT_DATE">'&lt;.5&gt; Cutoff Procedures'!$E$2</definedName>
    <definedName name="WP_PLAN_S006_5_CUTOFF_PROCEDURES_REPORTING_CURRENCY">'&lt;.5&gt; Cutoff Procedures'!$H$2</definedName>
    <definedName name="WP_PLAN_S006_5_CUTOFF_PROCEDURES_PERFORMANCE_MATERIALITY">'&lt;.5&gt; Cutoff Procedures'!$B$3</definedName>
    <definedName name="WP_PLAN_S006_5_CUTOFF_PROCEDURES_TOLERABLE_MISSTATEMENT">'&lt;.5&gt; Cutoff Procedures'!$E$3</definedName>
    <definedName name="WP_PLAN_S007_6_DEPOSITORY_FIN_CONDITION_ENTITY_NAME">'&lt;.6&gt; Depository Fin Condition'!$B$2</definedName>
    <definedName name="WP_PLAN_S007_6_DEPOSITORY_FIN_CONDITION_FINANCIAL_STATEMENT_DATE">'&lt;.6&gt; Depository Fin Condition'!$E$2</definedName>
    <definedName name="WP_PLAN_S007_6_DEPOSITORY_FIN_CONDITION_REPORTING_CURRENCY">'&lt;.6&gt; Depository Fin Condition'!$H$2</definedName>
    <definedName name="WP_PLAN_S007_6_DEPOSITORY_FIN_CONDITION_PERFORMANCE_MATERIALITY">'&lt;.6&gt; Depository Fin Condition'!$B$3</definedName>
    <definedName name="WP_PLAN_S007_6_DEPOSITORY_FIN_CONDITION_TOLERABLE_MISSTATEMENT">'&lt;.6&gt; Depository Fin Condition'!$E$3</definedName>
    <definedName name="WP_PLAN_S008_7_PRESENTATION_DISCLOSURE_ENTITY_NAME">'&lt;.7&gt; Presentation &amp; Disclosure'!$B$2</definedName>
    <definedName name="WP_PLAN_S008_7_PRESENTATION_DISCLOSURE_FINANCIAL_STATEMENT_DATE">'&lt;.7&gt; Presentation &amp; Disclosure'!$E$2</definedName>
    <definedName name="WP_PLAN_S008_7_PRESENTATION_DISCLOSURE_REPORTING_CURRENCY">'&lt;.7&gt; Presentation &amp; Disclosure'!$H$2</definedName>
    <definedName name="WP_PLAN_S008_7_PRESENTATION_DISCLOSURE_PERFORMANCE_MATERIALITY">'&lt;.7&gt; Presentation &amp; Disclosure'!$B$3</definedName>
    <definedName name="WP_PLAN_S008_7_PRESENTATION_DISCLOSURE_TOLERABLE_MISSTATEMENT">'&lt;.7&gt; Presentation &amp; Disclosure'!$E$3</definedName>
    <definedName name="WP_PLAN_CONTEXT_ENTITY_NAME">'Planning Context'!$B$3</definedName>
    <definedName name="WP_PLAN_CONTEXT_FINANCIAL_STATEMENT_DATE">'Planning Context'!$B$4</definedName>
    <definedName name="WP_PLAN_CONTEXT_REPORTING_CURRENCY">'Planning Context'!$B$5</definedName>
    <definedName name="WP_PLAN_CONTEXT_OVERALL_MATERIALITY">'Planning Context'!$B$6</definedName>
    <definedName name="WP_PLAN_CONTEXT_PERFORMANCE_MATERIALITY">'Planning Context'!$B$7</definedName>
    <definedName name="WP_PLAN_CONTEXT_TOLERABLE_MISSTATEMENT">'Planning Context'!$B$8</definedName>
    <definedName name="WP_PLAN_CONTEXT_INDIVIDUALLY_SIGNIFICANT_THRESHOLD">'Planning Context'!$B$9</definedName>
    <definedName name="WP_PLAN_CONTEXT_POSTING_THRESHOLD">'Planning Context'!$B$10</definedName>
    <definedName name="WP_PLAN_CONTEXT_CLEARLY_TRIVIAL_THRESHOLD">'Planning Context'!$B$11</definedName>
    <definedName name="WP_PLAN_CONTEXT_ANALYTICAL_PRECISION">'Planning Context'!$B$12</definedName>
    <definedName name="WP_PROC_001_APPLICABILITY">'Library Procedures'!$A$8</definedName>
    <definedName name="WP_PROC_001_REQUIREMENT">'Library Procedures'!$B$8</definedName>
    <definedName name="WP_PROC_001_EXECUTION_STATE">'Library Procedures'!$C$8</definedName>
    <definedName name="WP_PROC_001_EVIDENCE_STATE">'Library Procedures'!$D$8</definedName>
    <definedName name="WP_PROC_001_RESULT_STATE">'Library Procedures'!$E$8</definedName>
    <definedName name="WP_PROC_001_ISSUE_STATE">'Library Procedures'!$F$8</definedName>
    <definedName name="WP_PROC_001_SIGNOFF_STATE">'Library Procedures'!$G$8</definedName>
    <definedName name="WP_PROC_001_DERIVED_OUTCOME">'Library Procedures'!$H$8</definedName>
    <definedName name="WP_PROC_001_PROCEDURE">'Library Procedures'!$I$8</definedName>
    <definedName name="WP_PROC_001_ASSERTION_S">'Library Procedures'!$J$8</definedName>
    <definedName name="WP_PROC_001_W_P_REF">'Library Procedures'!$K$8</definedName>
    <definedName name="WP_PROC_001_PERFORMED_BY">'Library Procedures'!$L$8</definedName>
    <definedName name="WP_PROC_001_DATE">'Library Procedures'!$M$8</definedName>
    <definedName name="WP_PROC_001_REASON_CODE">'Library Procedures'!$N$8</definedName>
    <definedName name="WP_PROC_001_SOURCE_FACT_EVIDENCE">'Library Procedures'!$O$8</definedName>
    <definedName name="WP_PROC_001_ISSUE_DEPENDENCY_IDS">'Library Procedures'!$P$8</definedName>
    <definedName name="WP_PROC_001_COMMENT_WORK_PERFORMED">'Library Procedures'!$Q$8</definedName>
    <definedName name="WP_PROC_002_APPLICABILITY">'Library Procedures'!$A$9</definedName>
    <definedName name="WP_PROC_002_REQUIREMENT">'Library Procedures'!$B$9</definedName>
    <definedName name="WP_PROC_002_EXECUTION_STATE">'Library Procedures'!$C$9</definedName>
    <definedName name="WP_PROC_002_EVIDENCE_STATE">'Library Procedures'!$D$9</definedName>
    <definedName name="WP_PROC_002_RESULT_STATE">'Library Procedures'!$E$9</definedName>
    <definedName name="WP_PROC_002_ISSUE_STATE">'Library Procedures'!$F$9</definedName>
    <definedName name="WP_PROC_002_SIGNOFF_STATE">'Library Procedures'!$G$9</definedName>
    <definedName name="WP_PROC_002_DERIVED_OUTCOME">'Library Procedures'!$H$9</definedName>
    <definedName name="WP_PROC_002_PROCEDURE">'Library Procedures'!$I$9</definedName>
    <definedName name="WP_PROC_002_ASSERTION_S">'Library Procedures'!$J$9</definedName>
    <definedName name="WP_PROC_002_W_P_REF">'Library Procedures'!$K$9</definedName>
    <definedName name="WP_PROC_002_PERFORMED_BY">'Library Procedures'!$L$9</definedName>
    <definedName name="WP_PROC_002_DATE">'Library Procedures'!$M$9</definedName>
    <definedName name="WP_PROC_002_REASON_CODE">'Library Procedures'!$N$9</definedName>
    <definedName name="WP_PROC_002_SOURCE_FACT_EVIDENCE">'Library Procedures'!$O$9</definedName>
    <definedName name="WP_PROC_002_ISSUE_DEPENDENCY_IDS">'Library Procedures'!$P$9</definedName>
    <definedName name="WP_PROC_002_COMMENT_WORK_PERFORMED">'Library Procedures'!$Q$9</definedName>
    <definedName name="WP_PROC_003_APPLICABILITY">'Library Procedures'!$A$10</definedName>
    <definedName name="WP_PROC_003_REQUIREMENT">'Library Procedures'!$B$10</definedName>
    <definedName name="WP_PROC_003_EXECUTION_STATE">'Library Procedures'!$C$10</definedName>
    <definedName name="WP_PROC_003_EVIDENCE_STATE">'Library Procedures'!$D$10</definedName>
    <definedName name="WP_PROC_003_RESULT_STATE">'Library Procedures'!$E$10</definedName>
    <definedName name="WP_PROC_003_ISSUE_STATE">'Library Procedures'!$F$10</definedName>
    <definedName name="WP_PROC_003_SIGNOFF_STATE">'Library Procedures'!$G$10</definedName>
    <definedName name="WP_PROC_003_DERIVED_OUTCOME">'Library Procedures'!$H$10</definedName>
    <definedName name="WP_PROC_003_PROCEDURE">'Library Procedures'!$I$10</definedName>
    <definedName name="WP_PROC_003_ASSERTION_S">'Library Procedures'!$J$10</definedName>
    <definedName name="WP_PROC_003_W_P_REF">'Library Procedures'!$K$10</definedName>
    <definedName name="WP_PROC_003_PERFORMED_BY">'Library Procedures'!$L$10</definedName>
    <definedName name="WP_PROC_003_DATE">'Library Procedures'!$M$10</definedName>
    <definedName name="WP_PROC_003_REASON_CODE">'Library Procedures'!$N$10</definedName>
    <definedName name="WP_PROC_003_SOURCE_FACT_EVIDENCE">'Library Procedures'!$O$10</definedName>
    <definedName name="WP_PROC_003_ISSUE_DEPENDENCY_IDS">'Library Procedures'!$P$10</definedName>
    <definedName name="WP_PROC_003_COMMENT_WORK_PERFORMED">'Library Procedures'!$Q$10</definedName>
    <definedName name="WP_PROC_004_APPLICABILITY">'Library Procedures'!$A$11</definedName>
    <definedName name="WP_PROC_004_REQUIREMENT">'Library Procedures'!$B$11</definedName>
    <definedName name="WP_PROC_004_EXECUTION_STATE">'Library Procedures'!$C$11</definedName>
    <definedName name="WP_PROC_004_EVIDENCE_STATE">'Library Procedures'!$D$11</definedName>
    <definedName name="WP_PROC_004_RESULT_STATE">'Library Procedures'!$E$11</definedName>
    <definedName name="WP_PROC_004_ISSUE_STATE">'Library Procedures'!$F$11</definedName>
    <definedName name="WP_PROC_004_SIGNOFF_STATE">'Library Procedures'!$G$11</definedName>
    <definedName name="WP_PROC_004_DERIVED_OUTCOME">'Library Procedures'!$H$11</definedName>
    <definedName name="WP_PROC_004_PROCEDURE">'Library Procedures'!$I$11</definedName>
    <definedName name="WP_PROC_004_ASSERTION_S">'Library Procedures'!$J$11</definedName>
    <definedName name="WP_PROC_004_W_P_REF">'Library Procedures'!$K$11</definedName>
    <definedName name="WP_PROC_004_PERFORMED_BY">'Library Procedures'!$L$11</definedName>
    <definedName name="WP_PROC_004_DATE">'Library Procedures'!$M$11</definedName>
    <definedName name="WP_PROC_004_REASON_CODE">'Library Procedures'!$N$11</definedName>
    <definedName name="WP_PROC_004_SOURCE_FACT_EVIDENCE">'Library Procedures'!$O$11</definedName>
    <definedName name="WP_PROC_004_ISSUE_DEPENDENCY_IDS">'Library Procedures'!$P$11</definedName>
    <definedName name="WP_PROC_004_COMMENT_WORK_PERFORMED">'Library Procedures'!$Q$11</definedName>
    <definedName name="WP_PROC_005_APPLICABILITY">'Library Procedures'!$A$12</definedName>
    <definedName name="WP_PROC_005_REQUIREMENT">'Library Procedures'!$B$12</definedName>
    <definedName name="WP_PROC_005_EXECUTION_STATE">'Library Procedures'!$C$12</definedName>
    <definedName name="WP_PROC_005_EVIDENCE_STATE">'Library Procedures'!$D$12</definedName>
    <definedName name="WP_PROC_005_RESULT_STATE">'Library Procedures'!$E$12</definedName>
    <definedName name="WP_PROC_005_ISSUE_STATE">'Library Procedures'!$F$12</definedName>
    <definedName name="WP_PROC_005_SIGNOFF_STATE">'Library Procedures'!$G$12</definedName>
    <definedName name="WP_PROC_005_DERIVED_OUTCOME">'Library Procedures'!$H$12</definedName>
    <definedName name="WP_PROC_005_PROCEDURE">'Library Procedures'!$I$12</definedName>
    <definedName name="WP_PROC_005_ASSERTION_S">'Library Procedures'!$J$12</definedName>
    <definedName name="WP_PROC_005_W_P_REF">'Library Procedures'!$K$12</definedName>
    <definedName name="WP_PROC_005_PERFORMED_BY">'Library Procedures'!$L$12</definedName>
    <definedName name="WP_PROC_005_DATE">'Library Procedures'!$M$12</definedName>
    <definedName name="WP_PROC_005_REASON_CODE">'Library Procedures'!$N$12</definedName>
    <definedName name="WP_PROC_005_SOURCE_FACT_EVIDENCE">'Library Procedures'!$O$12</definedName>
    <definedName name="WP_PROC_005_ISSUE_DEPENDENCY_IDS">'Library Procedures'!$P$12</definedName>
    <definedName name="WP_PROC_005_COMMENT_WORK_PERFORMED">'Library Procedures'!$Q$12</definedName>
    <definedName name="WP_PROC_006_APPLICABILITY">'Library Procedures'!$A$14</definedName>
    <definedName name="WP_PROC_006_REQUIREMENT">'Library Procedures'!$B$14</definedName>
    <definedName name="WP_PROC_006_EXECUTION_STATE">'Library Procedures'!$C$14</definedName>
    <definedName name="WP_PROC_006_EVIDENCE_STATE">'Library Procedures'!$D$14</definedName>
    <definedName name="WP_PROC_006_RESULT_STATE">'Library Procedures'!$E$14</definedName>
    <definedName name="WP_PROC_006_ISSUE_STATE">'Library Procedures'!$F$14</definedName>
    <definedName name="WP_PROC_006_SIGNOFF_STATE">'Library Procedures'!$G$14</definedName>
    <definedName name="WP_PROC_006_DERIVED_OUTCOME">'Library Procedures'!$H$14</definedName>
    <definedName name="WP_PROC_006_PROCEDURE">'Library Procedures'!$I$14</definedName>
    <definedName name="WP_PROC_006_ASSERTION_S">'Library Procedures'!$J$14</definedName>
    <definedName name="WP_PROC_006_W_P_REF">'Library Procedures'!$K$14</definedName>
    <definedName name="WP_PROC_006_PERFORMED_BY">'Library Procedures'!$L$14</definedName>
    <definedName name="WP_PROC_006_DATE">'Library Procedures'!$M$14</definedName>
    <definedName name="WP_PROC_006_REASON_CODE">'Library Procedures'!$N$14</definedName>
    <definedName name="WP_PROC_006_SOURCE_FACT_EVIDENCE">'Library Procedures'!$O$14</definedName>
    <definedName name="WP_PROC_006_ISSUE_DEPENDENCY_IDS">'Library Procedures'!$P$14</definedName>
    <definedName name="WP_PROC_006_COMMENT_WORK_PERFORMED">'Library Procedures'!$Q$14</definedName>
    <definedName name="WP_PROC_007_APPLICABILITY">'Library Procedures'!$A$15</definedName>
    <definedName name="WP_PROC_007_REQUIREMENT">'Library Procedures'!$B$15</definedName>
    <definedName name="WP_PROC_007_EXECUTION_STATE">'Library Procedures'!$C$15</definedName>
    <definedName name="WP_PROC_007_EVIDENCE_STATE">'Library Procedures'!$D$15</definedName>
    <definedName name="WP_PROC_007_RESULT_STATE">'Library Procedures'!$E$15</definedName>
    <definedName name="WP_PROC_007_ISSUE_STATE">'Library Procedures'!$F$15</definedName>
    <definedName name="WP_PROC_007_SIGNOFF_STATE">'Library Procedures'!$G$15</definedName>
    <definedName name="WP_PROC_007_DERIVED_OUTCOME">'Library Procedures'!$H$15</definedName>
    <definedName name="WP_PROC_007_PROCEDURE">'Library Procedures'!$I$15</definedName>
    <definedName name="WP_PROC_007_ASSERTION_S">'Library Procedures'!$J$15</definedName>
    <definedName name="WP_PROC_007_W_P_REF">'Library Procedures'!$K$15</definedName>
    <definedName name="WP_PROC_007_PERFORMED_BY">'Library Procedures'!$L$15</definedName>
    <definedName name="WP_PROC_007_DATE">'Library Procedures'!$M$15</definedName>
    <definedName name="WP_PROC_007_REASON_CODE">'Library Procedures'!$N$15</definedName>
    <definedName name="WP_PROC_007_SOURCE_FACT_EVIDENCE">'Library Procedures'!$O$15</definedName>
    <definedName name="WP_PROC_007_ISSUE_DEPENDENCY_IDS">'Library Procedures'!$P$15</definedName>
    <definedName name="WP_PROC_007_COMMENT_WORK_PERFORMED">'Library Procedures'!$Q$15</definedName>
    <definedName name="WP_PROC_008_APPLICABILITY">'Library Procedures'!$A$16</definedName>
    <definedName name="WP_PROC_008_REQUIREMENT">'Library Procedures'!$B$16</definedName>
    <definedName name="WP_PROC_008_EXECUTION_STATE">'Library Procedures'!$C$16</definedName>
    <definedName name="WP_PROC_008_EVIDENCE_STATE">'Library Procedures'!$D$16</definedName>
    <definedName name="WP_PROC_008_RESULT_STATE">'Library Procedures'!$E$16</definedName>
    <definedName name="WP_PROC_008_ISSUE_STATE">'Library Procedures'!$F$16</definedName>
    <definedName name="WP_PROC_008_SIGNOFF_STATE">'Library Procedures'!$G$16</definedName>
    <definedName name="WP_PROC_008_DERIVED_OUTCOME">'Library Procedures'!$H$16</definedName>
    <definedName name="WP_PROC_008_PROCEDURE">'Library Procedures'!$I$16</definedName>
    <definedName name="WP_PROC_008_ASSERTION_S">'Library Procedures'!$J$16</definedName>
    <definedName name="WP_PROC_008_W_P_REF">'Library Procedures'!$K$16</definedName>
    <definedName name="WP_PROC_008_PERFORMED_BY">'Library Procedures'!$L$16</definedName>
    <definedName name="WP_PROC_008_DATE">'Library Procedures'!$M$16</definedName>
    <definedName name="WP_PROC_008_REASON_CODE">'Library Procedures'!$N$16</definedName>
    <definedName name="WP_PROC_008_SOURCE_FACT_EVIDENCE">'Library Procedures'!$O$16</definedName>
    <definedName name="WP_PROC_008_ISSUE_DEPENDENCY_IDS">'Library Procedures'!$P$16</definedName>
    <definedName name="WP_PROC_008_COMMENT_WORK_PERFORMED">'Library Procedures'!$Q$16</definedName>
    <definedName name="WP_PROC_009_APPLICABILITY">'Library Procedures'!$A$17</definedName>
    <definedName name="WP_PROC_009_REQUIREMENT">'Library Procedures'!$B$17</definedName>
    <definedName name="WP_PROC_009_EXECUTION_STATE">'Library Procedures'!$C$17</definedName>
    <definedName name="WP_PROC_009_EVIDENCE_STATE">'Library Procedures'!$D$17</definedName>
    <definedName name="WP_PROC_009_RESULT_STATE">'Library Procedures'!$E$17</definedName>
    <definedName name="WP_PROC_009_ISSUE_STATE">'Library Procedures'!$F$17</definedName>
    <definedName name="WP_PROC_009_SIGNOFF_STATE">'Library Procedures'!$G$17</definedName>
    <definedName name="WP_PROC_009_DERIVED_OUTCOME">'Library Procedures'!$H$17</definedName>
    <definedName name="WP_PROC_009_PROCEDURE">'Library Procedures'!$I$17</definedName>
    <definedName name="WP_PROC_009_ASSERTION_S">'Library Procedures'!$J$17</definedName>
    <definedName name="WP_PROC_009_W_P_REF">'Library Procedures'!$K$17</definedName>
    <definedName name="WP_PROC_009_PERFORMED_BY">'Library Procedures'!$L$17</definedName>
    <definedName name="WP_PROC_009_DATE">'Library Procedures'!$M$17</definedName>
    <definedName name="WP_PROC_009_REASON_CODE">'Library Procedures'!$N$17</definedName>
    <definedName name="WP_PROC_009_SOURCE_FACT_EVIDENCE">'Library Procedures'!$O$17</definedName>
    <definedName name="WP_PROC_009_ISSUE_DEPENDENCY_IDS">'Library Procedures'!$P$17</definedName>
    <definedName name="WP_PROC_009_COMMENT_WORK_PERFORMED">'Library Procedures'!$Q$17</definedName>
    <definedName name="WP_PROC_010_APPLICABILITY">'Library Procedures'!$A$18</definedName>
    <definedName name="WP_PROC_010_REQUIREMENT">'Library Procedures'!$B$18</definedName>
    <definedName name="WP_PROC_010_EXECUTION_STATE">'Library Procedures'!$C$18</definedName>
    <definedName name="WP_PROC_010_EVIDENCE_STATE">'Library Procedures'!$D$18</definedName>
    <definedName name="WP_PROC_010_RESULT_STATE">'Library Procedures'!$E$18</definedName>
    <definedName name="WP_PROC_010_ISSUE_STATE">'Library Procedures'!$F$18</definedName>
    <definedName name="WP_PROC_010_SIGNOFF_STATE">'Library Procedures'!$G$18</definedName>
    <definedName name="WP_PROC_010_DERIVED_OUTCOME">'Library Procedures'!$H$18</definedName>
    <definedName name="WP_PROC_010_PROCEDURE">'Library Procedures'!$I$18</definedName>
    <definedName name="WP_PROC_010_ASSERTION_S">'Library Procedures'!$J$18</definedName>
    <definedName name="WP_PROC_010_W_P_REF">'Library Procedures'!$K$18</definedName>
    <definedName name="WP_PROC_010_PERFORMED_BY">'Library Procedures'!$L$18</definedName>
    <definedName name="WP_PROC_010_DATE">'Library Procedures'!$M$18</definedName>
    <definedName name="WP_PROC_010_REASON_CODE">'Library Procedures'!$N$18</definedName>
    <definedName name="WP_PROC_010_SOURCE_FACT_EVIDENCE">'Library Procedures'!$O$18</definedName>
    <definedName name="WP_PROC_010_ISSUE_DEPENDENCY_IDS">'Library Procedures'!$P$18</definedName>
    <definedName name="WP_PROC_010_COMMENT_WORK_PERFORMED">'Library Procedures'!$Q$18</definedName>
    <definedName name="WP_PROC_011_APPLICABILITY">'Library Procedures'!$A$20</definedName>
    <definedName name="WP_PROC_011_REQUIREMENT">'Library Procedures'!$B$20</definedName>
    <definedName name="WP_PROC_011_EXECUTION_STATE">'Library Procedures'!$C$20</definedName>
    <definedName name="WP_PROC_011_EVIDENCE_STATE">'Library Procedures'!$D$20</definedName>
    <definedName name="WP_PROC_011_RESULT_STATE">'Library Procedures'!$E$20</definedName>
    <definedName name="WP_PROC_011_ISSUE_STATE">'Library Procedures'!$F$20</definedName>
    <definedName name="WP_PROC_011_SIGNOFF_STATE">'Library Procedures'!$G$20</definedName>
    <definedName name="WP_PROC_011_DERIVED_OUTCOME">'Library Procedures'!$H$20</definedName>
    <definedName name="WP_PROC_011_PROCEDURE">'Library Procedures'!$I$20</definedName>
    <definedName name="WP_PROC_011_ASSERTION_S">'Library Procedures'!$J$20</definedName>
    <definedName name="WP_PROC_011_W_P_REF">'Library Procedures'!$K$20</definedName>
    <definedName name="WP_PROC_011_PERFORMED_BY">'Library Procedures'!$L$20</definedName>
    <definedName name="WP_PROC_011_DATE">'Library Procedures'!$M$20</definedName>
    <definedName name="WP_PROC_011_REASON_CODE">'Library Procedures'!$N$20</definedName>
    <definedName name="WP_PROC_011_SOURCE_FACT_EVIDENCE">'Library Procedures'!$O$20</definedName>
    <definedName name="WP_PROC_011_ISSUE_DEPENDENCY_IDS">'Library Procedures'!$P$20</definedName>
    <definedName name="WP_PROC_011_COMMENT_WORK_PERFORMED">'Library Procedures'!$Q$20</definedName>
    <definedName name="WP_PROC_012_APPLICABILITY">'Library Procedures'!$A$21</definedName>
    <definedName name="WP_PROC_012_REQUIREMENT">'Library Procedures'!$B$21</definedName>
    <definedName name="WP_PROC_012_EXECUTION_STATE">'Library Procedures'!$C$21</definedName>
    <definedName name="WP_PROC_012_EVIDENCE_STATE">'Library Procedures'!$D$21</definedName>
    <definedName name="WP_PROC_012_RESULT_STATE">'Library Procedures'!$E$21</definedName>
    <definedName name="WP_PROC_012_ISSUE_STATE">'Library Procedures'!$F$21</definedName>
    <definedName name="WP_PROC_012_SIGNOFF_STATE">'Library Procedures'!$G$21</definedName>
    <definedName name="WP_PROC_012_DERIVED_OUTCOME">'Library Procedures'!$H$21</definedName>
    <definedName name="WP_PROC_012_PROCEDURE">'Library Procedures'!$I$21</definedName>
    <definedName name="WP_PROC_012_ASSERTION_S">'Library Procedures'!$J$21</definedName>
    <definedName name="WP_PROC_012_W_P_REF">'Library Procedures'!$K$21</definedName>
    <definedName name="WP_PROC_012_PERFORMED_BY">'Library Procedures'!$L$21</definedName>
    <definedName name="WP_PROC_012_DATE">'Library Procedures'!$M$21</definedName>
    <definedName name="WP_PROC_012_REASON_CODE">'Library Procedures'!$N$21</definedName>
    <definedName name="WP_PROC_012_SOURCE_FACT_EVIDENCE">'Library Procedures'!$O$21</definedName>
    <definedName name="WP_PROC_012_ISSUE_DEPENDENCY_IDS">'Library Procedures'!$P$21</definedName>
    <definedName name="WP_PROC_012_COMMENT_WORK_PERFORMED">'Library Procedures'!$Q$21</definedName>
    <definedName name="WP_PROC_013_APPLICABILITY">'Library Procedures'!$A$22</definedName>
    <definedName name="WP_PROC_013_REQUIREMENT">'Library Procedures'!$B$22</definedName>
    <definedName name="WP_PROC_013_EXECUTION_STATE">'Library Procedures'!$C$22</definedName>
    <definedName name="WP_PROC_013_EVIDENCE_STATE">'Library Procedures'!$D$22</definedName>
    <definedName name="WP_PROC_013_RESULT_STATE">'Library Procedures'!$E$22</definedName>
    <definedName name="WP_PROC_013_ISSUE_STATE">'Library Procedures'!$F$22</definedName>
    <definedName name="WP_PROC_013_SIGNOFF_STATE">'Library Procedures'!$G$22</definedName>
    <definedName name="WP_PROC_013_DERIVED_OUTCOME">'Library Procedures'!$H$22</definedName>
    <definedName name="WP_PROC_013_PROCEDURE">'Library Procedures'!$I$22</definedName>
    <definedName name="WP_PROC_013_ASSERTION_S">'Library Procedures'!$J$22</definedName>
    <definedName name="WP_PROC_013_W_P_REF">'Library Procedures'!$K$22</definedName>
    <definedName name="WP_PROC_013_PERFORMED_BY">'Library Procedures'!$L$22</definedName>
    <definedName name="WP_PROC_013_DATE">'Library Procedures'!$M$22</definedName>
    <definedName name="WP_PROC_013_REASON_CODE">'Library Procedures'!$N$22</definedName>
    <definedName name="WP_PROC_013_SOURCE_FACT_EVIDENCE">'Library Procedures'!$O$22</definedName>
    <definedName name="WP_PROC_013_ISSUE_DEPENDENCY_IDS">'Library Procedures'!$P$22</definedName>
    <definedName name="WP_PROC_013_COMMENT_WORK_PERFORMED">'Library Procedures'!$Q$22</definedName>
    <definedName name="WP_PROC_014_APPLICABILITY">'Library Procedures'!$A$23</definedName>
    <definedName name="WP_PROC_014_REQUIREMENT">'Library Procedures'!$B$23</definedName>
    <definedName name="WP_PROC_014_EXECUTION_STATE">'Library Procedures'!$C$23</definedName>
    <definedName name="WP_PROC_014_EVIDENCE_STATE">'Library Procedures'!$D$23</definedName>
    <definedName name="WP_PROC_014_RESULT_STATE">'Library Procedures'!$E$23</definedName>
    <definedName name="WP_PROC_014_ISSUE_STATE">'Library Procedures'!$F$23</definedName>
    <definedName name="WP_PROC_014_SIGNOFF_STATE">'Library Procedures'!$G$23</definedName>
    <definedName name="WP_PROC_014_DERIVED_OUTCOME">'Library Procedures'!$H$23</definedName>
    <definedName name="WP_PROC_014_PROCEDURE">'Library Procedures'!$I$23</definedName>
    <definedName name="WP_PROC_014_ASSERTION_S">'Library Procedures'!$J$23</definedName>
    <definedName name="WP_PROC_014_W_P_REF">'Library Procedures'!$K$23</definedName>
    <definedName name="WP_PROC_014_PERFORMED_BY">'Library Procedures'!$L$23</definedName>
    <definedName name="WP_PROC_014_DATE">'Library Procedures'!$M$23</definedName>
    <definedName name="WP_PROC_014_REASON_CODE">'Library Procedures'!$N$23</definedName>
    <definedName name="WP_PROC_014_SOURCE_FACT_EVIDENCE">'Library Procedures'!$O$23</definedName>
    <definedName name="WP_PROC_014_ISSUE_DEPENDENCY_IDS">'Library Procedures'!$P$23</definedName>
    <definedName name="WP_PROC_014_COMMENT_WORK_PERFORMED">'Library Procedures'!$Q$23</definedName>
    <definedName name="WP_PROC_015_APPLICABILITY">'Library Procedures'!$A$25</definedName>
    <definedName name="WP_PROC_015_REQUIREMENT">'Library Procedures'!$B$25</definedName>
    <definedName name="WP_PROC_015_EXECUTION_STATE">'Library Procedures'!$C$25</definedName>
    <definedName name="WP_PROC_015_EVIDENCE_STATE">'Library Procedures'!$D$25</definedName>
    <definedName name="WP_PROC_015_RESULT_STATE">'Library Procedures'!$E$25</definedName>
    <definedName name="WP_PROC_015_ISSUE_STATE">'Library Procedures'!$F$25</definedName>
    <definedName name="WP_PROC_015_SIGNOFF_STATE">'Library Procedures'!$G$25</definedName>
    <definedName name="WP_PROC_015_DERIVED_OUTCOME">'Library Procedures'!$H$25</definedName>
    <definedName name="WP_PROC_015_PROCEDURE">'Library Procedures'!$I$25</definedName>
    <definedName name="WP_PROC_015_ASSERTION_S">'Library Procedures'!$J$25</definedName>
    <definedName name="WP_PROC_015_W_P_REF">'Library Procedures'!$K$25</definedName>
    <definedName name="WP_PROC_015_PERFORMED_BY">'Library Procedures'!$L$25</definedName>
    <definedName name="WP_PROC_015_DATE">'Library Procedures'!$M$25</definedName>
    <definedName name="WP_PROC_015_REASON_CODE">'Library Procedures'!$N$25</definedName>
    <definedName name="WP_PROC_015_SOURCE_FACT_EVIDENCE">'Library Procedures'!$O$25</definedName>
    <definedName name="WP_PROC_015_ISSUE_DEPENDENCY_IDS">'Library Procedures'!$P$25</definedName>
    <definedName name="WP_PROC_015_COMMENT_WORK_PERFORMED">'Library Procedures'!$Q$25</definedName>
    <definedName name="WP_PROC_016_APPLICABILITY">'Library Procedures'!$A$26</definedName>
    <definedName name="WP_PROC_016_REQUIREMENT">'Library Procedures'!$B$26</definedName>
    <definedName name="WP_PROC_016_EXECUTION_STATE">'Library Procedures'!$C$26</definedName>
    <definedName name="WP_PROC_016_EVIDENCE_STATE">'Library Procedures'!$D$26</definedName>
    <definedName name="WP_PROC_016_RESULT_STATE">'Library Procedures'!$E$26</definedName>
    <definedName name="WP_PROC_016_ISSUE_STATE">'Library Procedures'!$F$26</definedName>
    <definedName name="WP_PROC_016_SIGNOFF_STATE">'Library Procedures'!$G$26</definedName>
    <definedName name="WP_PROC_016_DERIVED_OUTCOME">'Library Procedures'!$H$26</definedName>
    <definedName name="WP_PROC_016_PROCEDURE">'Library Procedures'!$I$26</definedName>
    <definedName name="WP_PROC_016_ASSERTION_S">'Library Procedures'!$J$26</definedName>
    <definedName name="WP_PROC_016_W_P_REF">'Library Procedures'!$K$26</definedName>
    <definedName name="WP_PROC_016_PERFORMED_BY">'Library Procedures'!$L$26</definedName>
    <definedName name="WP_PROC_016_DATE">'Library Procedures'!$M$26</definedName>
    <definedName name="WP_PROC_016_REASON_CODE">'Library Procedures'!$N$26</definedName>
    <definedName name="WP_PROC_016_SOURCE_FACT_EVIDENCE">'Library Procedures'!$O$26</definedName>
    <definedName name="WP_PROC_016_ISSUE_DEPENDENCY_IDS">'Library Procedures'!$P$26</definedName>
    <definedName name="WP_PROC_016_COMMENT_WORK_PERFORMED">'Library Procedures'!$Q$26</definedName>
    <definedName name="WP_PROC_017_APPLICABILITY">'Library Procedures'!$A$27</definedName>
    <definedName name="WP_PROC_017_REQUIREMENT">'Library Procedures'!$B$27</definedName>
    <definedName name="WP_PROC_017_EXECUTION_STATE">'Library Procedures'!$C$27</definedName>
    <definedName name="WP_PROC_017_EVIDENCE_STATE">'Library Procedures'!$D$27</definedName>
    <definedName name="WP_PROC_017_RESULT_STATE">'Library Procedures'!$E$27</definedName>
    <definedName name="WP_PROC_017_ISSUE_STATE">'Library Procedures'!$F$27</definedName>
    <definedName name="WP_PROC_017_SIGNOFF_STATE">'Library Procedures'!$G$27</definedName>
    <definedName name="WP_PROC_017_DERIVED_OUTCOME">'Library Procedures'!$H$27</definedName>
    <definedName name="WP_PROC_017_PROCEDURE">'Library Procedures'!$I$27</definedName>
    <definedName name="WP_PROC_017_ASSERTION_S">'Library Procedures'!$J$27</definedName>
    <definedName name="WP_PROC_017_W_P_REF">'Library Procedures'!$K$27</definedName>
    <definedName name="WP_PROC_017_PERFORMED_BY">'Library Procedures'!$L$27</definedName>
    <definedName name="WP_PROC_017_DATE">'Library Procedures'!$M$27</definedName>
    <definedName name="WP_PROC_017_REASON_CODE">'Library Procedures'!$N$27</definedName>
    <definedName name="WP_PROC_017_SOURCE_FACT_EVIDENCE">'Library Procedures'!$O$27</definedName>
    <definedName name="WP_PROC_017_ISSUE_DEPENDENCY_IDS">'Library Procedures'!$P$27</definedName>
    <definedName name="WP_PROC_017_COMMENT_WORK_PERFORMED">'Library Procedures'!$Q$27</definedName>
    <definedName name="WP_PROC_018_APPLICABILITY">'Library Procedures'!$A$29</definedName>
    <definedName name="WP_PROC_018_REQUIREMENT">'Library Procedures'!$B$29</definedName>
    <definedName name="WP_PROC_018_EXECUTION_STATE">'Library Procedures'!$C$29</definedName>
    <definedName name="WP_PROC_018_EVIDENCE_STATE">'Library Procedures'!$D$29</definedName>
    <definedName name="WP_PROC_018_RESULT_STATE">'Library Procedures'!$E$29</definedName>
    <definedName name="WP_PROC_018_ISSUE_STATE">'Library Procedures'!$F$29</definedName>
    <definedName name="WP_PROC_018_SIGNOFF_STATE">'Library Procedures'!$G$29</definedName>
    <definedName name="WP_PROC_018_DERIVED_OUTCOME">'Library Procedures'!$H$29</definedName>
    <definedName name="WP_PROC_018_PROCEDURE">'Library Procedures'!$I$29</definedName>
    <definedName name="WP_PROC_018_ASSERTION_S">'Library Procedures'!$J$29</definedName>
    <definedName name="WP_PROC_018_W_P_REF">'Library Procedures'!$K$29</definedName>
    <definedName name="WP_PROC_018_PERFORMED_BY">'Library Procedures'!$L$29</definedName>
    <definedName name="WP_PROC_018_DATE">'Library Procedures'!$M$29</definedName>
    <definedName name="WP_PROC_018_REASON_CODE">'Library Procedures'!$N$29</definedName>
    <definedName name="WP_PROC_018_SOURCE_FACT_EVIDENCE">'Library Procedures'!$O$29</definedName>
    <definedName name="WP_PROC_018_ISSUE_DEPENDENCY_IDS">'Library Procedures'!$P$29</definedName>
    <definedName name="WP_PROC_018_COMMENT_WORK_PERFORMED">'Library Procedures'!$Q$29</definedName>
    <definedName name="WP_PROC_019_APPLICABILITY">'Library Procedures'!$A$30</definedName>
    <definedName name="WP_PROC_019_REQUIREMENT">'Library Procedures'!$B$30</definedName>
    <definedName name="WP_PROC_019_EXECUTION_STATE">'Library Procedures'!$C$30</definedName>
    <definedName name="WP_PROC_019_EVIDENCE_STATE">'Library Procedures'!$D$30</definedName>
    <definedName name="WP_PROC_019_RESULT_STATE">'Library Procedures'!$E$30</definedName>
    <definedName name="WP_PROC_019_ISSUE_STATE">'Library Procedures'!$F$30</definedName>
    <definedName name="WP_PROC_019_SIGNOFF_STATE">'Library Procedures'!$G$30</definedName>
    <definedName name="WP_PROC_019_DERIVED_OUTCOME">'Library Procedures'!$H$30</definedName>
    <definedName name="WP_PROC_019_PROCEDURE">'Library Procedures'!$I$30</definedName>
    <definedName name="WP_PROC_019_ASSERTION_S">'Library Procedures'!$J$30</definedName>
    <definedName name="WP_PROC_019_W_P_REF">'Library Procedures'!$K$30</definedName>
    <definedName name="WP_PROC_019_PERFORMED_BY">'Library Procedures'!$L$30</definedName>
    <definedName name="WP_PROC_019_DATE">'Library Procedures'!$M$30</definedName>
    <definedName name="WP_PROC_019_REASON_CODE">'Library Procedures'!$N$30</definedName>
    <definedName name="WP_PROC_019_SOURCE_FACT_EVIDENCE">'Library Procedures'!$O$30</definedName>
    <definedName name="WP_PROC_019_ISSUE_DEPENDENCY_IDS">'Library Procedures'!$P$30</definedName>
    <definedName name="WP_PROC_019_COMMENT_WORK_PERFORMED">'Library Procedures'!$Q$30</definedName>
    <definedName name="WP_PROC_020_APPLICABILITY">'Library Procedures'!$A$31</definedName>
    <definedName name="WP_PROC_020_REQUIREMENT">'Library Procedures'!$B$31</definedName>
    <definedName name="WP_PROC_020_EXECUTION_STATE">'Library Procedures'!$C$31</definedName>
    <definedName name="WP_PROC_020_EVIDENCE_STATE">'Library Procedures'!$D$31</definedName>
    <definedName name="WP_PROC_020_RESULT_STATE">'Library Procedures'!$E$31</definedName>
    <definedName name="WP_PROC_020_ISSUE_STATE">'Library Procedures'!$F$31</definedName>
    <definedName name="WP_PROC_020_SIGNOFF_STATE">'Library Procedures'!$G$31</definedName>
    <definedName name="WP_PROC_020_DERIVED_OUTCOME">'Library Procedures'!$H$31</definedName>
    <definedName name="WP_PROC_020_PROCEDURE">'Library Procedures'!$I$31</definedName>
    <definedName name="WP_PROC_020_ASSERTION_S">'Library Procedures'!$J$31</definedName>
    <definedName name="WP_PROC_020_W_P_REF">'Library Procedures'!$K$31</definedName>
    <definedName name="WP_PROC_020_PERFORMED_BY">'Library Procedures'!$L$31</definedName>
    <definedName name="WP_PROC_020_DATE">'Library Procedures'!$M$31</definedName>
    <definedName name="WP_PROC_020_REASON_CODE">'Library Procedures'!$N$31</definedName>
    <definedName name="WP_PROC_020_SOURCE_FACT_EVIDENCE">'Library Procedures'!$O$31</definedName>
    <definedName name="WP_PROC_020_ISSUE_DEPENDENCY_IDS">'Library Procedures'!$P$31</definedName>
    <definedName name="WP_PROC_020_COMMENT_WORK_PERFORMED">'Library Procedures'!$Q$31</definedName>
    <definedName name="WP_PROC_021_APPLICABILITY">'Library Procedures'!$A$32</definedName>
    <definedName name="WP_PROC_021_REQUIREMENT">'Library Procedures'!$B$32</definedName>
    <definedName name="WP_PROC_021_EXECUTION_STATE">'Library Procedures'!$C$32</definedName>
    <definedName name="WP_PROC_021_EVIDENCE_STATE">'Library Procedures'!$D$32</definedName>
    <definedName name="WP_PROC_021_RESULT_STATE">'Library Procedures'!$E$32</definedName>
    <definedName name="WP_PROC_021_ISSUE_STATE">'Library Procedures'!$F$32</definedName>
    <definedName name="WP_PROC_021_SIGNOFF_STATE">'Library Procedures'!$G$32</definedName>
    <definedName name="WP_PROC_021_DERIVED_OUTCOME">'Library Procedures'!$H$32</definedName>
    <definedName name="WP_PROC_021_PROCEDURE">'Library Procedures'!$I$32</definedName>
    <definedName name="WP_PROC_021_ASSERTION_S">'Library Procedures'!$J$32</definedName>
    <definedName name="WP_PROC_021_W_P_REF">'Library Procedures'!$K$32</definedName>
    <definedName name="WP_PROC_021_PERFORMED_BY">'Library Procedures'!$L$32</definedName>
    <definedName name="WP_PROC_021_DATE">'Library Procedures'!$M$32</definedName>
    <definedName name="WP_PROC_021_REASON_CODE">'Library Procedures'!$N$32</definedName>
    <definedName name="WP_PROC_021_SOURCE_FACT_EVIDENCE">'Library Procedures'!$O$32</definedName>
    <definedName name="WP_PROC_021_ISSUE_DEPENDENCY_IDS">'Library Procedures'!$P$32</definedName>
    <definedName name="WP_PROC_021_COMMENT_WORK_PERFORMED">'Library Procedures'!$Q$32</definedName>
    <definedName name="WP_PROC_022_APPLICABILITY">'Library Procedures'!$A$34</definedName>
    <definedName name="WP_PROC_022_REQUIREMENT">'Library Procedures'!$B$34</definedName>
    <definedName name="WP_PROC_022_EXECUTION_STATE">'Library Procedures'!$C$34</definedName>
    <definedName name="WP_PROC_022_EVIDENCE_STATE">'Library Procedures'!$D$34</definedName>
    <definedName name="WP_PROC_022_RESULT_STATE">'Library Procedures'!$E$34</definedName>
    <definedName name="WP_PROC_022_ISSUE_STATE">'Library Procedures'!$F$34</definedName>
    <definedName name="WP_PROC_022_SIGNOFF_STATE">'Library Procedures'!$G$34</definedName>
    <definedName name="WP_PROC_022_DERIVED_OUTCOME">'Library Procedures'!$H$34</definedName>
    <definedName name="WP_PROC_022_PROCEDURE">'Library Procedures'!$I$34</definedName>
    <definedName name="WP_PROC_022_ASSERTION_S">'Library Procedures'!$J$34</definedName>
    <definedName name="WP_PROC_022_W_P_REF">'Library Procedures'!$K$34</definedName>
    <definedName name="WP_PROC_022_PERFORMED_BY">'Library Procedures'!$L$34</definedName>
    <definedName name="WP_PROC_022_DATE">'Library Procedures'!$M$34</definedName>
    <definedName name="WP_PROC_022_REASON_CODE">'Library Procedures'!$N$34</definedName>
    <definedName name="WP_PROC_022_SOURCE_FACT_EVIDENCE">'Library Procedures'!$O$34</definedName>
    <definedName name="WP_PROC_022_ISSUE_DEPENDENCY_IDS">'Library Procedures'!$P$34</definedName>
    <definedName name="WP_PROC_022_COMMENT_WORK_PERFORMED">'Library Procedures'!$Q$34</definedName>
    <definedName name="WP_PROC_023_APPLICABILITY">'Library Procedures'!$A$35</definedName>
    <definedName name="WP_PROC_023_REQUIREMENT">'Library Procedures'!$B$35</definedName>
    <definedName name="WP_PROC_023_EXECUTION_STATE">'Library Procedures'!$C$35</definedName>
    <definedName name="WP_PROC_023_EVIDENCE_STATE">'Library Procedures'!$D$35</definedName>
    <definedName name="WP_PROC_023_RESULT_STATE">'Library Procedures'!$E$35</definedName>
    <definedName name="WP_PROC_023_ISSUE_STATE">'Library Procedures'!$F$35</definedName>
    <definedName name="WP_PROC_023_SIGNOFF_STATE">'Library Procedures'!$G$35</definedName>
    <definedName name="WP_PROC_023_DERIVED_OUTCOME">'Library Procedures'!$H$35</definedName>
    <definedName name="WP_PROC_023_PROCEDURE">'Library Procedures'!$I$35</definedName>
    <definedName name="WP_PROC_023_ASSERTION_S">'Library Procedures'!$J$35</definedName>
    <definedName name="WP_PROC_023_W_P_REF">'Library Procedures'!$K$35</definedName>
    <definedName name="WP_PROC_023_PERFORMED_BY">'Library Procedures'!$L$35</definedName>
    <definedName name="WP_PROC_023_DATE">'Library Procedures'!$M$35</definedName>
    <definedName name="WP_PROC_023_REASON_CODE">'Library Procedures'!$N$35</definedName>
    <definedName name="WP_PROC_023_SOURCE_FACT_EVIDENCE">'Library Procedures'!$O$35</definedName>
    <definedName name="WP_PROC_023_ISSUE_DEPENDENCY_IDS">'Library Procedures'!$P$35</definedName>
    <definedName name="WP_PROC_023_COMMENT_WORK_PERFORMED">'Library Procedures'!$Q$35</definedName>
    <definedName name="WP_PROC_024_APPLICABILITY">'Library Procedures'!$A$37</definedName>
    <definedName name="WP_PROC_024_REQUIREMENT">'Library Procedures'!$B$37</definedName>
    <definedName name="WP_PROC_024_EXECUTION_STATE">'Library Procedures'!$C$37</definedName>
    <definedName name="WP_PROC_024_EVIDENCE_STATE">'Library Procedures'!$D$37</definedName>
    <definedName name="WP_PROC_024_RESULT_STATE">'Library Procedures'!$E$37</definedName>
    <definedName name="WP_PROC_024_ISSUE_STATE">'Library Procedures'!$F$37</definedName>
    <definedName name="WP_PROC_024_SIGNOFF_STATE">'Library Procedures'!$G$37</definedName>
    <definedName name="WP_PROC_024_DERIVED_OUTCOME">'Library Procedures'!$H$37</definedName>
    <definedName name="WP_PROC_024_PROCEDURE">'Library Procedures'!$I$37</definedName>
    <definedName name="WP_PROC_024_ASSERTION_S">'Library Procedures'!$J$37</definedName>
    <definedName name="WP_PROC_024_W_P_REF">'Library Procedures'!$K$37</definedName>
    <definedName name="WP_PROC_024_PERFORMED_BY">'Library Procedures'!$L$37</definedName>
    <definedName name="WP_PROC_024_DATE">'Library Procedures'!$M$37</definedName>
    <definedName name="WP_PROC_024_REASON_CODE">'Library Procedures'!$N$37</definedName>
    <definedName name="WP_PROC_024_SOURCE_FACT_EVIDENCE">'Library Procedures'!$O$37</definedName>
    <definedName name="WP_PROC_024_ISSUE_DEPENDENCY_IDS">'Library Procedures'!$P$37</definedName>
    <definedName name="WP_PROC_024_COMMENT_WORK_PERFORMED">'Library Procedures'!$Q$37</definedName>
    <definedName name="WP_PROC_025_APPLICABILITY">'Library Procedures'!$A$38</definedName>
    <definedName name="WP_PROC_025_REQUIREMENT">'Library Procedures'!$B$38</definedName>
    <definedName name="WP_PROC_025_EXECUTION_STATE">'Library Procedures'!$C$38</definedName>
    <definedName name="WP_PROC_025_EVIDENCE_STATE">'Library Procedures'!$D$38</definedName>
    <definedName name="WP_PROC_025_RESULT_STATE">'Library Procedures'!$E$38</definedName>
    <definedName name="WP_PROC_025_ISSUE_STATE">'Library Procedures'!$F$38</definedName>
    <definedName name="WP_PROC_025_SIGNOFF_STATE">'Library Procedures'!$G$38</definedName>
    <definedName name="WP_PROC_025_DERIVED_OUTCOME">'Library Procedures'!$H$38</definedName>
    <definedName name="WP_PROC_025_PROCEDURE">'Library Procedures'!$I$38</definedName>
    <definedName name="WP_PROC_025_ASSERTION_S">'Library Procedures'!$J$38</definedName>
    <definedName name="WP_PROC_025_W_P_REF">'Library Procedures'!$K$38</definedName>
    <definedName name="WP_PROC_025_PERFORMED_BY">'Library Procedures'!$L$38</definedName>
    <definedName name="WP_PROC_025_DATE">'Library Procedures'!$M$38</definedName>
    <definedName name="WP_PROC_025_REASON_CODE">'Library Procedures'!$N$38</definedName>
    <definedName name="WP_PROC_025_SOURCE_FACT_EVIDENCE">'Library Procedures'!$O$38</definedName>
    <definedName name="WP_PROC_025_ISSUE_DEPENDENCY_IDS">'Library Procedures'!$P$38</definedName>
    <definedName name="WP_PROC_025_COMMENT_WORK_PERFORMED">'Library Procedures'!$Q$38</definedName>
    <definedName name="WP_PROC_026_APPLICABILITY">'Library Procedures'!$A$39</definedName>
    <definedName name="WP_PROC_026_REQUIREMENT">'Library Procedures'!$B$39</definedName>
    <definedName name="WP_PROC_026_EXECUTION_STATE">'Library Procedures'!$C$39</definedName>
    <definedName name="WP_PROC_026_EVIDENCE_STATE">'Library Procedures'!$D$39</definedName>
    <definedName name="WP_PROC_026_RESULT_STATE">'Library Procedures'!$E$39</definedName>
    <definedName name="WP_PROC_026_ISSUE_STATE">'Library Procedures'!$F$39</definedName>
    <definedName name="WP_PROC_026_SIGNOFF_STATE">'Library Procedures'!$G$39</definedName>
    <definedName name="WP_PROC_026_DERIVED_OUTCOME">'Library Procedures'!$H$39</definedName>
    <definedName name="WP_PROC_026_PROCEDURE">'Library Procedures'!$I$39</definedName>
    <definedName name="WP_PROC_026_ASSERTION_S">'Library Procedures'!$J$39</definedName>
    <definedName name="WP_PROC_026_W_P_REF">'Library Procedures'!$K$39</definedName>
    <definedName name="WP_PROC_026_PERFORMED_BY">'Library Procedures'!$L$39</definedName>
    <definedName name="WP_PROC_026_DATE">'Library Procedures'!$M$39</definedName>
    <definedName name="WP_PROC_026_REASON_CODE">'Library Procedures'!$N$39</definedName>
    <definedName name="WP_PROC_026_SOURCE_FACT_EVIDENCE">'Library Procedures'!$O$39</definedName>
    <definedName name="WP_PROC_026_ISSUE_DEPENDENCY_IDS">'Library Procedures'!$P$39</definedName>
    <definedName name="WP_PROC_026_COMMENT_WORK_PERFORMED">'Library Procedures'!$Q$39</definedName>
    <definedName name="WP_PROC_027_APPLICABILITY">'Library Procedures'!$A$40</definedName>
    <definedName name="WP_PROC_027_REQUIREMENT">'Library Procedures'!$B$40</definedName>
    <definedName name="WP_PROC_027_EXECUTION_STATE">'Library Procedures'!$C$40</definedName>
    <definedName name="WP_PROC_027_EVIDENCE_STATE">'Library Procedures'!$D$40</definedName>
    <definedName name="WP_PROC_027_RESULT_STATE">'Library Procedures'!$E$40</definedName>
    <definedName name="WP_PROC_027_ISSUE_STATE">'Library Procedures'!$F$40</definedName>
    <definedName name="WP_PROC_027_SIGNOFF_STATE">'Library Procedures'!$G$40</definedName>
    <definedName name="WP_PROC_027_DERIVED_OUTCOME">'Library Procedures'!$H$40</definedName>
    <definedName name="WP_PROC_027_PROCEDURE">'Library Procedures'!$I$40</definedName>
    <definedName name="WP_PROC_027_ASSERTION_S">'Library Procedures'!$J$40</definedName>
    <definedName name="WP_PROC_027_W_P_REF">'Library Procedures'!$K$40</definedName>
    <definedName name="WP_PROC_027_PERFORMED_BY">'Library Procedures'!$L$40</definedName>
    <definedName name="WP_PROC_027_DATE">'Library Procedures'!$M$40</definedName>
    <definedName name="WP_PROC_027_REASON_CODE">'Library Procedures'!$N$40</definedName>
    <definedName name="WP_PROC_027_SOURCE_FACT_EVIDENCE">'Library Procedures'!$O$40</definedName>
    <definedName name="WP_PROC_027_ISSUE_DEPENDENCY_IDS">'Library Procedures'!$P$40</definedName>
    <definedName name="WP_PROC_027_COMMENT_WORK_PERFORMED">'Library Procedures'!$Q$40</definedName>
    <definedName name="WP_PROC_028_APPLICABILITY">'Library Procedures'!$A$41</definedName>
    <definedName name="WP_PROC_028_REQUIREMENT">'Library Procedures'!$B$41</definedName>
    <definedName name="WP_PROC_028_EXECUTION_STATE">'Library Procedures'!$C$41</definedName>
    <definedName name="WP_PROC_028_EVIDENCE_STATE">'Library Procedures'!$D$41</definedName>
    <definedName name="WP_PROC_028_RESULT_STATE">'Library Procedures'!$E$41</definedName>
    <definedName name="WP_PROC_028_ISSUE_STATE">'Library Procedures'!$F$41</definedName>
    <definedName name="WP_PROC_028_SIGNOFF_STATE">'Library Procedures'!$G$41</definedName>
    <definedName name="WP_PROC_028_DERIVED_OUTCOME">'Library Procedures'!$H$41</definedName>
    <definedName name="WP_PROC_028_PROCEDURE">'Library Procedures'!$I$41</definedName>
    <definedName name="WP_PROC_028_ASSERTION_S">'Library Procedures'!$J$41</definedName>
    <definedName name="WP_PROC_028_W_P_REF">'Library Procedures'!$K$41</definedName>
    <definedName name="WP_PROC_028_PERFORMED_BY">'Library Procedures'!$L$41</definedName>
    <definedName name="WP_PROC_028_DATE">'Library Procedures'!$M$41</definedName>
    <definedName name="WP_PROC_028_REASON_CODE">'Library Procedures'!$N$41</definedName>
    <definedName name="WP_PROC_028_SOURCE_FACT_EVIDENCE">'Library Procedures'!$O$41</definedName>
    <definedName name="WP_PROC_028_ISSUE_DEPENDENCY_IDS">'Library Procedures'!$P$41</definedName>
    <definedName name="WP_PROC_028_COMMENT_WORK_PERFORMED">'Library Procedures'!$Q$41</definedName>
    <definedName name="WP_PROC_029_APPLICABILITY">'Library Procedures'!$A$43</definedName>
    <definedName name="WP_PROC_029_REQUIREMENT">'Library Procedures'!$B$43</definedName>
    <definedName name="WP_PROC_029_EXECUTION_STATE">'Library Procedures'!$C$43</definedName>
    <definedName name="WP_PROC_029_EVIDENCE_STATE">'Library Procedures'!$D$43</definedName>
    <definedName name="WP_PROC_029_RESULT_STATE">'Library Procedures'!$E$43</definedName>
    <definedName name="WP_PROC_029_ISSUE_STATE">'Library Procedures'!$F$43</definedName>
    <definedName name="WP_PROC_029_SIGNOFF_STATE">'Library Procedures'!$G$43</definedName>
    <definedName name="WP_PROC_029_DERIVED_OUTCOME">'Library Procedures'!$H$43</definedName>
    <definedName name="WP_PROC_029_PROCEDURE">'Library Procedures'!$I$43</definedName>
    <definedName name="WP_PROC_029_ASSERTION_S">'Library Procedures'!$J$43</definedName>
    <definedName name="WP_PROC_029_W_P_REF">'Library Procedures'!$K$43</definedName>
    <definedName name="WP_PROC_029_PERFORMED_BY">'Library Procedures'!$L$43</definedName>
    <definedName name="WP_PROC_029_DATE">'Library Procedures'!$M$43</definedName>
    <definedName name="WP_PROC_029_REASON_CODE">'Library Procedures'!$N$43</definedName>
    <definedName name="WP_PROC_029_SOURCE_FACT_EVIDENCE">'Library Procedures'!$O$43</definedName>
    <definedName name="WP_PROC_029_ISSUE_DEPENDENCY_IDS">'Library Procedures'!$P$43</definedName>
    <definedName name="WP_PROC_029_COMMENT_WORK_PERFORMED">'Library Procedures'!$Q$43</definedName>
    <definedName name="WP_PROC_030_APPLICABILITY">'Library Procedures'!$A$44</definedName>
    <definedName name="WP_PROC_030_REQUIREMENT">'Library Procedures'!$B$44</definedName>
    <definedName name="WP_PROC_030_EXECUTION_STATE">'Library Procedures'!$C$44</definedName>
    <definedName name="WP_PROC_030_EVIDENCE_STATE">'Library Procedures'!$D$44</definedName>
    <definedName name="WP_PROC_030_RESULT_STATE">'Library Procedures'!$E$44</definedName>
    <definedName name="WP_PROC_030_ISSUE_STATE">'Library Procedures'!$F$44</definedName>
    <definedName name="WP_PROC_030_SIGNOFF_STATE">'Library Procedures'!$G$44</definedName>
    <definedName name="WP_PROC_030_DERIVED_OUTCOME">'Library Procedures'!$H$44</definedName>
    <definedName name="WP_PROC_030_PROCEDURE">'Library Procedures'!$I$44</definedName>
    <definedName name="WP_PROC_030_ASSERTION_S">'Library Procedures'!$J$44</definedName>
    <definedName name="WP_PROC_030_W_P_REF">'Library Procedures'!$K$44</definedName>
    <definedName name="WP_PROC_030_PERFORMED_BY">'Library Procedures'!$L$44</definedName>
    <definedName name="WP_PROC_030_DATE">'Library Procedures'!$M$44</definedName>
    <definedName name="WP_PROC_030_REASON_CODE">'Library Procedures'!$N$44</definedName>
    <definedName name="WP_PROC_030_SOURCE_FACT_EVIDENCE">'Library Procedures'!$O$44</definedName>
    <definedName name="WP_PROC_030_ISSUE_DEPENDENCY_IDS">'Library Procedures'!$P$44</definedName>
    <definedName name="WP_PROC_030_COMMENT_WORK_PERFORMED">'Library Procedures'!$Q$44</definedName>
    <definedName name="WP_PROC_031_APPLICABILITY">'Library Procedures'!$A$46</definedName>
    <definedName name="WP_PROC_031_REQUIREMENT">'Library Procedures'!$B$46</definedName>
    <definedName name="WP_PROC_031_EXECUTION_STATE">'Library Procedures'!$C$46</definedName>
    <definedName name="WP_PROC_031_EVIDENCE_STATE">'Library Procedures'!$D$46</definedName>
    <definedName name="WP_PROC_031_RESULT_STATE">'Library Procedures'!$E$46</definedName>
    <definedName name="WP_PROC_031_ISSUE_STATE">'Library Procedures'!$F$46</definedName>
    <definedName name="WP_PROC_031_SIGNOFF_STATE">'Library Procedures'!$G$46</definedName>
    <definedName name="WP_PROC_031_DERIVED_OUTCOME">'Library Procedures'!$H$46</definedName>
    <definedName name="WP_PROC_031_PROCEDURE">'Library Procedures'!$I$46</definedName>
    <definedName name="WP_PROC_031_ASSERTION_S">'Library Procedures'!$J$46</definedName>
    <definedName name="WP_PROC_031_W_P_REF">'Library Procedures'!$K$46</definedName>
    <definedName name="WP_PROC_031_PERFORMED_BY">'Library Procedures'!$L$46</definedName>
    <definedName name="WP_PROC_031_DATE">'Library Procedures'!$M$46</definedName>
    <definedName name="WP_PROC_031_REASON_CODE">'Library Procedures'!$N$46</definedName>
    <definedName name="WP_PROC_031_SOURCE_FACT_EVIDENCE">'Library Procedures'!$O$46</definedName>
    <definedName name="WP_PROC_031_ISSUE_DEPENDENCY_IDS">'Library Procedures'!$P$46</definedName>
    <definedName name="WP_PROC_031_COMMENT_WORK_PERFORMED">'Library Procedures'!$Q$46</definedName>
    <definedName name="WP_ANALYTIC_CASH_UNINSURED_EXPOSURE_ANCHOR">'&lt;.7&gt; Presentation &amp; Disclosure'!$A$18</definedName>
    <definedName name="WP_ANALYTIC_CASH_UNINSURED_EXPOSURE_INSTITUTION_INPUTS">'&lt;.7&gt; Presentation &amp; Disclosure'!$A$20:$C$24</definedName>
    <definedName name="WP_ANALYTIC_CASH_UNINSURED_EXPOSURE_STATUTORY_LIMIT">'&lt;.7&gt; Presentation &amp; Disclosure'!$D$20:$D$24</definedName>
    <definedName name="WP_ANALYTIC_CASH_UNINSURED_EXPOSURE_UNINSURED_EXPOSURE">'&lt;.7&gt; Presentation &amp; Disclosure'!$E$20:$E$24</definedName>
    <definedName name="WP_DISCLOSURE_CASH_CONCENTRATION_ANCHOR">'&lt;.7&gt; Presentation &amp; Disclosure'!$A$9</definedName>
    <definedName name="WP_DISCLOSURE_CASH_CONCENTRATION_ENTITY">'&lt;.7&gt; Presentation &amp; Disclosure'!$B$9</definedName>
    <definedName name="WP_DISCLOSURE_CASH_CONCENTRATION_ACCOUNT">'&lt;.7&gt; Presentation &amp; Disclosure'!$C$9</definedName>
    <definedName name="WP_DISCLOSURE_CASH_CONCENTRATION_INSTITUTION">'&lt;.7&gt; Presentation &amp; Disclosure'!$D$9</definedName>
    <definedName name="WP_DISCLOSURE_CASH_CONCENTRATION_AMOUNT_OR_COUNT">'&lt;.7&gt; Presentation &amp; Disclosure'!$E$9</definedName>
    <definedName name="WP_DISCLOSURE_CASH_CONCENTRATION_CONCLUSION">'&lt;.7&gt; Presentation &amp; Disclosure'!$F$9</definedName>
    <definedName name="WP_DISCLOSURE_CASH_CONCENTRATION_SOURCE_REFERENCE">'&lt;.7&gt; Presentation &amp; Disclosure'!$G$9</definedName>
    <definedName name="WP_DISCLOSURE_CASH_CONCENTRATION_TICKMARK">'&lt;.7&gt; Presentation &amp; Disclosure'!$H$9</definedName>
    <definedName name="WP_DISCLOSURE_CASH_UNINSURED_ANCHOR">'&lt;.7&gt; Presentation &amp; Disclosure'!$A$10</definedName>
    <definedName name="WP_DISCLOSURE_CASH_UNINSURED_ENTITY">'&lt;.7&gt; Presentation &amp; Disclosure'!$B$10</definedName>
    <definedName name="WP_DISCLOSURE_CASH_UNINSURED_ACCOUNT">'&lt;.7&gt; Presentation &amp; Disclosure'!$C$10</definedName>
    <definedName name="WP_DISCLOSURE_CASH_UNINSURED_INSTITUTION">'&lt;.7&gt; Presentation &amp; Disclosure'!$D$10</definedName>
    <definedName name="WP_DISCLOSURE_CASH_UNINSURED_AMOUNT_OR_COUNT">'&lt;.7&gt; Presentation &amp; Disclosure'!$E$10</definedName>
    <definedName name="WP_DISCLOSURE_CASH_UNINSURED_CONCLUSION">'&lt;.7&gt; Presentation &amp; Disclosure'!$F$10</definedName>
    <definedName name="WP_DISCLOSURE_CASH_UNINSURED_SOURCE_REFERENCE">'&lt;.7&gt; Presentation &amp; Disclosure'!$G$10</definedName>
    <definedName name="WP_DISCLOSURE_CASH_UNINSURED_TICKMARK">'&lt;.7&gt; Presentation &amp; Disclosure'!$H$10</definedName>
    <definedName name="WP_DISCLOSURE_CASH_RESTRICTED_ANCHOR">'&lt;.7&gt; Presentation &amp; Disclosure'!$A$11</definedName>
    <definedName name="WP_DISCLOSURE_CASH_RESTRICTED_ENTITY">'&lt;.7&gt; Presentation &amp; Disclosure'!$B$11</definedName>
    <definedName name="WP_DISCLOSURE_CASH_RESTRICTED_ACCOUNT">'&lt;.7&gt; Presentation &amp; Disclosure'!$C$11</definedName>
    <definedName name="WP_DISCLOSURE_CASH_RESTRICTED_INSTITUTION">'&lt;.7&gt; Presentation &amp; Disclosure'!$D$11</definedName>
    <definedName name="WP_DISCLOSURE_CASH_RESTRICTED_AMOUNT_OR_COUNT">'&lt;.7&gt; Presentation &amp; Disclosure'!$E$11</definedName>
    <definedName name="WP_DISCLOSURE_CASH_RESTRICTED_CONCLUSION">'&lt;.7&gt; Presentation &amp; Disclosure'!$F$11</definedName>
    <definedName name="WP_DISCLOSURE_CASH_RESTRICTED_SOURCE_REFERENCE">'&lt;.7&gt; Presentation &amp; Disclosure'!$G$11</definedName>
    <definedName name="WP_DISCLOSURE_CASH_RESTRICTED_TICKMARK">'&lt;.7&gt; Presentation &amp; Disclosure'!$H$11</definedName>
    <definedName name="WP_DISCLOSURE_CASH_DESIGNATED_ANCHOR">'&lt;.7&gt; Presentation &amp; Disclosure'!$A$12</definedName>
    <definedName name="WP_DISCLOSURE_CASH_DESIGNATED_ENTITY">'&lt;.7&gt; Presentation &amp; Disclosure'!$B$12</definedName>
    <definedName name="WP_DISCLOSURE_CASH_DESIGNATED_ACCOUNT">'&lt;.7&gt; Presentation &amp; Disclosure'!$C$12</definedName>
    <definedName name="WP_DISCLOSURE_CASH_DESIGNATED_INSTITUTION">'&lt;.7&gt; Presentation &amp; Disclosure'!$D$12</definedName>
    <definedName name="WP_DISCLOSURE_CASH_DESIGNATED_AMOUNT_OR_COUNT">'&lt;.7&gt; Presentation &amp; Disclosure'!$E$12</definedName>
    <definedName name="WP_DISCLOSURE_CASH_DESIGNATED_CONCLUSION">'&lt;.7&gt; Presentation &amp; Disclosure'!$F$12</definedName>
    <definedName name="WP_DISCLOSURE_CASH_DESIGNATED_SOURCE_REFERENCE">'&lt;.7&gt; Presentation &amp; Disclosure'!$G$12</definedName>
    <definedName name="WP_DISCLOSURE_CASH_DESIGNATED_TICKMARK">'&lt;.7&gt; Presentation &amp; Disclosure'!$H$12</definedName>
    <definedName name="WP_DISCLOSURE_CASH_OVERDRAFTS_ANCHOR">'&lt;.7&gt; Presentation &amp; Disclosure'!$A$13</definedName>
    <definedName name="WP_DISCLOSURE_CASH_OVERDRAFTS_ENTITY">'&lt;.7&gt; Presentation &amp; Disclosure'!$B$13</definedName>
    <definedName name="WP_DISCLOSURE_CASH_OVERDRAFTS_ACCOUNT">'&lt;.7&gt; Presentation &amp; Disclosure'!$C$13</definedName>
    <definedName name="WP_DISCLOSURE_CASH_OVERDRAFTS_INSTITUTION">'&lt;.7&gt; Presentation &amp; Disclosure'!$D$13</definedName>
    <definedName name="WP_DISCLOSURE_CASH_OVERDRAFTS_AMOUNT_OR_COUNT">'&lt;.7&gt; Presentation &amp; Disclosure'!$E$13</definedName>
    <definedName name="WP_DISCLOSURE_CASH_OVERDRAFTS_CONCLUSION">'&lt;.7&gt; Presentation &amp; Disclosure'!$F$13</definedName>
    <definedName name="WP_DISCLOSURE_CASH_OVERDRAFTS_SOURCE_REFERENCE">'&lt;.7&gt; Presentation &amp; Disclosure'!$G$13</definedName>
    <definedName name="WP_DISCLOSURE_CASH_OVERDRAFTS_TICKMARK">'&lt;.7&gt; Presentation &amp; Disclosure'!$H$13</definedName>
    <definedName name="WP_DISCLOSURE_CASH_COMPENSATING_ANCHOR">'&lt;.7&gt; Presentation &amp; Disclosure'!$A$14</definedName>
    <definedName name="WP_DISCLOSURE_CASH_COMPENSATING_ENTITY">'&lt;.7&gt; Presentation &amp; Disclosure'!$B$14</definedName>
    <definedName name="WP_DISCLOSURE_CASH_COMPENSATING_ACCOUNT">'&lt;.7&gt; Presentation &amp; Disclosure'!$C$14</definedName>
    <definedName name="WP_DISCLOSURE_CASH_COMPENSATING_INSTITUTION">'&lt;.7&gt; Presentation &amp; Disclosure'!$D$14</definedName>
    <definedName name="WP_DISCLOSURE_CASH_COMPENSATING_AMOUNT_OR_COUNT">'&lt;.7&gt; Presentation &amp; Disclosure'!$E$14</definedName>
    <definedName name="WP_DISCLOSURE_CASH_COMPENSATING_CONCLUSION">'&lt;.7&gt; Presentation &amp; Disclosure'!$F$14</definedName>
    <definedName name="WP_DISCLOSURE_CASH_COMPENSATING_SOURCE_REFERENCE">'&lt;.7&gt; Presentation &amp; Disclosure'!$G$14</definedName>
    <definedName name="WP_DISCLOSURE_CASH_COMPENSATING_TICKMARK">'&lt;.7&gt; Presentation &amp; Disclosure'!$H$14</definedName>
    <definedName name="WP_DISCLOSURE_CASH_MERCHANT_ANCHOR">'&lt;.7&gt; Presentation &amp; Disclosure'!$A$15</definedName>
    <definedName name="WP_DISCLOSURE_CASH_MERCHANT_ENTITY">'&lt;.7&gt; Presentation &amp; Disclosure'!$B$15</definedName>
    <definedName name="WP_DISCLOSURE_CASH_MERCHANT_ACCOUNT">'&lt;.7&gt; Presentation &amp; Disclosure'!$C$15</definedName>
    <definedName name="WP_DISCLOSURE_CASH_MERCHANT_INSTITUTION">'&lt;.7&gt; Presentation &amp; Disclosure'!$D$15</definedName>
    <definedName name="WP_DISCLOSURE_CASH_MERCHANT_AMOUNT_OR_COUNT">'&lt;.7&gt; Presentation &amp; Disclosure'!$E$15</definedName>
    <definedName name="WP_DISCLOSURE_CASH_MERCHANT_CONCLUSION">'&lt;.7&gt; Presentation &amp; Disclosure'!$F$15</definedName>
    <definedName name="WP_DISCLOSURE_CASH_MERCHANT_SOURCE_REFERENCE">'&lt;.7&gt; Presentation &amp; Disclosure'!$G$15</definedName>
    <definedName name="WP_DISCLOSURE_CASH_MERCHANT_TICKMARK">'&lt;.7&gt; Presentation &amp; Disclosure'!$H$15</definedName>
    <definedName name="WP_SIGNOFF_REQUIRED_COMPLETION_STAGE">'Workpaper Sign-off'!$B$4</definedName>
    <definedName name="WP_SIGNOFF_ASSIGNED_PREPARER">'Workpaper Sign-off'!$B$6</definedName>
    <definedName name="WP_SIGNOFF_PREPARATION_STATE">'Workpaper Sign-off'!$B$7</definedName>
    <definedName name="WP_SIGNOFF_PREPARED_BY">'Workpaper Sign-off'!$B$8</definedName>
    <definedName name="WP_SIGNOFF_PREPARATION_DATE">'Workpaper Sign-off'!$B$9</definedName>
    <definedName name="WP_SIGNOFF_ASSIGNED_REVIEWER">'Workpaper Sign-off'!$E$6</definedName>
    <definedName name="WP_SIGNOFF_REVIEW_STATE">'Workpaper Sign-off'!$E$7</definedName>
    <definedName name="WP_SIGNOFF_REVIEWED_BY">'Workpaper Sign-off'!$E$8</definedName>
    <definedName name="WP_SIGNOFF_REVIEW_DATE">'Workpaper Sign-off'!$E$9</definedName>
    <definedName name="_xlnm._FilterDatabase" localSheetId="0" hidden="1">'Library Procedures'!$A$6:$Q$46</definedName>
    <definedName name="_xlnm.Print_Titles" localSheetId="0">'Library Procedures'!$1:$6</definedName>
    <definedName name="_xlnm.Print_Area" localSheetId="0">'Library Procedures'!$A$1:$Q$46</definedName>
    <definedName name="_xlnm.Print_Area" localSheetId="1">'&lt;.1&gt; Cash Lead Sheet'!$A$1:$J$39</definedName>
    <definedName name="_xlnm.Print_Area" localSheetId="2">'&lt;.2&gt; Bank Confirmation'!$A$1:$R$32</definedName>
    <definedName name="_xlnm.Print_Area" localSheetId="3">'&lt;.3&gt; Bank Reconciliation'!$A$1:$L$32</definedName>
    <definedName name="_xlnm.Print_Titles" localSheetId="4">'&lt;.4&gt; Outstanding Checks'!$1:$7</definedName>
    <definedName name="_xlnm.Print_Area" localSheetId="4">'&lt;.4&gt; Outstanding Checks'!$A$1:$H$46</definedName>
    <definedName name="_xlnm.Print_Area" localSheetId="5">'&lt;.5&gt; Cutoff Procedures'!$A$1:$I$31</definedName>
    <definedName name="_xlnm.Print_Area" localSheetId="6">'&lt;.6&gt; Depository Fin Condition'!$A$1:$J$29</definedName>
    <definedName name="_xlnm.Print_Area" localSheetId="7">'&lt;.7&gt; Presentation &amp; Disclosure'!$A$1:$H$35</definedName>
    <definedName name="_xlnm.Print_Area" localSheetId="8">'Planning Context'!$A$1:$B$21</definedName>
    <definedName name="_xlnm.Print_Area" localSheetId="9">'Workpaper Sign-off'!$A$1:$F$12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34">
    <font>
      <name val="Calibri"/>
      <charset val="1"/>
      <family val="2"/>
      <color theme="1"/>
      <sz val="11"/>
    </font>
    <font>
      <name val="Georgia"/>
      <charset val="1"/>
      <color rgb="FF1A1A1A"/>
      <sz val="11"/>
    </font>
    <font>
      <name val="Georgia"/>
      <charset val="1"/>
      <b val="1"/>
      <color rgb="FFA32020"/>
      <sz val="14"/>
    </font>
    <font>
      <name val="Georgia"/>
      <charset val="1"/>
      <b val="1"/>
      <color rgb="FF1A1A1A"/>
      <sz val="9"/>
    </font>
    <font>
      <name val="Georgia"/>
      <charset val="1"/>
      <color rgb="FF1A1A1A"/>
      <sz val="9"/>
    </font>
    <font>
      <name val="Georgia"/>
      <charset val="1"/>
      <b val="1"/>
      <color rgb="FFA32020"/>
      <sz val="9"/>
    </font>
    <font>
      <name val="Georgia"/>
      <charset val="1"/>
      <b val="1"/>
      <color rgb="FFFFFFFF"/>
      <sz val="8.5"/>
    </font>
    <font>
      <name val="Georgia"/>
      <charset val="1"/>
      <b val="1"/>
      <color rgb="FFDC6900"/>
      <sz val="8"/>
    </font>
    <font>
      <name val="Georgia"/>
      <charset val="1"/>
      <b val="1"/>
      <color rgb="FF1A1A1A"/>
      <sz val="10"/>
    </font>
    <font>
      <name val="Georgia"/>
      <charset val="1"/>
      <b val="1"/>
      <color rgb="FFDC6900"/>
      <sz val="9"/>
    </font>
    <font>
      <name val="Georgia"/>
      <charset val="1"/>
      <b val="1"/>
      <color rgb="FFA32020"/>
      <sz val="10"/>
    </font>
    <font>
      <name val="Georgia"/>
      <charset val="1"/>
      <color rgb="FF6E6E6E"/>
      <sz val="9"/>
    </font>
    <font>
      <name val="Georgia"/>
      <charset val="1"/>
      <b val="1"/>
      <color rgb="FFFFFFFF"/>
      <sz val="9"/>
    </font>
    <font>
      <name val="Carlito"/>
      <b val="1"/>
      <color rgb="00FFFFFF"/>
      <sz val="14"/>
    </font>
    <font>
      <name val="Carlito"/>
      <b val="1"/>
      <color rgb="00404040"/>
    </font>
    <font>
      <name val="Carlito"/>
      <sz val="11"/>
    </font>
    <font>
      <name val="Carlito"/>
      <i val="1"/>
      <color rgb="001F1F1F"/>
      <sz val="10"/>
    </font>
    <font>
      <name val="SourceSans3"/>
      <charset val="1"/>
      <b val="1"/>
      <color rgb="FFA32020"/>
      <sz val="14"/>
    </font>
    <font>
      <name val="SourceSans3"/>
      <charset val="1"/>
      <color rgb="FF1A1A1A"/>
      <sz val="11"/>
    </font>
    <font>
      <name val="SourceSans3"/>
      <charset val="1"/>
      <color rgb="FF1A1A1A"/>
      <sz val="9"/>
    </font>
    <font>
      <name val="SourceSans3"/>
      <charset val="1"/>
      <color rgb="FF6E6E6E"/>
      <sz val="9"/>
    </font>
    <font>
      <name val="SourceSans3"/>
      <charset val="1"/>
      <b val="1"/>
      <color rgb="FFFFFFFF"/>
      <sz val="9"/>
    </font>
    <font>
      <name val="SourceSans3"/>
      <charset val="1"/>
      <family val="2"/>
      <color theme="1"/>
      <sz val="11"/>
    </font>
    <font>
      <name val="SourceSans3"/>
      <charset val="1"/>
      <b val="1"/>
      <color rgb="FF1A1A1A"/>
      <sz val="9"/>
    </font>
    <font>
      <name val="SourceSans3"/>
      <charset val="1"/>
      <b val="1"/>
      <color rgb="FFA32020"/>
      <sz val="9"/>
    </font>
    <font>
      <name val="SourceSans3"/>
      <charset val="1"/>
      <b val="1"/>
      <color rgb="FFFFFFFF"/>
      <sz val="8.5"/>
    </font>
    <font>
      <name val="SourceSans3"/>
      <charset val="1"/>
      <b val="1"/>
      <color rgb="FFDC6900"/>
      <sz val="8"/>
    </font>
    <font>
      <name val="SourceSans3"/>
      <charset val="1"/>
      <b val="1"/>
      <color rgb="FF1A1A1A"/>
      <sz val="10"/>
    </font>
    <font>
      <name val="SourceSans3"/>
      <charset val="1"/>
      <b val="1"/>
      <color rgb="FFDC6900"/>
      <sz val="9"/>
    </font>
    <font>
      <name val="SourceSans3"/>
      <charset val="1"/>
      <b val="1"/>
      <color rgb="FFA32020"/>
      <sz val="10"/>
    </font>
    <font>
      <name val="SourceSans3"/>
      <b val="1"/>
      <color rgb="00FFFFFF"/>
      <sz val="14"/>
    </font>
    <font>
      <name val="SourceSans3"/>
      <b val="1"/>
      <color rgb="00404040"/>
    </font>
    <font>
      <name val="SourceSans3"/>
      <sz val="11"/>
    </font>
    <font>
      <name val="SourceSans3"/>
      <i val="1"/>
      <color rgb="001F1F1F"/>
      <sz val="10"/>
    </font>
  </fonts>
  <fills count="7">
    <fill>
      <patternFill/>
    </fill>
    <fill>
      <patternFill patternType="gray125"/>
    </fill>
    <fill>
      <patternFill patternType="solid">
        <fgColor rgb="FFA32020"/>
        <bgColor rgb="FF993366"/>
      </patternFill>
    </fill>
    <fill>
      <patternFill patternType="solid">
        <fgColor rgb="FFF4DCDC"/>
        <bgColor rgb="FFCCCCFF"/>
      </patternFill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D9EAF7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bottom style="thin">
        <color rgb="00A6A6A6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2" fillId="2" borderId="1" pivotButton="0" quotePrefix="0" xfId="0"/>
    <xf numFmtId="0" fontId="5" fillId="0" borderId="0" pivotButton="0" quotePrefix="0" xfId="0"/>
    <xf numFmtId="0" fontId="11" fillId="0" borderId="0" pivotButton="0" quotePrefix="0" xfId="0"/>
    <xf numFmtId="0" fontId="4" fillId="0" borderId="1" pivotButton="0" quotePrefix="0" xfId="0"/>
    <xf numFmtId="0" fontId="4" fillId="0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4" fillId="0" borderId="1" pivotButton="0" quotePrefix="0" xfId="0"/>
    <xf numFmtId="4" fontId="4" fillId="0" borderId="1" pivotButton="0" quotePrefix="0" xfId="0"/>
    <xf numFmtId="10" fontId="4" fillId="0" borderId="1" pivotButton="0" quotePrefix="0" xfId="0"/>
    <xf numFmtId="0" fontId="8" fillId="3" borderId="1" pivotButton="0" quotePrefix="0" xfId="0"/>
    <xf numFmtId="4" fontId="8" fillId="3" borderId="1" pivotButton="0" quotePrefix="0" xfId="0"/>
    <xf numFmtId="0" fontId="9" fillId="0" borderId="0" applyAlignment="1" pivotButton="0" quotePrefix="0" xfId="0">
      <alignment horizontal="center" vertical="center"/>
    </xf>
    <xf numFmtId="0" fontId="10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4" fillId="0" borderId="2" pivotButton="0" quotePrefix="0" xfId="0"/>
    <xf numFmtId="0" fontId="0" fillId="0" borderId="2" pivotButton="0" quotePrefix="0" xfId="0"/>
    <xf numFmtId="0" fontId="4" fillId="0" borderId="2" pivotButton="0" quotePrefix="0" xfId="0"/>
    <xf numFmtId="0" fontId="17" fillId="0" borderId="0" applyAlignment="1" pivotButton="0" quotePrefix="0" xfId="0">
      <alignment vertical="top" wrapText="1"/>
    </xf>
    <xf numFmtId="0" fontId="18" fillId="0" borderId="0" pivotButton="0" quotePrefix="0" xfId="0"/>
    <xf numFmtId="0" fontId="22" fillId="0" borderId="0" pivotButton="0" quotePrefix="0" xfId="0"/>
    <xf numFmtId="0" fontId="19" fillId="0" borderId="0" applyAlignment="1" pivotButton="0" quotePrefix="0" xfId="0">
      <alignment vertical="top" wrapText="1"/>
    </xf>
    <xf numFmtId="0" fontId="20" fillId="0" borderId="0" applyAlignment="1" pivotButton="0" quotePrefix="0" xfId="0">
      <alignment vertical="top" wrapText="1"/>
    </xf>
    <xf numFmtId="0" fontId="21" fillId="2" borderId="1" applyAlignment="1" pivotButton="0" quotePrefix="0" xfId="0">
      <alignment horizontal="left" vertical="center" wrapText="1"/>
    </xf>
    <xf numFmtId="0" fontId="21" fillId="2" borderId="1" pivotButton="0" quotePrefix="0" xfId="0"/>
    <xf numFmtId="0" fontId="21" fillId="2" borderId="0" applyAlignment="1" pivotButton="0" quotePrefix="0" xfId="0">
      <alignment vertical="top" wrapText="1"/>
    </xf>
    <xf numFmtId="0" fontId="19" fillId="0" borderId="1" applyAlignment="1" pivotButton="0" quotePrefix="0" xfId="0">
      <alignment vertical="top" wrapText="1"/>
    </xf>
    <xf numFmtId="0" fontId="22" fillId="0" borderId="1" applyAlignment="1" pivotButton="0" quotePrefix="0" xfId="0">
      <alignment vertical="top" wrapText="1"/>
    </xf>
    <xf numFmtId="165" fontId="22" fillId="0" borderId="1" applyAlignment="1" pivotButton="0" quotePrefix="0" xfId="0">
      <alignment vertical="top" wrapText="1"/>
    </xf>
    <xf numFmtId="0" fontId="21" fillId="2" borderId="0" pivotButton="0" quotePrefix="0" xfId="0"/>
    <xf numFmtId="0" fontId="17" fillId="0" borderId="0" pivotButton="0" quotePrefix="0" xfId="0"/>
    <xf numFmtId="0" fontId="23" fillId="0" borderId="0" pivotButton="0" quotePrefix="0" xfId="0"/>
    <xf numFmtId="165" fontId="19" fillId="0" borderId="0" pivotButton="0" quotePrefix="0" xfId="0"/>
    <xf numFmtId="0" fontId="19" fillId="0" borderId="0" pivotButton="0" quotePrefix="0" xfId="0"/>
    <xf numFmtId="0" fontId="23" fillId="0" borderId="0" applyAlignment="1" pivotButton="0" quotePrefix="0" xfId="0">
      <alignment vertical="top" wrapText="1"/>
    </xf>
    <xf numFmtId="4" fontId="19" fillId="0" borderId="0" pivotButton="0" quotePrefix="0" xfId="0"/>
    <xf numFmtId="0" fontId="24" fillId="0" borderId="0" pivotButton="0" quotePrefix="0" xfId="0"/>
    <xf numFmtId="0" fontId="19" fillId="0" borderId="0" applyAlignment="1" pivotButton="0" quotePrefix="0" xfId="0">
      <alignment horizontal="left" vertical="center" wrapText="1"/>
    </xf>
    <xf numFmtId="0" fontId="25" fillId="2" borderId="1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/>
    </xf>
    <xf numFmtId="0" fontId="19" fillId="0" borderId="1" pivotButton="0" quotePrefix="0" xfId="0"/>
    <xf numFmtId="4" fontId="19" fillId="0" borderId="1" pivotButton="0" quotePrefix="0" xfId="0"/>
    <xf numFmtId="4" fontId="19" fillId="0" borderId="1" applyAlignment="1" pivotButton="0" quotePrefix="0" xfId="0">
      <alignment vertical="top" wrapText="1"/>
    </xf>
    <xf numFmtId="10" fontId="19" fillId="0" borderId="1" applyAlignment="1" pivotButton="0" quotePrefix="0" xfId="0">
      <alignment vertical="top" wrapText="1"/>
    </xf>
    <xf numFmtId="0" fontId="27" fillId="3" borderId="1" applyAlignment="1" pivotButton="0" quotePrefix="0" xfId="0">
      <alignment vertical="top" wrapText="1"/>
    </xf>
    <xf numFmtId="0" fontId="27" fillId="3" borderId="1" pivotButton="0" quotePrefix="0" xfId="0"/>
    <xf numFmtId="4" fontId="27" fillId="3" borderId="1" pivotButton="0" quotePrefix="0" xfId="0"/>
    <xf numFmtId="0" fontId="28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vertical="top" wrapText="1"/>
    </xf>
    <xf numFmtId="0" fontId="28" fillId="0" borderId="2" applyAlignment="1" pivotButton="0" quotePrefix="0" xfId="0">
      <alignment horizontal="center" vertical="center"/>
    </xf>
    <xf numFmtId="0" fontId="19" fillId="0" borderId="2" applyAlignment="1" pivotButton="0" quotePrefix="0" xfId="0">
      <alignment vertical="top" wrapText="1"/>
    </xf>
    <xf numFmtId="0" fontId="19" fillId="0" borderId="2" pivotButton="0" quotePrefix="0" xfId="0"/>
    <xf numFmtId="0" fontId="22" fillId="0" borderId="2" applyAlignment="1" pivotButton="0" quotePrefix="0" xfId="0">
      <alignment vertical="top" wrapText="1"/>
    </xf>
    <xf numFmtId="0" fontId="22" fillId="0" borderId="2" pivotButton="0" quotePrefix="0" xfId="0"/>
    <xf numFmtId="0" fontId="28" fillId="0" borderId="1" applyAlignment="1" pivotButton="0" quotePrefix="0" xfId="0">
      <alignment horizontal="center" vertical="center"/>
    </xf>
    <xf numFmtId="0" fontId="22" fillId="0" borderId="5" pivotButton="0" quotePrefix="0" xfId="0"/>
    <xf numFmtId="0" fontId="22" fillId="0" borderId="6" pivotButton="0" quotePrefix="0" xfId="0"/>
    <xf numFmtId="0" fontId="24" fillId="0" borderId="0" applyAlignment="1" pivotButton="0" quotePrefix="0" xfId="0">
      <alignment vertical="top" wrapText="1"/>
    </xf>
    <xf numFmtId="0" fontId="22" fillId="0" borderId="0" applyAlignment="1" pivotButton="0" quotePrefix="0" xfId="0">
      <alignment vertical="top" wrapText="1"/>
    </xf>
    <xf numFmtId="165" fontId="22" fillId="0" borderId="0" pivotButton="0" quotePrefix="0" xfId="0"/>
    <xf numFmtId="4" fontId="22" fillId="0" borderId="0" pivotButton="0" quotePrefix="0" xfId="0"/>
    <xf numFmtId="0" fontId="30" fillId="4" borderId="0" applyAlignment="1" pivotButton="0" quotePrefix="0" xfId="0">
      <alignment horizontal="left" vertical="center" wrapText="1"/>
    </xf>
    <xf numFmtId="0" fontId="31" fillId="5" borderId="7" pivotButton="0" quotePrefix="0" xfId="0"/>
    <xf numFmtId="0" fontId="32" fillId="0" borderId="7" pivotButton="0" quotePrefix="0" xfId="0"/>
    <xf numFmtId="0" fontId="32" fillId="0" borderId="7" applyAlignment="1" pivotButton="0" quotePrefix="0" xfId="0">
      <alignment vertical="top" wrapText="1"/>
    </xf>
    <xf numFmtId="165" fontId="32" fillId="0" borderId="7" pivotButton="0" quotePrefix="0" xfId="0"/>
    <xf numFmtId="0" fontId="33" fillId="6" borderId="0" applyAlignment="1" pivotButton="0" quotePrefix="0" xfId="0">
      <alignment vertical="top" wrapText="1"/>
    </xf>
  </cellXfs>
  <cellStyles count="1">
    <cellStyle name="Normal" xfId="0" builtinId="0"/>
  </cellStyles>
  <dxfs count="4"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E7E6E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DCDC"/>
      <rgbColor rgb="FF3366FF"/>
      <rgbColor rgb="FF33CCCC"/>
      <rgbColor rgb="FF99CC00"/>
      <rgbColor rgb="FFFFCC00"/>
      <rgbColor rgb="FFFF9900"/>
      <rgbColor rgb="FFDC6900"/>
      <rgbColor rgb="FF6E6E6E"/>
      <rgbColor rgb="FF969696"/>
      <rgbColor rgb="FF003366"/>
      <rgbColor rgb="FF339966"/>
      <rgbColor rgb="FF003300"/>
      <rgbColor rgb="FF333300"/>
      <rgbColor rgb="FFA3202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Q46"/>
  <sheetViews>
    <sheetView showGridLines="0" zoomScale="90" zoomScaleNormal="100" workbookViewId="0">
      <pane xSplit="8" ySplit="6" topLeftCell="I7" activePane="bottomRight" state="frozen"/>
      <selection pane="topRight"/>
      <selection pane="bottomLeft"/>
      <selection pane="bottomRight" activeCell="B12" sqref="B12"/>
    </sheetView>
  </sheetViews>
  <sheetFormatPr baseColWidth="8" defaultColWidth="8.6328125" defaultRowHeight="14.5"/>
  <cols>
    <col width="42" customWidth="1" min="1" max="1"/>
    <col width="15" customWidth="1" min="2" max="2"/>
    <col width="15" customWidth="1" min="3" max="3"/>
    <col width="17" customWidth="1" min="4" max="4"/>
    <col width="18" customWidth="1" min="5" max="5"/>
    <col width="14" customWidth="1" min="6" max="6"/>
    <col width="14" customWidth="1" min="7" max="7"/>
    <col width="42" customWidth="1" min="8" max="8"/>
    <col width="88" customWidth="1" min="9" max="9"/>
    <col width="40.25" customWidth="1" min="10" max="10"/>
    <col width="14" customWidth="1" min="11" max="11"/>
    <col width="18" customWidth="1" min="12" max="12"/>
    <col width="14" customWidth="1" min="13" max="13"/>
    <col width="18" customWidth="1" min="14" max="14"/>
    <col width="34" customWidth="1" min="15" max="15"/>
    <col width="41.95" customWidth="1" min="16" max="16"/>
    <col width="64" customWidth="1" min="17" max="17"/>
  </cols>
  <sheetData>
    <row r="1" ht="17.25" customHeight="1">
      <c r="A1" s="30" t="inlineStr">
        <is>
          <t>Cash — Library of Audit Procedures</t>
        </is>
      </c>
      <c r="B1" s="31" t="n"/>
      <c r="C1" s="31" t="n"/>
      <c r="D1" s="31" t="n"/>
      <c r="E1" s="31" t="n"/>
      <c r="F1" s="31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  <c r="Q1" s="32" t="n"/>
    </row>
    <row r="2" ht="27" customHeight="1">
      <c r="A2" s="33" t="inlineStr">
        <is>
          <t>Client / Entity: Quovalize Staffing Services, LLC</t>
        </is>
      </c>
      <c r="B2" s="31" t="n"/>
      <c r="C2" s="31" t="n"/>
      <c r="D2" s="31" t="n"/>
      <c r="E2" s="31" t="n"/>
      <c r="F2" s="31" t="n"/>
      <c r="G2" s="32" t="n"/>
      <c r="H2" s="32" t="n"/>
      <c r="I2" s="32" t="n"/>
      <c r="J2" s="32" t="n"/>
      <c r="K2" s="32" t="n"/>
      <c r="L2" s="32" t="n"/>
      <c r="M2" s="32" t="n"/>
      <c r="N2" s="32" t="n"/>
      <c r="O2" s="32" t="n"/>
      <c r="P2" s="32" t="n"/>
      <c r="Q2" s="32" t="n"/>
    </row>
    <row r="3" ht="40.5" customHeight="1">
      <c r="A3" s="33" t="inlineStr">
        <is>
          <t>Prepared by: Audit Senior 196E (assigned)      Reviewed by: Audit Manager 6115 (assigned)</t>
        </is>
      </c>
      <c r="B3" s="31" t="n"/>
      <c r="C3" s="31" t="n"/>
      <c r="D3" s="31" t="n"/>
      <c r="E3" s="31" t="n"/>
      <c r="F3" s="31" t="n"/>
      <c r="G3" s="32" t="n"/>
      <c r="H3" s="32" t="n"/>
      <c r="I3" s="32" t="n"/>
      <c r="J3" s="32" t="n"/>
      <c r="K3" s="32" t="n"/>
      <c r="L3" s="32" t="n"/>
      <c r="M3" s="32" t="n"/>
      <c r="N3" s="32" t="n"/>
      <c r="O3" s="32" t="n"/>
      <c r="P3" s="32" t="n"/>
      <c r="Q3" s="32" t="n"/>
    </row>
    <row r="4" ht="25.5" customHeight="1">
      <c r="A4" s="34" t="inlineStr">
        <is>
          <t>For every procedure, record applicability, requirement, execution, evidence, result, issue, and signoff states. Performed procedures require a W/P reference, preparer, date, result, and exact Evidence Index citation. Fact-driven N/A requires a FACT:/ JSON-Pointer citation and rationale; missing evidence remains Open. Preserve the assigned PROC: and WINDOW: dependency tokens.</t>
        </is>
      </c>
      <c r="B4" s="32" t="n"/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</row>
    <row r="5">
      <c r="A5" s="31" t="n"/>
      <c r="B5" s="31" t="n"/>
      <c r="C5" s="31" t="n"/>
      <c r="D5" s="31" t="n"/>
      <c r="E5" s="31" t="n"/>
      <c r="F5" s="31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</row>
    <row r="6" ht="19.5" customHeight="1">
      <c r="A6" s="35" t="inlineStr">
        <is>
          <t>Applicability</t>
        </is>
      </c>
      <c r="B6" s="35" t="inlineStr">
        <is>
          <t>Requirement</t>
        </is>
      </c>
      <c r="C6" s="35" t="inlineStr">
        <is>
          <t>Execution state</t>
        </is>
      </c>
      <c r="D6" s="35" t="inlineStr">
        <is>
          <t>Evidence state</t>
        </is>
      </c>
      <c r="E6" s="35" t="inlineStr">
        <is>
          <t>Result state</t>
        </is>
      </c>
      <c r="F6" s="35" t="inlineStr">
        <is>
          <t>Issue state</t>
        </is>
      </c>
      <c r="G6" s="35" t="inlineStr">
        <is>
          <t>Signoff state</t>
        </is>
      </c>
      <c r="H6" s="35" t="inlineStr">
        <is>
          <t>Derived outcome</t>
        </is>
      </c>
      <c r="I6" s="35" t="inlineStr">
        <is>
          <t>Procedure</t>
        </is>
      </c>
      <c r="J6" s="35" t="inlineStr">
        <is>
          <t>Assertion(s)</t>
        </is>
      </c>
      <c r="K6" s="35" t="inlineStr">
        <is>
          <t>W/P Ref</t>
        </is>
      </c>
      <c r="L6" s="35" t="inlineStr">
        <is>
          <t>Performed by</t>
        </is>
      </c>
      <c r="M6" s="35" t="inlineStr">
        <is>
          <t>Date</t>
        </is>
      </c>
      <c r="N6" s="35" t="inlineStr">
        <is>
          <t>Reason code</t>
        </is>
      </c>
      <c r="O6" s="35" t="inlineStr">
        <is>
          <t>Source fact / evidence</t>
        </is>
      </c>
      <c r="P6" s="35" t="inlineStr">
        <is>
          <t>Issue / dependency IDs</t>
        </is>
      </c>
      <c r="Q6" s="35" t="inlineStr">
        <is>
          <t>Comment / Work performed</t>
        </is>
      </c>
    </row>
    <row r="7" ht="15" customHeight="1">
      <c r="A7" s="36" t="n"/>
      <c r="B7" s="32" t="n"/>
      <c r="C7" s="32" t="n"/>
      <c r="D7" s="32" t="n"/>
      <c r="E7" s="32" t="n"/>
      <c r="F7" s="32" t="n"/>
      <c r="G7" s="32" t="n"/>
      <c r="H7" s="32" t="n"/>
      <c r="I7" s="37" t="inlineStr">
        <is>
          <t>&lt;.1&gt; Cash Lead Sheet</t>
        </is>
      </c>
      <c r="J7" s="32" t="n"/>
      <c r="K7" s="32" t="n"/>
      <c r="L7" s="32" t="n"/>
      <c r="M7" s="32" t="n"/>
      <c r="N7" s="32" t="n"/>
      <c r="O7" s="32" t="n"/>
      <c r="P7" s="32" t="n"/>
      <c r="Q7" s="32" t="n"/>
    </row>
    <row r="8" ht="120" customHeight="1">
      <c r="A8" s="38" t="inlineStr">
        <is>
          <t>Applicable</t>
        </is>
      </c>
      <c r="B8" s="38" t="inlineStr">
        <is>
          <t>Required</t>
        </is>
      </c>
      <c r="C8" s="38" t="inlineStr">
        <is>
          <t>Not Started</t>
        </is>
      </c>
      <c r="D8" s="38" t="inlineStr">
        <is>
          <t>Missing</t>
        </is>
      </c>
      <c r="E8" s="38" t="inlineStr">
        <is>
          <t>Unable to Conclude</t>
        </is>
      </c>
      <c r="F8" s="38" t="inlineStr">
        <is>
          <t>None</t>
        </is>
      </c>
      <c r="G8" s="39" t="inlineStr">
        <is>
          <t>Unsigned</t>
        </is>
      </c>
      <c r="H8" s="39">
        <f>IF(A8="Not Applicable - Fact Driven",IF(AND(C8="Not Performed",D8="Not Required",OR(F8="None",F8="Resolved",F8="Passed"),OR(G8="Prepared",G8="Reviewed"),LEFT(O8,6)="FACT:/",Q8&lt;&gt;""),"Valid N/A","Blocked"),IF(AND(B8="Recommended",C8="Not Performed",D8="Not Required",OR(F8="None",F8="Resolved",F8="Passed")),"Recommended - Not Performed",IF(C8&lt;&gt;"Performed","Open - "&amp;C8,IF(D8&lt;&gt;"Sufficient","Open - "&amp;D8&amp;" Evidence",IF(E8="Unable to Conclude","Open - Unable to Conclude",IF(AND(E8="Exception Identified",ISERROR(SEARCH("ISSUE:",P8))),"Open - Missing Issue ID",IF(AND(F8="Open",ISERROR(SEARCH("ISSUE:",P8))),"Open - Missing Issue ID",IF(OR(F8="Open",F8="Superseded"),"Open - "&amp;F8&amp;" Issue",IF(AND(E8="Exception Identified",NOT(OR(F8="Adjusted",F8="Passed",F8="Resolved"))),"Open - Undispositioned Exception",IF(OR(G8="Prepared",G8="Reviewed"),"Passed","Open - Unsigned"))))))))))</f>
        <v/>
      </c>
      <c r="I8" s="39" t="inlineStr">
        <is>
          <t>1. Obtain the cash lead sheet and agree the total to the trial balance and general ledger.</t>
        </is>
      </c>
      <c r="J8" s="39" t="inlineStr">
        <is>
          <t>Completeness; Classification</t>
        </is>
      </c>
      <c r="K8" s="39" t="inlineStr">
        <is>
          <t>&lt;.1&gt;</t>
        </is>
      </c>
      <c r="L8" s="39" t="n"/>
      <c r="M8" s="40" t="n"/>
      <c r="N8" s="39" t="n"/>
      <c r="O8" s="39" t="n"/>
      <c r="P8" s="39" t="inlineStr">
        <is>
          <t>PROC:PROC-CASH</t>
        </is>
      </c>
      <c r="Q8" s="39" t="n"/>
    </row>
    <row r="9" ht="120" customHeight="1">
      <c r="A9" s="38" t="inlineStr">
        <is>
          <t>Applicable</t>
        </is>
      </c>
      <c r="B9" s="38" t="inlineStr">
        <is>
          <t>Required</t>
        </is>
      </c>
      <c r="C9" s="38" t="inlineStr">
        <is>
          <t>Not Started</t>
        </is>
      </c>
      <c r="D9" s="38" t="inlineStr">
        <is>
          <t>Missing</t>
        </is>
      </c>
      <c r="E9" s="38" t="inlineStr">
        <is>
          <t>Unable to Conclude</t>
        </is>
      </c>
      <c r="F9" s="38" t="inlineStr">
        <is>
          <t>None</t>
        </is>
      </c>
      <c r="G9" s="39" t="inlineStr">
        <is>
          <t>Unsigned</t>
        </is>
      </c>
      <c r="H9" s="39">
        <f>IF(A9="Not Applicable - Fact Driven",IF(AND(C9="Not Performed",D9="Not Required",OR(F9="None",F9="Resolved",F9="Passed"),OR(G9="Prepared",G9="Reviewed"),LEFT(O9,6)="FACT:/",Q9&lt;&gt;""),"Valid N/A","Blocked"),IF(AND(B9="Recommended",C9="Not Performed",D9="Not Required",OR(F9="None",F9="Resolved",F9="Passed")),"Recommended - Not Performed",IF(C9&lt;&gt;"Performed","Open - "&amp;C9,IF(D9&lt;&gt;"Sufficient","Open - "&amp;D9&amp;" Evidence",IF(E9="Unable to Conclude","Open - Unable to Conclude",IF(AND(E9="Exception Identified",ISERROR(SEARCH("ISSUE:",P9))),"Open - Missing Issue ID",IF(AND(F9="Open",ISERROR(SEARCH("ISSUE:",P9))),"Open - Missing Issue ID",IF(OR(F9="Open",F9="Superseded"),"Open - "&amp;F9&amp;" Issue",IF(AND(E9="Exception Identified",NOT(OR(F9="Adjusted",F9="Passed",F9="Resolved"))),"Open - Undispositioned Exception",IF(OR(G9="Prepared",G9="Reviewed"),"Passed","Open - Unsigned"))))))))))</f>
        <v/>
      </c>
      <c r="I9" s="39" t="inlineStr">
        <is>
          <t>2. Foot the lead sheet and agree current-year and prior-year balances by account.</t>
        </is>
      </c>
      <c r="J9" s="39" t="inlineStr">
        <is>
          <t>Completeness; Accuracy</t>
        </is>
      </c>
      <c r="K9" s="39" t="inlineStr">
        <is>
          <t>&lt;.1&gt;</t>
        </is>
      </c>
      <c r="L9" s="39" t="n"/>
      <c r="M9" s="40" t="n"/>
      <c r="N9" s="39" t="n"/>
      <c r="O9" s="39" t="n"/>
      <c r="P9" s="39" t="inlineStr">
        <is>
          <t>PROC:PROC-CASH</t>
        </is>
      </c>
      <c r="Q9" s="39" t="n"/>
    </row>
    <row r="10" ht="120" customHeight="1">
      <c r="A10" s="38" t="inlineStr">
        <is>
          <t>Applicable</t>
        </is>
      </c>
      <c r="B10" s="38" t="inlineStr">
        <is>
          <t>Required</t>
        </is>
      </c>
      <c r="C10" s="38" t="inlineStr">
        <is>
          <t>Not Started</t>
        </is>
      </c>
      <c r="D10" s="38" t="inlineStr">
        <is>
          <t>Missing</t>
        </is>
      </c>
      <c r="E10" s="38" t="inlineStr">
        <is>
          <t>Unable to Conclude</t>
        </is>
      </c>
      <c r="F10" s="38" t="inlineStr">
        <is>
          <t>None</t>
        </is>
      </c>
      <c r="G10" s="39" t="inlineStr">
        <is>
          <t>Unsigned</t>
        </is>
      </c>
      <c r="H10" s="39">
        <f>IF(A10="Not Applicable - Fact Driven",IF(AND(C10="Not Performed",D10="Not Required",OR(F10="None",F10="Resolved",F10="Passed"),OR(G10="Prepared",G10="Reviewed"),LEFT(O10,6)="FACT:/",Q10&lt;&gt;""),"Valid N/A","Blocked"),IF(AND(B10="Recommended",C10="Not Performed",D10="Not Required",OR(F10="None",F10="Resolved",F10="Passed")),"Recommended - Not Performed",IF(C10&lt;&gt;"Performed","Open - "&amp;C10,IF(D10&lt;&gt;"Sufficient","Open - "&amp;D10&amp;" Evidence",IF(E10="Unable to Conclude","Open - Unable to Conclude",IF(AND(E10="Exception Identified",ISERROR(SEARCH("ISSUE:",P10))),"Open - Missing Issue ID",IF(AND(F10="Open",ISERROR(SEARCH("ISSUE:",P10))),"Open - Missing Issue ID",IF(OR(F10="Open",F10="Superseded"),"Open - "&amp;F10&amp;" Issue",IF(AND(E10="Exception Identified",NOT(OR(F10="Adjusted",F10="Passed",F10="Resolved"))),"Open - Undispositioned Exception",IF(OR(G10="Prepared",G10="Reviewed"),"Passed","Open - Unsigned"))))))))))</f>
        <v/>
      </c>
      <c r="I10" s="39" t="inlineStr">
        <is>
          <t>3. Verify the cash population is complete — include operating, payroll, reserve/designated, zero-balance, merchant/lockbox and any restricted accounts.</t>
        </is>
      </c>
      <c r="J10" s="39" t="inlineStr">
        <is>
          <t>Completeness</t>
        </is>
      </c>
      <c r="K10" s="39" t="inlineStr">
        <is>
          <t>&lt;.1&gt;</t>
        </is>
      </c>
      <c r="L10" s="39" t="n"/>
      <c r="M10" s="40" t="n"/>
      <c r="N10" s="39" t="n"/>
      <c r="O10" s="39" t="n"/>
      <c r="P10" s="39" t="inlineStr">
        <is>
          <t>PROC:PROC-CASH</t>
        </is>
      </c>
      <c r="Q10" s="39" t="n"/>
    </row>
    <row r="11" ht="120" customHeight="1">
      <c r="A11" s="38" t="inlineStr">
        <is>
          <t>Applicable</t>
        </is>
      </c>
      <c r="B11" s="38" t="inlineStr">
        <is>
          <t>Required</t>
        </is>
      </c>
      <c r="C11" s="38" t="inlineStr">
        <is>
          <t>Not Started</t>
        </is>
      </c>
      <c r="D11" s="38" t="inlineStr">
        <is>
          <t>Missing</t>
        </is>
      </c>
      <c r="E11" s="38" t="inlineStr">
        <is>
          <t>Unable to Conclude</t>
        </is>
      </c>
      <c r="F11" s="38" t="inlineStr">
        <is>
          <t>None</t>
        </is>
      </c>
      <c r="G11" s="39" t="inlineStr">
        <is>
          <t>Unsigned</t>
        </is>
      </c>
      <c r="H11" s="39">
        <f>IF(A11="Not Applicable - Fact Driven",IF(AND(C11="Not Performed",D11="Not Required",OR(F11="None",F11="Resolved",F11="Passed"),OR(G11="Prepared",G11="Reviewed"),LEFT(O11,6)="FACT:/",Q11&lt;&gt;""),"Valid N/A","Blocked"),IF(AND(B11="Recommended",C11="Not Performed",D11="Not Required",OR(F11="None",F11="Resolved",F11="Passed")),"Recommended - Not Performed",IF(C11&lt;&gt;"Performed","Open - "&amp;C11,IF(D11&lt;&gt;"Sufficient","Open - "&amp;D11&amp;" Evidence",IF(E11="Unable to Conclude","Open - Unable to Conclude",IF(AND(E11="Exception Identified",ISERROR(SEARCH("ISSUE:",P11))),"Open - Missing Issue ID",IF(AND(F11="Open",ISERROR(SEARCH("ISSUE:",P11))),"Open - Missing Issue ID",IF(OR(F11="Open",F11="Superseded"),"Open - "&amp;F11&amp;" Issue",IF(AND(E11="Exception Identified",NOT(OR(F11="Adjusted",F11="Passed",F11="Resolved"))),"Open - Undispositioned Exception",IF(OR(G11="Prepared",G11="Reviewed"),"Passed","Open - Unsigned"))))))))))</f>
        <v/>
      </c>
      <c r="I11" s="39" t="inlineStr">
        <is>
          <t>4. Compute the current-vs-prior-year movement and % change and investigate unusual changes.</t>
        </is>
      </c>
      <c r="J11" s="39" t="inlineStr">
        <is>
          <t>Completeness; Accuracy</t>
        </is>
      </c>
      <c r="K11" s="39" t="inlineStr">
        <is>
          <t>&lt;.1&gt;</t>
        </is>
      </c>
      <c r="L11" s="39" t="n"/>
      <c r="M11" s="40" t="n"/>
      <c r="N11" s="39" t="n"/>
      <c r="O11" s="39" t="n"/>
      <c r="P11" s="39" t="inlineStr">
        <is>
          <t>PROC:PROC-CASH</t>
        </is>
      </c>
      <c r="Q11" s="39" t="n"/>
    </row>
    <row r="12" ht="120" customHeight="1">
      <c r="A12" s="38" t="inlineStr">
        <is>
          <t>Applicable</t>
        </is>
      </c>
      <c r="B12" s="38" t="inlineStr">
        <is>
          <t>Required</t>
        </is>
      </c>
      <c r="C12" s="38" t="inlineStr">
        <is>
          <t>Not Started</t>
        </is>
      </c>
      <c r="D12" s="38" t="inlineStr">
        <is>
          <t>Missing</t>
        </is>
      </c>
      <c r="E12" s="38" t="inlineStr">
        <is>
          <t>Unable to Conclude</t>
        </is>
      </c>
      <c r="F12" s="38" t="inlineStr">
        <is>
          <t>None</t>
        </is>
      </c>
      <c r="G12" s="39" t="inlineStr">
        <is>
          <t>Unsigned</t>
        </is>
      </c>
      <c r="H12" s="39">
        <f>IF(A12="Not Applicable - Fact Driven",IF(AND(C12="Not Performed",D12="Not Required",OR(F12="None",F12="Resolved",F12="Passed"),OR(G12="Prepared",G12="Reviewed"),LEFT(O12,6)="FACT:/",Q12&lt;&gt;""),"Valid N/A","Blocked"),IF(AND(B12="Recommended",C12="Not Performed",D12="Not Required",OR(F12="None",F12="Resolved",F12="Passed")),"Recommended - Not Performed",IF(C12&lt;&gt;"Performed","Open - "&amp;C12,IF(D12&lt;&gt;"Sufficient","Open - "&amp;D12&amp;" Evidence",IF(E12="Unable to Conclude","Open - Unable to Conclude",IF(AND(E12="Exception Identified",ISERROR(SEARCH("ISSUE:",P12))),"Open - Missing Issue ID",IF(AND(F12="Open",ISERROR(SEARCH("ISSUE:",P12))),"Open - Missing Issue ID",IF(OR(F12="Open",F12="Superseded"),"Open - "&amp;F12&amp;" Issue",IF(AND(E12="Exception Identified",NOT(OR(F12="Adjusted",F12="Passed",F12="Resolved"))),"Open - Undispositioned Exception",IF(OR(G12="Prepared",G12="Reviewed"),"Passed","Open - Unsigned"))))))))))</f>
        <v/>
      </c>
      <c r="I12" s="39" t="inlineStr">
        <is>
          <t>5. Compute the uninsured (above-FDIC) deposit exposure by institution.</t>
        </is>
      </c>
      <c r="J12" s="39" t="inlineStr">
        <is>
          <t>Presentation &amp; Disclosure</t>
        </is>
      </c>
      <c r="K12" s="39" t="inlineStr">
        <is>
          <t>&lt;.1&gt;/&lt;.7&gt;</t>
        </is>
      </c>
      <c r="L12" s="39" t="n"/>
      <c r="M12" s="40" t="n"/>
      <c r="N12" s="39" t="n"/>
      <c r="O12" s="39" t="n"/>
      <c r="P12" s="39" t="inlineStr">
        <is>
          <t>PROC:PROC-CASH</t>
        </is>
      </c>
      <c r="Q12" s="39" t="n"/>
    </row>
    <row r="13" ht="15" customHeight="1">
      <c r="A13" s="36" t="n"/>
      <c r="B13" s="32" t="n"/>
      <c r="C13" s="32" t="n"/>
      <c r="D13" s="32" t="n"/>
      <c r="E13" s="32" t="n"/>
      <c r="F13" s="32" t="n"/>
      <c r="G13" s="32" t="n"/>
      <c r="H13" s="32" t="n"/>
      <c r="I13" s="37" t="inlineStr">
        <is>
          <t>&lt;.2&gt; Bank Confirmation</t>
        </is>
      </c>
      <c r="J13" s="32" t="n"/>
      <c r="K13" s="32" t="n"/>
      <c r="L13" s="32" t="n"/>
      <c r="M13" s="32" t="n"/>
      <c r="N13" s="32" t="n"/>
      <c r="O13" s="32" t="n"/>
      <c r="P13" s="32" t="n"/>
      <c r="Q13" s="32" t="n"/>
    </row>
    <row r="14" ht="120" customHeight="1">
      <c r="A14" s="38" t="inlineStr">
        <is>
          <t>Applicable</t>
        </is>
      </c>
      <c r="B14" s="38" t="inlineStr">
        <is>
          <t>Required</t>
        </is>
      </c>
      <c r="C14" s="38" t="inlineStr">
        <is>
          <t>Not Started</t>
        </is>
      </c>
      <c r="D14" s="38" t="inlineStr">
        <is>
          <t>Missing</t>
        </is>
      </c>
      <c r="E14" s="38" t="inlineStr">
        <is>
          <t>Unable to Conclude</t>
        </is>
      </c>
      <c r="F14" s="38" t="inlineStr">
        <is>
          <t>None</t>
        </is>
      </c>
      <c r="G14" s="39" t="inlineStr">
        <is>
          <t>Unsigned</t>
        </is>
      </c>
      <c r="H14" s="39">
        <f>IF(A14="Not Applicable - Fact Driven",IF(AND(C14="Not Performed",D14="Not Required",OR(F14="None",F14="Resolved",F14="Passed"),OR(G14="Prepared",G14="Reviewed"),LEFT(O14,6)="FACT:/",Q14&lt;&gt;""),"Valid N/A","Blocked"),IF(AND(B14="Recommended",C14="Not Performed",D14="Not Required",OR(F14="None",F14="Resolved",F14="Passed")),"Recommended - Not Performed",IF(C14&lt;&gt;"Performed","Open - "&amp;C14,IF(D14&lt;&gt;"Sufficient","Open - "&amp;D14&amp;" Evidence",IF(E14="Unable to Conclude","Open - Unable to Conclude",IF(AND(E14="Exception Identified",ISERROR(SEARCH("ISSUE:",P14))),"Open - Missing Issue ID",IF(AND(F14="Open",ISERROR(SEARCH("ISSUE:",P14))),"Open - Missing Issue ID",IF(OR(F14="Open",F14="Superseded"),"Open - "&amp;F14&amp;" Issue",IF(AND(E14="Exception Identified",NOT(OR(F14="Adjusted",F14="Passed",F14="Resolved"))),"Open - Undispositioned Exception",IF(OR(G14="Prepared",G14="Reviewed"),"Passed","Open - Unsigned"))))))))))</f>
        <v/>
      </c>
      <c r="I14" s="39" t="inlineStr">
        <is>
          <t>6. Send direct bank confirmations for ALL accounts using the full AICPA / Confirmation.com standard form covering balances, loans, lines of credit, facilities, guarantees and security interests.</t>
        </is>
      </c>
      <c r="J14" s="39" t="inlineStr">
        <is>
          <t>Existence; Rights &amp; Obligations; Completeness</t>
        </is>
      </c>
      <c r="K14" s="39" t="inlineStr">
        <is>
          <t>&lt;.2&gt;</t>
        </is>
      </c>
      <c r="L14" s="39" t="n"/>
      <c r="M14" s="40" t="n"/>
      <c r="N14" s="39" t="n"/>
      <c r="O14" s="39" t="n"/>
      <c r="P14" s="39" t="inlineStr">
        <is>
          <t>PROC:PROC-CASH; WINDOW:WIN-CONFIRMATION-CONTROL</t>
        </is>
      </c>
      <c r="Q14" s="39" t="n"/>
    </row>
    <row r="15" ht="120" customHeight="1">
      <c r="A15" s="38" t="inlineStr">
        <is>
          <t>Applicable</t>
        </is>
      </c>
      <c r="B15" s="38" t="inlineStr">
        <is>
          <t>Required</t>
        </is>
      </c>
      <c r="C15" s="38" t="inlineStr">
        <is>
          <t>Not Started</t>
        </is>
      </c>
      <c r="D15" s="38" t="inlineStr">
        <is>
          <t>Missing</t>
        </is>
      </c>
      <c r="E15" s="38" t="inlineStr">
        <is>
          <t>Unable to Conclude</t>
        </is>
      </c>
      <c r="F15" s="38" t="inlineStr">
        <is>
          <t>None</t>
        </is>
      </c>
      <c r="G15" s="39" t="inlineStr">
        <is>
          <t>Unsigned</t>
        </is>
      </c>
      <c r="H15" s="39">
        <f>IF(A15="Not Applicable - Fact Driven",IF(AND(C15="Not Performed",D15="Not Required",OR(F15="None",F15="Resolved",F15="Passed"),OR(G15="Prepared",G15="Reviewed"),LEFT(O15,6)="FACT:/",Q15&lt;&gt;""),"Valid N/A","Blocked"),IF(AND(B15="Recommended",C15="Not Performed",D15="Not Required",OR(F15="None",F15="Resolved",F15="Passed")),"Recommended - Not Performed",IF(C15&lt;&gt;"Performed","Open - "&amp;C15,IF(D15&lt;&gt;"Sufficient","Open - "&amp;D15&amp;" Evidence",IF(E15="Unable to Conclude","Open - Unable to Conclude",IF(AND(E15="Exception Identified",ISERROR(SEARCH("ISSUE:",P15))),"Open - Missing Issue ID",IF(AND(F15="Open",ISERROR(SEARCH("ISSUE:",P15))),"Open - Missing Issue ID",IF(OR(F15="Open",F15="Superseded"),"Open - "&amp;F15&amp;" Issue",IF(AND(E15="Exception Identified",NOT(OR(F15="Adjusted",F15="Passed",F15="Resolved"))),"Open - Undispositioned Exception",IF(OR(G15="Prepared",G15="Reviewed"),"Passed","Open - Unsigned"))))))))))</f>
        <v/>
      </c>
      <c r="I15" s="39" t="inlineStr">
        <is>
          <t>7. Control the confirmation process — send directly to the institution and require responses returned directly to the auditor; record date sent, follow-ups and method.</t>
        </is>
      </c>
      <c r="J15" s="39" t="inlineStr">
        <is>
          <t>Existence; Rights &amp; Obligations</t>
        </is>
      </c>
      <c r="K15" s="39" t="inlineStr">
        <is>
          <t>&lt;.2&gt;</t>
        </is>
      </c>
      <c r="L15" s="39" t="n"/>
      <c r="M15" s="40" t="n"/>
      <c r="N15" s="39" t="n"/>
      <c r="O15" s="39" t="n"/>
      <c r="P15" s="39" t="inlineStr">
        <is>
          <t>PROC:PROC-CASH; WINDOW:WIN-CONFIRMATION-CONTROL</t>
        </is>
      </c>
      <c r="Q15" s="39" t="n"/>
    </row>
    <row r="16" ht="120" customHeight="1">
      <c r="A16" s="38" t="inlineStr">
        <is>
          <t>Applicable</t>
        </is>
      </c>
      <c r="B16" s="38" t="inlineStr">
        <is>
          <t>Required</t>
        </is>
      </c>
      <c r="C16" s="38" t="inlineStr">
        <is>
          <t>Not Started</t>
        </is>
      </c>
      <c r="D16" s="38" t="inlineStr">
        <is>
          <t>Missing</t>
        </is>
      </c>
      <c r="E16" s="38" t="inlineStr">
        <is>
          <t>Unable to Conclude</t>
        </is>
      </c>
      <c r="F16" s="38" t="inlineStr">
        <is>
          <t>None</t>
        </is>
      </c>
      <c r="G16" s="39" t="inlineStr">
        <is>
          <t>Unsigned</t>
        </is>
      </c>
      <c r="H16" s="39">
        <f>IF(A16="Not Applicable - Fact Driven",IF(AND(C16="Not Performed",D16="Not Required",OR(F16="None",F16="Resolved",F16="Passed"),OR(G16="Prepared",G16="Reviewed"),LEFT(O16,6)="FACT:/",Q16&lt;&gt;""),"Valid N/A","Blocked"),IF(AND(B16="Recommended",C16="Not Performed",D16="Not Required",OR(F16="None",F16="Resolved",F16="Passed")),"Recommended - Not Performed",IF(C16&lt;&gt;"Performed","Open - "&amp;C16,IF(D16&lt;&gt;"Sufficient","Open - "&amp;D16&amp;" Evidence",IF(E16="Unable to Conclude","Open - Unable to Conclude",IF(AND(E16="Exception Identified",ISERROR(SEARCH("ISSUE:",P16))),"Open - Missing Issue ID",IF(AND(F16="Open",ISERROR(SEARCH("ISSUE:",P16))),"Open - Missing Issue ID",IF(OR(F16="Open",F16="Superseded"),"Open - "&amp;F16&amp;" Issue",IF(AND(E16="Exception Identified",NOT(OR(F16="Adjusted",F16="Passed",F16="Resolved"))),"Open - Undispositioned Exception",IF(OR(G16="Prepared",G16="Reviewed"),"Passed","Open - Unsigned"))))))))))</f>
        <v/>
      </c>
      <c r="I16" s="39" t="inlineStr">
        <is>
          <t>8. Follow up on non-responses (second/third request) and perform alternative procedures where no reply is received.</t>
        </is>
      </c>
      <c r="J16" s="39" t="inlineStr">
        <is>
          <t>Existence; Completeness</t>
        </is>
      </c>
      <c r="K16" s="39" t="inlineStr">
        <is>
          <t>&lt;.2&gt;</t>
        </is>
      </c>
      <c r="L16" s="39" t="n"/>
      <c r="M16" s="40" t="n"/>
      <c r="N16" s="39" t="n"/>
      <c r="O16" s="39" t="n"/>
      <c r="P16" s="39" t="inlineStr">
        <is>
          <t>PROC:PROC-CASH</t>
        </is>
      </c>
      <c r="Q16" s="39" t="n"/>
    </row>
    <row r="17" ht="120" customHeight="1">
      <c r="A17" s="38" t="inlineStr">
        <is>
          <t>Applicable</t>
        </is>
      </c>
      <c r="B17" s="38" t="inlineStr">
        <is>
          <t>Required</t>
        </is>
      </c>
      <c r="C17" s="38" t="inlineStr">
        <is>
          <t>Not Started</t>
        </is>
      </c>
      <c r="D17" s="38" t="inlineStr">
        <is>
          <t>Missing</t>
        </is>
      </c>
      <c r="E17" s="38" t="inlineStr">
        <is>
          <t>Unable to Conclude</t>
        </is>
      </c>
      <c r="F17" s="38" t="inlineStr">
        <is>
          <t>None</t>
        </is>
      </c>
      <c r="G17" s="39" t="inlineStr">
        <is>
          <t>Unsigned</t>
        </is>
      </c>
      <c r="H17" s="39">
        <f>IF(A17="Not Applicable - Fact Driven",IF(AND(C17="Not Performed",D17="Not Required",OR(F17="None",F17="Resolved",F17="Passed"),OR(G17="Prepared",G17="Reviewed"),LEFT(O17,6)="FACT:/",Q17&lt;&gt;""),"Valid N/A","Blocked"),IF(AND(B17="Recommended",C17="Not Performed",D17="Not Required",OR(F17="None",F17="Resolved",F17="Passed")),"Recommended - Not Performed",IF(C17&lt;&gt;"Performed","Open - "&amp;C17,IF(D17&lt;&gt;"Sufficient","Open - "&amp;D17&amp;" Evidence",IF(E17="Unable to Conclude","Open - Unable to Conclude",IF(AND(E17="Exception Identified",ISERROR(SEARCH("ISSUE:",P17))),"Open - Missing Issue ID",IF(AND(F17="Open",ISERROR(SEARCH("ISSUE:",P17))),"Open - Missing Issue ID",IF(OR(F17="Open",F17="Superseded"),"Open - "&amp;F17&amp;" Issue",IF(AND(E17="Exception Identified",NOT(OR(F17="Adjusted",F17="Passed",F17="Resolved"))),"Open - Undispositioned Exception",IF(OR(G17="Prepared",G17="Reviewed"),"Passed","Open - Unsigned"))))))))))</f>
        <v/>
      </c>
      <c r="I17" s="39" t="inlineStr">
        <is>
          <t>9. Agree the confirmed balance to the GL and to the bank reconciliation; investigate any differences.</t>
        </is>
      </c>
      <c r="J17" s="39" t="inlineStr">
        <is>
          <t>Existence; Valuation</t>
        </is>
      </c>
      <c r="K17" s="39" t="inlineStr">
        <is>
          <t>&lt;.2&gt;/&lt;.3&gt;</t>
        </is>
      </c>
      <c r="L17" s="39" t="n"/>
      <c r="M17" s="40" t="n"/>
      <c r="N17" s="39" t="n"/>
      <c r="O17" s="39" t="n"/>
      <c r="P17" s="39" t="inlineStr">
        <is>
          <t>PROC:PROC-CASH</t>
        </is>
      </c>
      <c r="Q17" s="39" t="n"/>
    </row>
    <row r="18" ht="120" customHeight="1">
      <c r="A18" s="38" t="inlineStr">
        <is>
          <t>Applicable</t>
        </is>
      </c>
      <c r="B18" s="38" t="inlineStr">
        <is>
          <t>Required</t>
        </is>
      </c>
      <c r="C18" s="38" t="inlineStr">
        <is>
          <t>Not Started</t>
        </is>
      </c>
      <c r="D18" s="38" t="inlineStr">
        <is>
          <t>Missing</t>
        </is>
      </c>
      <c r="E18" s="38" t="inlineStr">
        <is>
          <t>Unable to Conclude</t>
        </is>
      </c>
      <c r="F18" s="38" t="inlineStr">
        <is>
          <t>None</t>
        </is>
      </c>
      <c r="G18" s="39" t="inlineStr">
        <is>
          <t>Unsigned</t>
        </is>
      </c>
      <c r="H18" s="39">
        <f>IF(A18="Not Applicable - Fact Driven",IF(AND(C18="Not Performed",D18="Not Required",OR(F18="None",F18="Resolved",F18="Passed"),OR(G18="Prepared",G18="Reviewed"),LEFT(O18,6)="FACT:/",Q18&lt;&gt;""),"Valid N/A","Blocked"),IF(AND(B18="Recommended",C18="Not Performed",D18="Not Required",OR(F18="None",F18="Resolved",F18="Passed")),"Recommended - Not Performed",IF(C18&lt;&gt;"Performed","Open - "&amp;C18,IF(D18&lt;&gt;"Sufficient","Open - "&amp;D18&amp;" Evidence",IF(E18="Unable to Conclude","Open - Unable to Conclude",IF(AND(E18="Exception Identified",ISERROR(SEARCH("ISSUE:",P18))),"Open - Missing Issue ID",IF(AND(F18="Open",ISERROR(SEARCH("ISSUE:",P18))),"Open - Missing Issue ID",IF(OR(F18="Open",F18="Superseded"),"Open - "&amp;F18&amp;" Issue",IF(AND(E18="Exception Identified",NOT(OR(F18="Adjusted",F18="Passed",F18="Resolved"))),"Open - Undispositioned Exception",IF(OR(G18="Prepared",G18="Reviewed"),"Passed","Open - Unsigned"))))))))))</f>
        <v/>
      </c>
      <c r="I18" s="39" t="inlineStr">
        <is>
          <t>10. Test the authenticity of confirmations received electronically — verify the sender domain against the institution's official domain, perform an independent call-back to a number obtained independently (not from the confirmation), and prefer Confirmation.com.</t>
        </is>
      </c>
      <c r="J18" s="39" t="inlineStr">
        <is>
          <t>Existence; Rights &amp; Obligations</t>
        </is>
      </c>
      <c r="K18" s="39" t="inlineStr">
        <is>
          <t>&lt;.2&gt;</t>
        </is>
      </c>
      <c r="L18" s="39" t="n"/>
      <c r="M18" s="40" t="n"/>
      <c r="N18" s="39" t="n"/>
      <c r="O18" s="39" t="n"/>
      <c r="P18" s="39" t="inlineStr">
        <is>
          <t>PROC:PROC-CASH; WINDOW:WIN-CONFIRMATION-CONTROL</t>
        </is>
      </c>
      <c r="Q18" s="39" t="n"/>
    </row>
    <row r="19" ht="15" customHeight="1">
      <c r="A19" s="36" t="n"/>
      <c r="B19" s="32" t="n"/>
      <c r="C19" s="32" t="n"/>
      <c r="D19" s="32" t="n"/>
      <c r="E19" s="32" t="n"/>
      <c r="F19" s="32" t="n"/>
      <c r="G19" s="32" t="n"/>
      <c r="H19" s="32" t="n"/>
      <c r="I19" s="37" t="inlineStr">
        <is>
          <t>&lt;.3&gt; Bank Reconciliation</t>
        </is>
      </c>
      <c r="J19" s="32" t="n"/>
      <c r="K19" s="32" t="n"/>
      <c r="L19" s="32" t="n"/>
      <c r="M19" s="32" t="n"/>
      <c r="N19" s="32" t="n"/>
      <c r="O19" s="32" t="n"/>
      <c r="P19" s="32" t="n"/>
      <c r="Q19" s="32" t="n"/>
    </row>
    <row r="20" ht="120" customHeight="1">
      <c r="A20" s="38" t="inlineStr">
        <is>
          <t>Applicable</t>
        </is>
      </c>
      <c r="B20" s="38" t="inlineStr">
        <is>
          <t>Required</t>
        </is>
      </c>
      <c r="C20" s="38" t="inlineStr">
        <is>
          <t>Not Started</t>
        </is>
      </c>
      <c r="D20" s="38" t="inlineStr">
        <is>
          <t>Missing</t>
        </is>
      </c>
      <c r="E20" s="38" t="inlineStr">
        <is>
          <t>Unable to Conclude</t>
        </is>
      </c>
      <c r="F20" s="38" t="inlineStr">
        <is>
          <t>None</t>
        </is>
      </c>
      <c r="G20" s="39" t="inlineStr">
        <is>
          <t>Unsigned</t>
        </is>
      </c>
      <c r="H20" s="39">
        <f>IF(A20="Not Applicable - Fact Driven",IF(AND(C20="Not Performed",D20="Not Required",OR(F20="None",F20="Resolved",F20="Passed"),OR(G20="Prepared",G20="Reviewed"),LEFT(O20,6)="FACT:/",Q20&lt;&gt;""),"Valid N/A","Blocked"),IF(AND(B20="Recommended",C20="Not Performed",D20="Not Required",OR(F20="None",F20="Resolved",F20="Passed")),"Recommended - Not Performed",IF(C20&lt;&gt;"Performed","Open - "&amp;C20,IF(D20&lt;&gt;"Sufficient","Open - "&amp;D20&amp;" Evidence",IF(E20="Unable to Conclude","Open - Unable to Conclude",IF(AND(E20="Exception Identified",ISERROR(SEARCH("ISSUE:",P20))),"Open - Missing Issue ID",IF(AND(F20="Open",ISERROR(SEARCH("ISSUE:",P20))),"Open - Missing Issue ID",IF(OR(F20="Open",F20="Superseded"),"Open - "&amp;F20&amp;" Issue",IF(AND(E20="Exception Identified",NOT(OR(F20="Adjusted",F20="Passed",F20="Resolved"))),"Open - Undispositioned Exception",IF(OR(G20="Prepared",G20="Reviewed"),"Passed","Open - Unsigned"))))))))))</f>
        <v/>
      </c>
      <c r="I20" s="39" t="inlineStr">
        <is>
          <t>11. Obtain the year-end bank reconciliation for each account.</t>
        </is>
      </c>
      <c r="J20" s="39" t="inlineStr">
        <is>
          <t>Valuation; Existence</t>
        </is>
      </c>
      <c r="K20" s="39" t="inlineStr">
        <is>
          <t>&lt;.3&gt;</t>
        </is>
      </c>
      <c r="L20" s="39" t="n"/>
      <c r="M20" s="40" t="n"/>
      <c r="N20" s="39" t="n"/>
      <c r="O20" s="39" t="n"/>
      <c r="P20" s="39" t="inlineStr">
        <is>
          <t>PROC:PROC-CASH</t>
        </is>
      </c>
      <c r="Q20" s="39" t="n"/>
    </row>
    <row r="21" ht="120" customHeight="1">
      <c r="A21" s="38" t="inlineStr">
        <is>
          <t>Applicable</t>
        </is>
      </c>
      <c r="B21" s="38" t="inlineStr">
        <is>
          <t>Required</t>
        </is>
      </c>
      <c r="C21" s="38" t="inlineStr">
        <is>
          <t>Not Started</t>
        </is>
      </c>
      <c r="D21" s="38" t="inlineStr">
        <is>
          <t>Missing</t>
        </is>
      </c>
      <c r="E21" s="38" t="inlineStr">
        <is>
          <t>Unable to Conclude</t>
        </is>
      </c>
      <c r="F21" s="38" t="inlineStr">
        <is>
          <t>None</t>
        </is>
      </c>
      <c r="G21" s="39" t="inlineStr">
        <is>
          <t>Unsigned</t>
        </is>
      </c>
      <c r="H21" s="39">
        <f>IF(A21="Not Applicable - Fact Driven",IF(AND(C21="Not Performed",D21="Not Required",OR(F21="None",F21="Resolved",F21="Passed"),OR(G21="Prepared",G21="Reviewed"),LEFT(O21,6)="FACT:/",Q21&lt;&gt;""),"Valid N/A","Blocked"),IF(AND(B21="Recommended",C21="Not Performed",D21="Not Required",OR(F21="None",F21="Resolved",F21="Passed")),"Recommended - Not Performed",IF(C21&lt;&gt;"Performed","Open - "&amp;C21,IF(D21&lt;&gt;"Sufficient","Open - "&amp;D21&amp;" Evidence",IF(E21="Unable to Conclude","Open - Unable to Conclude",IF(AND(E21="Exception Identified",ISERROR(SEARCH("ISSUE:",P21))),"Open - Missing Issue ID",IF(AND(F21="Open",ISERROR(SEARCH("ISSUE:",P21))),"Open - Missing Issue ID",IF(OR(F21="Open",F21="Superseded"),"Open - "&amp;F21&amp;" Issue",IF(AND(E21="Exception Identified",NOT(OR(F21="Adjusted",F21="Passed",F21="Resolved"))),"Open - Undispositioned Exception",IF(OR(G21="Prepared",G21="Reviewed"),"Passed","Open - Unsigned"))))))))))</f>
        <v/>
      </c>
      <c r="I21" s="39" t="inlineStr">
        <is>
          <t>12. Agree the bank balance to the confirmation/statement and the book balance to the GL.</t>
        </is>
      </c>
      <c r="J21" s="39" t="inlineStr">
        <is>
          <t>Existence; Valuation</t>
        </is>
      </c>
      <c r="K21" s="39" t="inlineStr">
        <is>
          <t>&lt;.3&gt;</t>
        </is>
      </c>
      <c r="L21" s="39" t="n"/>
      <c r="M21" s="40" t="n"/>
      <c r="N21" s="39" t="n"/>
      <c r="O21" s="39" t="n"/>
      <c r="P21" s="39" t="inlineStr">
        <is>
          <t>PROC:PROC-CASH; WINDOW:WIN-CONFIRMATION-CONTROL</t>
        </is>
      </c>
      <c r="Q21" s="39" t="n"/>
    </row>
    <row r="22" ht="120" customHeight="1">
      <c r="A22" s="38" t="inlineStr">
        <is>
          <t>Applicable</t>
        </is>
      </c>
      <c r="B22" s="38" t="inlineStr">
        <is>
          <t>Required</t>
        </is>
      </c>
      <c r="C22" s="38" t="inlineStr">
        <is>
          <t>Not Started</t>
        </is>
      </c>
      <c r="D22" s="38" t="inlineStr">
        <is>
          <t>Missing</t>
        </is>
      </c>
      <c r="E22" s="38" t="inlineStr">
        <is>
          <t>Unable to Conclude</t>
        </is>
      </c>
      <c r="F22" s="38" t="inlineStr">
        <is>
          <t>None</t>
        </is>
      </c>
      <c r="G22" s="39" t="inlineStr">
        <is>
          <t>Unsigned</t>
        </is>
      </c>
      <c r="H22" s="39">
        <f>IF(A22="Not Applicable - Fact Driven",IF(AND(C22="Not Performed",D22="Not Required",OR(F22="None",F22="Resolved",F22="Passed"),OR(G22="Prepared",G22="Reviewed"),LEFT(O22,6)="FACT:/",Q22&lt;&gt;""),"Valid N/A","Blocked"),IF(AND(B22="Recommended",C22="Not Performed",D22="Not Required",OR(F22="None",F22="Resolved",F22="Passed")),"Recommended - Not Performed",IF(C22&lt;&gt;"Performed","Open - "&amp;C22,IF(D22&lt;&gt;"Sufficient","Open - "&amp;D22&amp;" Evidence",IF(E22="Unable to Conclude","Open - Unable to Conclude",IF(AND(E22="Exception Identified",ISERROR(SEARCH("ISSUE:",P22))),"Open - Missing Issue ID",IF(AND(F22="Open",ISERROR(SEARCH("ISSUE:",P22))),"Open - Missing Issue ID",IF(OR(F22="Open",F22="Superseded"),"Open - "&amp;F22&amp;" Issue",IF(AND(E22="Exception Identified",NOT(OR(F22="Adjusted",F22="Passed",F22="Resolved"))),"Open - Undispositioned Exception",IF(OR(G22="Prepared",G22="Reviewed"),"Passed","Open - Unsigned"))))))))))</f>
        <v/>
      </c>
      <c r="I22" s="39" t="inlineStr">
        <is>
          <t>13. Test the reconciling items — deposits in transit, outstanding checks, transfers in transit and other items — to supporting documentation.</t>
        </is>
      </c>
      <c r="J22" s="39" t="inlineStr">
        <is>
          <t>Valuation; Cutoff</t>
        </is>
      </c>
      <c r="K22" s="39" t="inlineStr">
        <is>
          <t>&lt;.3&gt;</t>
        </is>
      </c>
      <c r="L22" s="39" t="n"/>
      <c r="M22" s="40" t="n"/>
      <c r="N22" s="39" t="n"/>
      <c r="O22" s="39" t="n"/>
      <c r="P22" s="39" t="inlineStr">
        <is>
          <t>PROC:PROC-CASH</t>
        </is>
      </c>
      <c r="Q22" s="39" t="n"/>
    </row>
    <row r="23" ht="120" customHeight="1">
      <c r="A23" s="38" t="inlineStr">
        <is>
          <t>Applicable</t>
        </is>
      </c>
      <c r="B23" s="38" t="inlineStr">
        <is>
          <t>Required</t>
        </is>
      </c>
      <c r="C23" s="38" t="inlineStr">
        <is>
          <t>Not Started</t>
        </is>
      </c>
      <c r="D23" s="38" t="inlineStr">
        <is>
          <t>Missing</t>
        </is>
      </c>
      <c r="E23" s="38" t="inlineStr">
        <is>
          <t>Unable to Conclude</t>
        </is>
      </c>
      <c r="F23" s="38" t="inlineStr">
        <is>
          <t>None</t>
        </is>
      </c>
      <c r="G23" s="39" t="inlineStr">
        <is>
          <t>Unsigned</t>
        </is>
      </c>
      <c r="H23" s="39">
        <f>IF(A23="Not Applicable - Fact Driven",IF(AND(C23="Not Performed",D23="Not Required",OR(F23="None",F23="Resolved",F23="Passed"),OR(G23="Prepared",G23="Reviewed"),LEFT(O23,6)="FACT:/",Q23&lt;&gt;""),"Valid N/A","Blocked"),IF(AND(B23="Recommended",C23="Not Performed",D23="Not Required",OR(F23="None",F23="Resolved",F23="Passed")),"Recommended - Not Performed",IF(C23&lt;&gt;"Performed","Open - "&amp;C23,IF(D23&lt;&gt;"Sufficient","Open - "&amp;D23&amp;" Evidence",IF(E23="Unable to Conclude","Open - Unable to Conclude",IF(AND(E23="Exception Identified",ISERROR(SEARCH("ISSUE:",P23))),"Open - Missing Issue ID",IF(AND(F23="Open",ISERROR(SEARCH("ISSUE:",P23))),"Open - Missing Issue ID",IF(OR(F23="Open",F23="Superseded"),"Open - "&amp;F23&amp;" Issue",IF(AND(E23="Exception Identified",NOT(OR(F23="Adjusted",F23="Passed",F23="Resolved"))),"Open - Undispositioned Exception",IF(OR(G23="Prepared",G23="Reviewed"),"Passed","Open - Unsigned"))))))))))</f>
        <v/>
      </c>
      <c r="I23" s="39" t="inlineStr">
        <is>
          <t>14. Recompute the reconciliation and investigate old, unusual or unsupported reconciling items.</t>
        </is>
      </c>
      <c r="J23" s="39" t="inlineStr">
        <is>
          <t>Valuation; Completeness</t>
        </is>
      </c>
      <c r="K23" s="39" t="inlineStr">
        <is>
          <t>&lt;.3&gt;</t>
        </is>
      </c>
      <c r="L23" s="39" t="n"/>
      <c r="M23" s="40" t="n"/>
      <c r="N23" s="39" t="n"/>
      <c r="O23" s="39" t="n"/>
      <c r="P23" s="39" t="inlineStr">
        <is>
          <t>PROC:PROC-CASH</t>
        </is>
      </c>
      <c r="Q23" s="39" t="n"/>
    </row>
    <row r="24" ht="15" customHeight="1">
      <c r="A24" s="36" t="n"/>
      <c r="B24" s="32" t="n"/>
      <c r="C24" s="32" t="n"/>
      <c r="D24" s="32" t="n"/>
      <c r="E24" s="32" t="n"/>
      <c r="F24" s="32" t="n"/>
      <c r="G24" s="32" t="n"/>
      <c r="H24" s="32" t="n"/>
      <c r="I24" s="37" t="inlineStr">
        <is>
          <t>&lt;.4&gt; Outstanding Checks</t>
        </is>
      </c>
      <c r="J24" s="32" t="n"/>
      <c r="K24" s="32" t="n"/>
      <c r="L24" s="32" t="n"/>
      <c r="M24" s="32" t="n"/>
      <c r="N24" s="32" t="n"/>
      <c r="O24" s="32" t="n"/>
      <c r="P24" s="32" t="n"/>
      <c r="Q24" s="32" t="n"/>
    </row>
    <row r="25" ht="120" customHeight="1">
      <c r="A25" s="38" t="inlineStr">
        <is>
          <t>Applicable</t>
        </is>
      </c>
      <c r="B25" s="38" t="inlineStr">
        <is>
          <t>Required</t>
        </is>
      </c>
      <c r="C25" s="38" t="inlineStr">
        <is>
          <t>Not Started</t>
        </is>
      </c>
      <c r="D25" s="38" t="inlineStr">
        <is>
          <t>Missing</t>
        </is>
      </c>
      <c r="E25" s="38" t="inlineStr">
        <is>
          <t>Unable to Conclude</t>
        </is>
      </c>
      <c r="F25" s="38" t="inlineStr">
        <is>
          <t>None</t>
        </is>
      </c>
      <c r="G25" s="39" t="inlineStr">
        <is>
          <t>Unsigned</t>
        </is>
      </c>
      <c r="H25" s="39">
        <f>IF(A25="Not Applicable - Fact Driven",IF(AND(C25="Not Performed",D25="Not Required",OR(F25="None",F25="Resolved",F25="Passed"),OR(G25="Prepared",G25="Reviewed"),LEFT(O25,6)="FACT:/",Q25&lt;&gt;""),"Valid N/A","Blocked"),IF(AND(B25="Recommended",C25="Not Performed",D25="Not Required",OR(F25="None",F25="Resolved",F25="Passed")),"Recommended - Not Performed",IF(C25&lt;&gt;"Performed","Open - "&amp;C25,IF(D25&lt;&gt;"Sufficient","Open - "&amp;D25&amp;" Evidence",IF(E25="Unable to Conclude","Open - Unable to Conclude",IF(AND(E25="Exception Identified",ISERROR(SEARCH("ISSUE:",P25))),"Open - Missing Issue ID",IF(AND(F25="Open",ISERROR(SEARCH("ISSUE:",P25))),"Open - Missing Issue ID",IF(OR(F25="Open",F25="Superseded"),"Open - "&amp;F25&amp;" Issue",IF(AND(E25="Exception Identified",NOT(OR(F25="Adjusted",F25="Passed",F25="Resolved"))),"Open - Undispositioned Exception",IF(OR(G25="Prepared",G25="Reviewed"),"Passed","Open - Unsigned"))))))))))</f>
        <v/>
      </c>
      <c r="I25" s="39" t="inlineStr">
        <is>
          <t>15. Existence — select outstanding checks from the year-end list on a sample basis and trace each to the subsequent (cutoff) bank statement to confirm it cleared.</t>
        </is>
      </c>
      <c r="J25" s="39" t="inlineStr">
        <is>
          <t>Existence; Cutoff</t>
        </is>
      </c>
      <c r="K25" s="39" t="inlineStr">
        <is>
          <t>&lt;.4&gt;</t>
        </is>
      </c>
      <c r="L25" s="39" t="n"/>
      <c r="M25" s="40" t="n"/>
      <c r="N25" s="39" t="n"/>
      <c r="O25" s="39" t="n"/>
      <c r="P25" s="39" t="inlineStr">
        <is>
          <t>PROC:PROC-CASH; WINDOW:WIN-CASH-CUTOFF</t>
        </is>
      </c>
      <c r="Q25" s="39" t="n"/>
    </row>
    <row r="26" ht="120" customHeight="1">
      <c r="A26" s="38" t="inlineStr">
        <is>
          <t>Applicable</t>
        </is>
      </c>
      <c r="B26" s="38" t="inlineStr">
        <is>
          <t>Required</t>
        </is>
      </c>
      <c r="C26" s="38" t="inlineStr">
        <is>
          <t>Not Started</t>
        </is>
      </c>
      <c r="D26" s="38" t="inlineStr">
        <is>
          <t>Missing</t>
        </is>
      </c>
      <c r="E26" s="38" t="inlineStr">
        <is>
          <t>Unable to Conclude</t>
        </is>
      </c>
      <c r="F26" s="38" t="inlineStr">
        <is>
          <t>None</t>
        </is>
      </c>
      <c r="G26" s="39" t="inlineStr">
        <is>
          <t>Unsigned</t>
        </is>
      </c>
      <c r="H26" s="39">
        <f>IF(A26="Not Applicable - Fact Driven",IF(AND(C26="Not Performed",D26="Not Required",OR(F26="None",F26="Resolved",F26="Passed"),OR(G26="Prepared",G26="Reviewed"),LEFT(O26,6)="FACT:/",Q26&lt;&gt;""),"Valid N/A","Blocked"),IF(AND(B26="Recommended",C26="Not Performed",D26="Not Required",OR(F26="None",F26="Resolved",F26="Passed")),"Recommended - Not Performed",IF(C26&lt;&gt;"Performed","Open - "&amp;C26,IF(D26&lt;&gt;"Sufficient","Open - "&amp;D26&amp;" Evidence",IF(E26="Unable to Conclude","Open - Unable to Conclude",IF(AND(E26="Exception Identified",ISERROR(SEARCH("ISSUE:",P26))),"Open - Missing Issue ID",IF(AND(F26="Open",ISERROR(SEARCH("ISSUE:",P26))),"Open - Missing Issue ID",IF(OR(F26="Open",F26="Superseded"),"Open - "&amp;F26&amp;" Issue",IF(AND(E26="Exception Identified",NOT(OR(F26="Adjusted",F26="Passed",F26="Resolved"))),"Open - Undispositioned Exception",IF(OR(G26="Prepared",G26="Reviewed"),"Passed","Open - Unsigned"))))))))))</f>
        <v/>
      </c>
      <c r="I26" s="39" t="inlineStr">
        <is>
          <t>16. Completeness — select at least 5–10 checks that cleared in the subsequent-period bank statement (regardless of population) and trace back to the year-end outstanding-check list.</t>
        </is>
      </c>
      <c r="J26" s="39" t="inlineStr">
        <is>
          <t>Completeness; Cutoff</t>
        </is>
      </c>
      <c r="K26" s="39" t="inlineStr">
        <is>
          <t>&lt;.4&gt;</t>
        </is>
      </c>
      <c r="L26" s="39" t="n"/>
      <c r="M26" s="40" t="n"/>
      <c r="N26" s="39" t="n"/>
      <c r="O26" s="39" t="n"/>
      <c r="P26" s="39" t="inlineStr">
        <is>
          <t>PROC:PROC-CASH; WINDOW:WIN-CASH-CUTOFF</t>
        </is>
      </c>
      <c r="Q26" s="39" t="n"/>
    </row>
    <row r="27" ht="120" customHeight="1">
      <c r="A27" s="38" t="inlineStr">
        <is>
          <t>Applicable</t>
        </is>
      </c>
      <c r="B27" s="38" t="inlineStr">
        <is>
          <t>Required</t>
        </is>
      </c>
      <c r="C27" s="38" t="inlineStr">
        <is>
          <t>Not Started</t>
        </is>
      </c>
      <c r="D27" s="38" t="inlineStr">
        <is>
          <t>Missing</t>
        </is>
      </c>
      <c r="E27" s="38" t="inlineStr">
        <is>
          <t>Unable to Conclude</t>
        </is>
      </c>
      <c r="F27" s="38" t="inlineStr">
        <is>
          <t>None</t>
        </is>
      </c>
      <c r="G27" s="39" t="inlineStr">
        <is>
          <t>Unsigned</t>
        </is>
      </c>
      <c r="H27" s="39">
        <f>IF(A27="Not Applicable - Fact Driven",IF(AND(C27="Not Performed",D27="Not Required",OR(F27="None",F27="Resolved",F27="Passed"),OR(G27="Prepared",G27="Reviewed"),LEFT(O27,6)="FACT:/",Q27&lt;&gt;""),"Valid N/A","Blocked"),IF(AND(B27="Recommended",C27="Not Performed",D27="Not Required",OR(F27="None",F27="Resolved",F27="Passed")),"Recommended - Not Performed",IF(C27&lt;&gt;"Performed","Open - "&amp;C27,IF(D27&lt;&gt;"Sufficient","Open - "&amp;D27&amp;" Evidence",IF(E27="Unable to Conclude","Open - Unable to Conclude",IF(AND(E27="Exception Identified",ISERROR(SEARCH("ISSUE:",P27))),"Open - Missing Issue ID",IF(AND(F27="Open",ISERROR(SEARCH("ISSUE:",P27))),"Open - Missing Issue ID",IF(OR(F27="Open",F27="Superseded"),"Open - "&amp;F27&amp;" Issue",IF(AND(E27="Exception Identified",NOT(OR(F27="Adjusted",F27="Passed",F27="Resolved"))),"Open - Undispositioned Exception",IF(OR(G27="Prepared",G27="Reviewed"),"Passed","Open - Unsigned"))))))))))</f>
        <v/>
      </c>
      <c r="I27" s="39" t="inlineStr">
        <is>
          <t>17. Obtain the full outstanding-check register (not an aggregated figure) and investigate stale-dated or voided checks.</t>
        </is>
      </c>
      <c r="J27" s="39" t="inlineStr">
        <is>
          <t>Completeness; Valuation</t>
        </is>
      </c>
      <c r="K27" s="39" t="inlineStr">
        <is>
          <t>&lt;.4&gt;</t>
        </is>
      </c>
      <c r="L27" s="39" t="n"/>
      <c r="M27" s="40" t="n"/>
      <c r="N27" s="39" t="n"/>
      <c r="O27" s="39" t="n"/>
      <c r="P27" s="39" t="inlineStr">
        <is>
          <t>PROC:PROC-CASH</t>
        </is>
      </c>
      <c r="Q27" s="39" t="n"/>
    </row>
    <row r="28" ht="15" customHeight="1">
      <c r="A28" s="36" t="n"/>
      <c r="B28" s="32" t="n"/>
      <c r="C28" s="32" t="n"/>
      <c r="D28" s="32" t="n"/>
      <c r="E28" s="32" t="n"/>
      <c r="F28" s="32" t="n"/>
      <c r="G28" s="32" t="n"/>
      <c r="H28" s="32" t="n"/>
      <c r="I28" s="37" t="inlineStr">
        <is>
          <t>&lt;.5&gt; Cutoff Procedures</t>
        </is>
      </c>
      <c r="J28" s="32" t="n"/>
      <c r="K28" s="32" t="n"/>
      <c r="L28" s="32" t="n"/>
      <c r="M28" s="32" t="n"/>
      <c r="N28" s="32" t="n"/>
      <c r="O28" s="32" t="n"/>
      <c r="P28" s="32" t="n"/>
      <c r="Q28" s="32" t="n"/>
    </row>
    <row r="29" ht="120" customHeight="1">
      <c r="A29" s="38" t="inlineStr">
        <is>
          <t>Applicable</t>
        </is>
      </c>
      <c r="B29" s="38" t="inlineStr">
        <is>
          <t>Required</t>
        </is>
      </c>
      <c r="C29" s="38" t="inlineStr">
        <is>
          <t>Not Started</t>
        </is>
      </c>
      <c r="D29" s="38" t="inlineStr">
        <is>
          <t>Missing</t>
        </is>
      </c>
      <c r="E29" s="38" t="inlineStr">
        <is>
          <t>Unable to Conclude</t>
        </is>
      </c>
      <c r="F29" s="38" t="inlineStr">
        <is>
          <t>None</t>
        </is>
      </c>
      <c r="G29" s="39" t="inlineStr">
        <is>
          <t>Unsigned</t>
        </is>
      </c>
      <c r="H29" s="39">
        <f>IF(A29="Not Applicable - Fact Driven",IF(AND(C29="Not Performed",D29="Not Required",OR(F29="None",F29="Resolved",F29="Passed"),OR(G29="Prepared",G29="Reviewed"),LEFT(O29,6)="FACT:/",Q29&lt;&gt;""),"Valid N/A","Blocked"),IF(AND(B29="Recommended",C29="Not Performed",D29="Not Required",OR(F29="None",F29="Resolved",F29="Passed")),"Recommended - Not Performed",IF(C29&lt;&gt;"Performed","Open - "&amp;C29,IF(D29&lt;&gt;"Sufficient","Open - "&amp;D29&amp;" Evidence",IF(E29="Unable to Conclude","Open - Unable to Conclude",IF(AND(E29="Exception Identified",ISERROR(SEARCH("ISSUE:",P29))),"Open - Missing Issue ID",IF(AND(F29="Open",ISERROR(SEARCH("ISSUE:",P29))),"Open - Missing Issue ID",IF(OR(F29="Open",F29="Superseded"),"Open - "&amp;F29&amp;" Issue",IF(AND(E29="Exception Identified",NOT(OR(F29="Adjusted",F29="Passed",F29="Resolved"))),"Open - Undispositioned Exception",IF(OR(G29="Prepared",G29="Reviewed"),"Passed","Open - Unsigned"))))))))))</f>
        <v/>
      </c>
      <c r="I29" s="39" t="inlineStr">
        <is>
          <t>18. Obtain the complete subsequent-period (e.g., full January) cutoff bank statement.</t>
        </is>
      </c>
      <c r="J29" s="39" t="inlineStr">
        <is>
          <t>Cutoff; Completeness</t>
        </is>
      </c>
      <c r="K29" s="39" t="inlineStr">
        <is>
          <t>&lt;.5&gt;</t>
        </is>
      </c>
      <c r="L29" s="39" t="n"/>
      <c r="M29" s="40" t="n"/>
      <c r="N29" s="39" t="n"/>
      <c r="O29" s="39" t="n"/>
      <c r="P29" s="39" t="inlineStr">
        <is>
          <t>PROC:PROC-CASH; WINDOW:WIN-CASH-CUTOFF</t>
        </is>
      </c>
      <c r="Q29" s="39" t="n"/>
    </row>
    <row r="30" ht="120" customHeight="1">
      <c r="A30" s="38" t="inlineStr">
        <is>
          <t>Applicable</t>
        </is>
      </c>
      <c r="B30" s="38" t="inlineStr">
        <is>
          <t>Required</t>
        </is>
      </c>
      <c r="C30" s="38" t="inlineStr">
        <is>
          <t>Not Started</t>
        </is>
      </c>
      <c r="D30" s="38" t="inlineStr">
        <is>
          <t>Missing</t>
        </is>
      </c>
      <c r="E30" s="38" t="inlineStr">
        <is>
          <t>Unable to Conclude</t>
        </is>
      </c>
      <c r="F30" s="38" t="inlineStr">
        <is>
          <t>None</t>
        </is>
      </c>
      <c r="G30" s="39" t="inlineStr">
        <is>
          <t>Unsigned</t>
        </is>
      </c>
      <c r="H30" s="39">
        <f>IF(A30="Not Applicable - Fact Driven",IF(AND(C30="Not Performed",D30="Not Required",OR(F30="None",F30="Resolved",F30="Passed"),OR(G30="Prepared",G30="Reviewed"),LEFT(O30,6)="FACT:/",Q30&lt;&gt;""),"Valid N/A","Blocked"),IF(AND(B30="Recommended",C30="Not Performed",D30="Not Required",OR(F30="None",F30="Resolved",F30="Passed")),"Recommended - Not Performed",IF(C30&lt;&gt;"Performed","Open - "&amp;C30,IF(D30&lt;&gt;"Sufficient","Open - "&amp;D30&amp;" Evidence",IF(E30="Unable to Conclude","Open - Unable to Conclude",IF(AND(E30="Exception Identified",ISERROR(SEARCH("ISSUE:",P30))),"Open - Missing Issue ID",IF(AND(F30="Open",ISERROR(SEARCH("ISSUE:",P30))),"Open - Missing Issue ID",IF(OR(F30="Open",F30="Superseded"),"Open - "&amp;F30&amp;" Issue",IF(AND(E30="Exception Identified",NOT(OR(F30="Adjusted",F30="Passed",F30="Resolved"))),"Open - Undispositioned Exception",IF(OR(G30="Prepared",G30="Reviewed"),"Passed","Open - Unsigned"))))))))))</f>
        <v/>
      </c>
      <c r="I30" s="39" t="inlineStr">
        <is>
          <t>19. Trace outstanding checks and deposits in transit to the cutoff statement to confirm they cleared in the proper period.</t>
        </is>
      </c>
      <c r="J30" s="39" t="inlineStr">
        <is>
          <t>Cutoff</t>
        </is>
      </c>
      <c r="K30" s="39" t="inlineStr">
        <is>
          <t>&lt;.5&gt;</t>
        </is>
      </c>
      <c r="L30" s="39" t="n"/>
      <c r="M30" s="40" t="n"/>
      <c r="N30" s="39" t="n"/>
      <c r="O30" s="39" t="n"/>
      <c r="P30" s="39" t="inlineStr">
        <is>
          <t>PROC:PROC-CASH; WINDOW:WIN-CASH-CUTOFF</t>
        </is>
      </c>
      <c r="Q30" s="39" t="n"/>
    </row>
    <row r="31" ht="120" customHeight="1">
      <c r="A31" s="38" t="inlineStr">
        <is>
          <t>Applicable</t>
        </is>
      </c>
      <c r="B31" s="38" t="inlineStr">
        <is>
          <t>Required</t>
        </is>
      </c>
      <c r="C31" s="38" t="inlineStr">
        <is>
          <t>Not Started</t>
        </is>
      </c>
      <c r="D31" s="38" t="inlineStr">
        <is>
          <t>Missing</t>
        </is>
      </c>
      <c r="E31" s="38" t="inlineStr">
        <is>
          <t>Unable to Conclude</t>
        </is>
      </c>
      <c r="F31" s="38" t="inlineStr">
        <is>
          <t>None</t>
        </is>
      </c>
      <c r="G31" s="39" t="inlineStr">
        <is>
          <t>Unsigned</t>
        </is>
      </c>
      <c r="H31" s="39">
        <f>IF(A31="Not Applicable - Fact Driven",IF(AND(C31="Not Performed",D31="Not Required",OR(F31="None",F31="Resolved",F31="Passed"),OR(G31="Prepared",G31="Reviewed"),LEFT(O31,6)="FACT:/",Q31&lt;&gt;""),"Valid N/A","Blocked"),IF(AND(B31="Recommended",C31="Not Performed",D31="Not Required",OR(F31="None",F31="Resolved",F31="Passed")),"Recommended - Not Performed",IF(C31&lt;&gt;"Performed","Open - "&amp;C31,IF(D31&lt;&gt;"Sufficient","Open - "&amp;D31&amp;" Evidence",IF(E31="Unable to Conclude","Open - Unable to Conclude",IF(AND(E31="Exception Identified",ISERROR(SEARCH("ISSUE:",P31))),"Open - Missing Issue ID",IF(AND(F31="Open",ISERROR(SEARCH("ISSUE:",P31))),"Open - Missing Issue ID",IF(OR(F31="Open",F31="Superseded"),"Open - "&amp;F31&amp;" Issue",IF(AND(E31="Exception Identified",NOT(OR(F31="Adjusted",F31="Passed",F31="Resolved"))),"Open - Undispositioned Exception",IF(OR(G31="Prepared",G31="Reviewed"),"Passed","Open - Unsigned"))))))))))</f>
        <v/>
      </c>
      <c r="I31" s="39" t="inlineStr">
        <is>
          <t>20. Review interaccount transfers around period-end, confirm both sides are recorded in the correct period, and prepare an inter-bank transfer (kiting) schedule.</t>
        </is>
      </c>
      <c r="J31" s="39" t="inlineStr">
        <is>
          <t>Cutoff; Completeness</t>
        </is>
      </c>
      <c r="K31" s="39" t="inlineStr">
        <is>
          <t>&lt;.5&gt;</t>
        </is>
      </c>
      <c r="L31" s="39" t="n"/>
      <c r="M31" s="40" t="n"/>
      <c r="N31" s="39" t="n"/>
      <c r="O31" s="39" t="n"/>
      <c r="P31" s="39" t="inlineStr">
        <is>
          <t>PROC:PROC-CASH</t>
        </is>
      </c>
      <c r="Q31" s="39" t="n"/>
    </row>
    <row r="32" ht="120" customHeight="1">
      <c r="A32" s="38" t="inlineStr">
        <is>
          <t>Applicable</t>
        </is>
      </c>
      <c r="B32" s="38" t="inlineStr">
        <is>
          <t>Required</t>
        </is>
      </c>
      <c r="C32" s="38" t="inlineStr">
        <is>
          <t>Not Started</t>
        </is>
      </c>
      <c r="D32" s="38" t="inlineStr">
        <is>
          <t>Missing</t>
        </is>
      </c>
      <c r="E32" s="38" t="inlineStr">
        <is>
          <t>Unable to Conclude</t>
        </is>
      </c>
      <c r="F32" s="38" t="inlineStr">
        <is>
          <t>None</t>
        </is>
      </c>
      <c r="G32" s="39" t="inlineStr">
        <is>
          <t>Unsigned</t>
        </is>
      </c>
      <c r="H32" s="39">
        <f>IF(A32="Not Applicable - Fact Driven",IF(AND(C32="Not Performed",D32="Not Required",OR(F32="None",F32="Resolved",F32="Passed"),OR(G32="Prepared",G32="Reviewed"),LEFT(O32,6)="FACT:/",Q32&lt;&gt;""),"Valid N/A","Blocked"),IF(AND(B32="Recommended",C32="Not Performed",D32="Not Required",OR(F32="None",F32="Resolved",F32="Passed")),"Recommended - Not Performed",IF(C32&lt;&gt;"Performed","Open - "&amp;C32,IF(D32&lt;&gt;"Sufficient","Open - "&amp;D32&amp;" Evidence",IF(E32="Unable to Conclude","Open - Unable to Conclude",IF(AND(E32="Exception Identified",ISERROR(SEARCH("ISSUE:",P32))),"Open - Missing Issue ID",IF(AND(F32="Open",ISERROR(SEARCH("ISSUE:",P32))),"Open - Missing Issue ID",IF(OR(F32="Open",F32="Superseded"),"Open - "&amp;F32&amp;" Issue",IF(AND(E32="Exception Identified",NOT(OR(F32="Adjusted",F32="Passed",F32="Resolved"))),"Open - Undispositioned Exception",IF(OR(G32="Prepared",G32="Reviewed"),"Passed","Open - Unsigned"))))))))))</f>
        <v/>
      </c>
      <c r="I32" s="39" t="inlineStr">
        <is>
          <t>21. Scan subsequent-period cash activity for items that should be recorded at period-end.</t>
        </is>
      </c>
      <c r="J32" s="39" t="inlineStr">
        <is>
          <t>Completeness; Cutoff</t>
        </is>
      </c>
      <c r="K32" s="39" t="inlineStr">
        <is>
          <t>&lt;.5&gt;</t>
        </is>
      </c>
      <c r="L32" s="39" t="n"/>
      <c r="M32" s="40" t="n"/>
      <c r="N32" s="39" t="n"/>
      <c r="O32" s="39" t="n"/>
      <c r="P32" s="39" t="inlineStr">
        <is>
          <t>PROC:PROC-CASH; WINDOW:WIN-CASH-CUTOFF</t>
        </is>
      </c>
      <c r="Q32" s="39" t="n"/>
    </row>
    <row r="33" ht="15" customHeight="1">
      <c r="A33" s="36" t="n"/>
      <c r="B33" s="32" t="n"/>
      <c r="C33" s="32" t="n"/>
      <c r="D33" s="32" t="n"/>
      <c r="E33" s="32" t="n"/>
      <c r="F33" s="32" t="n"/>
      <c r="G33" s="32" t="n"/>
      <c r="H33" s="32" t="n"/>
      <c r="I33" s="37" t="inlineStr">
        <is>
          <t>&lt;.6&gt; Financial Condition of Depositories</t>
        </is>
      </c>
      <c r="J33" s="32" t="n"/>
      <c r="K33" s="32" t="n"/>
      <c r="L33" s="32" t="n"/>
      <c r="M33" s="32" t="n"/>
      <c r="N33" s="32" t="n"/>
      <c r="O33" s="32" t="n"/>
      <c r="P33" s="32" t="n"/>
      <c r="Q33" s="32" t="n"/>
    </row>
    <row r="34" ht="120" customHeight="1">
      <c r="A34" s="38" t="inlineStr">
        <is>
          <t>Applicable</t>
        </is>
      </c>
      <c r="B34" s="38" t="inlineStr">
        <is>
          <t>Required</t>
        </is>
      </c>
      <c r="C34" s="38" t="inlineStr">
        <is>
          <t>Not Started</t>
        </is>
      </c>
      <c r="D34" s="38" t="inlineStr">
        <is>
          <t>Missing</t>
        </is>
      </c>
      <c r="E34" s="38" t="inlineStr">
        <is>
          <t>Unable to Conclude</t>
        </is>
      </c>
      <c r="F34" s="38" t="inlineStr">
        <is>
          <t>None</t>
        </is>
      </c>
      <c r="G34" s="39" t="inlineStr">
        <is>
          <t>Unsigned</t>
        </is>
      </c>
      <c r="H34" s="39">
        <f>IF(A34="Not Applicable - Fact Driven",IF(AND(C34="Not Performed",D34="Not Required",OR(F34="None",F34="Resolved",F34="Passed"),OR(G34="Prepared",G34="Reviewed"),LEFT(O34,6)="FACT:/",Q34&lt;&gt;""),"Valid N/A","Blocked"),IF(AND(B34="Recommended",C34="Not Performed",D34="Not Required",OR(F34="None",F34="Resolved",F34="Passed")),"Recommended - Not Performed",IF(C34&lt;&gt;"Performed","Open - "&amp;C34,IF(D34&lt;&gt;"Sufficient","Open - "&amp;D34&amp;" Evidence",IF(E34="Unable to Conclude","Open - Unable to Conclude",IF(AND(E34="Exception Identified",ISERROR(SEARCH("ISSUE:",P34))),"Open - Missing Issue ID",IF(AND(F34="Open",ISERROR(SEARCH("ISSUE:",P34))),"Open - Missing Issue ID",IF(OR(F34="Open",F34="Superseded"),"Open - "&amp;F34&amp;" Issue",IF(AND(E34="Exception Identified",NOT(OR(F34="Adjusted",F34="Passed",F34="Resolved"))),"Open - Undispositioned Exception",IF(OR(G34="Prepared",G34="Reviewed"),"Passed","Open - Unsigned"))))))))))</f>
        <v/>
      </c>
      <c r="I34" s="39" t="inlineStr">
        <is>
          <t>22. Assess the financial condition / creditworthiness of each depository (credit ratings, regulatory/capital data, recent news), particularly where uninsured balances are significant.</t>
        </is>
      </c>
      <c r="J34" s="39" t="inlineStr">
        <is>
          <t>Valuation</t>
        </is>
      </c>
      <c r="K34" s="39" t="inlineStr">
        <is>
          <t>&lt;.6&gt;</t>
        </is>
      </c>
      <c r="L34" s="39" t="n"/>
      <c r="M34" s="40" t="n"/>
      <c r="N34" s="39" t="n"/>
      <c r="O34" s="39" t="n"/>
      <c r="P34" s="39" t="inlineStr">
        <is>
          <t>PROC:PROC-CASH</t>
        </is>
      </c>
      <c r="Q34" s="39" t="n"/>
    </row>
    <row r="35" ht="120" customHeight="1">
      <c r="A35" s="38" t="inlineStr">
        <is>
          <t>Applicable</t>
        </is>
      </c>
      <c r="B35" s="38" t="inlineStr">
        <is>
          <t>Required</t>
        </is>
      </c>
      <c r="C35" s="38" t="inlineStr">
        <is>
          <t>Not Started</t>
        </is>
      </c>
      <c r="D35" s="38" t="inlineStr">
        <is>
          <t>Missing</t>
        </is>
      </c>
      <c r="E35" s="38" t="inlineStr">
        <is>
          <t>Unable to Conclude</t>
        </is>
      </c>
      <c r="F35" s="38" t="inlineStr">
        <is>
          <t>None</t>
        </is>
      </c>
      <c r="G35" s="39" t="inlineStr">
        <is>
          <t>Unsigned</t>
        </is>
      </c>
      <c r="H35" s="39">
        <f>IF(A35="Not Applicable - Fact Driven",IF(AND(C35="Not Performed",D35="Not Required",OR(F35="None",F35="Resolved",F35="Passed"),OR(G35="Prepared",G35="Reviewed"),LEFT(O35,6)="FACT:/",Q35&lt;&gt;""),"Valid N/A","Blocked"),IF(AND(B35="Recommended",C35="Not Performed",D35="Not Required",OR(F35="None",F35="Resolved",F35="Passed")),"Recommended - Not Performed",IF(C35&lt;&gt;"Performed","Open - "&amp;C35,IF(D35&lt;&gt;"Sufficient","Open - "&amp;D35&amp;" Evidence",IF(E35="Unable to Conclude","Open - Unable to Conclude",IF(AND(E35="Exception Identified",ISERROR(SEARCH("ISSUE:",P35))),"Open - Missing Issue ID",IF(AND(F35="Open",ISERROR(SEARCH("ISSUE:",P35))),"Open - Missing Issue ID",IF(OR(F35="Open",F35="Superseded"),"Open - "&amp;F35&amp;" Issue",IF(AND(E35="Exception Identified",NOT(OR(F35="Adjusted",F35="Passed",F35="Resolved"))),"Open - Undispositioned Exception",IF(OR(G35="Prepared",G35="Reviewed"),"Passed","Open - Unsigned"))))))))))</f>
        <v/>
      </c>
      <c r="I35" s="39" t="inlineStr">
        <is>
          <t>23. Evaluate the recoverability of uninsured balances and document concentration risk.</t>
        </is>
      </c>
      <c r="J35" s="39" t="inlineStr">
        <is>
          <t>Valuation; Presentation &amp; Disclosure</t>
        </is>
      </c>
      <c r="K35" s="39" t="inlineStr">
        <is>
          <t>&lt;.6&gt;</t>
        </is>
      </c>
      <c r="L35" s="39" t="n"/>
      <c r="M35" s="40" t="n"/>
      <c r="N35" s="39" t="n"/>
      <c r="O35" s="39" t="n"/>
      <c r="P35" s="39" t="inlineStr">
        <is>
          <t>PROC:PROC-CASH</t>
        </is>
      </c>
      <c r="Q35" s="39" t="n"/>
    </row>
    <row r="36" ht="15" customHeight="1">
      <c r="A36" s="36" t="n"/>
      <c r="B36" s="32" t="n"/>
      <c r="C36" s="32" t="n"/>
      <c r="D36" s="32" t="n"/>
      <c r="E36" s="32" t="n"/>
      <c r="F36" s="32" t="n"/>
      <c r="G36" s="32" t="n"/>
      <c r="H36" s="32" t="n"/>
      <c r="I36" s="37" t="inlineStr">
        <is>
          <t>&lt;.7&gt; Presentation &amp; Disclosure</t>
        </is>
      </c>
      <c r="J36" s="32" t="n"/>
      <c r="K36" s="32" t="n"/>
      <c r="L36" s="32" t="n"/>
      <c r="M36" s="32" t="n"/>
      <c r="N36" s="32" t="n"/>
      <c r="O36" s="32" t="n"/>
      <c r="P36" s="32" t="n"/>
      <c r="Q36" s="32" t="n"/>
    </row>
    <row r="37" ht="120" customHeight="1">
      <c r="A37" s="38" t="inlineStr">
        <is>
          <t>Applicable</t>
        </is>
      </c>
      <c r="B37" s="38" t="inlineStr">
        <is>
          <t>Required</t>
        </is>
      </c>
      <c r="C37" s="38" t="inlineStr">
        <is>
          <t>Not Started</t>
        </is>
      </c>
      <c r="D37" s="38" t="inlineStr">
        <is>
          <t>Missing</t>
        </is>
      </c>
      <c r="E37" s="38" t="inlineStr">
        <is>
          <t>Unable to Conclude</t>
        </is>
      </c>
      <c r="F37" s="38" t="inlineStr">
        <is>
          <t>None</t>
        </is>
      </c>
      <c r="G37" s="39" t="inlineStr">
        <is>
          <t>Unsigned</t>
        </is>
      </c>
      <c r="H37" s="39">
        <f>IF(A37="Not Applicable - Fact Driven",IF(AND(C37="Not Performed",D37="Not Required",OR(F37="None",F37="Resolved",F37="Passed"),OR(G37="Prepared",G37="Reviewed"),LEFT(O37,6)="FACT:/",Q37&lt;&gt;""),"Valid N/A","Blocked"),IF(AND(B37="Recommended",C37="Not Performed",D37="Not Required",OR(F37="None",F37="Resolved",F37="Passed")),"Recommended - Not Performed",IF(C37&lt;&gt;"Performed","Open - "&amp;C37,IF(D37&lt;&gt;"Sufficient","Open - "&amp;D37&amp;" Evidence",IF(E37="Unable to Conclude","Open - Unable to Conclude",IF(AND(E37="Exception Identified",ISERROR(SEARCH("ISSUE:",P37))),"Open - Missing Issue ID",IF(AND(F37="Open",ISERROR(SEARCH("ISSUE:",P37))),"Open - Missing Issue ID",IF(OR(F37="Open",F37="Superseded"),"Open - "&amp;F37&amp;" Issue",IF(AND(E37="Exception Identified",NOT(OR(F37="Adjusted",F37="Passed",F37="Resolved"))),"Open - Undispositioned Exception",IF(OR(G37="Prepared",G37="Reviewed"),"Passed","Open - Unsigned"))))))))))</f>
        <v/>
      </c>
      <c r="I37" s="39" t="inlineStr">
        <is>
          <t>24. Evaluate the concentration of cash at one institution and the related disclosure.</t>
        </is>
      </c>
      <c r="J37" s="39" t="inlineStr">
        <is>
          <t>Presentation &amp; Disclosure</t>
        </is>
      </c>
      <c r="K37" s="39" t="inlineStr">
        <is>
          <t>&lt;.7&gt;</t>
        </is>
      </c>
      <c r="L37" s="39" t="n"/>
      <c r="M37" s="40" t="n"/>
      <c r="N37" s="39" t="n"/>
      <c r="O37" s="39" t="n"/>
      <c r="P37" s="39" t="inlineStr">
        <is>
          <t>PROC:PROC-CASH</t>
        </is>
      </c>
      <c r="Q37" s="39" t="n"/>
    </row>
    <row r="38" ht="120" customHeight="1">
      <c r="A38" s="38" t="inlineStr">
        <is>
          <t>Applicable</t>
        </is>
      </c>
      <c r="B38" s="38" t="inlineStr">
        <is>
          <t>Required</t>
        </is>
      </c>
      <c r="C38" s="38" t="inlineStr">
        <is>
          <t>Not Started</t>
        </is>
      </c>
      <c r="D38" s="38" t="inlineStr">
        <is>
          <t>Missing</t>
        </is>
      </c>
      <c r="E38" s="38" t="inlineStr">
        <is>
          <t>Unable to Conclude</t>
        </is>
      </c>
      <c r="F38" s="38" t="inlineStr">
        <is>
          <t>None</t>
        </is>
      </c>
      <c r="G38" s="39" t="inlineStr">
        <is>
          <t>Unsigned</t>
        </is>
      </c>
      <c r="H38" s="39">
        <f>IF(A38="Not Applicable - Fact Driven",IF(AND(C38="Not Performed",D38="Not Required",OR(F38="None",F38="Resolved",F38="Passed"),OR(G38="Prepared",G38="Reviewed"),LEFT(O38,6)="FACT:/",Q38&lt;&gt;""),"Valid N/A","Blocked"),IF(AND(B38="Recommended",C38="Not Performed",D38="Not Required",OR(F38="None",F38="Resolved",F38="Passed")),"Recommended - Not Performed",IF(C38&lt;&gt;"Performed","Open - "&amp;C38,IF(D38&lt;&gt;"Sufficient","Open - "&amp;D38&amp;" Evidence",IF(E38="Unable to Conclude","Open - Unable to Conclude",IF(AND(E38="Exception Identified",ISERROR(SEARCH("ISSUE:",P38))),"Open - Missing Issue ID",IF(AND(F38="Open",ISERROR(SEARCH("ISSUE:",P38))),"Open - Missing Issue ID",IF(OR(F38="Open",F38="Superseded"),"Open - "&amp;F38&amp;" Issue",IF(AND(E38="Exception Identified",NOT(OR(F38="Adjusted",F38="Passed",F38="Resolved"))),"Open - Undispositioned Exception",IF(OR(G38="Prepared",G38="Reviewed"),"Passed","Open - Unsigned"))))))))))</f>
        <v/>
      </c>
      <c r="I38" s="39" t="inlineStr">
        <is>
          <t>25. Compute and disclose uninsured (above-FDIC) deposits.</t>
        </is>
      </c>
      <c r="J38" s="39" t="inlineStr">
        <is>
          <t>Presentation &amp; Disclosure</t>
        </is>
      </c>
      <c r="K38" s="39" t="inlineStr">
        <is>
          <t>&lt;.7&gt;</t>
        </is>
      </c>
      <c r="L38" s="39" t="n"/>
      <c r="M38" s="40" t="n"/>
      <c r="N38" s="39" t="n"/>
      <c r="O38" s="39" t="n"/>
      <c r="P38" s="39" t="inlineStr">
        <is>
          <t>PROC:PROC-CASH</t>
        </is>
      </c>
      <c r="Q38" s="39" t="n"/>
    </row>
    <row r="39" ht="120" customHeight="1">
      <c r="A39" s="38" t="inlineStr">
        <is>
          <t>Applicable</t>
        </is>
      </c>
      <c r="B39" s="38" t="inlineStr">
        <is>
          <t>Required</t>
        </is>
      </c>
      <c r="C39" s="38" t="inlineStr">
        <is>
          <t>Not Started</t>
        </is>
      </c>
      <c r="D39" s="38" t="inlineStr">
        <is>
          <t>Missing</t>
        </is>
      </c>
      <c r="E39" s="38" t="inlineStr">
        <is>
          <t>Unable to Conclude</t>
        </is>
      </c>
      <c r="F39" s="38" t="inlineStr">
        <is>
          <t>None</t>
        </is>
      </c>
      <c r="G39" s="39" t="inlineStr">
        <is>
          <t>Unsigned</t>
        </is>
      </c>
      <c r="H39" s="39">
        <f>IF(A39="Not Applicable - Fact Driven",IF(AND(C39="Not Performed",D39="Not Required",OR(F39="None",F39="Resolved",F39="Passed"),OR(G39="Prepared",G39="Reviewed"),LEFT(O39,6)="FACT:/",Q39&lt;&gt;""),"Valid N/A","Blocked"),IF(AND(B39="Recommended",C39="Not Performed",D39="Not Required",OR(F39="None",F39="Resolved",F39="Passed")),"Recommended - Not Performed",IF(C39&lt;&gt;"Performed","Open - "&amp;C39,IF(D39&lt;&gt;"Sufficient","Open - "&amp;D39&amp;" Evidence",IF(E39="Unable to Conclude","Open - Unable to Conclude",IF(AND(E39="Exception Identified",ISERROR(SEARCH("ISSUE:",P39))),"Open - Missing Issue ID",IF(AND(F39="Open",ISERROR(SEARCH("ISSUE:",P39))),"Open - Missing Issue ID",IF(OR(F39="Open",F39="Superseded"),"Open - "&amp;F39&amp;" Issue",IF(AND(E39="Exception Identified",NOT(OR(F39="Adjusted",F39="Passed",F39="Resolved"))),"Open - Undispositioned Exception",IF(OR(G39="Prepared",G39="Reviewed"),"Passed","Open - Unsigned"))))))))))</f>
        <v/>
      </c>
      <c r="I39" s="39" t="inlineStr">
        <is>
          <t>26. Determine whether any cash is restricted or pledged; obtain the restricted-cash / collateral schedule and the loan/security agreement.</t>
        </is>
      </c>
      <c r="J39" s="39" t="inlineStr">
        <is>
          <t>Classification; Presentation &amp; Disclosure</t>
        </is>
      </c>
      <c r="K39" s="39" t="inlineStr">
        <is>
          <t>&lt;.7&gt;</t>
        </is>
      </c>
      <c r="L39" s="39" t="n"/>
      <c r="M39" s="40" t="n"/>
      <c r="N39" s="39" t="n"/>
      <c r="O39" s="39" t="n"/>
      <c r="P39" s="39" t="inlineStr">
        <is>
          <t>PROC:PROC-CASH</t>
        </is>
      </c>
      <c r="Q39" s="39" t="n"/>
    </row>
    <row r="40" ht="120" customHeight="1">
      <c r="A40" s="38" t="inlineStr">
        <is>
          <t>Applicable</t>
        </is>
      </c>
      <c r="B40" s="38" t="inlineStr">
        <is>
          <t>Required</t>
        </is>
      </c>
      <c r="C40" s="38" t="inlineStr">
        <is>
          <t>Not Started</t>
        </is>
      </c>
      <c r="D40" s="38" t="inlineStr">
        <is>
          <t>Missing</t>
        </is>
      </c>
      <c r="E40" s="38" t="inlineStr">
        <is>
          <t>Unable to Conclude</t>
        </is>
      </c>
      <c r="F40" s="38" t="inlineStr">
        <is>
          <t>None</t>
        </is>
      </c>
      <c r="G40" s="39" t="inlineStr">
        <is>
          <t>Unsigned</t>
        </is>
      </c>
      <c r="H40" s="39">
        <f>IF(A40="Not Applicable - Fact Driven",IF(AND(C40="Not Performed",D40="Not Required",OR(F40="None",F40="Resolved",F40="Passed"),OR(G40="Prepared",G40="Reviewed"),LEFT(O40,6)="FACT:/",Q40&lt;&gt;""),"Valid N/A","Blocked"),IF(AND(B40="Recommended",C40="Not Performed",D40="Not Required",OR(F40="None",F40="Resolved",F40="Passed")),"Recommended - Not Performed",IF(C40&lt;&gt;"Performed","Open - "&amp;C40,IF(D40&lt;&gt;"Sufficient","Open - "&amp;D40&amp;" Evidence",IF(E40="Unable to Conclude","Open - Unable to Conclude",IF(AND(E40="Exception Identified",ISERROR(SEARCH("ISSUE:",P40))),"Open - Missing Issue ID",IF(AND(F40="Open",ISERROR(SEARCH("ISSUE:",P40))),"Open - Missing Issue ID",IF(OR(F40="Open",F40="Superseded"),"Open - "&amp;F40&amp;" Issue",IF(AND(E40="Exception Identified",NOT(OR(F40="Adjusted",F40="Passed",F40="Resolved"))),"Open - Undispositioned Exception",IF(OR(G40="Prepared",G40="Reviewed"),"Passed","Open - Unsigned"))))))))))</f>
        <v/>
      </c>
      <c r="I40" s="39" t="inlineStr">
        <is>
          <t>27. Assess classification of reserve/designated cash, bank overdrafts (reclassify to liabilities) and compensating balances.</t>
        </is>
      </c>
      <c r="J40" s="39" t="inlineStr">
        <is>
          <t>Classification</t>
        </is>
      </c>
      <c r="K40" s="39" t="inlineStr">
        <is>
          <t>&lt;.7&gt;</t>
        </is>
      </c>
      <c r="L40" s="39" t="n"/>
      <c r="M40" s="40" t="n"/>
      <c r="N40" s="39" t="n"/>
      <c r="O40" s="39" t="n"/>
      <c r="P40" s="39" t="inlineStr">
        <is>
          <t>PROC:PROC-CASH</t>
        </is>
      </c>
      <c r="Q40" s="39" t="n"/>
    </row>
    <row r="41" ht="120" customHeight="1">
      <c r="A41" s="38" t="inlineStr">
        <is>
          <t>Applicable</t>
        </is>
      </c>
      <c r="B41" s="38" t="inlineStr">
        <is>
          <t>Required</t>
        </is>
      </c>
      <c r="C41" s="38" t="inlineStr">
        <is>
          <t>Not Started</t>
        </is>
      </c>
      <c r="D41" s="38" t="inlineStr">
        <is>
          <t>Missing</t>
        </is>
      </c>
      <c r="E41" s="38" t="inlineStr">
        <is>
          <t>Unable to Conclude</t>
        </is>
      </c>
      <c r="F41" s="38" t="inlineStr">
        <is>
          <t>None</t>
        </is>
      </c>
      <c r="G41" s="39" t="inlineStr">
        <is>
          <t>Unsigned</t>
        </is>
      </c>
      <c r="H41" s="39">
        <f>IF(A41="Not Applicable - Fact Driven",IF(AND(C41="Not Performed",D41="Not Required",OR(F41="None",F41="Resolved",F41="Passed"),OR(G41="Prepared",G41="Reviewed"),LEFT(O41,6)="FACT:/",Q41&lt;&gt;""),"Valid N/A","Blocked"),IF(AND(B41="Recommended",C41="Not Performed",D41="Not Required",OR(F41="None",F41="Resolved",F41="Passed")),"Recommended - Not Performed",IF(C41&lt;&gt;"Performed","Open - "&amp;C41,IF(D41&lt;&gt;"Sufficient","Open - "&amp;D41&amp;" Evidence",IF(E41="Unable to Conclude","Open - Unable to Conclude",IF(AND(E41="Exception Identified",ISERROR(SEARCH("ISSUE:",P41))),"Open - Missing Issue ID",IF(AND(F41="Open",ISERROR(SEARCH("ISSUE:",P41))),"Open - Missing Issue ID",IF(OR(F41="Open",F41="Superseded"),"Open - "&amp;F41&amp;" Issue",IF(AND(E41="Exception Identified",NOT(OR(F41="Adjusted",F41="Passed",F41="Resolved"))),"Open - Undispositioned Exception",IF(OR(G41="Prepared",G41="Reviewed"),"Passed","Open - Unsigned"))))))))))</f>
        <v/>
      </c>
      <c r="I41" s="39" t="inlineStr">
        <is>
          <t>28. Request merchant settlement / lockbox reports and reconcile clearing accounts.</t>
        </is>
      </c>
      <c r="J41" s="39" t="inlineStr">
        <is>
          <t>Completeness; Classification</t>
        </is>
      </c>
      <c r="K41" s="39" t="inlineStr">
        <is>
          <t>&lt;.7&gt;</t>
        </is>
      </c>
      <c r="L41" s="39" t="n"/>
      <c r="M41" s="40" t="n"/>
      <c r="N41" s="39" t="n"/>
      <c r="O41" s="39" t="n"/>
      <c r="P41" s="39" t="inlineStr">
        <is>
          <t>PROC:PROC-CASH</t>
        </is>
      </c>
      <c r="Q41" s="39" t="n"/>
    </row>
    <row r="42" ht="15" customHeight="1">
      <c r="A42" s="36" t="n"/>
      <c r="B42" s="32" t="n"/>
      <c r="C42" s="32" t="n"/>
      <c r="D42" s="32" t="n"/>
      <c r="E42" s="32" t="n"/>
      <c r="F42" s="32" t="n"/>
      <c r="G42" s="32" t="n"/>
      <c r="H42" s="32" t="n"/>
      <c r="I42" s="37" t="inlineStr">
        <is>
          <t>Documentation &amp; Review</t>
        </is>
      </c>
      <c r="J42" s="32" t="n"/>
      <c r="K42" s="32" t="n"/>
      <c r="L42" s="32" t="n"/>
      <c r="M42" s="32" t="n"/>
      <c r="N42" s="32" t="n"/>
      <c r="O42" s="32" t="n"/>
      <c r="P42" s="32" t="n"/>
      <c r="Q42" s="32" t="n"/>
    </row>
    <row r="43" ht="120" customHeight="1">
      <c r="A43" s="38" t="inlineStr">
        <is>
          <t>Applicable</t>
        </is>
      </c>
      <c r="B43" s="38" t="inlineStr">
        <is>
          <t>Required</t>
        </is>
      </c>
      <c r="C43" s="38" t="inlineStr">
        <is>
          <t>Not Started</t>
        </is>
      </c>
      <c r="D43" s="38" t="inlineStr">
        <is>
          <t>Missing</t>
        </is>
      </c>
      <c r="E43" s="38" t="inlineStr">
        <is>
          <t>Unable to Conclude</t>
        </is>
      </c>
      <c r="F43" s="38" t="inlineStr">
        <is>
          <t>None</t>
        </is>
      </c>
      <c r="G43" s="39" t="inlineStr">
        <is>
          <t>Unsigned</t>
        </is>
      </c>
      <c r="H43" s="39">
        <f>IF(A43="Not Applicable - Fact Driven",IF(AND(C43="Not Performed",D43="Not Required",OR(F43="None",F43="Resolved",F43="Passed"),OR(G43="Prepared",G43="Reviewed"),LEFT(O43,6)="FACT:/",Q43&lt;&gt;""),"Valid N/A","Blocked"),IF(AND(B43="Recommended",C43="Not Performed",D43="Not Required",OR(F43="None",F43="Resolved",F43="Passed")),"Recommended - Not Performed",IF(C43&lt;&gt;"Performed","Open - "&amp;C43,IF(D43&lt;&gt;"Sufficient","Open - "&amp;D43&amp;" Evidence",IF(E43="Unable to Conclude","Open - Unable to Conclude",IF(AND(E43="Exception Identified",ISERROR(SEARCH("ISSUE:",P43))),"Open - Missing Issue ID",IF(AND(F43="Open",ISERROR(SEARCH("ISSUE:",P43))),"Open - Missing Issue ID",IF(OR(F43="Open",F43="Superseded"),"Open - "&amp;F43&amp;" Issue",IF(AND(E43="Exception Identified",NOT(OR(F43="Adjusted",F43="Passed",F43="Resolved"))),"Open - Undispositioned Exception",IF(OR(G43="Prepared",G43="Reviewed"),"Passed","Open - Unsigned"))))))))))</f>
        <v/>
      </c>
      <c r="I43" s="39" t="inlineStr">
        <is>
          <t>29. Cross-reference each procedure to its workpaper tab and link it to the relevant assertion(s).</t>
        </is>
      </c>
      <c r="J43" s="39" t="inlineStr">
        <is>
          <t>Overall</t>
        </is>
      </c>
      <c r="K43" s="39" t="inlineStr">
        <is>
          <t>&lt;.1&gt;–&lt;.7&gt;</t>
        </is>
      </c>
      <c r="L43" s="39" t="n"/>
      <c r="M43" s="40" t="n"/>
      <c r="N43" s="39" t="n"/>
      <c r="O43" s="39" t="n"/>
      <c r="P43" s="39" t="inlineStr">
        <is>
          <t>PROC:PROC-CASH</t>
        </is>
      </c>
      <c r="Q43" s="39" t="n"/>
    </row>
    <row r="44" ht="120" customHeight="1">
      <c r="A44" s="38" t="inlineStr">
        <is>
          <t>Applicable</t>
        </is>
      </c>
      <c r="B44" s="38" t="inlineStr">
        <is>
          <t>Required</t>
        </is>
      </c>
      <c r="C44" s="38" t="inlineStr">
        <is>
          <t>Not Started</t>
        </is>
      </c>
      <c r="D44" s="38" t="inlineStr">
        <is>
          <t>Missing</t>
        </is>
      </c>
      <c r="E44" s="38" t="inlineStr">
        <is>
          <t>Unable to Conclude</t>
        </is>
      </c>
      <c r="F44" s="38" t="inlineStr">
        <is>
          <t>None</t>
        </is>
      </c>
      <c r="G44" s="39" t="inlineStr">
        <is>
          <t>Unsigned</t>
        </is>
      </c>
      <c r="H44" s="39">
        <f>IF(A44="Not Applicable - Fact Driven",IF(AND(C44="Not Performed",D44="Not Required",OR(F44="None",F44="Resolved",F44="Passed"),OR(G44="Prepared",G44="Reviewed"),LEFT(O44,6)="FACT:/",Q44&lt;&gt;""),"Valid N/A","Blocked"),IF(AND(B44="Recommended",C44="Not Performed",D44="Not Required",OR(F44="None",F44="Resolved",F44="Passed")),"Recommended - Not Performed",IF(C44&lt;&gt;"Performed","Open - "&amp;C44,IF(D44&lt;&gt;"Sufficient","Open - "&amp;D44&amp;" Evidence",IF(E44="Unable to Conclude","Open - Unable to Conclude",IF(AND(E44="Exception Identified",ISERROR(SEARCH("ISSUE:",P44))),"Open - Missing Issue ID",IF(AND(F44="Open",ISERROR(SEARCH("ISSUE:",P44))),"Open - Missing Issue ID",IF(OR(F44="Open",F44="Superseded"),"Open - "&amp;F44&amp;" Issue",IF(AND(E44="Exception Identified",NOT(OR(F44="Adjusted",F44="Passed",F44="Resolved"))),"Open - Undispositioned Exception",IF(OR(G44="Prepared",G44="Reviewed"),"Passed","Open - Unsigned"))))))))))</f>
        <v/>
      </c>
      <c r="I44" s="39" t="inlineStr">
        <is>
          <t>30. Verify the lead-sheet tie-out formulas foot correctly and the workbook source trail is complete.</t>
        </is>
      </c>
      <c r="J44" s="39" t="inlineStr">
        <is>
          <t>Accuracy; Completeness</t>
        </is>
      </c>
      <c r="K44" s="39" t="inlineStr">
        <is>
          <t>&lt;.1&gt;</t>
        </is>
      </c>
      <c r="L44" s="39" t="n"/>
      <c r="M44" s="40" t="n"/>
      <c r="N44" s="39" t="n"/>
      <c r="O44" s="39" t="n"/>
      <c r="P44" s="39" t="inlineStr">
        <is>
          <t>PROC:PROC-CASH</t>
        </is>
      </c>
      <c r="Q44" s="39" t="n"/>
    </row>
    <row r="45" ht="15" customHeight="1">
      <c r="A45" s="36" t="n"/>
      <c r="B45" s="32" t="n"/>
      <c r="C45" s="32" t="n"/>
      <c r="D45" s="32" t="n"/>
      <c r="E45" s="32" t="n"/>
      <c r="F45" s="32" t="n"/>
      <c r="G45" s="32" t="n"/>
      <c r="H45" s="32" t="n"/>
      <c r="I45" s="41" t="inlineStr">
        <is>
          <t>Conclusion</t>
        </is>
      </c>
      <c r="J45" s="32" t="n"/>
      <c r="K45" s="32" t="n"/>
      <c r="L45" s="32" t="n"/>
      <c r="M45" s="32" t="n"/>
      <c r="N45" s="32" t="n"/>
      <c r="O45" s="32" t="n"/>
      <c r="P45" s="32" t="n"/>
      <c r="Q45" s="32" t="n"/>
    </row>
    <row r="46" ht="120" customHeight="1">
      <c r="A46" s="38" t="inlineStr">
        <is>
          <t>Applicable</t>
        </is>
      </c>
      <c r="B46" s="38" t="inlineStr">
        <is>
          <t>Required</t>
        </is>
      </c>
      <c r="C46" s="38" t="inlineStr">
        <is>
          <t>Not Started</t>
        </is>
      </c>
      <c r="D46" s="38" t="inlineStr">
        <is>
          <t>Missing</t>
        </is>
      </c>
      <c r="E46" s="38" t="inlineStr">
        <is>
          <t>Unable to Conclude</t>
        </is>
      </c>
      <c r="F46" s="38" t="inlineStr">
        <is>
          <t>None</t>
        </is>
      </c>
      <c r="G46" s="39" t="inlineStr">
        <is>
          <t>Unsigned</t>
        </is>
      </c>
      <c r="H46" s="39">
        <f>IF(A46="Not Applicable - Fact Driven",IF(AND(C46="Not Performed",D46="Not Required",OR(F46="None",F46="Resolved",F46="Passed"),OR(G46="Prepared",G46="Reviewed"),LEFT(O46,6)="FACT:/",Q46&lt;&gt;""),"Valid N/A","Blocked"),IF(AND(B46="Recommended",C46="Not Performed",D46="Not Required",OR(F46="None",F46="Resolved",F46="Passed")),"Recommended - Not Performed",IF(C46&lt;&gt;"Performed","Open - "&amp;C46,IF(D46&lt;&gt;"Sufficient","Open - "&amp;D46&amp;" Evidence",IF(E46="Unable to Conclude","Open - Unable to Conclude",IF(AND(E46="Exception Identified",ISERROR(SEARCH("ISSUE:",P46))),"Open - Missing Issue ID",IF(AND(F46="Open",ISERROR(SEARCH("ISSUE:",P46))),"Open - Missing Issue ID",IF(OR(F46="Open",F46="Superseded"),"Open - "&amp;F46&amp;" Issue",IF(AND(E46="Exception Identified",NOT(OR(F46="Adjusted",F46="Passed",F46="Resolved"))),"Open - Undispositioned Exception",IF(OR(G46="Prepared",G46="Reviewed"),"Passed","Open - Unsigned"))))))))))</f>
        <v/>
      </c>
      <c r="I46" s="39" t="inlineStr">
        <is>
          <t>31. All planned cash audit procedures above were performed; results support the recorded cash balance and related disclosures, subject to documented open items.</t>
        </is>
      </c>
      <c r="J46" s="39" t="inlineStr">
        <is>
          <t>Overall</t>
        </is>
      </c>
      <c r="K46" s="39" t="inlineStr">
        <is>
          <t>&lt;.1&gt;–&lt;.7&gt;</t>
        </is>
      </c>
      <c r="L46" s="39" t="n"/>
      <c r="M46" s="40" t="n"/>
      <c r="N46" s="39" t="n"/>
      <c r="O46" s="39" t="n"/>
      <c r="P46" s="39" t="inlineStr">
        <is>
          <t>PROC:PROC-CASH</t>
        </is>
      </c>
      <c r="Q46" s="39" t="n"/>
    </row>
  </sheetData>
  <autoFilter ref="A6:Q46"/>
  <mergeCells count="10">
    <mergeCell ref="I24:Q24"/>
    <mergeCell ref="I7:Q7"/>
    <mergeCell ref="I42:Q42"/>
    <mergeCell ref="I33:Q33"/>
    <mergeCell ref="I19:Q19"/>
    <mergeCell ref="A4:Q4"/>
    <mergeCell ref="I45:Q45"/>
    <mergeCell ref="I13:Q13"/>
    <mergeCell ref="I28:Q28"/>
    <mergeCell ref="I36:Q36"/>
  </mergeCells>
  <conditionalFormatting sqref="A8:Q46">
    <cfRule type="expression" priority="1" dxfId="0">
      <formula>AND($F8="Open",$P8&lt;&gt;"")</formula>
    </cfRule>
    <cfRule type="expression" priority="2" dxfId="1">
      <formula>OR($H8="Blocked",AND($F8="Open",$P8=""))</formula>
    </cfRule>
    <cfRule type="expression" priority="3" dxfId="2">
      <formula>$H8="Passed"</formula>
    </cfRule>
    <cfRule type="expression" priority="4" dxfId="3">
      <formula>OR($H8="Valid N/A",$H8="Recommended - Not Performed")</formula>
    </cfRule>
  </conditionalFormatting>
  <dataValidations count="7">
    <dataValidation sqref="A8 A9 A10 A11 A12 A14 A15 A16 A17 A18 A20 A21 A22 A23 A25 A26 A27 A29 A30 A31 A32 A34 A35 A37 A38 A39 A40 A41 A43 A44 A46" showDropDown="0" showInputMessage="0" showErrorMessage="0" allowBlank="0" type="list">
      <formula1>"Applicable,Not Applicable - Fact Driven"</formula1>
    </dataValidation>
    <dataValidation sqref="B8 B9 B10 B11 B12 B14 B15 B16 B17 B18 B20 B21 B22 B23 B25 B26 B27 B29 B30 B31 B32 B34 B35 B37 B38 B39 B40 B41 B43 B44 B46" showDropDown="0" showInputMessage="0" showErrorMessage="0" allowBlank="0" type="list">
      <formula1>"Required,Recommended"</formula1>
    </dataValidation>
    <dataValidation sqref="C8 C9 C10 C11 C12 C14 C15 C16 C17 C18 C20 C21 C22 C23 C25 C26 C27 C29 C30 C31 C32 C34 C35 C37 C38 C39 C40 C41 C43 C44 C46" showDropDown="0" showInputMessage="0" showErrorMessage="0" allowBlank="0" type="list">
      <formula1>"Not Started,In Progress,Performed,Not Performed"</formula1>
    </dataValidation>
    <dataValidation sqref="D8 D9 D10 D11 D12 D14 D15 D16 D17 D18 D20 D21 D22 D23 D25 D26 D27 D29 D30 D31 D32 D34 D35 D37 D38 D39 D40 D41 D43 D44 D46" showDropDown="0" showInputMessage="0" showErrorMessage="0" allowBlank="0" type="list">
      <formula1>"Sufficient,Missing,Unreadable,Unreliable,Contradictory,Not Required"</formula1>
    </dataValidation>
    <dataValidation sqref="E8 E9 E10 E11 E12 E14 E15 E16 E17 E18 E20 E21 E22 E23 E25 E26 E27 E29 E30 E31 E32 E34 E35 E37 E38 E39 E40 E41 E43 E44 E46" showDropDown="0" showInputMessage="0" showErrorMessage="0" allowBlank="0" type="list">
      <formula1>"No Exception,Exception Identified,Unable to Conclude"</formula1>
    </dataValidation>
    <dataValidation sqref="F8 F9 F10 F11 F12 F14 F15 F16 F17 F18 F20 F21 F22 F23 F25 F26 F27 F29 F30 F31 F32 F34 F35 F37 F38 F39 F40 F41 F43 F44 F46" showDropDown="0" showInputMessage="0" showErrorMessage="0" allowBlank="0" type="list">
      <formula1>"None,Open,Adjusted,Passed,Resolved,Superseded"</formula1>
    </dataValidation>
    <dataValidation sqref="G8 G9 G10 G11 G12 G14 G15 G16 G17 G18 G20 G21 G22 G23 G25 G26 G27 G29 G30 G31 G32 G34 G35 G37 G38 G39 G40 G41 G43 G44 G46" showDropDown="0" showInputMessage="0" showErrorMessage="0" allowBlank="0" type="list">
      <formula1>"Unsigned,Prepared,Reviewed,Superseded"</formula1>
    </dataValidation>
  </dataValidation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J39"/>
  <sheetViews>
    <sheetView showGridLines="0" tabSelected="1" zoomScale="90" zoomScaleNormal="100" workbookViewId="0">
      <pane xSplit="1" ySplit="7" topLeftCell="B8" activePane="bottomRight" state="frozen"/>
      <selection pane="topRight"/>
      <selection pane="bottomLeft"/>
      <selection pane="bottomRight" activeCell="E13" sqref="E13"/>
    </sheetView>
  </sheetViews>
  <sheetFormatPr baseColWidth="8" defaultColWidth="8.6328125" defaultRowHeight="14.5"/>
  <cols>
    <col width="30" customWidth="1" min="1" max="1"/>
    <col width="29.2" customWidth="1" min="2" max="2"/>
    <col width="22" customWidth="1" min="3" max="3"/>
    <col width="37.7" customWidth="1" min="4" max="5"/>
    <col width="14.75" customWidth="1" min="5" max="5"/>
    <col width="14" customWidth="1" min="6" max="7"/>
    <col width="13" customWidth="1" min="7" max="7"/>
    <col width="30.9" customWidth="1" min="8" max="8"/>
    <col width="34.3" customWidth="1" min="9" max="9"/>
    <col width="30" customWidth="1" min="10" max="10"/>
  </cols>
  <sheetData>
    <row r="1" ht="17.25" customHeight="1">
      <c r="A1" s="42" t="inlineStr">
        <is>
          <t>Cash Lead Sheet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</row>
    <row r="2" ht="27" customHeight="1">
      <c r="A2" s="43" t="inlineStr">
        <is>
          <t>Client / Entity</t>
        </is>
      </c>
      <c r="B2" s="33" t="inlineStr">
        <is>
          <t>Quovalize Staffing Services, LLC</t>
        </is>
      </c>
      <c r="C2" s="31" t="n"/>
      <c r="D2" s="43" t="inlineStr">
        <is>
          <t>Year-End</t>
        </is>
      </c>
      <c r="E2" s="44" t="n">
        <v>46022</v>
      </c>
      <c r="F2" s="31" t="n"/>
      <c r="G2" s="43" t="inlineStr">
        <is>
          <t>Currency</t>
        </is>
      </c>
      <c r="H2" s="45" t="inlineStr">
        <is>
          <t>USD</t>
        </is>
      </c>
      <c r="I2" s="31" t="n"/>
      <c r="J2" s="31" t="n"/>
    </row>
    <row r="3" ht="27" customHeight="1">
      <c r="A3" s="46" t="inlineStr">
        <is>
          <t>Performance Materiality</t>
        </is>
      </c>
      <c r="B3" s="47" t="n">
        <v>24200</v>
      </c>
      <c r="C3" s="31" t="n"/>
      <c r="D3" s="46" t="inlineStr">
        <is>
          <t>Tolerable misstatement / testing threshold</t>
        </is>
      </c>
      <c r="E3" s="47" t="n">
        <v>21800</v>
      </c>
      <c r="F3" s="31" t="n"/>
      <c r="G3" s="31" t="n"/>
      <c r="H3" s="31" t="n"/>
      <c r="I3" s="31" t="n"/>
      <c r="J3" s="31" t="n"/>
    </row>
    <row r="4" ht="27.75" customHeight="1">
      <c r="A4" s="48" t="inlineStr">
        <is>
          <t>Purpose:</t>
        </is>
      </c>
      <c r="B4" s="49" t="inlineStr">
        <is>
          <t>Summarize the cash population and tie the recorded balance to the trial balance; compute CY/PY movement and uninsured exposure.</t>
        </is>
      </c>
      <c r="C4" s="32" t="n"/>
      <c r="D4" s="32" t="n"/>
      <c r="E4" s="32" t="n"/>
      <c r="F4" s="32" t="n"/>
      <c r="G4" s="32" t="n"/>
      <c r="H4" s="32" t="n"/>
      <c r="I4" s="32" t="n"/>
      <c r="J4" s="32" t="n"/>
    </row>
    <row r="5" ht="27.75" customHeight="1">
      <c r="A5" s="48" t="inlineStr">
        <is>
          <t>Scope:</t>
        </is>
      </c>
      <c r="B5" s="49" t="inlineStr">
        <is>
          <t>List every cash/depository account (operating, payroll, reserve/designated, zero-balance, merchant/lockbox, restricted) from the trial balance and supporting records.</t>
        </is>
      </c>
      <c r="C5" s="32" t="n"/>
      <c r="D5" s="32" t="n"/>
      <c r="E5" s="32" t="n"/>
      <c r="F5" s="32" t="n"/>
      <c r="G5" s="32" t="n"/>
      <c r="H5" s="32" t="n"/>
      <c r="I5" s="32" t="n"/>
      <c r="J5" s="32" t="n"/>
    </row>
    <row r="6" ht="15" customHeight="1">
      <c r="A6" s="48" t="inlineStr">
        <is>
          <t>Assertions:</t>
        </is>
      </c>
      <c r="B6" s="49" t="inlineStr">
        <is>
          <t>Completeness; Classification; Accuracy</t>
        </is>
      </c>
      <c r="C6" s="32" t="n"/>
      <c r="D6" s="32" t="n"/>
      <c r="E6" s="32" t="n"/>
      <c r="F6" s="32" t="n"/>
      <c r="G6" s="32" t="n"/>
      <c r="H6" s="32" t="n"/>
      <c r="I6" s="32" t="n"/>
      <c r="J6" s="32" t="n"/>
    </row>
    <row r="7" ht="30" customHeight="1">
      <c r="A7" s="50" t="inlineStr">
        <is>
          <t>Entity</t>
        </is>
      </c>
      <c r="B7" s="50" t="inlineStr">
        <is>
          <t>Account ID</t>
        </is>
      </c>
      <c r="C7" s="50" t="inlineStr">
        <is>
          <t>Account Description</t>
        </is>
      </c>
      <c r="D7" s="50" t="inlineStr">
        <is>
          <t>Bank / Institution</t>
        </is>
      </c>
      <c r="E7" s="50" t="inlineStr">
        <is>
          <t>WP Ref / Status</t>
        </is>
      </c>
      <c r="F7" s="50" t="inlineStr">
        <is>
          <t>CY Balance</t>
        </is>
      </c>
      <c r="G7" s="50" t="inlineStr">
        <is>
          <t>PY Balance</t>
        </is>
      </c>
      <c r="H7" s="50" t="inlineStr">
        <is>
          <t>Difference</t>
        </is>
      </c>
      <c r="I7" s="50" t="inlineStr">
        <is>
          <t>% Change</t>
        </is>
      </c>
      <c r="J7" s="50" t="inlineStr">
        <is>
          <t>Source / Comments</t>
        </is>
      </c>
    </row>
    <row r="8" ht="15" customHeight="1">
      <c r="A8" s="31" t="n"/>
      <c r="B8" s="31" t="n"/>
      <c r="C8" s="31" t="n"/>
      <c r="D8" s="31" t="n"/>
      <c r="E8" s="31" t="n"/>
      <c r="F8" s="51" t="inlineStr">
        <is>
          <t>TB</t>
        </is>
      </c>
      <c r="G8" s="51" t="inlineStr">
        <is>
          <t>PY FS</t>
        </is>
      </c>
      <c r="H8" s="51" t="inlineStr">
        <is>
          <t>R</t>
        </is>
      </c>
      <c r="I8" s="51" t="inlineStr">
        <is>
          <t>R</t>
        </is>
      </c>
      <c r="J8" s="31" t="n"/>
    </row>
    <row r="9" ht="15" customHeight="1">
      <c r="A9" s="52" t="n"/>
      <c r="B9" s="52" t="n"/>
      <c r="C9" s="52" t="n"/>
      <c r="D9" s="52" t="n"/>
      <c r="E9" s="52" t="n"/>
      <c r="F9" s="53" t="n"/>
      <c r="G9" s="53" t="n"/>
      <c r="H9" s="54">
        <f>IF(AND(F9="",G9=""),"",F9-G9)</f>
        <v/>
      </c>
      <c r="I9" s="55">
        <f>IF(OR(G9="",G9=0),"",(F9-G9)/G9)</f>
        <v/>
      </c>
      <c r="J9" s="52" t="n"/>
    </row>
    <row r="10" ht="27" customHeight="1">
      <c r="A10" s="52" t="n"/>
      <c r="B10" s="52" t="n"/>
      <c r="C10" s="52" t="n"/>
      <c r="D10" s="52" t="n"/>
      <c r="E10" s="52" t="n"/>
      <c r="F10" s="53" t="n"/>
      <c r="G10" s="53" t="n"/>
      <c r="H10" s="54">
        <f>IF(AND(F10="",G10=""),"",F10-G10)</f>
        <v/>
      </c>
      <c r="I10" s="55">
        <f>IF(OR(G10="",G10=0),"",(F10-G10)/G10)</f>
        <v/>
      </c>
      <c r="J10" s="52" t="n"/>
    </row>
    <row r="11" ht="27" customHeight="1">
      <c r="A11" s="52" t="n"/>
      <c r="B11" s="52" t="n"/>
      <c r="C11" s="52" t="n"/>
      <c r="D11" s="52" t="n"/>
      <c r="E11" s="52" t="n"/>
      <c r="F11" s="53" t="n"/>
      <c r="G11" s="53" t="n"/>
      <c r="H11" s="54">
        <f>IF(AND(F11="",G11=""),"",F11-G11)</f>
        <v/>
      </c>
      <c r="I11" s="55">
        <f>IF(OR(G11="",G11=0),"",(F11-G11)/G11)</f>
        <v/>
      </c>
      <c r="J11" s="52" t="n"/>
    </row>
    <row r="12" ht="27" customHeight="1">
      <c r="A12" s="52" t="n"/>
      <c r="B12" s="52" t="n"/>
      <c r="C12" s="52" t="n"/>
      <c r="D12" s="52" t="n"/>
      <c r="E12" s="52" t="n"/>
      <c r="F12" s="53" t="n"/>
      <c r="G12" s="53" t="n"/>
      <c r="H12" s="54">
        <f>IF(AND(F12="",G12=""),"",F12-G12)</f>
        <v/>
      </c>
      <c r="I12" s="55">
        <f>IF(OR(G12="",G12=0),"",(F12-G12)/G12)</f>
        <v/>
      </c>
      <c r="J12" s="52" t="n"/>
    </row>
    <row r="13" ht="27" customHeight="1">
      <c r="A13" s="52" t="n"/>
      <c r="B13" s="52" t="n"/>
      <c r="C13" s="52" t="n"/>
      <c r="D13" s="52" t="n"/>
      <c r="E13" s="52" t="n"/>
      <c r="F13" s="53" t="n"/>
      <c r="G13" s="53" t="n"/>
      <c r="H13" s="54">
        <f>IF(AND(F13="",G13=""),"",F13-G13)</f>
        <v/>
      </c>
      <c r="I13" s="55">
        <f>IF(OR(G13="",G13=0),"",(F13-G13)/G13)</f>
        <v/>
      </c>
      <c r="J13" s="52" t="n"/>
    </row>
    <row r="14" ht="27" customHeight="1">
      <c r="A14" s="52" t="n"/>
      <c r="B14" s="52" t="n"/>
      <c r="C14" s="52" t="n"/>
      <c r="D14" s="52" t="n"/>
      <c r="E14" s="52" t="n"/>
      <c r="F14" s="53" t="n"/>
      <c r="G14" s="53" t="n"/>
      <c r="H14" s="54">
        <f>IF(AND(F14="",G14=""),"",F14-G14)</f>
        <v/>
      </c>
      <c r="I14" s="55">
        <f>IF(OR(G14="",G14=0),"",(F14-G14)/G14)</f>
        <v/>
      </c>
      <c r="J14" s="52" t="n"/>
    </row>
    <row r="15" ht="27" customHeight="1">
      <c r="A15" s="52" t="n"/>
      <c r="B15" s="52" t="n"/>
      <c r="C15" s="52" t="n"/>
      <c r="D15" s="52" t="n"/>
      <c r="E15" s="52" t="n"/>
      <c r="F15" s="53" t="n"/>
      <c r="G15" s="53" t="n"/>
      <c r="H15" s="54">
        <f>IF(AND(F15="",G15=""),"",F15-G15)</f>
        <v/>
      </c>
      <c r="I15" s="55">
        <f>IF(OR(G15="",G15=0),"",(F15-G15)/G15)</f>
        <v/>
      </c>
      <c r="J15" s="52" t="n"/>
    </row>
    <row r="16" ht="27" customHeight="1">
      <c r="A16" s="52" t="n"/>
      <c r="B16" s="52" t="n"/>
      <c r="C16" s="52" t="n"/>
      <c r="D16" s="52" t="n"/>
      <c r="E16" s="52" t="n"/>
      <c r="F16" s="53" t="n"/>
      <c r="G16" s="53" t="n"/>
      <c r="H16" s="54">
        <f>IF(AND(F16="",G16=""),"",F16-G16)</f>
        <v/>
      </c>
      <c r="I16" s="55">
        <f>IF(OR(G16="",G16=0),"",(F16-G16)/G16)</f>
        <v/>
      </c>
      <c r="J16" s="52" t="n"/>
    </row>
    <row r="17" ht="27" customHeight="1">
      <c r="A17" s="52" t="n"/>
      <c r="B17" s="52" t="n"/>
      <c r="C17" s="52" t="n"/>
      <c r="D17" s="52" t="n"/>
      <c r="E17" s="52" t="n"/>
      <c r="F17" s="53" t="n"/>
      <c r="G17" s="53" t="n"/>
      <c r="H17" s="54">
        <f>IF(AND(F17="",G17=""),"",F17-G17)</f>
        <v/>
      </c>
      <c r="I17" s="55">
        <f>IF(OR(G17="",G17=0),"",(F17-G17)/G17)</f>
        <v/>
      </c>
      <c r="J17" s="52" t="n"/>
    </row>
    <row r="18" ht="27" customHeight="1">
      <c r="A18" s="52" t="n"/>
      <c r="B18" s="52" t="n"/>
      <c r="C18" s="52" t="n"/>
      <c r="D18" s="52" t="n"/>
      <c r="E18" s="52" t="n"/>
      <c r="F18" s="53" t="n"/>
      <c r="G18" s="53" t="n"/>
      <c r="H18" s="54">
        <f>IF(AND(F18="",G18=""),"",F18-G18)</f>
        <v/>
      </c>
      <c r="I18" s="55">
        <f>IF(OR(G18="",G18=0),"",(F18-G18)/G18)</f>
        <v/>
      </c>
      <c r="J18" s="52" t="n"/>
    </row>
    <row r="19" ht="27" customHeight="1">
      <c r="A19" s="52" t="n"/>
      <c r="B19" s="52" t="n"/>
      <c r="C19" s="52" t="n"/>
      <c r="D19" s="52" t="n"/>
      <c r="E19" s="52" t="n"/>
      <c r="F19" s="53" t="n"/>
      <c r="G19" s="53" t="n"/>
      <c r="H19" s="54">
        <f>IF(AND(F19="",G19=""),"",F19-G19)</f>
        <v/>
      </c>
      <c r="I19" s="55">
        <f>IF(OR(G19="",G19=0),"",(F19-G19)/G19)</f>
        <v/>
      </c>
      <c r="J19" s="52" t="n"/>
    </row>
    <row r="20" ht="27" customHeight="1">
      <c r="A20" s="52" t="n"/>
      <c r="B20" s="52" t="n"/>
      <c r="C20" s="52" t="n"/>
      <c r="D20" s="52" t="n"/>
      <c r="E20" s="52" t="n"/>
      <c r="F20" s="53" t="n"/>
      <c r="G20" s="53" t="n"/>
      <c r="H20" s="54">
        <f>IF(AND(F20="",G20=""),"",F20-G20)</f>
        <v/>
      </c>
      <c r="I20" s="55">
        <f>IF(OR(G20="",G20=0),"",(F20-G20)/G20)</f>
        <v/>
      </c>
      <c r="J20" s="52" t="n"/>
    </row>
    <row r="21" ht="15" customHeight="1">
      <c r="A21" s="56" t="inlineStr">
        <is>
          <t>Total per lead sheet</t>
        </is>
      </c>
      <c r="B21" s="57" t="n"/>
      <c r="C21" s="57" t="n"/>
      <c r="D21" s="57" t="n"/>
      <c r="E21" s="57" t="n"/>
      <c r="F21" s="58">
        <f>SUM(F9:F20)</f>
        <v/>
      </c>
      <c r="G21" s="58">
        <f>SUM(G9:G20)</f>
        <v/>
      </c>
      <c r="H21" s="58">
        <f>F21-G21</f>
        <v/>
      </c>
      <c r="I21" s="57" t="n"/>
      <c r="J21" s="57" t="n"/>
    </row>
    <row r="22" ht="15" customHeight="1">
      <c r="A22" s="31" t="n"/>
      <c r="B22" s="31" t="n"/>
      <c r="C22" s="31" t="n"/>
      <c r="D22" s="31" t="n"/>
      <c r="E22" s="31" t="n"/>
      <c r="F22" s="59" t="inlineStr">
        <is>
          <t>F</t>
        </is>
      </c>
      <c r="G22" s="59" t="inlineStr">
        <is>
          <t>F</t>
        </is>
      </c>
      <c r="H22" s="31" t="n"/>
      <c r="I22" s="31" t="n"/>
      <c r="J22" s="31" t="n"/>
    </row>
    <row r="23">
      <c r="A23" s="31" t="n"/>
      <c r="B23" s="31" t="n"/>
      <c r="C23" s="31" t="n"/>
      <c r="D23" s="31" t="n"/>
      <c r="E23" s="31" t="n"/>
      <c r="F23" s="31" t="n"/>
      <c r="G23" s="31" t="n"/>
      <c r="H23" s="31" t="n"/>
      <c r="I23" s="31" t="n"/>
      <c r="J23" s="31" t="n"/>
    </row>
    <row r="24" ht="15" customHeight="1">
      <c r="A24" s="60" t="inlineStr">
        <is>
          <t>Tie-Out &amp; Uninsured Exposure</t>
        </is>
      </c>
      <c r="B24" s="31" t="n"/>
      <c r="C24" s="31" t="n"/>
      <c r="D24" s="31" t="n"/>
      <c r="E24" s="31" t="n"/>
      <c r="F24" s="31" t="n"/>
      <c r="G24" s="31" t="n"/>
      <c r="H24" s="31" t="n"/>
      <c r="I24" s="31" t="n"/>
      <c r="J24" s="31" t="n"/>
    </row>
    <row r="25" ht="18" customHeight="1">
      <c r="A25" s="50" t="inlineStr">
        <is>
          <t>Metric</t>
        </is>
      </c>
      <c r="B25" s="50" t="inlineStr">
        <is>
          <t>CY Amount</t>
        </is>
      </c>
      <c r="C25" s="50" t="inlineStr">
        <is>
          <t>PY Amount</t>
        </is>
      </c>
      <c r="D25" s="50" t="inlineStr">
        <is>
          <t>Note</t>
        </is>
      </c>
      <c r="E25" s="31" t="n"/>
      <c r="F25" s="31" t="n"/>
      <c r="G25" s="31" t="n"/>
      <c r="H25" s="31" t="n"/>
      <c r="I25" s="31" t="n"/>
      <c r="J25" s="31" t="n"/>
    </row>
    <row r="26" ht="15" customHeight="1">
      <c r="A26" s="38" t="inlineStr">
        <is>
          <t>Total per lead sheet</t>
        </is>
      </c>
      <c r="B26" s="53" t="n"/>
      <c r="C26" s="53" t="n"/>
      <c r="D26" s="38" t="inlineStr">
        <is>
          <t>ties to total row above</t>
        </is>
      </c>
      <c r="E26" s="31" t="n"/>
      <c r="F26" s="31" t="n"/>
      <c r="G26" s="31" t="n"/>
      <c r="H26" s="31" t="n"/>
      <c r="I26" s="31" t="n"/>
      <c r="J26" s="31" t="n"/>
    </row>
    <row r="27" ht="15" customHeight="1">
      <c r="A27" s="38" t="inlineStr">
        <is>
          <t>Trial balance cash total</t>
        </is>
      </c>
      <c r="B27" s="53" t="n"/>
      <c r="C27" s="53" t="n"/>
      <c r="D27" s="52" t="inlineStr">
        <is>
          <t>agree to TB</t>
        </is>
      </c>
      <c r="E27" s="31" t="n"/>
      <c r="F27" s="31" t="n"/>
      <c r="G27" s="31" t="n"/>
      <c r="H27" s="31" t="n"/>
      <c r="I27" s="31" t="n"/>
      <c r="J27" s="31" t="n"/>
    </row>
    <row r="28" ht="15" customHeight="1">
      <c r="A28" s="38" t="inlineStr">
        <is>
          <t>Difference (should be 0)</t>
        </is>
      </c>
      <c r="B28" s="53">
        <f>B26-B27</f>
        <v/>
      </c>
      <c r="C28" s="53">
        <f>C26-C27</f>
        <v/>
      </c>
      <c r="D28" s="38" t="inlineStr">
        <is>
          <t>investigate if non-zero</t>
        </is>
      </c>
      <c r="E28" s="31" t="n"/>
      <c r="F28" s="31" t="n"/>
      <c r="G28" s="31" t="n"/>
      <c r="H28" s="31" t="n"/>
      <c r="I28" s="31" t="n"/>
      <c r="J28" s="31" t="n"/>
    </row>
    <row r="29">
      <c r="A29" s="31" t="n"/>
      <c r="B29" s="31" t="n"/>
      <c r="C29" s="31" t="n"/>
      <c r="D29" s="31" t="n"/>
      <c r="E29" s="31" t="n"/>
      <c r="F29" s="31" t="n"/>
      <c r="G29" s="31" t="n"/>
      <c r="H29" s="31" t="n"/>
      <c r="I29" s="31" t="n"/>
      <c r="J29" s="31" t="n"/>
    </row>
    <row r="30" ht="15" customHeight="1">
      <c r="A30" s="48" t="inlineStr">
        <is>
          <t>TM Legends</t>
        </is>
      </c>
      <c r="B30" s="31" t="n"/>
      <c r="C30" s="31" t="n"/>
      <c r="D30" s="31" t="n"/>
      <c r="E30" s="31" t="n"/>
      <c r="F30" s="31" t="n"/>
      <c r="G30" s="31" t="n"/>
      <c r="H30" s="31" t="n"/>
      <c r="I30" s="31" t="n"/>
      <c r="J30" s="31" t="n"/>
    </row>
    <row r="31" ht="15" customHeight="1">
      <c r="A31" s="61" t="inlineStr">
        <is>
          <t>TB</t>
        </is>
      </c>
      <c r="B31" s="62" t="inlineStr">
        <is>
          <t>Agreed to trial balance</t>
        </is>
      </c>
      <c r="C31" s="63" t="n"/>
      <c r="D31" s="31" t="n"/>
      <c r="E31" s="31" t="n"/>
      <c r="F31" s="31" t="n"/>
      <c r="G31" s="31" t="n"/>
      <c r="H31" s="32" t="n"/>
      <c r="I31" s="32" t="n"/>
      <c r="J31" s="32" t="n"/>
    </row>
    <row r="32" ht="15" customHeight="1">
      <c r="A32" s="61" t="inlineStr">
        <is>
          <t>PY FS</t>
        </is>
      </c>
      <c r="B32" s="64" t="inlineStr">
        <is>
          <t>Traced from PY issued FS</t>
        </is>
      </c>
      <c r="C32" s="65" t="n"/>
      <c r="D32" s="31" t="n"/>
      <c r="E32" s="31" t="n"/>
      <c r="F32" s="31" t="n"/>
      <c r="G32" s="31" t="n"/>
      <c r="H32" s="32" t="n"/>
      <c r="I32" s="32" t="n"/>
      <c r="J32" s="32" t="n"/>
    </row>
    <row r="33" ht="15" customHeight="1">
      <c r="A33" s="61" t="inlineStr">
        <is>
          <t>CF</t>
        </is>
      </c>
      <c r="B33" s="62" t="inlineStr">
        <is>
          <t>Confirmed with third party</t>
        </is>
      </c>
      <c r="C33" s="63" t="n"/>
      <c r="D33" s="31" t="n"/>
      <c r="E33" s="31" t="n"/>
      <c r="F33" s="31" t="n"/>
      <c r="G33" s="31" t="n"/>
      <c r="H33" s="32" t="n"/>
      <c r="I33" s="32" t="n"/>
      <c r="J33" s="32" t="n"/>
    </row>
    <row r="34" ht="15" customHeight="1">
      <c r="A34" s="61" t="inlineStr">
        <is>
          <t>V</t>
        </is>
      </c>
      <c r="B34" s="62" t="inlineStr">
        <is>
          <t>Vouched to source document</t>
        </is>
      </c>
      <c r="C34" s="63" t="n"/>
      <c r="D34" s="31" t="n"/>
      <c r="E34" s="31" t="n"/>
      <c r="F34" s="31" t="n"/>
      <c r="G34" s="31" t="n"/>
      <c r="H34" s="32" t="n"/>
      <c r="I34" s="32" t="n"/>
      <c r="J34" s="32" t="n"/>
    </row>
    <row r="35" ht="15" customHeight="1">
      <c r="A35" s="61" t="inlineStr">
        <is>
          <t>R</t>
        </is>
      </c>
      <c r="B35" s="62" t="inlineStr">
        <is>
          <t>Recalculated independently</t>
        </is>
      </c>
      <c r="C35" s="63" t="n"/>
      <c r="D35" s="31" t="n"/>
      <c r="E35" s="31" t="n"/>
      <c r="F35" s="31" t="n"/>
      <c r="G35" s="31" t="n"/>
      <c r="H35" s="32" t="n"/>
      <c r="I35" s="32" t="n"/>
      <c r="J35" s="32" t="n"/>
    </row>
    <row r="36" ht="15" customHeight="1">
      <c r="A36" s="61" t="inlineStr">
        <is>
          <t>F</t>
        </is>
      </c>
      <c r="B36" s="62" t="inlineStr">
        <is>
          <t>Footed / cross-cast</t>
        </is>
      </c>
      <c r="C36" s="63" t="n"/>
      <c r="D36" s="31" t="n"/>
      <c r="E36" s="31" t="n"/>
      <c r="F36" s="31" t="n"/>
      <c r="G36" s="31" t="n"/>
      <c r="H36" s="32" t="n"/>
      <c r="I36" s="32" t="n"/>
      <c r="J36" s="32" t="n"/>
    </row>
    <row r="37" ht="15" customHeight="1">
      <c r="A37" s="61" t="inlineStr">
        <is>
          <t>T</t>
        </is>
      </c>
      <c r="B37" s="62" t="inlineStr">
        <is>
          <t>Traced to downstream record</t>
        </is>
      </c>
      <c r="C37" s="63" t="n"/>
      <c r="D37" s="31" t="n"/>
      <c r="E37" s="31" t="n"/>
      <c r="F37" s="31" t="n"/>
      <c r="G37" s="31" t="n"/>
      <c r="H37" s="32" t="n"/>
      <c r="I37" s="32" t="n"/>
      <c r="J37" s="32" t="n"/>
    </row>
    <row r="38">
      <c r="A38" s="61" t="inlineStr">
        <is>
          <t>PBC</t>
        </is>
      </c>
      <c r="B38" s="62" t="inlineStr">
        <is>
          <t>Prepared by client</t>
        </is>
      </c>
      <c r="C38" s="63" t="n"/>
      <c r="D38" s="31" t="n"/>
      <c r="E38" s="31" t="n"/>
      <c r="F38" s="31" t="n"/>
      <c r="G38" s="31" t="n"/>
      <c r="H38" s="32" t="n"/>
      <c r="I38" s="32" t="n"/>
      <c r="J38" s="32" t="n"/>
    </row>
    <row r="39" ht="25.5" customHeight="1">
      <c r="A39" s="34" t="inlineStr">
        <is>
          <t>Before sign-off complete Library Procedures 1–5 (Cash Lead Sheet) and 25 (uninsured deposits). Uninsured calc detail is on &lt;.7&gt; Presentation &amp; Disclosure.</t>
        </is>
      </c>
      <c r="B39" s="32" t="n"/>
      <c r="C39" s="32" t="n"/>
      <c r="D39" s="32" t="n"/>
      <c r="E39" s="32" t="n"/>
      <c r="F39" s="32" t="n"/>
      <c r="G39" s="32" t="n"/>
      <c r="H39" s="32" t="n"/>
      <c r="I39" s="32" t="n"/>
      <c r="J39" s="32" t="n"/>
    </row>
  </sheetData>
  <mergeCells count="4">
    <mergeCell ref="A39:J39"/>
    <mergeCell ref="B6:J6"/>
    <mergeCell ref="B5:J5"/>
    <mergeCell ref="B4:J4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R32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7" sqref="A7"/>
    </sheetView>
  </sheetViews>
  <sheetFormatPr baseColWidth="8" defaultColWidth="8.6328125" defaultRowHeight="14.5"/>
  <cols>
    <col width="24" customWidth="1" min="1" max="1"/>
    <col width="29.2" customWidth="1" min="2" max="2"/>
    <col width="22" customWidth="1" min="3" max="3"/>
    <col width="37.7" customWidth="1" min="4" max="4"/>
    <col width="41.95" customWidth="1" min="5" max="5"/>
    <col width="14" customWidth="1" min="6" max="6"/>
    <col width="22.4" customWidth="1" min="7" max="7"/>
    <col width="30.9" customWidth="1" min="8" max="8"/>
    <col width="14.75" customWidth="1" min="9" max="11"/>
    <col width="15.6" customWidth="1" min="10" max="10"/>
    <col width="15.6" customWidth="1" min="11" max="11"/>
    <col width="21.55" customWidth="1" min="12" max="12"/>
    <col width="42" customWidth="1" min="13" max="13"/>
    <col width="30.05" customWidth="1" min="14" max="14"/>
    <col width="37.7" customWidth="1" min="15" max="16"/>
    <col width="41.95" customWidth="1" min="16" max="16"/>
    <col width="32.59999999999999" customWidth="1" min="17" max="17"/>
    <col width="26" customWidth="1" min="18" max="18"/>
  </cols>
  <sheetData>
    <row r="1" ht="17.25" customHeight="1">
      <c r="A1" s="42" t="inlineStr">
        <is>
          <t>Bank Confirmation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1" t="n"/>
      <c r="N1" s="31" t="n"/>
      <c r="O1" s="31" t="n"/>
      <c r="P1" s="31" t="n"/>
      <c r="Q1" s="31" t="n"/>
      <c r="R1" s="31" t="n"/>
    </row>
    <row r="2" ht="27" customHeight="1">
      <c r="A2" s="43" t="inlineStr">
        <is>
          <t>Client / Entity</t>
        </is>
      </c>
      <c r="B2" s="33" t="inlineStr">
        <is>
          <t>Quovalize Staffing Services, LLC</t>
        </is>
      </c>
      <c r="C2" s="31" t="n"/>
      <c r="D2" s="43" t="inlineStr">
        <is>
          <t>Year-End</t>
        </is>
      </c>
      <c r="E2" s="44" t="n">
        <v>46022</v>
      </c>
      <c r="F2" s="31" t="n"/>
      <c r="G2" s="43" t="inlineStr">
        <is>
          <t>Currency</t>
        </is>
      </c>
      <c r="H2" s="45" t="inlineStr">
        <is>
          <t>USD</t>
        </is>
      </c>
      <c r="I2" s="31" t="n"/>
      <c r="J2" s="31" t="n"/>
      <c r="K2" s="31" t="n"/>
      <c r="L2" s="31" t="n"/>
      <c r="M2" s="31" t="n"/>
      <c r="N2" s="31" t="n"/>
      <c r="O2" s="31" t="n"/>
      <c r="P2" s="31" t="n"/>
      <c r="Q2" s="31" t="n"/>
      <c r="R2" s="31" t="n"/>
    </row>
    <row r="3" ht="27" customHeight="1">
      <c r="A3" s="46" t="inlineStr">
        <is>
          <t>Performance Materiality</t>
        </is>
      </c>
      <c r="B3" s="47" t="n">
        <v>24200</v>
      </c>
      <c r="C3" s="31" t="n"/>
      <c r="D3" s="46" t="inlineStr">
        <is>
          <t>Tolerable misstatement / testing threshold</t>
        </is>
      </c>
      <c r="E3" s="47" t="n">
        <v>21800</v>
      </c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</row>
    <row r="4" ht="27.75" customHeight="1">
      <c r="A4" s="48" t="inlineStr">
        <is>
          <t>Purpose:</t>
        </is>
      </c>
      <c r="B4" s="49" t="inlineStr">
        <is>
          <t>Confirm balances and facilities directly with depositories, control the confirmation process, follow up on non-responses, and test the authenticity of confirmations.</t>
        </is>
      </c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32" t="n"/>
    </row>
    <row r="5" ht="27.75" customHeight="1">
      <c r="A5" s="48" t="inlineStr">
        <is>
          <t>Scope:</t>
        </is>
      </c>
      <c r="B5" s="49" t="inlineStr">
        <is>
          <t>All cash accounts plus loans, lines of credit, facilities, guarantees and security interests (full AICPA / Confirmation.com standard form).</t>
        </is>
      </c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</row>
    <row r="6" ht="15" customHeight="1">
      <c r="A6" s="48" t="inlineStr">
        <is>
          <t>Assertions:</t>
        </is>
      </c>
      <c r="B6" s="49" t="inlineStr">
        <is>
          <t>Existence; Rights &amp; Obligations; Valuation; Completeness</t>
        </is>
      </c>
      <c r="C6" s="32" t="n"/>
      <c r="D6" s="32" t="n"/>
      <c r="E6" s="32" t="n"/>
      <c r="F6" s="32" t="n"/>
      <c r="G6" s="32" t="n"/>
      <c r="H6" s="32" t="n"/>
      <c r="I6" s="32" t="n"/>
      <c r="J6" s="32" t="n"/>
      <c r="K6" s="32" t="n"/>
      <c r="L6" s="32" t="n"/>
      <c r="M6" s="32" t="n"/>
      <c r="N6" s="32" t="n"/>
      <c r="O6" s="32" t="n"/>
      <c r="P6" s="32" t="n"/>
      <c r="Q6" s="32" t="n"/>
      <c r="R6" s="32" t="n"/>
    </row>
    <row r="7" ht="43.5" customHeight="1">
      <c r="A7" s="50" t="inlineStr">
        <is>
          <t>Entity</t>
        </is>
      </c>
      <c r="B7" s="50" t="inlineStr">
        <is>
          <t>Account ID</t>
        </is>
      </c>
      <c r="C7" s="50" t="inlineStr">
        <is>
          <t>Bank / Institution</t>
        </is>
      </c>
      <c r="D7" s="50" t="inlineStr">
        <is>
          <t>Account No./ Suffix</t>
        </is>
      </c>
      <c r="E7" s="50" t="inlineStr">
        <is>
          <t>Type (depository / loan / facility / guarantee)</t>
        </is>
      </c>
      <c r="F7" s="50" t="inlineStr">
        <is>
          <t>Balance per GL</t>
        </is>
      </c>
      <c r="G7" s="50" t="inlineStr">
        <is>
          <t>Balance per confirmation</t>
        </is>
      </c>
      <c r="H7" s="50" t="inlineStr">
        <is>
          <t>Difference</t>
        </is>
      </c>
      <c r="I7" s="50" t="inlineStr">
        <is>
          <t>Date conf. sent</t>
        </is>
      </c>
      <c r="J7" s="50" t="inlineStr">
        <is>
          <t>Follow-up 1 sent</t>
        </is>
      </c>
      <c r="K7" s="50" t="inlineStr">
        <is>
          <t>Follow-up 2 sent</t>
        </is>
      </c>
      <c r="L7" s="50" t="inlineStr">
        <is>
          <t>Response received (Y/N)</t>
        </is>
      </c>
      <c r="M7" s="50" t="inlineStr">
        <is>
          <t>Method sent (email / physical / Confirmation.com)</t>
        </is>
      </c>
      <c r="N7" s="50" t="inlineStr">
        <is>
          <t>Authenticity — domain check (Y/N)</t>
        </is>
      </c>
      <c r="O7" s="50" t="inlineStr">
        <is>
          <t>Authenticity — independent call-back (Y/N)</t>
        </is>
      </c>
      <c r="P7" s="50" t="inlineStr">
        <is>
          <t>Authenticity — independent contact source (Y/N)</t>
        </is>
      </c>
      <c r="Q7" s="50" t="inlineStr">
        <is>
          <t>Alternative procedures (if no reply)</t>
        </is>
      </c>
      <c r="R7" s="50" t="inlineStr">
        <is>
          <t>Conclusion / Comments</t>
        </is>
      </c>
    </row>
    <row r="8" ht="15" customHeight="1">
      <c r="A8" s="31" t="n"/>
      <c r="B8" s="31" t="n"/>
      <c r="C8" s="31" t="n"/>
      <c r="D8" s="31" t="n"/>
      <c r="E8" s="31" t="n"/>
      <c r="F8" s="51" t="inlineStr">
        <is>
          <t>TB</t>
        </is>
      </c>
      <c r="G8" s="51" t="inlineStr">
        <is>
          <t>CF</t>
        </is>
      </c>
      <c r="H8" s="51" t="inlineStr">
        <is>
          <t>R</t>
        </is>
      </c>
      <c r="I8" s="31" t="n"/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</row>
    <row r="9" ht="15" customHeight="1">
      <c r="A9" s="52" t="n"/>
      <c r="B9" s="52" t="n"/>
      <c r="C9" s="52" t="n"/>
      <c r="D9" s="52" t="n"/>
      <c r="E9" s="52" t="n"/>
      <c r="F9" s="53" t="n"/>
      <c r="G9" s="53" t="n"/>
      <c r="H9" s="54">
        <f>IF(AND(F9="",G9=""),"",F9-G9)</f>
        <v/>
      </c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</row>
    <row r="10" ht="27" customHeight="1">
      <c r="A10" s="52" t="n"/>
      <c r="B10" s="52" t="n"/>
      <c r="C10" s="52" t="n"/>
      <c r="D10" s="52" t="n"/>
      <c r="E10" s="52" t="n"/>
      <c r="F10" s="53" t="n"/>
      <c r="G10" s="53" t="n"/>
      <c r="H10" s="54">
        <f>IF(AND(F10="",G10=""),"",F10-G10)</f>
        <v/>
      </c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</row>
    <row r="11" ht="27" customHeight="1">
      <c r="A11" s="52" t="n"/>
      <c r="B11" s="52" t="n"/>
      <c r="C11" s="52" t="n"/>
      <c r="D11" s="52" t="n"/>
      <c r="E11" s="52" t="n"/>
      <c r="F11" s="53" t="n"/>
      <c r="G11" s="53" t="n"/>
      <c r="H11" s="54">
        <f>IF(AND(F11="",G11=""),"",F11-G11)</f>
        <v/>
      </c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</row>
    <row r="12" ht="27" customHeight="1">
      <c r="A12" s="52" t="n"/>
      <c r="B12" s="52" t="n"/>
      <c r="C12" s="52" t="n"/>
      <c r="D12" s="52" t="n"/>
      <c r="E12" s="52" t="n"/>
      <c r="F12" s="53" t="n"/>
      <c r="G12" s="53" t="n"/>
      <c r="H12" s="54">
        <f>IF(AND(F12="",G12=""),"",F12-G12)</f>
        <v/>
      </c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</row>
    <row r="13" ht="27" customHeight="1">
      <c r="A13" s="52" t="n"/>
      <c r="B13" s="52" t="n"/>
      <c r="C13" s="52" t="n"/>
      <c r="D13" s="52" t="n"/>
      <c r="E13" s="52" t="n"/>
      <c r="F13" s="53" t="n"/>
      <c r="G13" s="53" t="n"/>
      <c r="H13" s="54">
        <f>IF(AND(F13="",G13=""),"",F13-G13)</f>
        <v/>
      </c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</row>
    <row r="14" ht="27" customHeight="1">
      <c r="A14" s="52" t="n"/>
      <c r="B14" s="52" t="n"/>
      <c r="C14" s="52" t="n"/>
      <c r="D14" s="52" t="n"/>
      <c r="E14" s="52" t="n"/>
      <c r="F14" s="53" t="n"/>
      <c r="G14" s="53" t="n"/>
      <c r="H14" s="54">
        <f>IF(AND(F14="",G14=""),"",F14-G14)</f>
        <v/>
      </c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</row>
    <row r="15" ht="27" customHeight="1">
      <c r="A15" s="52" t="n"/>
      <c r="B15" s="52" t="n"/>
      <c r="C15" s="52" t="n"/>
      <c r="D15" s="52" t="n"/>
      <c r="E15" s="52" t="n"/>
      <c r="F15" s="53" t="n"/>
      <c r="G15" s="53" t="n"/>
      <c r="H15" s="54">
        <f>IF(AND(F15="",G15=""),"",F15-G15)</f>
        <v/>
      </c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</row>
    <row r="16" ht="27" customHeight="1">
      <c r="A16" s="52" t="n"/>
      <c r="B16" s="52" t="n"/>
      <c r="C16" s="52" t="n"/>
      <c r="D16" s="52" t="n"/>
      <c r="E16" s="52" t="n"/>
      <c r="F16" s="53" t="n"/>
      <c r="G16" s="53" t="n"/>
      <c r="H16" s="54">
        <f>IF(AND(F16="",G16=""),"",F16-G16)</f>
        <v/>
      </c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</row>
    <row r="17" ht="27" customHeight="1">
      <c r="A17" s="52" t="n"/>
      <c r="B17" s="52" t="n"/>
      <c r="C17" s="52" t="n"/>
      <c r="D17" s="52" t="n"/>
      <c r="E17" s="52" t="n"/>
      <c r="F17" s="53" t="n"/>
      <c r="G17" s="53" t="n"/>
      <c r="H17" s="54">
        <f>IF(AND(F17="",G17=""),"",F17-G17)</f>
        <v/>
      </c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</row>
    <row r="18" ht="27" customHeight="1">
      <c r="A18" s="52" t="n"/>
      <c r="B18" s="52" t="n"/>
      <c r="C18" s="52" t="n"/>
      <c r="D18" s="52" t="n"/>
      <c r="E18" s="52" t="n"/>
      <c r="F18" s="53" t="n"/>
      <c r="G18" s="53" t="n"/>
      <c r="H18" s="54">
        <f>IF(AND(F18="",G18=""),"",F18-G18)</f>
        <v/>
      </c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</row>
    <row r="19" ht="15" customHeight="1">
      <c r="A19" s="57" t="inlineStr">
        <is>
          <t>Total</t>
        </is>
      </c>
      <c r="B19" s="57" t="n"/>
      <c r="C19" s="57" t="n"/>
      <c r="D19" s="57" t="n"/>
      <c r="E19" s="57" t="n"/>
      <c r="F19" s="58">
        <f>SUM(F9:F18)</f>
        <v/>
      </c>
      <c r="G19" s="58">
        <f>SUM(G9:G18)</f>
        <v/>
      </c>
      <c r="H19" s="58">
        <f>F19-G19</f>
        <v/>
      </c>
      <c r="I19" s="57" t="n"/>
      <c r="J19" s="57" t="n"/>
      <c r="K19" s="57" t="n"/>
      <c r="L19" s="57" t="n"/>
      <c r="M19" s="57" t="n"/>
      <c r="N19" s="57" t="n"/>
      <c r="O19" s="57" t="n"/>
      <c r="P19" s="57" t="n"/>
      <c r="Q19" s="57" t="n"/>
      <c r="R19" s="57" t="n"/>
    </row>
    <row r="20">
      <c r="A20" s="31" t="n"/>
      <c r="B20" s="31" t="n"/>
      <c r="C20" s="31" t="n"/>
      <c r="D20" s="31" t="n"/>
      <c r="E20" s="31" t="n"/>
      <c r="F20" s="31" t="n"/>
      <c r="G20" s="31" t="n"/>
      <c r="H20" s="31" t="n"/>
      <c r="I20" s="31" t="n"/>
      <c r="J20" s="31" t="n"/>
      <c r="K20" s="31" t="n"/>
      <c r="L20" s="31" t="n"/>
      <c r="M20" s="31" t="n"/>
      <c r="N20" s="31" t="n"/>
      <c r="O20" s="31" t="n"/>
      <c r="P20" s="31" t="n"/>
      <c r="Q20" s="31" t="n"/>
      <c r="R20" s="31" t="n"/>
    </row>
    <row r="21" ht="25.5" customHeight="1">
      <c r="A21" s="34" t="inlineStr">
        <is>
          <t>Authenticity (email confirmations): verify the sender domain matches the institution's official domain; perform an independent call-back to a number obtained independently (NOT from the confirmation); prefer Confirmation.com. Record date sent, follow-ups, response (Y/N) and method; perform alternative procedures for non-responses.</t>
        </is>
      </c>
      <c r="B21" s="32" t="n"/>
      <c r="C21" s="32" t="n"/>
      <c r="D21" s="32" t="n"/>
      <c r="E21" s="32" t="n"/>
      <c r="F21" s="32" t="n"/>
      <c r="G21" s="32" t="n"/>
      <c r="H21" s="32" t="n"/>
      <c r="I21" s="32" t="n"/>
      <c r="J21" s="32" t="n"/>
      <c r="K21" s="32" t="n"/>
      <c r="L21" s="32" t="n"/>
      <c r="M21" s="32" t="n"/>
      <c r="N21" s="32" t="n"/>
      <c r="O21" s="32" t="n"/>
      <c r="P21" s="32" t="n"/>
      <c r="Q21" s="32" t="n"/>
      <c r="R21" s="32" t="n"/>
    </row>
    <row r="22">
      <c r="A22" s="31" t="n"/>
      <c r="B22" s="31" t="n"/>
      <c r="C22" s="31" t="n"/>
      <c r="D22" s="31" t="n"/>
      <c r="E22" s="31" t="n"/>
      <c r="F22" s="31" t="n"/>
      <c r="G22" s="31" t="n"/>
      <c r="H22" s="31" t="n"/>
      <c r="I22" s="31" t="n"/>
      <c r="J22" s="31" t="n"/>
      <c r="K22" s="31" t="n"/>
      <c r="L22" s="31" t="n"/>
      <c r="M22" s="31" t="n"/>
      <c r="N22" s="31" t="n"/>
      <c r="O22" s="31" t="n"/>
      <c r="P22" s="31" t="n"/>
      <c r="Q22" s="31" t="n"/>
      <c r="R22" s="31" t="n"/>
    </row>
    <row r="23" ht="15" customHeight="1">
      <c r="A23" s="48" t="inlineStr">
        <is>
          <t>TM Legends</t>
        </is>
      </c>
      <c r="B23" s="31" t="n"/>
      <c r="C23" s="31" t="n"/>
      <c r="D23" s="31" t="n"/>
      <c r="E23" s="31" t="n"/>
      <c r="F23" s="31" t="n"/>
      <c r="G23" s="31" t="n"/>
      <c r="H23" s="31" t="n"/>
      <c r="I23" s="31" t="n"/>
      <c r="J23" s="31" t="n"/>
      <c r="K23" s="31" t="n"/>
      <c r="L23" s="31" t="n"/>
      <c r="M23" s="31" t="n"/>
      <c r="N23" s="31" t="n"/>
      <c r="O23" s="31" t="n"/>
      <c r="P23" s="31" t="n"/>
      <c r="Q23" s="31" t="n"/>
      <c r="R23" s="31" t="n"/>
    </row>
    <row r="24" ht="15" customHeight="1">
      <c r="A24" s="66" t="inlineStr">
        <is>
          <t>TB</t>
        </is>
      </c>
      <c r="B24" s="38" t="inlineStr">
        <is>
          <t>Agreed to trial balance</t>
        </is>
      </c>
      <c r="C24" s="67" t="n"/>
      <c r="D24" s="68" t="n"/>
      <c r="E24" s="31" t="n"/>
      <c r="F24" s="31" t="n"/>
      <c r="G24" s="31" t="n"/>
      <c r="H24" s="31" t="n"/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</row>
    <row r="25" ht="15" customHeight="1">
      <c r="A25" s="66" t="inlineStr">
        <is>
          <t>CF</t>
        </is>
      </c>
      <c r="B25" s="38" t="inlineStr">
        <is>
          <t>Confirmed with third party</t>
        </is>
      </c>
      <c r="C25" s="67" t="n"/>
      <c r="D25" s="68" t="n"/>
      <c r="E25" s="31" t="n"/>
      <c r="F25" s="31" t="n"/>
      <c r="G25" s="31" t="n"/>
      <c r="H25" s="31" t="n"/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</row>
    <row r="26" ht="15" customHeight="1">
      <c r="A26" s="66" t="inlineStr">
        <is>
          <t>V</t>
        </is>
      </c>
      <c r="B26" s="38" t="inlineStr">
        <is>
          <t>Vouched to source document</t>
        </is>
      </c>
      <c r="C26" s="67" t="n"/>
      <c r="D26" s="68" t="n"/>
      <c r="E26" s="31" t="n"/>
      <c r="F26" s="31" t="n"/>
      <c r="G26" s="31" t="n"/>
      <c r="H26" s="31" t="n"/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</row>
    <row r="27" ht="15" customHeight="1">
      <c r="A27" s="66" t="inlineStr">
        <is>
          <t>R</t>
        </is>
      </c>
      <c r="B27" s="38" t="inlineStr">
        <is>
          <t>Recalculated independently</t>
        </is>
      </c>
      <c r="C27" s="67" t="n"/>
      <c r="D27" s="68" t="n"/>
      <c r="E27" s="31" t="n"/>
      <c r="F27" s="31" t="n"/>
      <c r="G27" s="31" t="n"/>
      <c r="H27" s="31" t="n"/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</row>
    <row r="28" ht="15" customHeight="1">
      <c r="A28" s="66" t="inlineStr">
        <is>
          <t>F</t>
        </is>
      </c>
      <c r="B28" s="38" t="inlineStr">
        <is>
          <t>Footed / cross-cast</t>
        </is>
      </c>
      <c r="C28" s="67" t="n"/>
      <c r="D28" s="68" t="n"/>
      <c r="E28" s="31" t="n"/>
      <c r="F28" s="31" t="n"/>
      <c r="G28" s="31" t="n"/>
      <c r="H28" s="31" t="n"/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</row>
    <row r="29" ht="15" customHeight="1">
      <c r="A29" s="66" t="inlineStr">
        <is>
          <t>T</t>
        </is>
      </c>
      <c r="B29" s="38" t="inlineStr">
        <is>
          <t>Traced to downstream record</t>
        </is>
      </c>
      <c r="C29" s="67" t="n"/>
      <c r="D29" s="68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</row>
    <row r="30" ht="15" customHeight="1">
      <c r="A30" s="66" t="inlineStr">
        <is>
          <t>PBC</t>
        </is>
      </c>
      <c r="B30" s="38" t="inlineStr">
        <is>
          <t>Prepared by client</t>
        </is>
      </c>
      <c r="C30" s="67" t="n"/>
      <c r="D30" s="68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</row>
    <row r="31">
      <c r="A31" s="31" t="n"/>
      <c r="B31" s="31" t="n"/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</row>
    <row r="32" ht="25.5" customHeight="1">
      <c r="A32" s="34" t="inlineStr">
        <is>
          <t>Before sign-off complete Library Procedures 6–10 (Bank Confirmation).</t>
        </is>
      </c>
      <c r="B32" s="32" t="n"/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  <c r="L32" s="32" t="n"/>
      <c r="M32" s="32" t="n"/>
      <c r="N32" s="32" t="n"/>
      <c r="O32" s="32" t="n"/>
      <c r="P32" s="32" t="n"/>
      <c r="Q32" s="32" t="n"/>
      <c r="R32" s="32" t="n"/>
    </row>
  </sheetData>
  <mergeCells count="12">
    <mergeCell ref="B28:D28"/>
    <mergeCell ref="B4:R4"/>
    <mergeCell ref="A21:R21"/>
    <mergeCell ref="B6:R6"/>
    <mergeCell ref="A32:R32"/>
    <mergeCell ref="B27:D27"/>
    <mergeCell ref="B26:D26"/>
    <mergeCell ref="B30:D30"/>
    <mergeCell ref="B29:D29"/>
    <mergeCell ref="B25:D25"/>
    <mergeCell ref="B5:R5"/>
    <mergeCell ref="B24:D24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L32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ColWidth="8.6328125" defaultRowHeight="14.5"/>
  <cols>
    <col width="24" customWidth="1" min="1" max="1"/>
    <col width="29.2" customWidth="1" min="2" max="2"/>
    <col width="22" customWidth="1" min="3" max="3"/>
    <col width="37.7" customWidth="1" min="4" max="4"/>
    <col width="20.7" customWidth="1" min="5" max="5"/>
    <col width="21.55" customWidth="1" min="6" max="7"/>
    <col width="20.7" customWidth="1" min="7" max="7"/>
    <col width="24.1" customWidth="1" min="8" max="8"/>
    <col width="26.65" customWidth="1" min="9" max="9"/>
    <col width="30.9" customWidth="1" min="10" max="11"/>
    <col width="25.8" customWidth="1" min="11" max="11"/>
    <col width="28" customWidth="1" min="12" max="12"/>
  </cols>
  <sheetData>
    <row r="1" ht="17.25" customHeight="1">
      <c r="A1" s="30" t="inlineStr">
        <is>
          <t>Bank Reconciliation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</row>
    <row r="2" ht="27" customHeight="1">
      <c r="A2" s="43" t="inlineStr">
        <is>
          <t>Client / Entity</t>
        </is>
      </c>
      <c r="B2" s="33" t="inlineStr">
        <is>
          <t>Quovalize Staffing Services, LLC</t>
        </is>
      </c>
      <c r="C2" s="31" t="n"/>
      <c r="D2" s="43" t="inlineStr">
        <is>
          <t>Year-End</t>
        </is>
      </c>
      <c r="E2" s="44" t="n">
        <v>46022</v>
      </c>
      <c r="F2" s="31" t="n"/>
      <c r="G2" s="43" t="inlineStr">
        <is>
          <t>Currency</t>
        </is>
      </c>
      <c r="H2" s="45" t="inlineStr">
        <is>
          <t>USD</t>
        </is>
      </c>
      <c r="I2" s="31" t="n"/>
      <c r="J2" s="31" t="n"/>
      <c r="K2" s="31" t="n"/>
      <c r="L2" s="31" t="n"/>
    </row>
    <row r="3" ht="27" customHeight="1">
      <c r="A3" s="46" t="inlineStr">
        <is>
          <t>Performance Materiality</t>
        </is>
      </c>
      <c r="B3" s="47" t="n">
        <v>24200</v>
      </c>
      <c r="C3" s="31" t="n"/>
      <c r="D3" s="46" t="inlineStr">
        <is>
          <t>Tolerable misstatement / testing threshold</t>
        </is>
      </c>
      <c r="E3" s="47" t="n">
        <v>21800</v>
      </c>
      <c r="F3" s="31" t="n"/>
      <c r="G3" s="31" t="n"/>
      <c r="H3" s="31" t="n"/>
      <c r="I3" s="31" t="n"/>
      <c r="J3" s="31" t="n"/>
      <c r="K3" s="31" t="n"/>
      <c r="L3" s="31" t="n"/>
    </row>
    <row r="4" ht="27.75" customHeight="1">
      <c r="A4" s="48" t="inlineStr">
        <is>
          <t>Purpose:</t>
        </is>
      </c>
      <c r="B4" s="49" t="inlineStr">
        <is>
          <t>Test each account's year-end bank reconciliation: agree the bank balance and book balance, test the reconciling items, and recompute.</t>
        </is>
      </c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</row>
    <row r="5" ht="15" customHeight="1">
      <c r="A5" s="48" t="inlineStr">
        <is>
          <t>Scope:</t>
        </is>
      </c>
      <c r="B5" s="49" t="inlineStr">
        <is>
          <t>The year-end bank reconciliation for every account on the lead sheet.</t>
        </is>
      </c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</row>
    <row r="6" ht="15" customHeight="1">
      <c r="A6" s="48" t="inlineStr">
        <is>
          <t>Assertions:</t>
        </is>
      </c>
      <c r="B6" s="49" t="inlineStr">
        <is>
          <t>Existence; Valuation; Completeness</t>
        </is>
      </c>
      <c r="C6" s="32" t="n"/>
      <c r="D6" s="32" t="n"/>
      <c r="E6" s="32" t="n"/>
      <c r="F6" s="32" t="n"/>
      <c r="G6" s="32" t="n"/>
      <c r="H6" s="32" t="n"/>
      <c r="I6" s="32" t="n"/>
      <c r="J6" s="32" t="n"/>
      <c r="K6" s="32" t="n"/>
      <c r="L6" s="32" t="n"/>
    </row>
    <row r="7" ht="39.75" customHeight="1">
      <c r="A7" s="50" t="inlineStr">
        <is>
          <t>Entity</t>
        </is>
      </c>
      <c r="B7" s="50" t="inlineStr">
        <is>
          <t>Account ID</t>
        </is>
      </c>
      <c r="C7" s="50" t="inlineStr">
        <is>
          <t>Bank / Institution</t>
        </is>
      </c>
      <c r="D7" s="50" t="inlineStr">
        <is>
          <t>GL balance</t>
        </is>
      </c>
      <c r="E7" s="50" t="inlineStr">
        <is>
          <t>Bank statement balance</t>
        </is>
      </c>
      <c r="F7" s="50" t="inlineStr">
        <is>
          <t>(+) Deposits in transit</t>
        </is>
      </c>
      <c r="G7" s="50" t="inlineStr">
        <is>
          <t>(−) Outstanding checks</t>
        </is>
      </c>
      <c r="H7" s="50" t="inlineStr">
        <is>
          <t>(+/−) Transfers in transit</t>
        </is>
      </c>
      <c r="I7" s="50" t="inlineStr">
        <is>
          <t>(+/−) Other reconciling items</t>
        </is>
      </c>
      <c r="J7" s="50" t="inlineStr">
        <is>
          <t>Reconciled bank balance</t>
        </is>
      </c>
      <c r="K7" s="50" t="inlineStr">
        <is>
          <t>Difference (GL − reconciled)</t>
        </is>
      </c>
      <c r="L7" s="50" t="inlineStr">
        <is>
          <t>Source / Comments</t>
        </is>
      </c>
    </row>
    <row r="8" ht="15" customHeight="1">
      <c r="A8" s="31" t="n"/>
      <c r="B8" s="31" t="n"/>
      <c r="C8" s="31" t="n"/>
      <c r="D8" s="51" t="inlineStr">
        <is>
          <t>TB</t>
        </is>
      </c>
      <c r="E8" s="51" t="inlineStr">
        <is>
          <t>CF</t>
        </is>
      </c>
      <c r="F8" s="51" t="inlineStr">
        <is>
          <t>V</t>
        </is>
      </c>
      <c r="G8" s="51" t="inlineStr">
        <is>
          <t>V</t>
        </is>
      </c>
      <c r="H8" s="51" t="inlineStr">
        <is>
          <t>V</t>
        </is>
      </c>
      <c r="I8" s="51" t="inlineStr">
        <is>
          <t>V</t>
        </is>
      </c>
      <c r="J8" s="51" t="inlineStr">
        <is>
          <t>R</t>
        </is>
      </c>
      <c r="K8" s="51" t="inlineStr">
        <is>
          <t>R</t>
        </is>
      </c>
      <c r="L8" s="31" t="n"/>
    </row>
    <row r="9" ht="15" customHeight="1">
      <c r="A9" s="52" t="n"/>
      <c r="B9" s="52" t="n"/>
      <c r="C9" s="52" t="n"/>
      <c r="D9" s="53" t="n"/>
      <c r="E9" s="53" t="n"/>
      <c r="F9" s="53" t="n"/>
      <c r="G9" s="53" t="n"/>
      <c r="H9" s="53" t="n"/>
      <c r="I9" s="53" t="n"/>
      <c r="J9" s="54">
        <f>IF(E9="","",E9+F9-G9+H9+I9)</f>
        <v/>
      </c>
      <c r="K9" s="54">
        <f>IF(J9="","",D9-J9)</f>
        <v/>
      </c>
      <c r="L9" s="52" t="n"/>
    </row>
    <row r="10" ht="27" customHeight="1">
      <c r="A10" s="52" t="n"/>
      <c r="B10" s="52" t="n"/>
      <c r="C10" s="52" t="n"/>
      <c r="D10" s="53" t="n"/>
      <c r="E10" s="53" t="n"/>
      <c r="F10" s="53" t="n"/>
      <c r="G10" s="53" t="n"/>
      <c r="H10" s="53" t="n"/>
      <c r="I10" s="53" t="n"/>
      <c r="J10" s="54">
        <f>IF(E10="","",E10+F10-G10+H10+I10)</f>
        <v/>
      </c>
      <c r="K10" s="54">
        <f>IF(J10="","",D10-J10)</f>
        <v/>
      </c>
      <c r="L10" s="52" t="n"/>
    </row>
    <row r="11" ht="27" customHeight="1">
      <c r="A11" s="52" t="n"/>
      <c r="B11" s="52" t="n"/>
      <c r="C11" s="52" t="n"/>
      <c r="D11" s="53" t="n"/>
      <c r="E11" s="53" t="n"/>
      <c r="F11" s="53" t="n"/>
      <c r="G11" s="53" t="n"/>
      <c r="H11" s="53" t="n"/>
      <c r="I11" s="53" t="n"/>
      <c r="J11" s="54">
        <f>IF(E11="","",E11+F11-G11+H11+I11)</f>
        <v/>
      </c>
      <c r="K11" s="54">
        <f>IF(J11="","",D11-J11)</f>
        <v/>
      </c>
      <c r="L11" s="52" t="n"/>
    </row>
    <row r="12" ht="27" customHeight="1">
      <c r="A12" s="52" t="n"/>
      <c r="B12" s="52" t="n"/>
      <c r="C12" s="52" t="n"/>
      <c r="D12" s="53" t="n"/>
      <c r="E12" s="53" t="n"/>
      <c r="F12" s="53" t="n"/>
      <c r="G12" s="53" t="n"/>
      <c r="H12" s="53" t="n"/>
      <c r="I12" s="53" t="n"/>
      <c r="J12" s="54">
        <f>IF(E12="","",E12+F12-G12+H12+I12)</f>
        <v/>
      </c>
      <c r="K12" s="54">
        <f>IF(J12="","",D12-J12)</f>
        <v/>
      </c>
      <c r="L12" s="52" t="n"/>
    </row>
    <row r="13" ht="27" customHeight="1">
      <c r="A13" s="52" t="n"/>
      <c r="B13" s="52" t="n"/>
      <c r="C13" s="52" t="n"/>
      <c r="D13" s="53" t="n"/>
      <c r="E13" s="53" t="n"/>
      <c r="F13" s="53" t="n"/>
      <c r="G13" s="53" t="n"/>
      <c r="H13" s="53" t="n"/>
      <c r="I13" s="53" t="n"/>
      <c r="J13" s="54">
        <f>IF(E13="","",E13+F13-G13+H13+I13)</f>
        <v/>
      </c>
      <c r="K13" s="54">
        <f>IF(J13="","",D13-J13)</f>
        <v/>
      </c>
      <c r="L13" s="52" t="n"/>
    </row>
    <row r="14" ht="27" customHeight="1">
      <c r="A14" s="52" t="n"/>
      <c r="B14" s="52" t="n"/>
      <c r="C14" s="52" t="n"/>
      <c r="D14" s="53" t="n"/>
      <c r="E14" s="53" t="n"/>
      <c r="F14" s="53" t="n"/>
      <c r="G14" s="53" t="n"/>
      <c r="H14" s="53" t="n"/>
      <c r="I14" s="53" t="n"/>
      <c r="J14" s="54">
        <f>IF(E14="","",E14+F14-G14+H14+I14)</f>
        <v/>
      </c>
      <c r="K14" s="54">
        <f>IF(J14="","",D14-J14)</f>
        <v/>
      </c>
      <c r="L14" s="52" t="n"/>
    </row>
    <row r="15" ht="27" customHeight="1">
      <c r="A15" s="52" t="n"/>
      <c r="B15" s="52" t="n"/>
      <c r="C15" s="52" t="n"/>
      <c r="D15" s="53" t="n"/>
      <c r="E15" s="53" t="n"/>
      <c r="F15" s="53" t="n"/>
      <c r="G15" s="53" t="n"/>
      <c r="H15" s="53" t="n"/>
      <c r="I15" s="53" t="n"/>
      <c r="J15" s="54">
        <f>IF(E15="","",E15+F15-G15+H15+I15)</f>
        <v/>
      </c>
      <c r="K15" s="54">
        <f>IF(J15="","",D15-J15)</f>
        <v/>
      </c>
      <c r="L15" s="52" t="n"/>
    </row>
    <row r="16" ht="27" customHeight="1">
      <c r="A16" s="52" t="n"/>
      <c r="B16" s="52" t="n"/>
      <c r="C16" s="52" t="n"/>
      <c r="D16" s="53" t="n"/>
      <c r="E16" s="53" t="n"/>
      <c r="F16" s="53" t="n"/>
      <c r="G16" s="53" t="n"/>
      <c r="H16" s="53" t="n"/>
      <c r="I16" s="53" t="n"/>
      <c r="J16" s="54">
        <f>IF(E16="","",E16+F16-G16+H16+I16)</f>
        <v/>
      </c>
      <c r="K16" s="54">
        <f>IF(J16="","",D16-J16)</f>
        <v/>
      </c>
      <c r="L16" s="52" t="n"/>
    </row>
    <row r="17" ht="27" customHeight="1">
      <c r="A17" s="52" t="n"/>
      <c r="B17" s="52" t="n"/>
      <c r="C17" s="52" t="n"/>
      <c r="D17" s="53" t="n"/>
      <c r="E17" s="53" t="n"/>
      <c r="F17" s="53" t="n"/>
      <c r="G17" s="53" t="n"/>
      <c r="H17" s="53" t="n"/>
      <c r="I17" s="53" t="n"/>
      <c r="J17" s="54">
        <f>IF(E17="","",E17+F17-G17+H17+I17)</f>
        <v/>
      </c>
      <c r="K17" s="54">
        <f>IF(J17="","",D17-J17)</f>
        <v/>
      </c>
      <c r="L17" s="52" t="n"/>
    </row>
    <row r="18" ht="27" customHeight="1">
      <c r="A18" s="52" t="n"/>
      <c r="B18" s="52" t="n"/>
      <c r="C18" s="52" t="n"/>
      <c r="D18" s="53" t="n"/>
      <c r="E18" s="53" t="n"/>
      <c r="F18" s="53" t="n"/>
      <c r="G18" s="53" t="n"/>
      <c r="H18" s="53" t="n"/>
      <c r="I18" s="53" t="n"/>
      <c r="J18" s="54">
        <f>IF(E18="","",E18+F18-G18+H18+I18)</f>
        <v/>
      </c>
      <c r="K18" s="54">
        <f>IF(J18="","",D18-J18)</f>
        <v/>
      </c>
      <c r="L18" s="52" t="n"/>
    </row>
    <row r="19" ht="15" customHeight="1">
      <c r="A19" s="57" t="inlineStr">
        <is>
          <t>Total</t>
        </is>
      </c>
      <c r="B19" s="57" t="n"/>
      <c r="C19" s="57" t="n"/>
      <c r="D19" s="58">
        <f>SUM(D9:D18)</f>
        <v/>
      </c>
      <c r="E19" s="58">
        <f>SUM(E9:E18)</f>
        <v/>
      </c>
      <c r="F19" s="58">
        <f>SUM(F9:F18)</f>
        <v/>
      </c>
      <c r="G19" s="58">
        <f>SUM(G9:G18)</f>
        <v/>
      </c>
      <c r="H19" s="58">
        <f>SUM(H9:H18)</f>
        <v/>
      </c>
      <c r="I19" s="58">
        <f>SUM(I9:I18)</f>
        <v/>
      </c>
      <c r="J19" s="58">
        <f>SUM(J9:J18)</f>
        <v/>
      </c>
      <c r="K19" s="58">
        <f>D19-J19</f>
        <v/>
      </c>
      <c r="L19" s="57" t="n"/>
    </row>
    <row r="20">
      <c r="A20" s="31" t="n"/>
      <c r="B20" s="31" t="n"/>
      <c r="C20" s="31" t="n"/>
      <c r="D20" s="31" t="n"/>
      <c r="E20" s="31" t="n"/>
      <c r="F20" s="31" t="n"/>
      <c r="G20" s="31" t="n"/>
      <c r="H20" s="31" t="n"/>
      <c r="I20" s="31" t="n"/>
      <c r="J20" s="31" t="n"/>
      <c r="K20" s="31" t="n"/>
      <c r="L20" s="31" t="n"/>
    </row>
    <row r="21" ht="25.5" customHeight="1">
      <c r="A21" s="34" t="inlineStr">
        <is>
          <t>Reconciled bank balance = bank statement + deposits in transit − outstanding checks ± transfers ± other items; the difference to the GL balance should be $0. Describe each 'other' item and investigate old/unusual/unsupported reconciling items.</t>
        </is>
      </c>
      <c r="B21" s="32" t="n"/>
      <c r="C21" s="32" t="n"/>
      <c r="D21" s="32" t="n"/>
      <c r="E21" s="32" t="n"/>
      <c r="F21" s="32" t="n"/>
      <c r="G21" s="32" t="n"/>
      <c r="H21" s="32" t="n"/>
      <c r="I21" s="32" t="n"/>
      <c r="J21" s="32" t="n"/>
      <c r="K21" s="32" t="n"/>
      <c r="L21" s="32" t="n"/>
    </row>
    <row r="22">
      <c r="A22" s="31" t="n"/>
      <c r="B22" s="31" t="n"/>
      <c r="C22" s="31" t="n"/>
      <c r="D22" s="31" t="n"/>
      <c r="E22" s="31" t="n"/>
      <c r="F22" s="31" t="n"/>
      <c r="G22" s="31" t="n"/>
      <c r="H22" s="31" t="n"/>
      <c r="I22" s="31" t="n"/>
      <c r="J22" s="31" t="n"/>
      <c r="K22" s="31" t="n"/>
      <c r="L22" s="31" t="n"/>
    </row>
    <row r="23" ht="15" customHeight="1">
      <c r="A23" s="48" t="inlineStr">
        <is>
          <t>TM Legends</t>
        </is>
      </c>
      <c r="B23" s="31" t="n"/>
      <c r="C23" s="31" t="n"/>
      <c r="D23" s="31" t="n"/>
      <c r="E23" s="31" t="n"/>
      <c r="F23" s="31" t="n"/>
      <c r="G23" s="31" t="n"/>
      <c r="H23" s="31" t="n"/>
      <c r="I23" s="31" t="n"/>
      <c r="J23" s="31" t="n"/>
      <c r="K23" s="31" t="n"/>
      <c r="L23" s="31" t="n"/>
    </row>
    <row r="24" ht="15" customHeight="1">
      <c r="A24" s="66" t="inlineStr">
        <is>
          <t>TB</t>
        </is>
      </c>
      <c r="B24" s="38" t="inlineStr">
        <is>
          <t>Agreed to trial balance</t>
        </is>
      </c>
      <c r="C24" s="67" t="n"/>
      <c r="D24" s="68" t="n"/>
      <c r="E24" s="31" t="n"/>
      <c r="F24" s="31" t="n"/>
      <c r="G24" s="31" t="n"/>
      <c r="H24" s="31" t="n"/>
      <c r="I24" s="31" t="n"/>
      <c r="J24" s="31" t="n"/>
      <c r="K24" s="31" t="n"/>
      <c r="L24" s="31" t="n"/>
    </row>
    <row r="25" ht="15" customHeight="1">
      <c r="A25" s="66" t="inlineStr">
        <is>
          <t>CF</t>
        </is>
      </c>
      <c r="B25" s="38" t="inlineStr">
        <is>
          <t>Confirmed with third party</t>
        </is>
      </c>
      <c r="C25" s="67" t="n"/>
      <c r="D25" s="68" t="n"/>
      <c r="E25" s="31" t="n"/>
      <c r="F25" s="31" t="n"/>
      <c r="G25" s="31" t="n"/>
      <c r="H25" s="31" t="n"/>
      <c r="I25" s="31" t="n"/>
      <c r="J25" s="31" t="n"/>
      <c r="K25" s="31" t="n"/>
      <c r="L25" s="31" t="n"/>
    </row>
    <row r="26" ht="15" customHeight="1">
      <c r="A26" s="66" t="inlineStr">
        <is>
          <t>V</t>
        </is>
      </c>
      <c r="B26" s="38" t="inlineStr">
        <is>
          <t>Vouched to source document</t>
        </is>
      </c>
      <c r="C26" s="67" t="n"/>
      <c r="D26" s="68" t="n"/>
      <c r="E26" s="31" t="n"/>
      <c r="F26" s="31" t="n"/>
      <c r="G26" s="31" t="n"/>
      <c r="H26" s="31" t="n"/>
      <c r="I26" s="31" t="n"/>
      <c r="J26" s="31" t="n"/>
      <c r="K26" s="31" t="n"/>
      <c r="L26" s="31" t="n"/>
    </row>
    <row r="27" ht="15" customHeight="1">
      <c r="A27" s="66" t="inlineStr">
        <is>
          <t>R</t>
        </is>
      </c>
      <c r="B27" s="38" t="inlineStr">
        <is>
          <t>Recalculated independently</t>
        </is>
      </c>
      <c r="C27" s="67" t="n"/>
      <c r="D27" s="68" t="n"/>
      <c r="E27" s="31" t="n"/>
      <c r="F27" s="31" t="n"/>
      <c r="G27" s="31" t="n"/>
      <c r="H27" s="31" t="n"/>
      <c r="I27" s="31" t="n"/>
      <c r="J27" s="31" t="n"/>
      <c r="K27" s="31" t="n"/>
      <c r="L27" s="31" t="n"/>
    </row>
    <row r="28" ht="15" customHeight="1">
      <c r="A28" s="66" t="inlineStr">
        <is>
          <t>F</t>
        </is>
      </c>
      <c r="B28" s="38" t="inlineStr">
        <is>
          <t>Footed / cross-cast</t>
        </is>
      </c>
      <c r="C28" s="67" t="n"/>
      <c r="D28" s="68" t="n"/>
      <c r="E28" s="31" t="n"/>
      <c r="F28" s="31" t="n"/>
      <c r="G28" s="31" t="n"/>
      <c r="H28" s="31" t="n"/>
      <c r="I28" s="31" t="n"/>
      <c r="J28" s="31" t="n"/>
      <c r="K28" s="31" t="n"/>
      <c r="L28" s="31" t="n"/>
    </row>
    <row r="29" ht="15" customHeight="1">
      <c r="A29" s="66" t="inlineStr">
        <is>
          <t>T</t>
        </is>
      </c>
      <c r="B29" s="38" t="inlineStr">
        <is>
          <t>Traced to downstream record</t>
        </is>
      </c>
      <c r="C29" s="67" t="n"/>
      <c r="D29" s="68" t="n"/>
      <c r="E29" s="31" t="n"/>
      <c r="F29" s="31" t="n"/>
      <c r="G29" s="31" t="n"/>
      <c r="H29" s="31" t="n"/>
      <c r="I29" s="31" t="n"/>
      <c r="J29" s="31" t="n"/>
      <c r="K29" s="31" t="n"/>
      <c r="L29" s="31" t="n"/>
    </row>
    <row r="30" ht="15" customHeight="1">
      <c r="A30" s="66" t="inlineStr">
        <is>
          <t>PBC</t>
        </is>
      </c>
      <c r="B30" s="38" t="inlineStr">
        <is>
          <t>Prepared by client</t>
        </is>
      </c>
      <c r="C30" s="67" t="n"/>
      <c r="D30" s="68" t="n"/>
      <c r="E30" s="31" t="n"/>
      <c r="F30" s="31" t="n"/>
      <c r="G30" s="31" t="n"/>
      <c r="H30" s="31" t="n"/>
      <c r="I30" s="31" t="n"/>
      <c r="J30" s="31" t="n"/>
      <c r="K30" s="31" t="n"/>
      <c r="L30" s="31" t="n"/>
    </row>
    <row r="31">
      <c r="A31" s="31" t="n"/>
      <c r="B31" s="31" t="n"/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</row>
    <row r="32" ht="25.5" customHeight="1">
      <c r="A32" s="34" t="inlineStr">
        <is>
          <t>Before sign-off complete Library Procedures 11–14 (Bank Reconciliation).</t>
        </is>
      </c>
      <c r="B32" s="32" t="n"/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  <c r="L32" s="32" t="n"/>
    </row>
  </sheetData>
  <mergeCells count="12">
    <mergeCell ref="B28:D28"/>
    <mergeCell ref="B4:L4"/>
    <mergeCell ref="B6:L6"/>
    <mergeCell ref="B25:D25"/>
    <mergeCell ref="A32:L32"/>
    <mergeCell ref="B26:D26"/>
    <mergeCell ref="B27:D27"/>
    <mergeCell ref="B5:L5"/>
    <mergeCell ref="B30:D30"/>
    <mergeCell ref="B29:D29"/>
    <mergeCell ref="A21:L21"/>
    <mergeCell ref="B24:D24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H46"/>
  <sheetViews>
    <sheetView showGridLines="0" topLeftCell="A10" zoomScale="90" zoomScaleNormal="100" workbookViewId="0">
      <pane ySplit="7" topLeftCell="A8" activePane="bottomLeft" state="frozen"/>
      <selection pane="bottomLeft" activeCell="B4" sqref="B4:H4"/>
    </sheetView>
  </sheetViews>
  <sheetFormatPr baseColWidth="8" defaultColWidth="8.6328125" defaultRowHeight="14.5"/>
  <cols>
    <col width="30.9" customWidth="1" min="1" max="1"/>
    <col width="29.2" customWidth="1" min="2" max="2"/>
    <col width="13" customWidth="1" min="3" max="3"/>
    <col width="37.7" customWidth="1" min="4" max="4"/>
    <col width="24.95" customWidth="1" min="5" max="5"/>
    <col width="39.4" customWidth="1" min="6" max="6"/>
    <col width="13" customWidth="1" min="7" max="7"/>
    <col width="30" customWidth="1" min="8" max="8"/>
  </cols>
  <sheetData>
    <row r="1" ht="17.25" customHeight="1">
      <c r="A1" s="30" t="inlineStr">
        <is>
          <t>Outstanding Checks Testing</t>
        </is>
      </c>
      <c r="B1" s="31" t="n"/>
      <c r="C1" s="31" t="n"/>
      <c r="D1" s="31" t="n"/>
      <c r="E1" s="31" t="n"/>
      <c r="F1" s="31" t="n"/>
      <c r="G1" s="31" t="n"/>
      <c r="H1" s="31" t="n"/>
    </row>
    <row r="2" ht="27" customHeight="1">
      <c r="A2" s="43" t="inlineStr">
        <is>
          <t>Client / Entity</t>
        </is>
      </c>
      <c r="B2" s="33" t="inlineStr">
        <is>
          <t>Quovalize Staffing Services, LLC</t>
        </is>
      </c>
      <c r="C2" s="31" t="n"/>
      <c r="D2" s="43" t="inlineStr">
        <is>
          <t>Year-End</t>
        </is>
      </c>
      <c r="E2" s="44" t="n">
        <v>46022</v>
      </c>
      <c r="F2" s="31" t="n"/>
      <c r="G2" s="43" t="inlineStr">
        <is>
          <t>Currency</t>
        </is>
      </c>
      <c r="H2" s="45" t="inlineStr">
        <is>
          <t>USD</t>
        </is>
      </c>
    </row>
    <row r="3" ht="27" customHeight="1">
      <c r="A3" s="46" t="inlineStr">
        <is>
          <t>Performance Materiality</t>
        </is>
      </c>
      <c r="B3" s="47" t="n">
        <v>24200</v>
      </c>
      <c r="C3" s="31" t="n"/>
      <c r="D3" s="46" t="inlineStr">
        <is>
          <t>Tolerable misstatement / testing threshold</t>
        </is>
      </c>
      <c r="E3" s="47" t="n">
        <v>21800</v>
      </c>
      <c r="F3" s="31" t="n"/>
      <c r="G3" s="31" t="n"/>
      <c r="H3" s="31" t="n"/>
    </row>
    <row r="4" ht="42" customHeight="1">
      <c r="A4" s="48" t="inlineStr">
        <is>
          <t>Purpose:</t>
        </is>
      </c>
      <c r="B4" s="49" t="inlineStr">
        <is>
          <t>Test outstanding checks in two directions: existence (list → bank statement) on a sample basis, and completeness (bank statement → list) for at least 5–10 items regardless of population.</t>
        </is>
      </c>
      <c r="C4" s="32" t="n"/>
      <c r="D4" s="32" t="n"/>
      <c r="E4" s="32" t="n"/>
      <c r="F4" s="32" t="n"/>
      <c r="G4" s="32" t="n"/>
      <c r="H4" s="32" t="n"/>
    </row>
    <row r="5" ht="15" customHeight="1">
      <c r="A5" s="48" t="inlineStr">
        <is>
          <t>Scope:</t>
        </is>
      </c>
      <c r="B5" s="49" t="inlineStr">
        <is>
          <t>Year-end outstanding-check list and the subsequent-period (cutoff) bank statement.</t>
        </is>
      </c>
      <c r="C5" s="32" t="n"/>
      <c r="D5" s="32" t="n"/>
      <c r="E5" s="32" t="n"/>
      <c r="F5" s="32" t="n"/>
      <c r="G5" s="32" t="n"/>
      <c r="H5" s="32" t="n"/>
    </row>
    <row r="6" ht="15" customHeight="1">
      <c r="A6" s="48" t="inlineStr">
        <is>
          <t>Assertions:</t>
        </is>
      </c>
      <c r="B6" s="49" t="inlineStr">
        <is>
          <t>Existence; Completeness; Cutoff</t>
        </is>
      </c>
      <c r="C6" s="32" t="n"/>
      <c r="D6" s="32" t="n"/>
      <c r="E6" s="32" t="n"/>
      <c r="F6" s="32" t="n"/>
      <c r="G6" s="32" t="n"/>
      <c r="H6" s="32" t="n"/>
    </row>
    <row r="7" ht="15" customHeight="1">
      <c r="A7" s="69" t="inlineStr">
        <is>
          <t>Section A — Existence: from the outstanding-check LIST → subsequent bank statement (SAMPLE basis)</t>
        </is>
      </c>
      <c r="B7" s="32" t="n"/>
      <c r="C7" s="32" t="n"/>
      <c r="D7" s="32" t="n"/>
      <c r="E7" s="32" t="n"/>
      <c r="F7" s="32" t="n"/>
      <c r="G7" s="32" t="n"/>
      <c r="H7" s="32" t="n"/>
    </row>
    <row r="8" ht="30" customHeight="1">
      <c r="A8" s="50" t="inlineStr">
        <is>
          <t>Check #</t>
        </is>
      </c>
      <c r="B8" s="50" t="inlineStr">
        <is>
          <t>Payee</t>
        </is>
      </c>
      <c r="C8" s="50" t="inlineStr">
        <is>
          <t>Check date</t>
        </is>
      </c>
      <c r="D8" s="50" t="inlineStr">
        <is>
          <t>Amount</t>
        </is>
      </c>
      <c r="E8" s="50" t="inlineStr">
        <is>
          <t>Per O/S list (Y)</t>
        </is>
      </c>
      <c r="F8" s="50" t="inlineStr">
        <is>
          <t>Cleared per subsequent bank statement (date)</t>
        </is>
      </c>
      <c r="G8" s="50" t="inlineStr">
        <is>
          <t>Agreed (Y/N)</t>
        </is>
      </c>
      <c r="H8" s="50" t="inlineStr">
        <is>
          <t>Comments</t>
        </is>
      </c>
    </row>
    <row r="9" ht="15" customHeight="1">
      <c r="A9" s="31" t="n"/>
      <c r="B9" s="31" t="n"/>
      <c r="C9" s="31" t="n"/>
      <c r="D9" s="51" t="inlineStr">
        <is>
          <t>V</t>
        </is>
      </c>
      <c r="E9" s="31" t="n"/>
      <c r="F9" s="31" t="n"/>
      <c r="G9" s="31" t="n"/>
      <c r="H9" s="31" t="n"/>
    </row>
    <row r="10" ht="15" customHeight="1">
      <c r="A10" s="52" t="n"/>
      <c r="B10" s="52" t="n"/>
      <c r="C10" s="52" t="n"/>
      <c r="D10" s="53" t="n"/>
      <c r="E10" s="52" t="n"/>
      <c r="F10" s="52" t="n"/>
      <c r="G10" s="52" t="n"/>
      <c r="H10" s="52" t="n"/>
    </row>
    <row r="11" ht="15" customHeight="1">
      <c r="A11" s="52" t="n"/>
      <c r="B11" s="52" t="n"/>
      <c r="C11" s="52" t="n"/>
      <c r="D11" s="53" t="n"/>
      <c r="E11" s="52" t="n"/>
      <c r="F11" s="52" t="n"/>
      <c r="G11" s="52" t="n"/>
      <c r="H11" s="52" t="n"/>
    </row>
    <row r="12" ht="15" customHeight="1">
      <c r="A12" s="52" t="n"/>
      <c r="B12" s="52" t="n"/>
      <c r="C12" s="52" t="n"/>
      <c r="D12" s="53" t="n"/>
      <c r="E12" s="52" t="n"/>
      <c r="F12" s="52" t="n"/>
      <c r="G12" s="52" t="n"/>
      <c r="H12" s="52" t="n"/>
    </row>
    <row r="13" ht="15" customHeight="1">
      <c r="A13" s="52" t="n"/>
      <c r="B13" s="52" t="n"/>
      <c r="C13" s="52" t="n"/>
      <c r="D13" s="53" t="n"/>
      <c r="E13" s="52" t="n"/>
      <c r="F13" s="52" t="n"/>
      <c r="G13" s="52" t="n"/>
      <c r="H13" s="52" t="n"/>
    </row>
    <row r="14" ht="15" customHeight="1">
      <c r="A14" s="52" t="n"/>
      <c r="B14" s="52" t="n"/>
      <c r="C14" s="52" t="n"/>
      <c r="D14" s="53" t="n"/>
      <c r="E14" s="52" t="n"/>
      <c r="F14" s="52" t="n"/>
      <c r="G14" s="52" t="n"/>
      <c r="H14" s="52" t="n"/>
    </row>
    <row r="15" ht="15" customHeight="1">
      <c r="A15" s="52" t="n"/>
      <c r="B15" s="52" t="n"/>
      <c r="C15" s="52" t="n"/>
      <c r="D15" s="53" t="n"/>
      <c r="E15" s="52" t="n"/>
      <c r="F15" s="52" t="n"/>
      <c r="G15" s="52" t="n"/>
      <c r="H15" s="52" t="n"/>
    </row>
    <row r="16" ht="15" customHeight="1">
      <c r="A16" s="52" t="n"/>
      <c r="B16" s="52" t="n"/>
      <c r="C16" s="52" t="n"/>
      <c r="D16" s="53" t="n"/>
      <c r="E16" s="52" t="n"/>
      <c r="F16" s="52" t="n"/>
      <c r="G16" s="52" t="n"/>
      <c r="H16" s="52" t="n"/>
    </row>
    <row r="17" ht="15" customHeight="1">
      <c r="A17" s="52" t="n"/>
      <c r="B17" s="52" t="n"/>
      <c r="C17" s="52" t="n"/>
      <c r="D17" s="53" t="n"/>
      <c r="E17" s="52" t="n"/>
      <c r="F17" s="52" t="n"/>
      <c r="G17" s="52" t="n"/>
      <c r="H17" s="52" t="n"/>
    </row>
    <row r="18" ht="15" customHeight="1">
      <c r="A18" s="52" t="n"/>
      <c r="B18" s="52" t="n"/>
      <c r="C18" s="52" t="n"/>
      <c r="D18" s="53" t="n"/>
      <c r="E18" s="52" t="n"/>
      <c r="F18" s="52" t="n"/>
      <c r="G18" s="52" t="n"/>
      <c r="H18" s="52" t="n"/>
    </row>
    <row r="19" ht="15" customHeight="1">
      <c r="A19" s="52" t="n"/>
      <c r="B19" s="52" t="n"/>
      <c r="C19" s="52" t="n"/>
      <c r="D19" s="53" t="n"/>
      <c r="E19" s="52" t="n"/>
      <c r="F19" s="52" t="n"/>
      <c r="G19" s="52" t="n"/>
      <c r="H19" s="52" t="n"/>
    </row>
    <row r="20" ht="15" customHeight="1">
      <c r="A20" s="52" t="n"/>
      <c r="B20" s="52" t="n"/>
      <c r="C20" s="52" t="n"/>
      <c r="D20" s="53" t="n"/>
      <c r="E20" s="52" t="n"/>
      <c r="F20" s="52" t="n"/>
      <c r="G20" s="52" t="n"/>
      <c r="H20" s="52" t="n"/>
    </row>
    <row r="21" ht="15" customHeight="1">
      <c r="A21" s="52" t="n"/>
      <c r="B21" s="52" t="n"/>
      <c r="C21" s="52" t="n"/>
      <c r="D21" s="53" t="n"/>
      <c r="E21" s="52" t="n"/>
      <c r="F21" s="52" t="n"/>
      <c r="G21" s="52" t="n"/>
      <c r="H21" s="52" t="n"/>
    </row>
    <row r="22" ht="15" customHeight="1">
      <c r="A22" s="69" t="inlineStr">
        <is>
          <t>Section B — Completeness: from subsequent bank STATEMENT → outstanding-check list (select at least 5–10, regardless of population)</t>
        </is>
      </c>
      <c r="B22" s="32" t="n"/>
      <c r="C22" s="32" t="n"/>
      <c r="D22" s="32" t="n"/>
      <c r="E22" s="32" t="n"/>
      <c r="F22" s="32" t="n"/>
      <c r="G22" s="32" t="n"/>
      <c r="H22" s="32" t="n"/>
    </row>
    <row r="23" ht="30" customHeight="1">
      <c r="A23" s="50" t="inlineStr">
        <is>
          <t>Item per subsequent bank statement</t>
        </is>
      </c>
      <c r="B23" s="50" t="inlineStr">
        <is>
          <t>Cleared date</t>
        </is>
      </c>
      <c r="C23" s="50" t="inlineStr">
        <is>
          <t>Amount</t>
        </is>
      </c>
      <c r="D23" s="50" t="inlineStr">
        <is>
          <t>Check #</t>
        </is>
      </c>
      <c r="E23" s="50" t="inlineStr">
        <is>
          <t>On year-end O/S list? (Y/N)</t>
        </is>
      </c>
      <c r="F23" s="50" t="inlineStr">
        <is>
          <t>Recorded in proper period (Y/N)</t>
        </is>
      </c>
      <c r="G23" s="50" t="n"/>
      <c r="H23" s="50" t="inlineStr">
        <is>
          <t>Comments</t>
        </is>
      </c>
    </row>
    <row r="24" ht="15" customHeight="1">
      <c r="A24" s="52" t="n"/>
      <c r="B24" s="52" t="n"/>
      <c r="C24" s="53" t="n"/>
      <c r="D24" s="52" t="n"/>
      <c r="E24" s="52" t="n"/>
      <c r="F24" s="52" t="n"/>
      <c r="G24" s="52" t="n"/>
      <c r="H24" s="52" t="n"/>
    </row>
    <row r="25" ht="15" customHeight="1">
      <c r="A25" s="52" t="n"/>
      <c r="B25" s="52" t="n"/>
      <c r="C25" s="53" t="n"/>
      <c r="D25" s="52" t="n"/>
      <c r="E25" s="52" t="n"/>
      <c r="F25" s="52" t="n"/>
      <c r="G25" s="52" t="n"/>
      <c r="H25" s="52" t="n"/>
    </row>
    <row r="26" ht="15" customHeight="1">
      <c r="A26" s="52" t="n"/>
      <c r="B26" s="52" t="n"/>
      <c r="C26" s="53" t="n"/>
      <c r="D26" s="52" t="n"/>
      <c r="E26" s="52" t="n"/>
      <c r="F26" s="52" t="n"/>
      <c r="G26" s="52" t="n"/>
      <c r="H26" s="52" t="n"/>
    </row>
    <row r="27" ht="15" customHeight="1">
      <c r="A27" s="52" t="n"/>
      <c r="B27" s="52" t="n"/>
      <c r="C27" s="53" t="n"/>
      <c r="D27" s="52" t="n"/>
      <c r="E27" s="52" t="n"/>
      <c r="F27" s="52" t="n"/>
      <c r="G27" s="52" t="n"/>
      <c r="H27" s="52" t="n"/>
    </row>
    <row r="28" ht="15" customHeight="1">
      <c r="A28" s="52" t="n"/>
      <c r="B28" s="52" t="n"/>
      <c r="C28" s="53" t="n"/>
      <c r="D28" s="52" t="n"/>
      <c r="E28" s="52" t="n"/>
      <c r="F28" s="52" t="n"/>
      <c r="G28" s="52" t="n"/>
      <c r="H28" s="52" t="n"/>
    </row>
    <row r="29" ht="15" customHeight="1">
      <c r="A29" s="52" t="n"/>
      <c r="B29" s="52" t="n"/>
      <c r="C29" s="53" t="n"/>
      <c r="D29" s="52" t="n"/>
      <c r="E29" s="52" t="n"/>
      <c r="F29" s="52" t="n"/>
      <c r="G29" s="52" t="n"/>
      <c r="H29" s="52" t="n"/>
    </row>
    <row r="30" ht="15" customHeight="1">
      <c r="A30" s="52" t="n"/>
      <c r="B30" s="52" t="n"/>
      <c r="C30" s="53" t="n"/>
      <c r="D30" s="52" t="n"/>
      <c r="E30" s="52" t="n"/>
      <c r="F30" s="52" t="n"/>
      <c r="G30" s="52" t="n"/>
      <c r="H30" s="52" t="n"/>
    </row>
    <row r="31" ht="15" customHeight="1">
      <c r="A31" s="52" t="n"/>
      <c r="B31" s="52" t="n"/>
      <c r="C31" s="53" t="n"/>
      <c r="D31" s="52" t="n"/>
      <c r="E31" s="52" t="n"/>
      <c r="F31" s="52" t="n"/>
      <c r="G31" s="52" t="n"/>
      <c r="H31" s="52" t="n"/>
    </row>
    <row r="32" ht="15" customHeight="1">
      <c r="A32" s="52" t="n"/>
      <c r="B32" s="52" t="n"/>
      <c r="C32" s="53" t="n"/>
      <c r="D32" s="52" t="n"/>
      <c r="E32" s="52" t="n"/>
      <c r="F32" s="52" t="n"/>
      <c r="G32" s="52" t="n"/>
      <c r="H32" s="52" t="n"/>
    </row>
    <row r="33" ht="15" customHeight="1">
      <c r="A33" s="52" t="n"/>
      <c r="B33" s="52" t="n"/>
      <c r="C33" s="53" t="n"/>
      <c r="D33" s="52" t="n"/>
      <c r="E33" s="52" t="n"/>
      <c r="F33" s="52" t="n"/>
      <c r="G33" s="52" t="n"/>
      <c r="H33" s="52" t="n"/>
    </row>
    <row r="34">
      <c r="A34" s="31" t="n"/>
      <c r="B34" s="31" t="n"/>
      <c r="C34" s="31" t="n"/>
      <c r="D34" s="31" t="n"/>
      <c r="E34" s="31" t="n"/>
      <c r="F34" s="31" t="n"/>
      <c r="G34" s="31" t="n"/>
      <c r="H34" s="31" t="n"/>
    </row>
    <row r="35" ht="27" customHeight="1">
      <c r="A35" s="34" t="inlineStr">
        <is>
          <t>Existence: select from the O/S list on a sample basis and trace each to the subsequent bank statement (did it clear?). Completeness: select at least 5–10 checks that cleared in the subsequent-period statement (irrespective of population size) and trace back to the year-end O/S list. Also obtain the full O/S check register and investigate stale/voided checks.</t>
        </is>
      </c>
      <c r="B35" s="32" t="n"/>
      <c r="C35" s="32" t="n"/>
      <c r="D35" s="32" t="n"/>
      <c r="E35" s="32" t="n"/>
      <c r="F35" s="32" t="n"/>
      <c r="G35" s="32" t="n"/>
      <c r="H35" s="32" t="n"/>
    </row>
    <row r="36">
      <c r="A36" s="31" t="n"/>
      <c r="B36" s="31" t="n"/>
      <c r="C36" s="31" t="n"/>
      <c r="D36" s="31" t="n"/>
      <c r="E36" s="31" t="n"/>
      <c r="F36" s="31" t="n"/>
      <c r="G36" s="31" t="n"/>
      <c r="H36" s="31" t="n"/>
    </row>
    <row r="37" ht="15" customHeight="1">
      <c r="A37" s="48" t="inlineStr">
        <is>
          <t>TM Legends</t>
        </is>
      </c>
      <c r="B37" s="31" t="n"/>
      <c r="C37" s="31" t="n"/>
      <c r="D37" s="31" t="n"/>
      <c r="E37" s="31" t="n"/>
      <c r="F37" s="31" t="n"/>
      <c r="G37" s="31" t="n"/>
      <c r="H37" s="31" t="n"/>
    </row>
    <row r="38" ht="15" customHeight="1">
      <c r="A38" s="66" t="inlineStr">
        <is>
          <t>TB</t>
        </is>
      </c>
      <c r="B38" s="38" t="inlineStr">
        <is>
          <t>Agreed to trial balance</t>
        </is>
      </c>
      <c r="C38" s="67" t="n"/>
      <c r="D38" s="68" t="n"/>
      <c r="E38" s="31" t="n"/>
      <c r="F38" s="31" t="n"/>
      <c r="G38" s="31" t="n"/>
      <c r="H38" s="31" t="n"/>
    </row>
    <row r="39" ht="15" customHeight="1">
      <c r="A39" s="66" t="inlineStr">
        <is>
          <t>CF</t>
        </is>
      </c>
      <c r="B39" s="38" t="inlineStr">
        <is>
          <t>Confirmed with third party</t>
        </is>
      </c>
      <c r="C39" s="67" t="n"/>
      <c r="D39" s="68" t="n"/>
      <c r="E39" s="31" t="n"/>
      <c r="F39" s="31" t="n"/>
      <c r="G39" s="31" t="n"/>
      <c r="H39" s="31" t="n"/>
    </row>
    <row r="40" ht="15" customHeight="1">
      <c r="A40" s="66" t="inlineStr">
        <is>
          <t>V</t>
        </is>
      </c>
      <c r="B40" s="38" t="inlineStr">
        <is>
          <t>Vouched to source document</t>
        </is>
      </c>
      <c r="C40" s="67" t="n"/>
      <c r="D40" s="68" t="n"/>
      <c r="E40" s="31" t="n"/>
      <c r="F40" s="31" t="n"/>
      <c r="G40" s="31" t="n"/>
      <c r="H40" s="31" t="n"/>
    </row>
    <row r="41" ht="15" customHeight="1">
      <c r="A41" s="66" t="inlineStr">
        <is>
          <t>R</t>
        </is>
      </c>
      <c r="B41" s="38" t="inlineStr">
        <is>
          <t>Recalculated independently</t>
        </is>
      </c>
      <c r="C41" s="67" t="n"/>
      <c r="D41" s="68" t="n"/>
      <c r="E41" s="31" t="n"/>
      <c r="F41" s="31" t="n"/>
      <c r="G41" s="31" t="n"/>
      <c r="H41" s="31" t="n"/>
    </row>
    <row r="42" ht="15" customHeight="1">
      <c r="A42" s="66" t="inlineStr">
        <is>
          <t>F</t>
        </is>
      </c>
      <c r="B42" s="38" t="inlineStr">
        <is>
          <t>Footed / cross-cast</t>
        </is>
      </c>
      <c r="C42" s="67" t="n"/>
      <c r="D42" s="68" t="n"/>
      <c r="E42" s="31" t="n"/>
      <c r="F42" s="31" t="n"/>
      <c r="G42" s="31" t="n"/>
      <c r="H42" s="31" t="n"/>
    </row>
    <row r="43" ht="15" customHeight="1">
      <c r="A43" s="66" t="inlineStr">
        <is>
          <t>T</t>
        </is>
      </c>
      <c r="B43" s="38" t="inlineStr">
        <is>
          <t>Traced to downstream record</t>
        </is>
      </c>
      <c r="C43" s="67" t="n"/>
      <c r="D43" s="68" t="n"/>
      <c r="E43" s="31" t="n"/>
      <c r="F43" s="31" t="n"/>
      <c r="G43" s="31" t="n"/>
      <c r="H43" s="31" t="n"/>
    </row>
    <row r="44" ht="15" customHeight="1">
      <c r="A44" s="66" t="inlineStr">
        <is>
          <t>PBC</t>
        </is>
      </c>
      <c r="B44" s="38" t="inlineStr">
        <is>
          <t>Prepared by client</t>
        </is>
      </c>
      <c r="C44" s="67" t="n"/>
      <c r="D44" s="68" t="n"/>
      <c r="E44" s="31" t="n"/>
      <c r="F44" s="31" t="n"/>
      <c r="G44" s="31" t="n"/>
      <c r="H44" s="31" t="n"/>
    </row>
    <row r="45">
      <c r="A45" s="31" t="n"/>
      <c r="B45" s="31" t="n"/>
      <c r="C45" s="31" t="n"/>
      <c r="D45" s="31" t="n"/>
      <c r="E45" s="31" t="n"/>
      <c r="F45" s="31" t="n"/>
      <c r="G45" s="31" t="n"/>
      <c r="H45" s="31" t="n"/>
    </row>
    <row r="46" ht="25.5" customHeight="1">
      <c r="A46" s="34" t="inlineStr">
        <is>
          <t>Before sign-off complete Library Procedures 15–17 (Outstanding Checks).</t>
        </is>
      </c>
      <c r="B46" s="32" t="n"/>
      <c r="C46" s="32" t="n"/>
      <c r="D46" s="32" t="n"/>
      <c r="E46" s="32" t="n"/>
      <c r="F46" s="32" t="n"/>
      <c r="G46" s="32" t="n"/>
      <c r="H46" s="32" t="n"/>
    </row>
  </sheetData>
  <mergeCells count="14">
    <mergeCell ref="B42:D42"/>
    <mergeCell ref="A35:H35"/>
    <mergeCell ref="A7:H7"/>
    <mergeCell ref="B41:D41"/>
    <mergeCell ref="B4:H4"/>
    <mergeCell ref="B40:D40"/>
    <mergeCell ref="B6:H6"/>
    <mergeCell ref="B44:D44"/>
    <mergeCell ref="B43:D43"/>
    <mergeCell ref="A46:H46"/>
    <mergeCell ref="B39:D39"/>
    <mergeCell ref="B5:H5"/>
    <mergeCell ref="B38:D38"/>
    <mergeCell ref="A22:H22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I31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12" sqref="A12"/>
    </sheetView>
  </sheetViews>
  <sheetFormatPr baseColWidth="8" defaultColWidth="8.6328125" defaultRowHeight="14.5"/>
  <cols>
    <col width="36.85" customWidth="1" min="1" max="1"/>
    <col width="29.2" customWidth="1" min="2" max="3"/>
    <col width="17.3" customWidth="1" min="3" max="3"/>
    <col width="37.7" customWidth="1" min="4" max="4"/>
    <col width="14" customWidth="1" min="5" max="5"/>
    <col width="27.5" customWidth="1" min="6" max="6"/>
    <col width="28.35" customWidth="1" min="7" max="7"/>
    <col width="24" customWidth="1" min="8" max="8"/>
    <col width="28" customWidth="1" min="9" max="9"/>
  </cols>
  <sheetData>
    <row r="1" ht="17.25" customHeight="1">
      <c r="A1" s="42" t="inlineStr">
        <is>
          <t>Cutoff Procedures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</row>
    <row r="2" ht="27" customHeight="1">
      <c r="A2" s="43" t="inlineStr">
        <is>
          <t>Client / Entity</t>
        </is>
      </c>
      <c r="B2" s="33" t="inlineStr">
        <is>
          <t>Quovalize Staffing Services, LLC</t>
        </is>
      </c>
      <c r="C2" s="31" t="n"/>
      <c r="D2" s="43" t="inlineStr">
        <is>
          <t>Year-End</t>
        </is>
      </c>
      <c r="E2" s="44" t="n">
        <v>46022</v>
      </c>
      <c r="F2" s="31" t="n"/>
      <c r="G2" s="43" t="inlineStr">
        <is>
          <t>Currency</t>
        </is>
      </c>
      <c r="H2" s="45" t="inlineStr">
        <is>
          <t>USD</t>
        </is>
      </c>
      <c r="I2" s="31" t="n"/>
    </row>
    <row r="3" ht="27" customHeight="1">
      <c r="A3" s="46" t="inlineStr">
        <is>
          <t>Performance Materiality</t>
        </is>
      </c>
      <c r="B3" s="47" t="n">
        <v>24200</v>
      </c>
      <c r="C3" s="31" t="n"/>
      <c r="D3" s="46" t="inlineStr">
        <is>
          <t>Tolerable misstatement / testing threshold</t>
        </is>
      </c>
      <c r="E3" s="47" t="n">
        <v>21800</v>
      </c>
      <c r="F3" s="31" t="n"/>
      <c r="G3" s="31" t="n"/>
      <c r="H3" s="31" t="n"/>
      <c r="I3" s="31" t="n"/>
    </row>
    <row r="4" ht="27.75" customHeight="1">
      <c r="A4" s="48" t="inlineStr">
        <is>
          <t>Purpose:</t>
        </is>
      </c>
      <c r="B4" s="49" t="inlineStr">
        <is>
          <t>Obtain the complete subsequent-period cutoff bank statement and test that period-end reconciling items and interaccount transfers are recorded in the proper period.</t>
        </is>
      </c>
      <c r="C4" s="32" t="n"/>
      <c r="D4" s="32" t="n"/>
      <c r="E4" s="32" t="n"/>
      <c r="F4" s="32" t="n"/>
      <c r="G4" s="32" t="n"/>
      <c r="H4" s="32" t="n"/>
      <c r="I4" s="32" t="n"/>
    </row>
    <row r="5" ht="27.75" customHeight="1">
      <c r="A5" s="48" t="inlineStr">
        <is>
          <t>Scope:</t>
        </is>
      </c>
      <c r="B5" s="49" t="inlineStr">
        <is>
          <t>Cash activity around period-end for all accounts, using the full cutoff bank statement (not only items that clear the year-end rec).</t>
        </is>
      </c>
      <c r="C5" s="32" t="n"/>
      <c r="D5" s="32" t="n"/>
      <c r="E5" s="32" t="n"/>
      <c r="F5" s="32" t="n"/>
      <c r="G5" s="32" t="n"/>
      <c r="H5" s="32" t="n"/>
      <c r="I5" s="32" t="n"/>
    </row>
    <row r="6" ht="15" customHeight="1">
      <c r="A6" s="48" t="inlineStr">
        <is>
          <t>Assertions:</t>
        </is>
      </c>
      <c r="B6" s="49" t="inlineStr">
        <is>
          <t>Cutoff; Completeness</t>
        </is>
      </c>
      <c r="C6" s="32" t="n"/>
      <c r="D6" s="32" t="n"/>
      <c r="E6" s="32" t="n"/>
      <c r="F6" s="32" t="n"/>
      <c r="G6" s="32" t="n"/>
      <c r="H6" s="32" t="n"/>
      <c r="I6" s="32" t="n"/>
    </row>
    <row r="7" ht="30" customHeight="1">
      <c r="A7" s="50" t="inlineStr">
        <is>
          <t>Procedure area</t>
        </is>
      </c>
      <c r="B7" s="50" t="inlineStr">
        <is>
          <t>Entity</t>
        </is>
      </c>
      <c r="C7" s="50" t="inlineStr">
        <is>
          <t>Bank / Institution</t>
        </is>
      </c>
      <c r="D7" s="50" t="inlineStr">
        <is>
          <t>Date</t>
        </is>
      </c>
      <c r="E7" s="50" t="inlineStr">
        <is>
          <t>Amount</t>
        </is>
      </c>
      <c r="F7" s="50" t="inlineStr">
        <is>
          <t>Cleared in proper period (Y/N)</t>
        </is>
      </c>
      <c r="G7" s="50" t="inlineStr">
        <is>
          <t>Per cutoff bank statement (Y/N)</t>
        </is>
      </c>
      <c r="H7" s="50" t="inlineStr">
        <is>
          <t>Result</t>
        </is>
      </c>
      <c r="I7" s="50" t="inlineStr">
        <is>
          <t>Source / Comments</t>
        </is>
      </c>
    </row>
    <row r="8" ht="15" customHeight="1">
      <c r="A8" s="31" t="n"/>
      <c r="B8" s="31" t="n"/>
      <c r="C8" s="31" t="n"/>
      <c r="D8" s="51" t="inlineStr">
        <is>
          <t>V</t>
        </is>
      </c>
      <c r="E8" s="31" t="n"/>
      <c r="F8" s="31" t="n"/>
      <c r="G8" s="51" t="inlineStr">
        <is>
          <t>T</t>
        </is>
      </c>
      <c r="H8" s="31" t="n"/>
      <c r="I8" s="31" t="n"/>
    </row>
    <row r="9" ht="15" customHeight="1">
      <c r="A9" s="38" t="inlineStr">
        <is>
          <t>Outstanding check cutoff</t>
        </is>
      </c>
      <c r="B9" s="52" t="n"/>
      <c r="C9" s="52" t="n"/>
      <c r="D9" s="52" t="n"/>
      <c r="E9" s="53" t="n"/>
      <c r="F9" s="52" t="n"/>
      <c r="G9" s="52" t="n"/>
      <c r="H9" s="52" t="n"/>
      <c r="I9" s="52" t="n"/>
    </row>
    <row r="10" ht="15" customHeight="1">
      <c r="A10" s="38" t="inlineStr">
        <is>
          <t>Deposit-in-transit cutoff</t>
        </is>
      </c>
      <c r="B10" s="52" t="n"/>
      <c r="C10" s="52" t="n"/>
      <c r="D10" s="52" t="n"/>
      <c r="E10" s="53" t="n"/>
      <c r="F10" s="52" t="n"/>
      <c r="G10" s="52" t="n"/>
      <c r="H10" s="52" t="n"/>
      <c r="I10" s="52" t="n"/>
    </row>
    <row r="11" ht="27" customHeight="1">
      <c r="A11" s="38" t="inlineStr">
        <is>
          <t>Interaccount transfer cutoff (both sides)</t>
        </is>
      </c>
      <c r="B11" s="52" t="n"/>
      <c r="C11" s="52" t="n"/>
      <c r="D11" s="52" t="n"/>
      <c r="E11" s="53" t="n"/>
      <c r="F11" s="52" t="n"/>
      <c r="G11" s="52" t="n"/>
      <c r="H11" s="52" t="n"/>
      <c r="I11" s="52" t="n"/>
    </row>
    <row r="12" ht="15" customHeight="1">
      <c r="A12" s="38" t="inlineStr">
        <is>
          <t>Subsequent-period activity scan</t>
        </is>
      </c>
      <c r="B12" s="52" t="n"/>
      <c r="C12" s="52" t="n"/>
      <c r="D12" s="52" t="n"/>
      <c r="E12" s="53" t="n"/>
      <c r="F12" s="52" t="n"/>
      <c r="G12" s="52" t="n"/>
      <c r="H12" s="52" t="n"/>
      <c r="I12" s="52" t="n"/>
    </row>
    <row r="13" ht="15" customHeight="1">
      <c r="A13" s="38" t="inlineStr">
        <is>
          <t>Complete cutoff bank statement review</t>
        </is>
      </c>
      <c r="B13" s="52" t="n"/>
      <c r="C13" s="52" t="n"/>
      <c r="D13" s="52" t="n"/>
      <c r="E13" s="53" t="n"/>
      <c r="F13" s="52" t="n"/>
      <c r="G13" s="52" t="n"/>
      <c r="H13" s="52" t="n"/>
      <c r="I13" s="52" t="n"/>
    </row>
    <row r="14" ht="15" customHeight="1">
      <c r="A14" s="38" t="inlineStr">
        <is>
          <t>Inter-bank transfer / kiting schedule</t>
        </is>
      </c>
      <c r="B14" s="52" t="n"/>
      <c r="C14" s="52" t="n"/>
      <c r="D14" s="52" t="n"/>
      <c r="E14" s="53" t="n"/>
      <c r="F14" s="52" t="n"/>
      <c r="G14" s="52" t="n"/>
      <c r="H14" s="52" t="n"/>
      <c r="I14" s="52" t="n"/>
    </row>
    <row r="15" ht="15" customHeight="1">
      <c r="A15" s="52" t="n"/>
      <c r="B15" s="52" t="n"/>
      <c r="C15" s="52" t="n"/>
      <c r="D15" s="52" t="n"/>
      <c r="E15" s="53" t="n"/>
      <c r="F15" s="52" t="n"/>
      <c r="G15" s="52" t="n"/>
      <c r="H15" s="52" t="n"/>
      <c r="I15" s="52" t="n"/>
    </row>
    <row r="16" ht="15" customHeight="1">
      <c r="A16" s="52" t="n"/>
      <c r="B16" s="52" t="n"/>
      <c r="C16" s="52" t="n"/>
      <c r="D16" s="52" t="n"/>
      <c r="E16" s="53" t="n"/>
      <c r="F16" s="52" t="n"/>
      <c r="G16" s="52" t="n"/>
      <c r="H16" s="52" t="n"/>
      <c r="I16" s="52" t="n"/>
    </row>
    <row r="17" ht="15" customHeight="1">
      <c r="A17" s="52" t="n"/>
      <c r="B17" s="52" t="n"/>
      <c r="C17" s="52" t="n"/>
      <c r="D17" s="52" t="n"/>
      <c r="E17" s="53" t="n"/>
      <c r="F17" s="52" t="n"/>
      <c r="G17" s="52" t="n"/>
      <c r="H17" s="52" t="n"/>
      <c r="I17" s="52" t="n"/>
    </row>
    <row r="18" ht="15" customHeight="1">
      <c r="A18" s="52" t="n"/>
      <c r="B18" s="52" t="n"/>
      <c r="C18" s="52" t="n"/>
      <c r="D18" s="52" t="n"/>
      <c r="E18" s="53" t="n"/>
      <c r="F18" s="52" t="n"/>
      <c r="G18" s="52" t="n"/>
      <c r="H18" s="52" t="n"/>
      <c r="I18" s="52" t="n"/>
    </row>
    <row r="19">
      <c r="A19" s="31" t="n"/>
      <c r="B19" s="31" t="n"/>
      <c r="C19" s="31" t="n"/>
      <c r="D19" s="31" t="n"/>
      <c r="E19" s="31" t="n"/>
      <c r="F19" s="31" t="n"/>
      <c r="G19" s="31" t="n"/>
      <c r="H19" s="31" t="n"/>
      <c r="I19" s="31" t="n"/>
    </row>
    <row r="20" ht="27" customHeight="1">
      <c r="A20" s="34" t="inlineStr">
        <is>
          <t>Obtain the COMPLETE subsequent-period (e.g., full January) cutoff bank statement. Confirm outstanding checks and deposits in transit clear in the proper period; confirm interaccount transfers are recorded on both sides in the correct period; prepare an inter-bank transfer (kiting) schedule; scan subsequent activity for items that belong at period-end.</t>
        </is>
      </c>
      <c r="B20" s="32" t="n"/>
      <c r="C20" s="32" t="n"/>
      <c r="D20" s="32" t="n"/>
      <c r="E20" s="32" t="n"/>
      <c r="F20" s="32" t="n"/>
      <c r="G20" s="32" t="n"/>
      <c r="H20" s="32" t="n"/>
      <c r="I20" s="32" t="n"/>
    </row>
    <row r="21">
      <c r="A21" s="31" t="n"/>
      <c r="B21" s="31" t="n"/>
      <c r="C21" s="31" t="n"/>
      <c r="D21" s="31" t="n"/>
      <c r="E21" s="31" t="n"/>
      <c r="F21" s="31" t="n"/>
      <c r="G21" s="31" t="n"/>
      <c r="H21" s="31" t="n"/>
      <c r="I21" s="31" t="n"/>
    </row>
    <row r="22" ht="15" customHeight="1">
      <c r="A22" s="48" t="inlineStr">
        <is>
          <t>TM Legends</t>
        </is>
      </c>
      <c r="B22" s="31" t="n"/>
      <c r="C22" s="31" t="n"/>
      <c r="D22" s="31" t="n"/>
      <c r="E22" s="31" t="n"/>
      <c r="F22" s="31" t="n"/>
      <c r="G22" s="31" t="n"/>
      <c r="H22" s="31" t="n"/>
      <c r="I22" s="31" t="n"/>
    </row>
    <row r="23" ht="15" customHeight="1">
      <c r="A23" s="66" t="inlineStr">
        <is>
          <t>TB</t>
        </is>
      </c>
      <c r="B23" s="38" t="inlineStr">
        <is>
          <t>Agreed to trial balance</t>
        </is>
      </c>
      <c r="C23" s="67" t="n"/>
      <c r="D23" s="68" t="n"/>
      <c r="E23" s="31" t="n"/>
      <c r="F23" s="31" t="n"/>
      <c r="G23" s="31" t="n"/>
      <c r="H23" s="31" t="n"/>
      <c r="I23" s="31" t="n"/>
    </row>
    <row r="24" ht="15" customHeight="1">
      <c r="A24" s="66" t="inlineStr">
        <is>
          <t>CF</t>
        </is>
      </c>
      <c r="B24" s="38" t="inlineStr">
        <is>
          <t>Confirmed with third party</t>
        </is>
      </c>
      <c r="C24" s="67" t="n"/>
      <c r="D24" s="68" t="n"/>
      <c r="E24" s="31" t="n"/>
      <c r="F24" s="31" t="n"/>
      <c r="G24" s="31" t="n"/>
      <c r="H24" s="31" t="n"/>
      <c r="I24" s="31" t="n"/>
    </row>
    <row r="25" ht="15" customHeight="1">
      <c r="A25" s="66" t="inlineStr">
        <is>
          <t>V</t>
        </is>
      </c>
      <c r="B25" s="38" t="inlineStr">
        <is>
          <t>Vouched to source document</t>
        </is>
      </c>
      <c r="C25" s="67" t="n"/>
      <c r="D25" s="68" t="n"/>
      <c r="E25" s="31" t="n"/>
      <c r="F25" s="31" t="n"/>
      <c r="G25" s="31" t="n"/>
      <c r="H25" s="31" t="n"/>
      <c r="I25" s="31" t="n"/>
    </row>
    <row r="26" ht="15" customHeight="1">
      <c r="A26" s="66" t="inlineStr">
        <is>
          <t>R</t>
        </is>
      </c>
      <c r="B26" s="38" t="inlineStr">
        <is>
          <t>Recalculated independently</t>
        </is>
      </c>
      <c r="C26" s="67" t="n"/>
      <c r="D26" s="68" t="n"/>
      <c r="E26" s="31" t="n"/>
      <c r="F26" s="31" t="n"/>
      <c r="G26" s="31" t="n"/>
      <c r="H26" s="31" t="n"/>
      <c r="I26" s="31" t="n"/>
    </row>
    <row r="27" ht="15" customHeight="1">
      <c r="A27" s="66" t="inlineStr">
        <is>
          <t>F</t>
        </is>
      </c>
      <c r="B27" s="38" t="inlineStr">
        <is>
          <t>Footed / cross-cast</t>
        </is>
      </c>
      <c r="C27" s="67" t="n"/>
      <c r="D27" s="68" t="n"/>
      <c r="E27" s="31" t="n"/>
      <c r="F27" s="31" t="n"/>
      <c r="G27" s="31" t="n"/>
      <c r="H27" s="31" t="n"/>
      <c r="I27" s="31" t="n"/>
    </row>
    <row r="28" ht="15" customHeight="1">
      <c r="A28" s="66" t="inlineStr">
        <is>
          <t>T</t>
        </is>
      </c>
      <c r="B28" s="38" t="inlineStr">
        <is>
          <t>Traced to downstream record</t>
        </is>
      </c>
      <c r="C28" s="67" t="n"/>
      <c r="D28" s="68" t="n"/>
      <c r="E28" s="31" t="n"/>
      <c r="F28" s="31" t="n"/>
      <c r="G28" s="31" t="n"/>
      <c r="H28" s="31" t="n"/>
      <c r="I28" s="31" t="n"/>
    </row>
    <row r="29" ht="15" customHeight="1">
      <c r="A29" s="66" t="inlineStr">
        <is>
          <t>PBC</t>
        </is>
      </c>
      <c r="B29" s="38" t="inlineStr">
        <is>
          <t>Prepared by client</t>
        </is>
      </c>
      <c r="C29" s="67" t="n"/>
      <c r="D29" s="68" t="n"/>
      <c r="E29" s="31" t="n"/>
      <c r="F29" s="31" t="n"/>
      <c r="G29" s="31" t="n"/>
      <c r="H29" s="31" t="n"/>
      <c r="I29" s="31" t="n"/>
    </row>
    <row r="30">
      <c r="A30" s="31" t="n"/>
      <c r="B30" s="31" t="n"/>
      <c r="C30" s="31" t="n"/>
      <c r="D30" s="31" t="n"/>
      <c r="E30" s="31" t="n"/>
      <c r="F30" s="31" t="n"/>
      <c r="G30" s="31" t="n"/>
      <c r="H30" s="31" t="n"/>
      <c r="I30" s="31" t="n"/>
    </row>
    <row r="31" ht="25.5" customHeight="1">
      <c r="A31" s="34" t="inlineStr">
        <is>
          <t>Before sign-off complete Library Procedures 18–21 (Cutoff Procedures).</t>
        </is>
      </c>
      <c r="B31" s="32" t="n"/>
      <c r="C31" s="32" t="n"/>
      <c r="D31" s="32" t="n"/>
      <c r="E31" s="32" t="n"/>
      <c r="F31" s="32" t="n"/>
      <c r="G31" s="32" t="n"/>
      <c r="H31" s="32" t="n"/>
      <c r="I31" s="32" t="n"/>
    </row>
  </sheetData>
  <mergeCells count="12">
    <mergeCell ref="B28:D28"/>
    <mergeCell ref="B23:D23"/>
    <mergeCell ref="B6:I6"/>
    <mergeCell ref="B26:D26"/>
    <mergeCell ref="B27:D27"/>
    <mergeCell ref="B4:I4"/>
    <mergeCell ref="B5:I5"/>
    <mergeCell ref="A31:I31"/>
    <mergeCell ref="B29:D29"/>
    <mergeCell ref="B25:D25"/>
    <mergeCell ref="A20:I20"/>
    <mergeCell ref="B24:D24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J29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1" sqref="A1:A1048576"/>
    </sheetView>
  </sheetViews>
  <sheetFormatPr baseColWidth="8" defaultColWidth="8.6328125" defaultRowHeight="14.5"/>
  <cols>
    <col width="39.4" customWidth="1" min="1" max="1"/>
    <col width="29.2" customWidth="1" min="2" max="2"/>
    <col width="16.45" customWidth="1" min="3" max="3"/>
    <col width="37.7" customWidth="1" min="4" max="5"/>
    <col width="20.7" customWidth="1" min="5" max="5"/>
    <col width="28.35" customWidth="1" min="6" max="6"/>
    <col width="22" customWidth="1" min="7" max="7"/>
    <col width="18" customWidth="1" min="8" max="8"/>
    <col width="24" customWidth="1" min="9" max="10"/>
    <col width="13" customWidth="1" min="10" max="10"/>
  </cols>
  <sheetData>
    <row r="1" ht="27" customHeight="1">
      <c r="A1" s="30" t="inlineStr">
        <is>
          <t>Consider Financial Condition of Depositories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</row>
    <row r="2" ht="27" customHeight="1">
      <c r="A2" s="43" t="inlineStr">
        <is>
          <t>Client / Entity</t>
        </is>
      </c>
      <c r="B2" s="33" t="inlineStr">
        <is>
          <t>Quovalize Staffing Services, LLC</t>
        </is>
      </c>
      <c r="C2" s="31" t="n"/>
      <c r="D2" s="43" t="inlineStr">
        <is>
          <t>Year-End</t>
        </is>
      </c>
      <c r="E2" s="44" t="n">
        <v>46022</v>
      </c>
      <c r="F2" s="31" t="n"/>
      <c r="G2" s="43" t="inlineStr">
        <is>
          <t>Currency</t>
        </is>
      </c>
      <c r="H2" s="45" t="inlineStr">
        <is>
          <t>USD</t>
        </is>
      </c>
      <c r="I2" s="31" t="n"/>
      <c r="J2" s="31" t="n"/>
    </row>
    <row r="3" ht="27" customHeight="1">
      <c r="A3" s="46" t="inlineStr">
        <is>
          <t>Performance Materiality</t>
        </is>
      </c>
      <c r="B3" s="47" t="n">
        <v>24200</v>
      </c>
      <c r="C3" s="31" t="n"/>
      <c r="D3" s="46" t="inlineStr">
        <is>
          <t>Tolerable misstatement / testing threshold</t>
        </is>
      </c>
      <c r="E3" s="47" t="n">
        <v>21800</v>
      </c>
      <c r="F3" s="31" t="n"/>
      <c r="G3" s="31" t="n"/>
      <c r="H3" s="31" t="n"/>
      <c r="I3" s="31" t="n"/>
      <c r="J3" s="31" t="n"/>
    </row>
    <row r="4" ht="27.75" customHeight="1">
      <c r="A4" s="48" t="inlineStr">
        <is>
          <t>Purpose:</t>
        </is>
      </c>
      <c r="B4" s="49" t="inlineStr">
        <is>
          <t>Assess the financial condition / creditworthiness of each depository, especially where uninsured balances are significant, and evaluate recoverability and concentration risk.</t>
        </is>
      </c>
      <c r="C4" s="32" t="n"/>
      <c r="D4" s="32" t="n"/>
      <c r="E4" s="32" t="n"/>
      <c r="F4" s="32" t="n"/>
      <c r="G4" s="32" t="n"/>
      <c r="H4" s="32" t="n"/>
      <c r="I4" s="32" t="n"/>
      <c r="J4" s="32" t="n"/>
    </row>
    <row r="5" ht="15" customHeight="1">
      <c r="A5" s="48" t="inlineStr">
        <is>
          <t>Scope:</t>
        </is>
      </c>
      <c r="B5" s="49" t="inlineStr">
        <is>
          <t>Each institution holding cash, focusing on uninsured (above-FDIC) balances.</t>
        </is>
      </c>
      <c r="C5" s="32" t="n"/>
      <c r="D5" s="32" t="n"/>
      <c r="E5" s="32" t="n"/>
      <c r="F5" s="32" t="n"/>
      <c r="G5" s="32" t="n"/>
      <c r="H5" s="32" t="n"/>
      <c r="I5" s="32" t="n"/>
      <c r="J5" s="32" t="n"/>
    </row>
    <row r="6" ht="15" customHeight="1">
      <c r="A6" s="48" t="inlineStr">
        <is>
          <t>Assertions:</t>
        </is>
      </c>
      <c r="B6" s="49" t="inlineStr">
        <is>
          <t>Valuation; Presentation &amp; Disclosure</t>
        </is>
      </c>
      <c r="C6" s="32" t="n"/>
      <c r="D6" s="32" t="n"/>
      <c r="E6" s="32" t="n"/>
      <c r="F6" s="32" t="n"/>
      <c r="G6" s="32" t="n"/>
      <c r="H6" s="32" t="n"/>
      <c r="I6" s="32" t="n"/>
      <c r="J6" s="32" t="n"/>
    </row>
    <row r="7" ht="39.75" customHeight="1">
      <c r="A7" s="50" t="inlineStr">
        <is>
          <t>Bank / Institution</t>
        </is>
      </c>
      <c r="B7" s="50" t="inlineStr">
        <is>
          <t>Account(s)</t>
        </is>
      </c>
      <c r="C7" s="50" t="inlineStr">
        <is>
          <t>Aggregate balance</t>
        </is>
      </c>
      <c r="D7" s="50" t="inlineStr">
        <is>
          <t>Uninsured (above FDIC) exposure</t>
        </is>
      </c>
      <c r="E7" s="50" t="inlineStr">
        <is>
          <t>Credit rating (agency)</t>
        </is>
      </c>
      <c r="F7" s="50" t="inlineStr">
        <is>
          <t>Capital / regulatory indicators</t>
        </is>
      </c>
      <c r="G7" s="50" t="inlineStr">
        <is>
          <t>Negative news / events</t>
        </is>
      </c>
      <c r="H7" s="50" t="inlineStr">
        <is>
          <t>Source</t>
        </is>
      </c>
      <c r="I7" s="50" t="inlineStr">
        <is>
          <t>Risk assessment</t>
        </is>
      </c>
      <c r="J7" s="50" t="inlineStr">
        <is>
          <t>Conclusion</t>
        </is>
      </c>
    </row>
    <row r="8" ht="15" customHeight="1">
      <c r="A8" s="31" t="n"/>
      <c r="B8" s="31" t="n"/>
      <c r="C8" s="51" t="inlineStr">
        <is>
          <t>TB</t>
        </is>
      </c>
      <c r="D8" s="51" t="inlineStr">
        <is>
          <t>R</t>
        </is>
      </c>
      <c r="E8" s="31" t="n"/>
      <c r="F8" s="31" t="n"/>
      <c r="G8" s="31" t="n"/>
      <c r="H8" s="31" t="n"/>
      <c r="I8" s="31" t="n"/>
      <c r="J8" s="31" t="n"/>
    </row>
    <row r="9" ht="15" customHeight="1">
      <c r="A9" s="52" t="n"/>
      <c r="B9" s="52" t="n"/>
      <c r="C9" s="53" t="n"/>
      <c r="D9" s="53" t="n"/>
      <c r="E9" s="52" t="n"/>
      <c r="F9" s="52" t="n"/>
      <c r="G9" s="52" t="n"/>
      <c r="H9" s="52" t="n"/>
      <c r="I9" s="52" t="n"/>
      <c r="J9" s="52" t="n"/>
    </row>
    <row r="10" ht="15" customHeight="1">
      <c r="A10" s="52" t="n"/>
      <c r="B10" s="52" t="n"/>
      <c r="C10" s="53" t="n"/>
      <c r="D10" s="53" t="n"/>
      <c r="E10" s="52" t="n"/>
      <c r="F10" s="52" t="n"/>
      <c r="G10" s="52" t="n"/>
      <c r="H10" s="52" t="n"/>
      <c r="I10" s="52" t="n"/>
      <c r="J10" s="52" t="n"/>
    </row>
    <row r="11" ht="15" customHeight="1">
      <c r="A11" s="52" t="n"/>
      <c r="B11" s="52" t="n"/>
      <c r="C11" s="53" t="n"/>
      <c r="D11" s="53" t="n"/>
      <c r="E11" s="52" t="n"/>
      <c r="F11" s="52" t="n"/>
      <c r="G11" s="52" t="n"/>
      <c r="H11" s="52" t="n"/>
      <c r="I11" s="52" t="n"/>
      <c r="J11" s="52" t="n"/>
    </row>
    <row r="12" ht="15" customHeight="1">
      <c r="A12" s="52" t="n"/>
      <c r="B12" s="52" t="n"/>
      <c r="C12" s="53" t="n"/>
      <c r="D12" s="53" t="n"/>
      <c r="E12" s="52" t="n"/>
      <c r="F12" s="52" t="n"/>
      <c r="G12" s="52" t="n"/>
      <c r="H12" s="52" t="n"/>
      <c r="I12" s="52" t="n"/>
      <c r="J12" s="52" t="n"/>
    </row>
    <row r="13" ht="15" customHeight="1">
      <c r="A13" s="52" t="n"/>
      <c r="B13" s="52" t="n"/>
      <c r="C13" s="53" t="n"/>
      <c r="D13" s="53" t="n"/>
      <c r="E13" s="52" t="n"/>
      <c r="F13" s="52" t="n"/>
      <c r="G13" s="52" t="n"/>
      <c r="H13" s="52" t="n"/>
      <c r="I13" s="52" t="n"/>
      <c r="J13" s="52" t="n"/>
    </row>
    <row r="14" ht="15" customHeight="1">
      <c r="A14" s="52" t="n"/>
      <c r="B14" s="52" t="n"/>
      <c r="C14" s="53" t="n"/>
      <c r="D14" s="53" t="n"/>
      <c r="E14" s="52" t="n"/>
      <c r="F14" s="52" t="n"/>
      <c r="G14" s="52" t="n"/>
      <c r="H14" s="52" t="n"/>
      <c r="I14" s="52" t="n"/>
      <c r="J14" s="52" t="n"/>
    </row>
    <row r="15" ht="15" customHeight="1">
      <c r="A15" s="52" t="n"/>
      <c r="B15" s="52" t="n"/>
      <c r="C15" s="53" t="n"/>
      <c r="D15" s="53" t="n"/>
      <c r="E15" s="52" t="n"/>
      <c r="F15" s="52" t="n"/>
      <c r="G15" s="52" t="n"/>
      <c r="H15" s="52" t="n"/>
      <c r="I15" s="52" t="n"/>
      <c r="J15" s="52" t="n"/>
    </row>
    <row r="16" ht="15" customHeight="1">
      <c r="A16" s="52" t="n"/>
      <c r="B16" s="52" t="n"/>
      <c r="C16" s="53" t="n"/>
      <c r="D16" s="53" t="n"/>
      <c r="E16" s="52" t="n"/>
      <c r="F16" s="52" t="n"/>
      <c r="G16" s="52" t="n"/>
      <c r="H16" s="52" t="n"/>
      <c r="I16" s="52" t="n"/>
      <c r="J16" s="52" t="n"/>
    </row>
    <row r="17">
      <c r="A17" s="31" t="n"/>
      <c r="B17" s="31" t="n"/>
      <c r="C17" s="31" t="n"/>
      <c r="D17" s="31" t="n"/>
      <c r="E17" s="31" t="n"/>
      <c r="F17" s="31" t="n"/>
      <c r="G17" s="31" t="n"/>
      <c r="H17" s="31" t="n"/>
      <c r="I17" s="31" t="n"/>
      <c r="J17" s="31" t="n"/>
    </row>
    <row r="18" ht="25.5" customHeight="1">
      <c r="A18" s="34" t="inlineStr">
        <is>
          <t>Where uninsured balances are significant, review the depository's credit rating, regulatory/capital data and recent news; assess whether amounts on deposit are recoverable and document concentration risk.</t>
        </is>
      </c>
      <c r="B18" s="32" t="n"/>
      <c r="C18" s="32" t="n"/>
      <c r="D18" s="32" t="n"/>
      <c r="E18" s="32" t="n"/>
      <c r="F18" s="32" t="n"/>
      <c r="G18" s="32" t="n"/>
      <c r="H18" s="32" t="n"/>
      <c r="I18" s="32" t="n"/>
      <c r="J18" s="32" t="n"/>
    </row>
    <row r="19">
      <c r="A19" s="31" t="n"/>
      <c r="B19" s="31" t="n"/>
      <c r="C19" s="31" t="n"/>
      <c r="D19" s="31" t="n"/>
      <c r="E19" s="31" t="n"/>
      <c r="F19" s="31" t="n"/>
      <c r="G19" s="31" t="n"/>
      <c r="H19" s="31" t="n"/>
      <c r="I19" s="31" t="n"/>
      <c r="J19" s="31" t="n"/>
    </row>
    <row r="20" ht="15" customHeight="1">
      <c r="A20" s="48" t="inlineStr">
        <is>
          <t>TM Legends</t>
        </is>
      </c>
      <c r="B20" s="31" t="n"/>
      <c r="C20" s="31" t="n"/>
      <c r="D20" s="31" t="n"/>
      <c r="E20" s="31" t="n"/>
      <c r="F20" s="31" t="n"/>
      <c r="G20" s="31" t="n"/>
      <c r="H20" s="31" t="n"/>
      <c r="I20" s="31" t="n"/>
      <c r="J20" s="31" t="n"/>
    </row>
    <row r="21" ht="15" customHeight="1">
      <c r="A21" s="66" t="inlineStr">
        <is>
          <t>TB</t>
        </is>
      </c>
      <c r="B21" s="38" t="inlineStr">
        <is>
          <t>Agreed to trial balance</t>
        </is>
      </c>
      <c r="C21" s="67" t="n"/>
      <c r="D21" s="68" t="n"/>
      <c r="E21" s="31" t="n"/>
      <c r="F21" s="31" t="n"/>
      <c r="G21" s="31" t="n"/>
      <c r="H21" s="31" t="n"/>
      <c r="I21" s="31" t="n"/>
      <c r="J21" s="31" t="n"/>
    </row>
    <row r="22" ht="15" customHeight="1">
      <c r="A22" s="66" t="inlineStr">
        <is>
          <t>CF</t>
        </is>
      </c>
      <c r="B22" s="38" t="inlineStr">
        <is>
          <t>Confirmed with third party</t>
        </is>
      </c>
      <c r="C22" s="67" t="n"/>
      <c r="D22" s="68" t="n"/>
      <c r="E22" s="31" t="n"/>
      <c r="F22" s="31" t="n"/>
      <c r="G22" s="31" t="n"/>
      <c r="H22" s="31" t="n"/>
      <c r="I22" s="31" t="n"/>
      <c r="J22" s="31" t="n"/>
    </row>
    <row r="23" ht="15" customHeight="1">
      <c r="A23" s="66" t="inlineStr">
        <is>
          <t>V</t>
        </is>
      </c>
      <c r="B23" s="38" t="inlineStr">
        <is>
          <t>Vouched to source document</t>
        </is>
      </c>
      <c r="C23" s="67" t="n"/>
      <c r="D23" s="68" t="n"/>
      <c r="E23" s="31" t="n"/>
      <c r="F23" s="31" t="n"/>
      <c r="G23" s="31" t="n"/>
      <c r="H23" s="31" t="n"/>
      <c r="I23" s="31" t="n"/>
      <c r="J23" s="31" t="n"/>
    </row>
    <row r="24" ht="15" customHeight="1">
      <c r="A24" s="66" t="inlineStr">
        <is>
          <t>R</t>
        </is>
      </c>
      <c r="B24" s="38" t="inlineStr">
        <is>
          <t>Recalculated independently</t>
        </is>
      </c>
      <c r="C24" s="67" t="n"/>
      <c r="D24" s="68" t="n"/>
      <c r="E24" s="31" t="n"/>
      <c r="F24" s="31" t="n"/>
      <c r="G24" s="31" t="n"/>
      <c r="H24" s="31" t="n"/>
      <c r="I24" s="31" t="n"/>
      <c r="J24" s="31" t="n"/>
    </row>
    <row r="25" ht="15" customHeight="1">
      <c r="A25" s="66" t="inlineStr">
        <is>
          <t>F</t>
        </is>
      </c>
      <c r="B25" s="38" t="inlineStr">
        <is>
          <t>Footed / cross-cast</t>
        </is>
      </c>
      <c r="C25" s="67" t="n"/>
      <c r="D25" s="68" t="n"/>
      <c r="E25" s="31" t="n"/>
      <c r="F25" s="31" t="n"/>
      <c r="G25" s="31" t="n"/>
      <c r="H25" s="31" t="n"/>
      <c r="I25" s="31" t="n"/>
      <c r="J25" s="31" t="n"/>
    </row>
    <row r="26" ht="15" customHeight="1">
      <c r="A26" s="66" t="inlineStr">
        <is>
          <t>T</t>
        </is>
      </c>
      <c r="B26" s="38" t="inlineStr">
        <is>
          <t>Traced to downstream record</t>
        </is>
      </c>
      <c r="C26" s="67" t="n"/>
      <c r="D26" s="68" t="n"/>
      <c r="E26" s="31" t="n"/>
      <c r="F26" s="31" t="n"/>
      <c r="G26" s="31" t="n"/>
      <c r="H26" s="31" t="n"/>
      <c r="I26" s="31" t="n"/>
      <c r="J26" s="31" t="n"/>
    </row>
    <row r="27" ht="15" customHeight="1">
      <c r="A27" s="66" t="inlineStr">
        <is>
          <t>PBC</t>
        </is>
      </c>
      <c r="B27" s="38" t="inlineStr">
        <is>
          <t>Prepared by client</t>
        </is>
      </c>
      <c r="C27" s="67" t="n"/>
      <c r="D27" s="68" t="n"/>
      <c r="E27" s="31" t="n"/>
      <c r="F27" s="31" t="n"/>
      <c r="G27" s="31" t="n"/>
      <c r="H27" s="31" t="n"/>
      <c r="I27" s="31" t="n"/>
      <c r="J27" s="31" t="n"/>
    </row>
    <row r="28">
      <c r="A28" s="31" t="n"/>
      <c r="B28" s="31" t="n"/>
      <c r="C28" s="31" t="n"/>
      <c r="D28" s="31" t="n"/>
      <c r="E28" s="31" t="n"/>
      <c r="F28" s="31" t="n"/>
      <c r="G28" s="31" t="n"/>
      <c r="H28" s="31" t="n"/>
      <c r="I28" s="31" t="n"/>
      <c r="J28" s="31" t="n"/>
    </row>
    <row r="29" ht="25.5" customHeight="1">
      <c r="A29" s="34" t="inlineStr">
        <is>
          <t>Before sign-off complete Library Procedures 22–23 (Financial Condition of Depositories).</t>
        </is>
      </c>
      <c r="B29" s="32" t="n"/>
      <c r="C29" s="32" t="n"/>
      <c r="D29" s="32" t="n"/>
      <c r="E29" s="32" t="n"/>
      <c r="F29" s="32" t="n"/>
      <c r="G29" s="32" t="n"/>
      <c r="H29" s="32" t="n"/>
      <c r="I29" s="32" t="n"/>
      <c r="J29" s="32" t="n"/>
    </row>
  </sheetData>
  <mergeCells count="12">
    <mergeCell ref="B5:J5"/>
    <mergeCell ref="B23:D23"/>
    <mergeCell ref="B22:D22"/>
    <mergeCell ref="A18:J18"/>
    <mergeCell ref="B26:D26"/>
    <mergeCell ref="B27:D27"/>
    <mergeCell ref="A29:J29"/>
    <mergeCell ref="B21:D21"/>
    <mergeCell ref="B4:J4"/>
    <mergeCell ref="B25:D25"/>
    <mergeCell ref="B6:J6"/>
    <mergeCell ref="B24:D24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H35"/>
  <sheetViews>
    <sheetView showGridLines="0" zoomScale="90" zoomScaleNormal="100" workbookViewId="0">
      <pane ySplit="7" topLeftCell="A8" activePane="bottomLeft" state="frozen"/>
      <selection pane="bottomLeft" activeCell="A1" sqref="A1:A1048576"/>
    </sheetView>
  </sheetViews>
  <sheetFormatPr baseColWidth="8" defaultColWidth="8.6328125" defaultRowHeight="14.5"/>
  <cols>
    <col width="42" customWidth="1" min="1" max="1"/>
    <col width="29.2" customWidth="1" min="2" max="2"/>
    <col width="16.45" customWidth="1" min="3" max="3"/>
    <col width="42" customWidth="1" min="4" max="4"/>
    <col width="26.65" customWidth="1" min="5" max="5"/>
    <col width="34" customWidth="1" min="6" max="6"/>
    <col width="30" customWidth="1" min="7" max="7"/>
    <col width="8.5" customWidth="1" min="8" max="8"/>
  </cols>
  <sheetData>
    <row r="1" ht="17.25" customHeight="1">
      <c r="A1" s="30" t="inlineStr">
        <is>
          <t>Presentation &amp; Disclosure</t>
        </is>
      </c>
      <c r="B1" s="31" t="n"/>
      <c r="C1" s="31" t="n"/>
      <c r="D1" s="31" t="n"/>
      <c r="E1" s="31" t="n"/>
      <c r="F1" s="31" t="n"/>
      <c r="G1" s="31" t="n"/>
      <c r="H1" s="31" t="n"/>
    </row>
    <row r="2" ht="27" customHeight="1">
      <c r="A2" s="43" t="inlineStr">
        <is>
          <t>Client / Entity</t>
        </is>
      </c>
      <c r="B2" s="33" t="inlineStr">
        <is>
          <t>Quovalize Staffing Services, LLC</t>
        </is>
      </c>
      <c r="C2" s="31" t="n"/>
      <c r="D2" s="43" t="inlineStr">
        <is>
          <t>Year-End</t>
        </is>
      </c>
      <c r="E2" s="44" t="n">
        <v>46022</v>
      </c>
      <c r="F2" s="31" t="n"/>
      <c r="G2" s="43" t="inlineStr">
        <is>
          <t>Currency</t>
        </is>
      </c>
      <c r="H2" s="45" t="inlineStr">
        <is>
          <t>USD</t>
        </is>
      </c>
    </row>
    <row r="3" ht="15" customHeight="1">
      <c r="A3" s="46" t="inlineStr">
        <is>
          <t>Performance Materiality</t>
        </is>
      </c>
      <c r="B3" s="47" t="n">
        <v>24200</v>
      </c>
      <c r="C3" s="31" t="n"/>
      <c r="D3" s="46" t="inlineStr">
        <is>
          <t>Tolerable misstatement / testing threshold</t>
        </is>
      </c>
      <c r="E3" s="47" t="n">
        <v>21800</v>
      </c>
      <c r="F3" s="31" t="n"/>
      <c r="G3" s="31" t="n"/>
      <c r="H3" s="31" t="n"/>
    </row>
    <row r="4" ht="42" customHeight="1">
      <c r="A4" s="48" t="inlineStr">
        <is>
          <t>Purpose:</t>
        </is>
      </c>
      <c r="B4" s="49" t="inlineStr">
        <is>
          <t>Document cash presentation/disclosure matters: concentration, uninsured deposits, restricted/pledged cash, classification, overdrafts, compensating balances and merchant/lockbox accounts.</t>
        </is>
      </c>
      <c r="C4" s="32" t="n"/>
      <c r="D4" s="32" t="n"/>
      <c r="E4" s="32" t="n"/>
      <c r="F4" s="32" t="n"/>
      <c r="G4" s="32" t="n"/>
      <c r="H4" s="31" t="n"/>
    </row>
    <row r="5" ht="15" customHeight="1">
      <c r="A5" s="48" t="inlineStr">
        <is>
          <t>Scope:</t>
        </is>
      </c>
      <c r="B5" s="49" t="inlineStr">
        <is>
          <t>Cash presentation and disclosure across all accounts.</t>
        </is>
      </c>
      <c r="C5" s="32" t="n"/>
      <c r="D5" s="32" t="n"/>
      <c r="E5" s="32" t="n"/>
      <c r="F5" s="32" t="n"/>
      <c r="G5" s="32" t="n"/>
      <c r="H5" s="31" t="n"/>
    </row>
    <row r="6" ht="15" customHeight="1">
      <c r="A6" s="48" t="inlineStr">
        <is>
          <t>Assertions:</t>
        </is>
      </c>
      <c r="B6" s="49" t="inlineStr">
        <is>
          <t>Presentation &amp; Disclosure; Classification</t>
        </is>
      </c>
      <c r="C6" s="32" t="n"/>
      <c r="D6" s="32" t="n"/>
      <c r="E6" s="32" t="n"/>
      <c r="F6" s="32" t="n"/>
      <c r="G6" s="32" t="n"/>
      <c r="H6" s="31" t="n"/>
    </row>
    <row r="7" ht="27.75" customHeight="1">
      <c r="A7" s="50" t="inlineStr">
        <is>
          <t>Area</t>
        </is>
      </c>
      <c r="B7" s="50" t="inlineStr">
        <is>
          <t>Entity</t>
        </is>
      </c>
      <c r="C7" s="50" t="inlineStr">
        <is>
          <t>Account ID</t>
        </is>
      </c>
      <c r="D7" s="50" t="inlineStr">
        <is>
          <t>Bank / Institution</t>
        </is>
      </c>
      <c r="E7" s="50" t="inlineStr">
        <is>
          <t>Amount / Count</t>
        </is>
      </c>
      <c r="F7" s="50" t="inlineStr">
        <is>
          <t>Conclusion / Status</t>
        </is>
      </c>
      <c r="G7" s="50" t="inlineStr">
        <is>
          <t>Source / Comments</t>
        </is>
      </c>
      <c r="H7" s="50" t="inlineStr">
        <is>
          <t>TM</t>
        </is>
      </c>
    </row>
    <row r="8">
      <c r="A8" s="31" t="n"/>
      <c r="B8" s="31" t="n"/>
      <c r="C8" s="31" t="n"/>
      <c r="D8" s="31" t="n"/>
      <c r="E8" s="31" t="n"/>
      <c r="F8" s="31" t="n"/>
      <c r="G8" s="31" t="n"/>
      <c r="H8" s="31" t="n"/>
    </row>
    <row r="9" ht="15" customHeight="1">
      <c r="A9" s="38" t="inlineStr">
        <is>
          <t>Bank concentration</t>
        </is>
      </c>
      <c r="B9" s="52" t="n"/>
      <c r="C9" s="52" t="n"/>
      <c r="D9" s="52" t="n"/>
      <c r="E9" s="53" t="n"/>
      <c r="F9" s="52" t="n"/>
      <c r="G9" s="52" t="n"/>
      <c r="H9" s="52" t="n"/>
    </row>
    <row r="10" ht="15" customHeight="1">
      <c r="A10" s="38" t="inlineStr">
        <is>
          <t>Uninsured deposits (FDIC)</t>
        </is>
      </c>
      <c r="B10" s="52" t="n"/>
      <c r="C10" s="52" t="n"/>
      <c r="D10" s="52" t="n"/>
      <c r="E10" s="53" t="n"/>
      <c r="F10" s="52" t="n"/>
      <c r="G10" s="52" t="n"/>
      <c r="H10" s="52" t="n"/>
    </row>
    <row r="11" ht="15" customHeight="1">
      <c r="A11" s="38" t="inlineStr">
        <is>
          <t>Pledged / restricted cash</t>
        </is>
      </c>
      <c r="B11" s="52" t="n"/>
      <c r="C11" s="52" t="n"/>
      <c r="D11" s="52" t="n"/>
      <c r="E11" s="53" t="n"/>
      <c r="F11" s="52" t="n"/>
      <c r="G11" s="52" t="n"/>
      <c r="H11" s="52" t="n"/>
    </row>
    <row r="12" ht="15" customHeight="1">
      <c r="A12" s="38" t="inlineStr">
        <is>
          <t>Reserve / designated cash</t>
        </is>
      </c>
      <c r="B12" s="52" t="n"/>
      <c r="C12" s="52" t="n"/>
      <c r="D12" s="52" t="n"/>
      <c r="E12" s="53" t="n"/>
      <c r="F12" s="52" t="n"/>
      <c r="G12" s="52" t="n"/>
      <c r="H12" s="52" t="n"/>
    </row>
    <row r="13" ht="15" customHeight="1">
      <c r="A13" s="38" t="inlineStr">
        <is>
          <t>Bank overdrafts (reclassify)</t>
        </is>
      </c>
      <c r="B13" s="52" t="n"/>
      <c r="C13" s="52" t="n"/>
      <c r="D13" s="52" t="n"/>
      <c r="E13" s="53" t="n"/>
      <c r="F13" s="52" t="n"/>
      <c r="G13" s="52" t="n"/>
      <c r="H13" s="52" t="n"/>
    </row>
    <row r="14" ht="15" customHeight="1">
      <c r="A14" s="38" t="inlineStr">
        <is>
          <t>Compensating balances</t>
        </is>
      </c>
      <c r="B14" s="52" t="n"/>
      <c r="C14" s="52" t="n"/>
      <c r="D14" s="52" t="n"/>
      <c r="E14" s="53" t="n"/>
      <c r="F14" s="52" t="n"/>
      <c r="G14" s="52" t="n"/>
      <c r="H14" s="52" t="n"/>
    </row>
    <row r="15" ht="15" customHeight="1">
      <c r="A15" s="38" t="inlineStr">
        <is>
          <t>Merchant clearing / lockbox</t>
        </is>
      </c>
      <c r="B15" s="52" t="n"/>
      <c r="C15" s="52" t="n"/>
      <c r="D15" s="52" t="n"/>
      <c r="E15" s="53" t="n"/>
      <c r="F15" s="52" t="n"/>
      <c r="G15" s="52" t="n"/>
      <c r="H15" s="52" t="n"/>
    </row>
    <row r="16">
      <c r="A16" s="31" t="n"/>
      <c r="B16" s="31" t="n"/>
      <c r="C16" s="31" t="n"/>
      <c r="D16" s="31" t="n"/>
      <c r="E16" s="31" t="n"/>
      <c r="F16" s="31" t="n"/>
      <c r="G16" s="31" t="n"/>
      <c r="H16" s="31" t="n"/>
    </row>
    <row r="17">
      <c r="A17" s="31" t="n"/>
      <c r="B17" s="31" t="n"/>
      <c r="C17" s="31" t="n"/>
      <c r="D17" s="31" t="n"/>
      <c r="E17" s="31" t="n"/>
      <c r="F17" s="31" t="n"/>
      <c r="G17" s="31" t="n"/>
      <c r="H17" s="31" t="n"/>
    </row>
    <row r="18" ht="15" customHeight="1">
      <c r="A18" s="60" t="inlineStr">
        <is>
          <t>Uninsured Deposit Exposure (calc)</t>
        </is>
      </c>
      <c r="B18" s="31" t="n"/>
      <c r="C18" s="31" t="n"/>
      <c r="D18" s="31" t="n"/>
      <c r="E18" s="31" t="n"/>
      <c r="F18" s="31" t="n"/>
      <c r="G18" s="31" t="n"/>
      <c r="H18" s="31" t="n"/>
    </row>
    <row r="19" ht="27.75" customHeight="1">
      <c r="A19" s="50" t="inlineStr">
        <is>
          <t>Coverage group (depositor / institution / ownership)</t>
        </is>
      </c>
      <c r="B19" s="50" t="inlineStr">
        <is>
          <t># accounts</t>
        </is>
      </c>
      <c r="C19" s="50" t="inlineStr">
        <is>
          <t>Aggregate balance</t>
        </is>
      </c>
      <c r="D19" s="50" t="inlineStr">
        <is>
          <t>Insured balance (lower of group balance or $250,000)</t>
        </is>
      </c>
      <c r="E19" s="50" t="inlineStr">
        <is>
          <t>Uninsured exposure</t>
        </is>
      </c>
      <c r="F19" s="31" t="n"/>
      <c r="G19" s="31" t="n"/>
      <c r="H19" s="31" t="n"/>
    </row>
    <row r="20" ht="27" customHeight="1">
      <c r="A20" s="52" t="n"/>
      <c r="B20" s="52" t="n"/>
      <c r="C20" s="53" t="n"/>
      <c r="D20" s="54">
        <f>IF(C20="","",MIN(250000,C20))</f>
        <v/>
      </c>
      <c r="E20" s="54">
        <f>IF(C20="","",MAX(0,C20-D20))</f>
        <v/>
      </c>
      <c r="F20" s="31" t="n"/>
      <c r="G20" s="31" t="n"/>
      <c r="H20" s="31" t="n"/>
    </row>
    <row r="21" ht="27" customHeight="1">
      <c r="A21" s="52" t="n"/>
      <c r="B21" s="52" t="n"/>
      <c r="C21" s="53" t="n"/>
      <c r="D21" s="54">
        <f>IF(C21="","",MIN(250000,C21))</f>
        <v/>
      </c>
      <c r="E21" s="54">
        <f>IF(C21="","",MAX(0,C21-D21))</f>
        <v/>
      </c>
      <c r="F21" s="31" t="n"/>
      <c r="G21" s="31" t="n"/>
      <c r="H21" s="31" t="n"/>
    </row>
    <row r="22" ht="27" customHeight="1">
      <c r="A22" s="52" t="n"/>
      <c r="B22" s="52" t="n"/>
      <c r="C22" s="53" t="n"/>
      <c r="D22" s="54">
        <f>IF(C22="","",MIN(250000,C22))</f>
        <v/>
      </c>
      <c r="E22" s="54">
        <f>IF(C22="","",MAX(0,C22-D22))</f>
        <v/>
      </c>
      <c r="F22" s="31" t="n"/>
      <c r="G22" s="31" t="n"/>
      <c r="H22" s="31" t="n"/>
    </row>
    <row r="23" ht="27" customHeight="1">
      <c r="A23" s="52" t="n"/>
      <c r="B23" s="52" t="n"/>
      <c r="C23" s="53" t="n"/>
      <c r="D23" s="54">
        <f>IF(C23="","",MIN(250000,C23))</f>
        <v/>
      </c>
      <c r="E23" s="54">
        <f>IF(C23="","",MAX(0,C23-D23))</f>
        <v/>
      </c>
      <c r="F23" s="31" t="n"/>
      <c r="G23" s="31" t="n"/>
      <c r="H23" s="31" t="n"/>
    </row>
    <row r="24" ht="27" customHeight="1">
      <c r="A24" s="52" t="n"/>
      <c r="B24" s="52" t="n"/>
      <c r="C24" s="53" t="n"/>
      <c r="D24" s="54">
        <f>IF(C24="","",MIN(250000,C24))</f>
        <v/>
      </c>
      <c r="E24" s="54">
        <f>IF(C24="","",MAX(0,C24-D24))</f>
        <v/>
      </c>
      <c r="F24" s="31" t="n"/>
      <c r="G24" s="31" t="n"/>
      <c r="H24" s="31" t="n"/>
    </row>
    <row r="25">
      <c r="A25" s="31" t="n"/>
      <c r="B25" s="31" t="n"/>
      <c r="C25" s="31" t="n"/>
      <c r="D25" s="31" t="n"/>
      <c r="E25" s="31" t="n"/>
      <c r="F25" s="31" t="n"/>
      <c r="G25" s="31" t="n"/>
      <c r="H25" s="31" t="n"/>
    </row>
    <row r="26" ht="15" customHeight="1">
      <c r="A26" s="48" t="inlineStr">
        <is>
          <t>TM Legends</t>
        </is>
      </c>
      <c r="B26" s="31" t="n"/>
      <c r="C26" s="31" t="n"/>
      <c r="D26" s="31" t="n"/>
      <c r="E26" s="31" t="n"/>
      <c r="F26" s="31" t="n"/>
      <c r="G26" s="31" t="n"/>
      <c r="H26" s="31" t="n"/>
    </row>
    <row r="27" ht="15" customHeight="1">
      <c r="A27" s="66" t="inlineStr">
        <is>
          <t>TB</t>
        </is>
      </c>
      <c r="B27" s="38" t="inlineStr">
        <is>
          <t>Agreed to trial balance</t>
        </is>
      </c>
      <c r="C27" s="67" t="n"/>
      <c r="D27" s="68" t="n"/>
      <c r="E27" s="31" t="n"/>
      <c r="F27" s="31" t="n"/>
      <c r="G27" s="31" t="n"/>
      <c r="H27" s="31" t="n"/>
    </row>
    <row r="28" ht="15" customHeight="1">
      <c r="A28" s="66" t="inlineStr">
        <is>
          <t>CF</t>
        </is>
      </c>
      <c r="B28" s="38" t="inlineStr">
        <is>
          <t>Confirmed with third party</t>
        </is>
      </c>
      <c r="C28" s="67" t="n"/>
      <c r="D28" s="68" t="n"/>
      <c r="E28" s="31" t="n"/>
      <c r="F28" s="31" t="n"/>
      <c r="G28" s="31" t="n"/>
      <c r="H28" s="31" t="n"/>
    </row>
    <row r="29" ht="15" customHeight="1">
      <c r="A29" s="66" t="inlineStr">
        <is>
          <t>V</t>
        </is>
      </c>
      <c r="B29" s="38" t="inlineStr">
        <is>
          <t>Vouched to source document</t>
        </is>
      </c>
      <c r="C29" s="67" t="n"/>
      <c r="D29" s="68" t="n"/>
      <c r="E29" s="31" t="n"/>
      <c r="F29" s="31" t="n"/>
      <c r="G29" s="31" t="n"/>
      <c r="H29" s="31" t="n"/>
    </row>
    <row r="30" ht="15" customHeight="1">
      <c r="A30" s="66" t="inlineStr">
        <is>
          <t>R</t>
        </is>
      </c>
      <c r="B30" s="38" t="inlineStr">
        <is>
          <t>Recalculated independently</t>
        </is>
      </c>
      <c r="C30" s="67" t="n"/>
      <c r="D30" s="68" t="n"/>
      <c r="E30" s="31" t="n"/>
      <c r="F30" s="31" t="n"/>
      <c r="G30" s="31" t="n"/>
      <c r="H30" s="31" t="n"/>
    </row>
    <row r="31" ht="15" customHeight="1">
      <c r="A31" s="66" t="inlineStr">
        <is>
          <t>F</t>
        </is>
      </c>
      <c r="B31" s="38" t="inlineStr">
        <is>
          <t>Footed / cross-cast</t>
        </is>
      </c>
      <c r="C31" s="67" t="n"/>
      <c r="D31" s="68" t="n"/>
      <c r="E31" s="31" t="n"/>
      <c r="F31" s="31" t="n"/>
      <c r="G31" s="31" t="n"/>
      <c r="H31" s="31" t="n"/>
    </row>
    <row r="32" ht="15" customHeight="1">
      <c r="A32" s="66" t="inlineStr">
        <is>
          <t>T</t>
        </is>
      </c>
      <c r="B32" s="38" t="inlineStr">
        <is>
          <t>Traced to downstream record</t>
        </is>
      </c>
      <c r="C32" s="67" t="n"/>
      <c r="D32" s="68" t="n"/>
      <c r="E32" s="31" t="n"/>
      <c r="F32" s="31" t="n"/>
      <c r="G32" s="31" t="n"/>
      <c r="H32" s="31" t="n"/>
    </row>
    <row r="33" ht="15" customHeight="1">
      <c r="A33" s="66" t="inlineStr">
        <is>
          <t>PBC</t>
        </is>
      </c>
      <c r="B33" s="38" t="inlineStr">
        <is>
          <t>Prepared by client</t>
        </is>
      </c>
      <c r="C33" s="67" t="n"/>
      <c r="D33" s="68" t="n"/>
      <c r="E33" s="31" t="n"/>
      <c r="F33" s="31" t="n"/>
      <c r="G33" s="31" t="n"/>
      <c r="H33" s="31" t="n"/>
    </row>
    <row r="34">
      <c r="A34" s="31" t="n"/>
      <c r="B34" s="31" t="n"/>
      <c r="C34" s="31" t="n"/>
      <c r="D34" s="31" t="n"/>
      <c r="E34" s="31" t="n"/>
      <c r="F34" s="31" t="n"/>
      <c r="G34" s="31" t="n"/>
      <c r="H34" s="31" t="n"/>
    </row>
    <row r="35" ht="25.5" customHeight="1">
      <c r="A35" s="34" t="inlineStr">
        <is>
          <t>Before sign-off complete Library Procedures 24–28 (Presentation &amp; Disclosure), incl. obtaining the restricted-cash / collateral schedule and loan/security agreement, and reconciling merchant/lockbox clearing accounts.</t>
        </is>
      </c>
      <c r="B35" s="32" t="n"/>
      <c r="C35" s="32" t="n"/>
      <c r="D35" s="32" t="n"/>
      <c r="E35" s="32" t="n"/>
      <c r="F35" s="32" t="n"/>
      <c r="G35" s="32" t="n"/>
      <c r="H35" s="31" t="n"/>
    </row>
  </sheetData>
  <mergeCells count="11">
    <mergeCell ref="B33:D33"/>
    <mergeCell ref="B28:D28"/>
    <mergeCell ref="B5:G5"/>
    <mergeCell ref="B31:D31"/>
    <mergeCell ref="B32:D32"/>
    <mergeCell ref="A35:G35"/>
    <mergeCell ref="B27:D27"/>
    <mergeCell ref="B4:G4"/>
    <mergeCell ref="B30:D30"/>
    <mergeCell ref="B29:D29"/>
    <mergeCell ref="B6:G6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B21"/>
  <sheetViews>
    <sheetView showGridLines="0" zoomScale="90" zoomScaleNormal="10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70" t="inlineStr">
        <is>
          <t>AUTHORITATIVE PLANNING CONTEXT</t>
        </is>
      </c>
      <c r="B1" s="32" t="n"/>
    </row>
    <row r="2">
      <c r="A2" s="32" t="inlineStr">
        <is>
          <t>Field</t>
        </is>
      </c>
      <c r="B2" s="32" t="inlineStr">
        <is>
          <t>Value</t>
        </is>
      </c>
    </row>
    <row r="3">
      <c r="A3" s="32" t="inlineStr">
        <is>
          <t>Entity Name</t>
        </is>
      </c>
      <c r="B3" s="70" t="inlineStr">
        <is>
          <t>Quovalize Staffing Services, LLC</t>
        </is>
      </c>
    </row>
    <row r="4">
      <c r="A4" s="70" t="inlineStr">
        <is>
          <t>Financial Statement Date</t>
        </is>
      </c>
      <c r="B4" s="71" t="n">
        <v>46022</v>
      </c>
    </row>
    <row r="5">
      <c r="A5" s="70" t="inlineStr">
        <is>
          <t>Reporting Currency</t>
        </is>
      </c>
      <c r="B5" s="32" t="inlineStr">
        <is>
          <t>USD</t>
        </is>
      </c>
    </row>
    <row r="6">
      <c r="A6" s="70" t="inlineStr">
        <is>
          <t>Overall Materiality</t>
        </is>
      </c>
      <c r="B6" s="72" t="n">
        <v>32200</v>
      </c>
    </row>
    <row r="7">
      <c r="A7" s="70" t="inlineStr">
        <is>
          <t>Performance Materiality</t>
        </is>
      </c>
      <c r="B7" s="72" t="n">
        <v>24200</v>
      </c>
    </row>
    <row r="8">
      <c r="A8" s="70" t="inlineStr">
        <is>
          <t>Tolerable Misstatement</t>
        </is>
      </c>
      <c r="B8" s="72" t="n">
        <v>21800</v>
      </c>
    </row>
    <row r="9">
      <c r="A9" s="70" t="inlineStr">
        <is>
          <t>Individually Significant Threshold</t>
        </is>
      </c>
      <c r="B9" s="72" t="n">
        <v>12100</v>
      </c>
    </row>
    <row r="10">
      <c r="A10" s="32" t="inlineStr">
        <is>
          <t>Posting Threshold</t>
        </is>
      </c>
      <c r="B10" s="72" t="n">
        <v>1000</v>
      </c>
    </row>
    <row r="11">
      <c r="A11" s="70" t="inlineStr">
        <is>
          <t>Clearly Trivial Threshold</t>
        </is>
      </c>
      <c r="B11" s="72" t="n">
        <v>1000</v>
      </c>
    </row>
    <row r="12">
      <c r="A12" s="70" t="inlineStr">
        <is>
          <t>Analytical Precision</t>
        </is>
      </c>
      <c r="B12" s="72" t="n">
        <v>21800</v>
      </c>
    </row>
    <row r="13">
      <c r="A13" s="32" t="n"/>
      <c r="B13" s="32" t="n"/>
    </row>
    <row r="14">
      <c r="A14" s="70" t="inlineStr">
        <is>
          <t>Bound planning records</t>
        </is>
      </c>
      <c r="B14" s="32" t="inlineStr">
        <is>
          <t>Canonical IDs</t>
        </is>
      </c>
    </row>
    <row r="15">
      <c r="A15" s="32" t="inlineStr">
        <is>
          <t>Sampling plan ID</t>
        </is>
      </c>
      <c r="B15" s="32" t="inlineStr">
        <is>
          <t>SAMPLE-CASH</t>
        </is>
      </c>
    </row>
    <row r="16" ht="27" customHeight="1">
      <c r="A16" s="32" t="inlineStr">
        <is>
          <t>Selection IDs</t>
        </is>
      </c>
      <c r="B16" s="70" t="inlineStr">
        <is>
          <t>PROC-CASH-RECONCILING:Reconciling item Recon Book Cr 0324; PROC-CASH-RECONCILING:Reconciling item Recon Book Cr 0327</t>
        </is>
      </c>
    </row>
    <row r="17">
      <c r="A17" s="70" t="inlineStr">
        <is>
          <t>Selection requirements</t>
        </is>
      </c>
      <c r="B17" s="70" t="inlineStr">
        <is>
          <t>qualitative mandatory items; individually significant items</t>
        </is>
      </c>
    </row>
    <row r="18">
      <c r="A18" s="32" t="inlineStr">
        <is>
          <t>Procedure IDs</t>
        </is>
      </c>
      <c r="B18" s="32" t="inlineStr">
        <is>
          <t>PROC-CASH</t>
        </is>
      </c>
    </row>
    <row r="19">
      <c r="A19" s="70" t="inlineStr">
        <is>
          <t>Procedure window IDs</t>
        </is>
      </c>
      <c r="B19" s="32" t="inlineStr">
        <is>
          <t>WIN-CASH-CUTOFF</t>
        </is>
      </c>
    </row>
    <row r="20">
      <c r="A20" s="70" t="inlineStr">
        <is>
          <t>Significant-risk response IDs</t>
        </is>
      </c>
      <c r="B20" s="32" t="inlineStr"/>
    </row>
    <row r="21">
      <c r="A21" s="70" t="inlineStr">
        <is>
          <t>Audit team assignments</t>
        </is>
      </c>
      <c r="B21" s="70" t="inlineStr">
        <is>
          <t>preparer: Audit Senior 196E; reviewer: Audit Manager 6115</t>
        </is>
      </c>
    </row>
  </sheetData>
  <printOptions horizontalCentered="0" verticalCentered="0"/>
  <pageMargins left="0.25" right="0.25" top="0.5" bottom="0.5" header="0.2" footer="0.2"/>
  <pageSetup orientation="portrait" paperSize="1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F12"/>
  <sheetViews>
    <sheetView showGridLines="0" zoomScale="90" zoomScaleNormal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8.5" customWidth="1" min="3" max="3"/>
    <col width="25" customWidth="1" min="4" max="4"/>
    <col width="34" customWidth="1" min="5" max="5"/>
    <col width="8.5" customWidth="1" min="6" max="6"/>
  </cols>
  <sheetData>
    <row r="1" ht="24" customHeight="1">
      <c r="A1" s="73" t="inlineStr">
        <is>
          <t>WORKPAPER COMPLETION AND SIGN-OFF</t>
        </is>
      </c>
      <c r="B1" s="32" t="n"/>
      <c r="C1" s="32" t="n"/>
      <c r="D1" s="32" t="n"/>
      <c r="E1" s="32" t="n"/>
      <c r="F1" s="32" t="n"/>
    </row>
    <row r="2">
      <c r="A2" s="32" t="n"/>
      <c r="B2" s="32" t="n"/>
      <c r="C2" s="32" t="n"/>
      <c r="D2" s="32" t="n"/>
      <c r="E2" s="32" t="n"/>
      <c r="F2" s="32" t="n"/>
    </row>
    <row r="3">
      <c r="A3" s="32" t="inlineStr">
        <is>
          <t>Workpaper</t>
        </is>
      </c>
      <c r="B3" s="70" t="inlineStr">
        <is>
          <t>cash/cash_workpaper.xlsx</t>
        </is>
      </c>
      <c r="C3" s="32" t="n"/>
      <c r="D3" s="32" t="n"/>
      <c r="E3" s="32" t="n"/>
      <c r="F3" s="32" t="n"/>
    </row>
    <row r="4">
      <c r="A4" s="70" t="inlineStr">
        <is>
          <t>Required completion stage</t>
        </is>
      </c>
      <c r="B4" s="32" t="inlineStr">
        <is>
          <t>prepared</t>
        </is>
      </c>
      <c r="C4" s="32" t="n"/>
      <c r="D4" s="32" t="inlineStr">
        <is>
          <t>Contract version</t>
        </is>
      </c>
      <c r="E4" s="70" t="inlineStr">
        <is>
          <t>workpaper-signoff-v2.1.0</t>
        </is>
      </c>
      <c r="F4" s="32" t="n"/>
    </row>
    <row r="5">
      <c r="A5" s="32" t="n"/>
      <c r="B5" s="32" t="n"/>
      <c r="C5" s="32" t="n"/>
      <c r="D5" s="32" t="n"/>
      <c r="E5" s="32" t="n"/>
      <c r="F5" s="32" t="n"/>
    </row>
    <row r="6">
      <c r="A6" s="74" t="inlineStr">
        <is>
          <t>Assigned preparer</t>
        </is>
      </c>
      <c r="B6" s="75" t="inlineStr">
        <is>
          <t>Audit Senior 196E</t>
        </is>
      </c>
      <c r="C6" s="32" t="n"/>
      <c r="D6" s="74" t="inlineStr">
        <is>
          <t>Assigned reviewer</t>
        </is>
      </c>
      <c r="E6" s="76" t="inlineStr">
        <is>
          <t>Audit Manager 6115</t>
        </is>
      </c>
      <c r="F6" s="32" t="n"/>
    </row>
    <row r="7">
      <c r="A7" s="74" t="inlineStr">
        <is>
          <t>Preparation state</t>
        </is>
      </c>
      <c r="B7" s="75" t="inlineStr">
        <is>
          <t>Unsigned</t>
        </is>
      </c>
      <c r="C7" s="32" t="n"/>
      <c r="D7" s="74" t="inlineStr">
        <is>
          <t>Review state</t>
        </is>
      </c>
      <c r="E7" s="75" t="inlineStr">
        <is>
          <t>Unsigned</t>
        </is>
      </c>
      <c r="F7" s="32" t="n"/>
    </row>
    <row r="8">
      <c r="A8" s="74" t="inlineStr">
        <is>
          <t>Prepared by</t>
        </is>
      </c>
      <c r="B8" s="75" t="n"/>
      <c r="C8" s="32" t="n"/>
      <c r="D8" s="74" t="inlineStr">
        <is>
          <t>Reviewed by</t>
        </is>
      </c>
      <c r="E8" s="75" t="n"/>
      <c r="F8" s="32" t="n"/>
    </row>
    <row r="9">
      <c r="A9" s="74" t="inlineStr">
        <is>
          <t>Preparation date</t>
        </is>
      </c>
      <c r="B9" s="77" t="n"/>
      <c r="C9" s="32" t="n"/>
      <c r="D9" s="74" t="inlineStr">
        <is>
          <t>Review date</t>
        </is>
      </c>
      <c r="E9" s="77" t="n"/>
      <c r="F9" s="32" t="n"/>
    </row>
    <row r="10">
      <c r="A10" s="32" t="n"/>
      <c r="B10" s="32" t="n"/>
      <c r="C10" s="32" t="n"/>
      <c r="D10" s="32" t="n"/>
      <c r="E10" s="32" t="n"/>
      <c r="F10" s="32" t="n"/>
    </row>
    <row r="11">
      <c r="A11" s="32" t="n"/>
      <c r="B11" s="32" t="n"/>
      <c r="C11" s="32" t="n"/>
      <c r="D11" s="32" t="n"/>
      <c r="E11" s="32" t="n"/>
      <c r="F11" s="32" t="n"/>
    </row>
    <row r="12" ht="54" customHeight="1">
      <c r="A12" s="78" t="inlineStr">
        <is>
          <t>Assignment identifies responsibility but is not sign-off. The assigned preparer records Prepared, their exact assigned identity, and the date only after all applicable procedures and exceptions are dispositioned. Leave review Unsigned unless the task expressly requires a separate review stage. Preparation and review bind to the external content/dependency digest; any substantive workbook or dependency change supersedes both records.</t>
        </is>
      </c>
      <c r="B12" s="32" t="n"/>
      <c r="C12" s="32" t="n"/>
      <c r="D12" s="32" t="n"/>
      <c r="E12" s="32" t="n"/>
      <c r="F12" s="32" t="n"/>
    </row>
  </sheetData>
  <mergeCells count="2">
    <mergeCell ref="A1:F1"/>
    <mergeCell ref="A12:F12"/>
  </mergeCells>
  <dataValidations count="2">
    <dataValidation sqref="B7" showDropDown="0" showInputMessage="0" showErrorMessage="0" allowBlank="0" type="list">
      <formula1>"Unsigned,Prepared,Superseded"</formula1>
    </dataValidation>
    <dataValidation sqref="E7" showDropDown="0" showInputMessage="0" showErrorMessage="0" allowBlank="0" type="list">
      <formula1>"Unsigned,Reviewed,Superseded"</formula1>
    </dataValidation>
  </dataValidations>
  <printOptions horizontalCentered="0" verticalCentered="0"/>
  <pageMargins left="0.25" right="0.2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2026-06-30T15:03:34Z</dcterms:created>
  <dcterms:modified xmlns:dcterms="http://purl.org/dc/terms/" xmlns:xsi="http://www.w3.org/2001/XMLSchema-instance" xsi:type="dcterms:W3CDTF">2026-06-30T15:22:44Z</dcterms:modified>
  <cp:lastModifiedBy>jerry.huang@modusaudit.com</cp:lastModifiedBy>
  <cp:revision>0</cp:revision>
</cp:coreProperties>
</file>