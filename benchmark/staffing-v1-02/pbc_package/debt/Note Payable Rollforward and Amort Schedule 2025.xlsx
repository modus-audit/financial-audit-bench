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Note Payable Rollforward and" sheetId="1" state="visible" r:id="rId3"/>
  </sheets>
  <definedNames>
    <definedName function="false" hidden="false" localSheetId="0" name="_xlnm.Print_Area" vbProcedure="false">'Note Payable Rollforward and'!$A$1:$G$35</definedName>
    <definedName function="false" hidden="false" localSheetId="0" name="_xlnm.Print_Titles" vbProcedure="false">'Note Payable Rollforward and'!$10:$10</definedName>
    <definedName function="false" hidden="true" localSheetId="0" name="_xlnm._FilterDatabase" vbProcedure="false">'Note Payable Rollforward and'!$A$10:$G$35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<sst xmlns="http://schemas.openxmlformats.org/spreadsheetml/2006/main" count="31" uniqueCount="26">
  <si>
    <t xml:space="preserve">Quoxmark Personnel Network, LLC</t>
  </si>
  <si>
    <t xml:space="preserve">Note Payable Rollforward and Amortization Schedule</t>
  </si>
  <si>
    <t xml:space="preserve">For the year ended December 31, 2025</t>
  </si>
  <si>
    <t xml:space="preserve">By loan and account</t>
  </si>
  <si>
    <t xml:space="preserve">2041 - Notes payable</t>
  </si>
  <si>
    <t xml:space="preserve">Dates</t>
  </si>
  <si>
    <t xml:space="preserve">2025-01-31 through 2025-12-31</t>
  </si>
  <si>
    <t xml:space="preserve">Fees</t>
  </si>
  <si>
    <t xml:space="preserve">Principal/interest split</t>
  </si>
  <si>
    <t xml:space="preserve">#</t>
  </si>
  <si>
    <t xml:space="preserve">Payment date</t>
  </si>
  <si>
    <t xml:space="preserve">Beginning principal</t>
  </si>
  <si>
    <t xml:space="preserve">Principal</t>
  </si>
  <si>
    <t xml:space="preserve">Interest</t>
  </si>
  <si>
    <t xml:space="preserve">Ending principal</t>
  </si>
  <si>
    <t xml:space="preserve">Rollforward check</t>
  </si>
  <si>
    <t xml:space="preserve">Total</t>
  </si>
  <si>
    <t xml:space="preserve">Ending balance</t>
  </si>
  <si>
    <t xml:space="preserve">Item</t>
  </si>
  <si>
    <t xml:space="preserve">Value</t>
  </si>
  <si>
    <t xml:space="preserve">Opening principal</t>
  </si>
  <si>
    <t xml:space="preserve">Draws</t>
  </si>
  <si>
    <t xml:space="preserve">Principal repayments</t>
  </si>
  <si>
    <t xml:space="preserve">Difference</t>
  </si>
  <si>
    <t xml:space="preserve">Principal to trial balance</t>
  </si>
  <si>
    <t xml:space="preserve">Presentation differences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</si>
</sst>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_(\$* #,##0.00_);_(\$* \(#,##0.00\);_(\$* \-??_);_(@_)"/>
    <numFmt numFmtId="166" formatCode="mm/dd/yyyy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Cambria"/>
      <family val="0"/>
      <charset val="1"/>
    </font>
    <font>
      <b val="true"/>
      <sz val="11"/>
      <color rgb="FF1F3864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0"/>
      <color rgb="FF1F3864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8EA9DB"/>
      </bottom>
      <diagonal/>
    </border>
    <border diagonalUp="false" diagonalDown="false">
      <left/>
      <right/>
      <top style="thin">
        <color rgb="FF404040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D9E1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F386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35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1"/>
    <col collapsed="false" customWidth="true" hidden="false" outlineLevel="0" max="2" min="2" style="0" width="31"/>
    <col collapsed="false" customWidth="true" hidden="false" outlineLevel="0" max="3" min="3" style="0" width="21"/>
    <col collapsed="false" customWidth="true" hidden="false" outlineLevel="0" max="5" min="4" style="0" width="11"/>
    <col collapsed="false" customWidth="true" hidden="false" outlineLevel="0" max="6" min="6" style="0" width="18"/>
    <col collapsed="false" customWidth="true" hidden="false" outlineLevel="0" max="7" min="7" style="0" width="23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0" t="s">
        <v>3</v>
      </c>
      <c r="B5" s="0" t="s">
        <v>4</v>
      </c>
    </row>
    <row r="6" customFormat="false" ht="15" hidden="false" customHeight="false" outlineLevel="0" collapsed="false">
      <c r="A6" s="0" t="s">
        <v>5</v>
      </c>
      <c r="B6" s="0" t="s">
        <v>6</v>
      </c>
    </row>
    <row r="7" customFormat="false" ht="15" hidden="false" customHeight="false" outlineLevel="0" collapsed="false">
      <c r="A7" s="0" t="s">
        <v>7</v>
      </c>
      <c r="B7" s="3" t="n">
        <v>0</v>
      </c>
    </row>
    <row r="9" customFormat="false" ht="15" hidden="false" customHeight="false" outlineLevel="0" collapsed="false">
      <c r="A9" s="4" t="s">
        <v>8</v>
      </c>
    </row>
    <row r="10" customFormat="false" ht="15" hidden="false" customHeight="false" outlineLevel="0" collapsed="false">
      <c r="A10" s="5" t="s">
        <v>9</v>
      </c>
      <c r="B10" s="5" t="s">
        <v>10</v>
      </c>
      <c r="C10" s="5" t="s">
        <v>11</v>
      </c>
      <c r="D10" s="5" t="s">
        <v>12</v>
      </c>
      <c r="E10" s="5" t="s">
        <v>13</v>
      </c>
      <c r="F10" s="5" t="s">
        <v>14</v>
      </c>
      <c r="G10" s="5" t="s">
        <v>15</v>
      </c>
    </row>
    <row r="11" customFormat="false" ht="15" hidden="false" customHeight="false" outlineLevel="0" collapsed="false">
      <c r="A11" s="0" t="n">
        <v>1</v>
      </c>
      <c r="B11" s="6" t="n">
        <v>45688</v>
      </c>
      <c r="C11" s="3" t="n">
        <v>800299.25</v>
      </c>
      <c r="D11" s="3" t="n">
        <v>2066.07</v>
      </c>
      <c r="E11" s="3" t="n">
        <v>4001.5</v>
      </c>
      <c r="F11" s="3" t="n">
        <f aca="false">C11-D11</f>
        <v>798233.18</v>
      </c>
      <c r="G11" s="0" t="n">
        <f aca="false">ROUND(C11-D11-F11,2)</f>
        <v>0</v>
      </c>
    </row>
    <row r="12" customFormat="false" ht="15" hidden="false" customHeight="false" outlineLevel="0" collapsed="false">
      <c r="A12" s="0" t="n">
        <v>2</v>
      </c>
      <c r="B12" s="6" t="n">
        <v>45716</v>
      </c>
      <c r="C12" s="3" t="n">
        <v>798233.18</v>
      </c>
      <c r="D12" s="3" t="n">
        <v>2076.4</v>
      </c>
      <c r="E12" s="3" t="n">
        <v>3991.17</v>
      </c>
      <c r="F12" s="3" t="n">
        <f aca="false">C12-D12</f>
        <v>796156.78</v>
      </c>
      <c r="G12" s="0" t="n">
        <f aca="false">ROUND(C12-D12-F12,2)</f>
        <v>0</v>
      </c>
    </row>
    <row r="13" customFormat="false" ht="15" hidden="false" customHeight="false" outlineLevel="0" collapsed="false">
      <c r="A13" s="0" t="n">
        <v>3</v>
      </c>
      <c r="B13" s="6" t="n">
        <v>45747</v>
      </c>
      <c r="C13" s="3" t="n">
        <v>796156.78</v>
      </c>
      <c r="D13" s="3" t="n">
        <v>2086.79</v>
      </c>
      <c r="E13" s="3" t="n">
        <v>3980.78</v>
      </c>
      <c r="F13" s="3" t="n">
        <f aca="false">C13-D13</f>
        <v>794069.99</v>
      </c>
      <c r="G13" s="0" t="n">
        <f aca="false">ROUND(C13-D13-F13,2)</f>
        <v>0</v>
      </c>
    </row>
    <row r="14" customFormat="false" ht="15" hidden="false" customHeight="false" outlineLevel="0" collapsed="false">
      <c r="A14" s="0" t="n">
        <v>4</v>
      </c>
      <c r="B14" s="6" t="n">
        <v>45777</v>
      </c>
      <c r="C14" s="3" t="n">
        <v>794069.99</v>
      </c>
      <c r="D14" s="3" t="n">
        <v>2097.22</v>
      </c>
      <c r="E14" s="3" t="n">
        <v>3970.35</v>
      </c>
      <c r="F14" s="3" t="n">
        <f aca="false">C14-D14</f>
        <v>791972.77</v>
      </c>
      <c r="G14" s="0" t="n">
        <f aca="false">ROUND(C14-D14-F14,2)</f>
        <v>0</v>
      </c>
    </row>
    <row r="15" customFormat="false" ht="15" hidden="false" customHeight="false" outlineLevel="0" collapsed="false">
      <c r="A15" s="0" t="n">
        <v>5</v>
      </c>
      <c r="B15" s="6" t="n">
        <v>45808</v>
      </c>
      <c r="C15" s="3" t="n">
        <v>791972.77</v>
      </c>
      <c r="D15" s="3" t="n">
        <v>2107.71</v>
      </c>
      <c r="E15" s="3" t="n">
        <v>3959.86</v>
      </c>
      <c r="F15" s="3" t="n">
        <f aca="false">C15-D15</f>
        <v>789865.06</v>
      </c>
      <c r="G15" s="0" t="n">
        <f aca="false">ROUND(C15-D15-F15,2)</f>
        <v>0</v>
      </c>
    </row>
    <row r="16" customFormat="false" ht="15" hidden="false" customHeight="false" outlineLevel="0" collapsed="false">
      <c r="A16" s="0" t="n">
        <v>6</v>
      </c>
      <c r="B16" s="6" t="n">
        <v>45838</v>
      </c>
      <c r="C16" s="3" t="n">
        <v>789865.06</v>
      </c>
      <c r="D16" s="3" t="n">
        <v>2118.24</v>
      </c>
      <c r="E16" s="3" t="n">
        <v>3949.33</v>
      </c>
      <c r="F16" s="3" t="n">
        <f aca="false">C16-D16</f>
        <v>787746.82</v>
      </c>
      <c r="G16" s="0" t="n">
        <f aca="false">ROUND(C16-D16-F16,2)</f>
        <v>0</v>
      </c>
    </row>
    <row r="17" customFormat="false" ht="15" hidden="false" customHeight="false" outlineLevel="0" collapsed="false">
      <c r="A17" s="0" t="n">
        <v>7</v>
      </c>
      <c r="B17" s="6" t="n">
        <v>45869</v>
      </c>
      <c r="C17" s="3" t="n">
        <v>787746.82</v>
      </c>
      <c r="D17" s="3" t="n">
        <v>2128.84</v>
      </c>
      <c r="E17" s="3" t="n">
        <v>3938.73</v>
      </c>
      <c r="F17" s="3" t="n">
        <f aca="false">C17-D17</f>
        <v>785617.98</v>
      </c>
      <c r="G17" s="0" t="n">
        <f aca="false">ROUND(C17-D17-F17,2)</f>
        <v>0</v>
      </c>
    </row>
    <row r="18" customFormat="false" ht="15" hidden="false" customHeight="false" outlineLevel="0" collapsed="false">
      <c r="A18" s="0" t="n">
        <v>8</v>
      </c>
      <c r="B18" s="6" t="n">
        <v>45900</v>
      </c>
      <c r="C18" s="3" t="n">
        <v>785617.98</v>
      </c>
      <c r="D18" s="3" t="n">
        <v>2139.48</v>
      </c>
      <c r="E18" s="3" t="n">
        <v>3928.09</v>
      </c>
      <c r="F18" s="3" t="n">
        <f aca="false">C18-D18</f>
        <v>783478.5</v>
      </c>
      <c r="G18" s="0" t="n">
        <f aca="false">ROUND(C18-D18-F18,2)</f>
        <v>0</v>
      </c>
    </row>
    <row r="19" customFormat="false" ht="15" hidden="false" customHeight="false" outlineLevel="0" collapsed="false">
      <c r="A19" s="0" t="n">
        <v>9</v>
      </c>
      <c r="B19" s="6" t="n">
        <v>45930</v>
      </c>
      <c r="C19" s="3" t="n">
        <v>783478.5</v>
      </c>
      <c r="D19" s="3" t="n">
        <v>2150.18</v>
      </c>
      <c r="E19" s="3" t="n">
        <v>3917.39</v>
      </c>
      <c r="F19" s="3" t="n">
        <f aca="false">C19-D19</f>
        <v>781328.32</v>
      </c>
      <c r="G19" s="0" t="n">
        <f aca="false">ROUND(C19-D19-F19,2)</f>
        <v>0</v>
      </c>
    </row>
    <row r="20" customFormat="false" ht="15" hidden="false" customHeight="false" outlineLevel="0" collapsed="false">
      <c r="A20" s="0" t="n">
        <v>10</v>
      </c>
      <c r="B20" s="6" t="n">
        <v>45961</v>
      </c>
      <c r="C20" s="3" t="n">
        <v>781328.32</v>
      </c>
      <c r="D20" s="3" t="n">
        <v>2160.93</v>
      </c>
      <c r="E20" s="3" t="n">
        <v>3906.64</v>
      </c>
      <c r="F20" s="3" t="n">
        <f aca="false">C20-D20</f>
        <v>779167.39</v>
      </c>
      <c r="G20" s="0" t="n">
        <f aca="false">ROUND(C20-D20-F20,2)</f>
        <v>0</v>
      </c>
    </row>
    <row r="21" customFormat="false" ht="15" hidden="false" customHeight="false" outlineLevel="0" collapsed="false">
      <c r="A21" s="0" t="n">
        <v>11</v>
      </c>
      <c r="B21" s="6" t="n">
        <v>45991</v>
      </c>
      <c r="C21" s="3" t="n">
        <v>779167.39</v>
      </c>
      <c r="D21" s="3" t="n">
        <v>2171.73</v>
      </c>
      <c r="E21" s="3" t="n">
        <v>3895.84</v>
      </c>
      <c r="F21" s="3" t="n">
        <f aca="false">C21-D21</f>
        <v>776995.66</v>
      </c>
      <c r="G21" s="0" t="n">
        <f aca="false">ROUND(C21-D21-F21,2)</f>
        <v>0</v>
      </c>
    </row>
    <row r="22" customFormat="false" ht="15" hidden="false" customHeight="false" outlineLevel="0" collapsed="false">
      <c r="A22" s="0" t="n">
        <v>12</v>
      </c>
      <c r="B22" s="6" t="n">
        <v>46022</v>
      </c>
      <c r="C22" s="3" t="n">
        <v>776995.66</v>
      </c>
      <c r="D22" s="3" t="n">
        <v>2182.59</v>
      </c>
      <c r="E22" s="3" t="n">
        <v>3884.98</v>
      </c>
      <c r="F22" s="3" t="n">
        <f aca="false">C22-D22</f>
        <v>774813.07</v>
      </c>
      <c r="G22" s="0" t="n">
        <f aca="false">ROUND(C22-D22-F22,2)</f>
        <v>0</v>
      </c>
    </row>
    <row r="23" customFormat="false" ht="15" hidden="false" customHeight="false" outlineLevel="0" collapsed="false">
      <c r="A23" s="7" t="s">
        <v>16</v>
      </c>
      <c r="B23" s="4"/>
      <c r="C23" s="8" t="n">
        <f aca="false">SUM(C11:C22)</f>
        <v>9464931.7</v>
      </c>
      <c r="D23" s="8" t="n">
        <f aca="false">SUM(D11:D22)</f>
        <v>25486.18</v>
      </c>
      <c r="E23" s="8" t="n">
        <f aca="false">SUM(E11:E22)</f>
        <v>47324.66</v>
      </c>
      <c r="F23" s="8" t="n">
        <f aca="false">SUM(F11:F22)</f>
        <v>9439445.52</v>
      </c>
      <c r="G23" s="4"/>
    </row>
    <row r="25" customFormat="false" ht="15" hidden="false" customHeight="false" outlineLevel="0" collapsed="false">
      <c r="A25" s="4" t="s">
        <v>17</v>
      </c>
    </row>
    <row r="26" customFormat="false" ht="15" hidden="false" customHeight="false" outlineLevel="0" collapsed="false">
      <c r="A26" s="5" t="s">
        <v>9</v>
      </c>
      <c r="B26" s="5" t="s">
        <v>18</v>
      </c>
      <c r="C26" s="5" t="s">
        <v>19</v>
      </c>
      <c r="D26" s="5"/>
      <c r="E26" s="5"/>
      <c r="F26" s="5"/>
      <c r="G26" s="5"/>
    </row>
    <row r="27" customFormat="false" ht="15" hidden="false" customHeight="false" outlineLevel="0" collapsed="false">
      <c r="A27" s="0" t="n">
        <v>1</v>
      </c>
      <c r="B27" s="0" t="s">
        <v>20</v>
      </c>
      <c r="C27" s="3" t="n">
        <v>800299.25</v>
      </c>
    </row>
    <row r="28" customFormat="false" ht="15" hidden="false" customHeight="false" outlineLevel="0" collapsed="false">
      <c r="A28" s="0" t="n">
        <v>2</v>
      </c>
      <c r="B28" s="0" t="s">
        <v>21</v>
      </c>
      <c r="C28" s="3" t="n">
        <v>0</v>
      </c>
    </row>
    <row r="29" customFormat="false" ht="15" hidden="false" customHeight="false" outlineLevel="0" collapsed="false">
      <c r="A29" s="0" t="n">
        <v>3</v>
      </c>
      <c r="B29" s="0" t="s">
        <v>22</v>
      </c>
      <c r="C29" s="3" t="n">
        <v>25486.18</v>
      </c>
    </row>
    <row r="30" customFormat="false" ht="15" hidden="false" customHeight="false" outlineLevel="0" collapsed="false">
      <c r="A30" s="0" t="n">
        <v>4</v>
      </c>
      <c r="B30" s="0" t="s">
        <v>14</v>
      </c>
      <c r="C30" s="3" t="n">
        <v>774813.07</v>
      </c>
    </row>
    <row r="32" customFormat="false" ht="15" hidden="false" customHeight="false" outlineLevel="0" collapsed="false">
      <c r="A32" s="4" t="s">
        <v>23</v>
      </c>
    </row>
    <row r="33" customFormat="false" ht="15" hidden="false" customHeight="false" outlineLevel="0" collapsed="false">
      <c r="A33" s="5" t="s">
        <v>9</v>
      </c>
      <c r="B33" s="5" t="s">
        <v>18</v>
      </c>
      <c r="C33" s="5" t="s">
        <v>19</v>
      </c>
      <c r="D33" s="5"/>
      <c r="E33" s="5"/>
      <c r="F33" s="5"/>
      <c r="G33" s="5"/>
    </row>
    <row r="34" customFormat="false" ht="15" hidden="false" customHeight="false" outlineLevel="0" collapsed="false">
      <c r="A34" s="0" t="n">
        <v>1</v>
      </c>
      <c r="B34" s="0" t="s">
        <v>24</v>
      </c>
      <c r="C34" s="3" t="n">
        <v>0</v>
      </c>
    </row>
    <row r="35" customFormat="false" ht="15" hidden="false" customHeight="false" outlineLevel="0" collapsed="false">
      <c r="A35" s="0" t="n">
        <v>2</v>
      </c>
      <c r="B35" s="0" t="s">
        <v>25</v>
      </c>
    </row>
  </sheetData>
  <autoFilter ref="A10:G35"/>
  <printOptions headings="false" gridLines="false" gridLinesSet="true" horizontalCentered="false" verticalCentered="false"/>
  <pageMargins left="0.35" right="0.35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Mary Quovane</dc:creator>
  <cp:lastModifiedBy>Mary Quovane</cp:lastModifiedBy>
  <dcterms:created xsi:type="dcterms:W3CDTF">2026-01-08T18:09:00Z</dcterms:created>
  <dcterms:modified xsi:type="dcterms:W3CDTF">2026-01-08T20:54:00Z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