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25820" windowHeight="15500" tabRatio="500" firstSheet="0" activeTab="0" autoFilterDateGrouping="1"/>
  </bookViews>
  <sheets>
    <sheet xmlns:r="http://schemas.openxmlformats.org/officeDocument/2006/relationships" name="Library Procedures" sheetId="1" state="visible" r:id="rId1"/>
    <sheet xmlns:r="http://schemas.openxmlformats.org/officeDocument/2006/relationships" name="&lt;.0&gt; Source Index" sheetId="2" state="visible" r:id="rId2"/>
    <sheet xmlns:r="http://schemas.openxmlformats.org/officeDocument/2006/relationships" name="&lt;.1&gt; Scope &amp; Data Integrity" sheetId="3" state="visible" r:id="rId3"/>
    <sheet xmlns:r="http://schemas.openxmlformats.org/officeDocument/2006/relationships" name="&lt;.2&gt; Completeness Rollforward" sheetId="4" state="visible" r:id="rId4"/>
    <sheet xmlns:r="http://schemas.openxmlformats.org/officeDocument/2006/relationships" name="Planning Context" sheetId="5" state="visible" r:id="rId5"/>
    <sheet xmlns:r="http://schemas.openxmlformats.org/officeDocument/2006/relationships" name="Workpaper Sign-off" sheetId="6" state="visible" r:id="rId6"/>
  </sheets>
  <definedNames>
    <definedName name="WP_PLAN_S002_0_SOURCE_INDEX_ENTITY_NAME">'&lt;.0&gt; Source Index'!$B$2</definedName>
    <definedName name="WP_PLAN_S002_0_SOURCE_INDEX_FINANCIAL_STATEMENT_DATE">'&lt;.0&gt; Source Index'!$E$2</definedName>
    <definedName name="WP_PLAN_S002_0_SOURCE_INDEX_REPORTING_CURRENCY">'&lt;.0&gt; Source Index'!$H$2</definedName>
    <definedName name="WP_PLAN_S002_0_SOURCE_INDEX_PERFORMANCE_MATERIALITY">'&lt;.0&gt; Source Index'!$B$3</definedName>
    <definedName name="WP_PLAN_S002_0_SOURCE_INDEX_TOLERABLE_MISSTATEMENT">'&lt;.0&gt; Source Index'!$E$3</definedName>
    <definedName name="WP_PLAN_S003_1_SCOPE_DATA_INTEGRITY_ENTITY_NAME">'&lt;.1&gt; Scope &amp; Data Integrity'!$B$2</definedName>
    <definedName name="WP_PLAN_S003_1_SCOPE_DATA_INTEGRITY_FINANCIAL_STATEMENT_DATE">'&lt;.1&gt; Scope &amp; Data Integrity'!$E$2</definedName>
    <definedName name="WP_PLAN_S003_1_SCOPE_DATA_INTEGRITY_REPORTING_CURRENCY">'&lt;.1&gt; Scope &amp; Data Integrity'!$H$2</definedName>
    <definedName name="WP_PLAN_S003_1_SCOPE_DATA_INTEGRITY_PERFORMANCE_MATERIALITY">'&lt;.1&gt; Scope &amp; Data Integrity'!$B$3</definedName>
    <definedName name="WP_PLAN_S003_1_SCOPE_DATA_INTEGRITY_TOLERABLE_MISSTATEMENT">'&lt;.1&gt; Scope &amp; Data Integrity'!$E$3</definedName>
    <definedName name="WP_PLAN_S004_2_COMPLETENESS_ROLLFORWARD_ENTITY_NAME">'&lt;.2&gt; Completeness Rollforward'!$B$2</definedName>
    <definedName name="WP_PLAN_S004_2_COMPLETENESS_ROLLFORWARD_FINANCIAL_STATEMENT_DATE">'&lt;.2&gt; Completeness Rollforward'!$E$2</definedName>
    <definedName name="WP_PLAN_S004_2_COMPLETENESS_ROLLFORWARD_REPORTING_CURRENCY">'&lt;.2&gt; Completeness Rollforward'!$H$2</definedName>
    <definedName name="WP_PLAN_S004_2_COMPLETENESS_ROLLFORWARD_PERFORMANCE_MATERIALITY">'&lt;.2&gt; Completeness Rollforward'!$B$3</definedName>
    <definedName name="WP_PLAN_S004_2_COMPLETENESS_ROLLFORWARD_TOLERABLE_MISSTATEMENT">'&lt;.2&gt; Completeness Rollforward'!$E$3</definedName>
    <definedName name="WP_PLAN_CONTEXT_ENTITY_NAME">'Planning Context'!$B$3</definedName>
    <definedName name="WP_PLAN_CONTEXT_FINANCIAL_STATEMENT_DATE">'Planning Context'!$B$4</definedName>
    <definedName name="WP_PLAN_CONTEXT_REPORTING_CURRENCY">'Planning Context'!$B$5</definedName>
    <definedName name="WP_PLAN_CONTEXT_OVERALL_MATERIALITY">'Planning Context'!$B$6</definedName>
    <definedName name="WP_PLAN_CONTEXT_PERFORMANCE_MATERIALITY">'Planning Context'!$B$7</definedName>
    <definedName name="WP_PLAN_CONTEXT_TOLERABLE_MISSTATEMENT">'Planning Context'!$B$8</definedName>
    <definedName name="WP_PLAN_CONTEXT_INDIVIDUALLY_SIGNIFICANT_THRESHOLD">'Planning Context'!$B$9</definedName>
    <definedName name="WP_PLAN_CONTEXT_POSTING_THRESHOLD">'Planning Context'!$B$10</definedName>
    <definedName name="WP_PLAN_CONTEXT_CLEARLY_TRIVIAL_THRESHOLD">'Planning Context'!$B$11</definedName>
    <definedName name="WP_PLAN_CONTEXT_ANALYTICAL_PRECISION">'Planning Context'!$B$12</definedName>
    <definedName name="WP_PROC_001_APPLICABILITY">'Library Procedures'!$A$8</definedName>
    <definedName name="WP_PROC_001_REQUIREMENT">'Library Procedures'!$B$8</definedName>
    <definedName name="WP_PROC_001_EXECUTION_STATE">'Library Procedures'!$C$8</definedName>
    <definedName name="WP_PROC_001_EVIDENCE_STATE">'Library Procedures'!$D$8</definedName>
    <definedName name="WP_PROC_001_RESULT_STATE">'Library Procedures'!$E$8</definedName>
    <definedName name="WP_PROC_001_ISSUE_STATE">'Library Procedures'!$F$8</definedName>
    <definedName name="WP_PROC_001_SIGNOFF_STATE">'Library Procedures'!$G$8</definedName>
    <definedName name="WP_PROC_001_DERIVED_OUTCOME">'Library Procedures'!$H$8</definedName>
    <definedName name="WP_PROC_001_PROCEDURE">'Library Procedures'!$I$8</definedName>
    <definedName name="WP_PROC_001_ASSERTION_S">'Library Procedures'!$J$8</definedName>
    <definedName name="WP_PROC_001_W_P_REF">'Library Procedures'!$K$8</definedName>
    <definedName name="WP_PROC_001_PERFORMED_BY">'Library Procedures'!$L$8</definedName>
    <definedName name="WP_PROC_001_DATE">'Library Procedures'!$M$8</definedName>
    <definedName name="WP_PROC_001_REASON_CODE">'Library Procedures'!$N$8</definedName>
    <definedName name="WP_PROC_001_SOURCE_FACT_EVIDENCE">'Library Procedures'!$O$8</definedName>
    <definedName name="WP_PROC_001_ISSUE_DEPENDENCY_IDS">'Library Procedures'!$P$8</definedName>
    <definedName name="WP_PROC_001_COMMENT_WORK_PERFORMED">'Library Procedures'!$Q$8</definedName>
    <definedName name="WP_PROC_002_APPLICABILITY">'Library Procedures'!$A$10</definedName>
    <definedName name="WP_PROC_002_REQUIREMENT">'Library Procedures'!$B$10</definedName>
    <definedName name="WP_PROC_002_EXECUTION_STATE">'Library Procedures'!$C$10</definedName>
    <definedName name="WP_PROC_002_EVIDENCE_STATE">'Library Procedures'!$D$10</definedName>
    <definedName name="WP_PROC_002_RESULT_STATE">'Library Procedures'!$E$10</definedName>
    <definedName name="WP_PROC_002_ISSUE_STATE">'Library Procedures'!$F$10</definedName>
    <definedName name="WP_PROC_002_SIGNOFF_STATE">'Library Procedures'!$G$10</definedName>
    <definedName name="WP_PROC_002_DERIVED_OUTCOME">'Library Procedures'!$H$10</definedName>
    <definedName name="WP_PROC_002_PROCEDURE">'Library Procedures'!$I$10</definedName>
    <definedName name="WP_PROC_002_ASSERTION_S">'Library Procedures'!$J$10</definedName>
    <definedName name="WP_PROC_002_W_P_REF">'Library Procedures'!$K$10</definedName>
    <definedName name="WP_PROC_002_PERFORMED_BY">'Library Procedures'!$L$10</definedName>
    <definedName name="WP_PROC_002_DATE">'Library Procedures'!$M$10</definedName>
    <definedName name="WP_PROC_002_REASON_CODE">'Library Procedures'!$N$10</definedName>
    <definedName name="WP_PROC_002_SOURCE_FACT_EVIDENCE">'Library Procedures'!$O$10</definedName>
    <definedName name="WP_PROC_002_ISSUE_DEPENDENCY_IDS">'Library Procedures'!$P$10</definedName>
    <definedName name="WP_PROC_002_COMMENT_WORK_PERFORMED">'Library Procedures'!$Q$10</definedName>
    <definedName name="WP_PROC_003_APPLICABILITY">'Library Procedures'!$A$11</definedName>
    <definedName name="WP_PROC_003_REQUIREMENT">'Library Procedures'!$B$11</definedName>
    <definedName name="WP_PROC_003_EXECUTION_STATE">'Library Procedures'!$C$11</definedName>
    <definedName name="WP_PROC_003_EVIDENCE_STATE">'Library Procedures'!$D$11</definedName>
    <definedName name="WP_PROC_003_RESULT_STATE">'Library Procedures'!$E$11</definedName>
    <definedName name="WP_PROC_003_ISSUE_STATE">'Library Procedures'!$F$11</definedName>
    <definedName name="WP_PROC_003_SIGNOFF_STATE">'Library Procedures'!$G$11</definedName>
    <definedName name="WP_PROC_003_DERIVED_OUTCOME">'Library Procedures'!$H$11</definedName>
    <definedName name="WP_PROC_003_PROCEDURE">'Library Procedures'!$I$11</definedName>
    <definedName name="WP_PROC_003_ASSERTION_S">'Library Procedures'!$J$11</definedName>
    <definedName name="WP_PROC_003_W_P_REF">'Library Procedures'!$K$11</definedName>
    <definedName name="WP_PROC_003_PERFORMED_BY">'Library Procedures'!$L$11</definedName>
    <definedName name="WP_PROC_003_DATE">'Library Procedures'!$M$11</definedName>
    <definedName name="WP_PROC_003_REASON_CODE">'Library Procedures'!$N$11</definedName>
    <definedName name="WP_PROC_003_SOURCE_FACT_EVIDENCE">'Library Procedures'!$O$11</definedName>
    <definedName name="WP_PROC_003_ISSUE_DEPENDENCY_IDS">'Library Procedures'!$P$11</definedName>
    <definedName name="WP_PROC_003_COMMENT_WORK_PERFORMED">'Library Procedures'!$Q$11</definedName>
    <definedName name="WP_PROC_004_APPLICABILITY">'Library Procedures'!$A$12</definedName>
    <definedName name="WP_PROC_004_REQUIREMENT">'Library Procedures'!$B$12</definedName>
    <definedName name="WP_PROC_004_EXECUTION_STATE">'Library Procedures'!$C$12</definedName>
    <definedName name="WP_PROC_004_EVIDENCE_STATE">'Library Procedures'!$D$12</definedName>
    <definedName name="WP_PROC_004_RESULT_STATE">'Library Procedures'!$E$12</definedName>
    <definedName name="WP_PROC_004_ISSUE_STATE">'Library Procedures'!$F$12</definedName>
    <definedName name="WP_PROC_004_SIGNOFF_STATE">'Library Procedures'!$G$12</definedName>
    <definedName name="WP_PROC_004_DERIVED_OUTCOME">'Library Procedures'!$H$12</definedName>
    <definedName name="WP_PROC_004_PROCEDURE">'Library Procedures'!$I$12</definedName>
    <definedName name="WP_PROC_004_ASSERTION_S">'Library Procedures'!$J$12</definedName>
    <definedName name="WP_PROC_004_W_P_REF">'Library Procedures'!$K$12</definedName>
    <definedName name="WP_PROC_004_PERFORMED_BY">'Library Procedures'!$L$12</definedName>
    <definedName name="WP_PROC_004_DATE">'Library Procedures'!$M$12</definedName>
    <definedName name="WP_PROC_004_REASON_CODE">'Library Procedures'!$N$12</definedName>
    <definedName name="WP_PROC_004_SOURCE_FACT_EVIDENCE">'Library Procedures'!$O$12</definedName>
    <definedName name="WP_PROC_004_ISSUE_DEPENDENCY_IDS">'Library Procedures'!$P$12</definedName>
    <definedName name="WP_PROC_004_COMMENT_WORK_PERFORMED">'Library Procedures'!$Q$12</definedName>
    <definedName name="WP_PROC_005_APPLICABILITY">'Library Procedures'!$A$13</definedName>
    <definedName name="WP_PROC_005_REQUIREMENT">'Library Procedures'!$B$13</definedName>
    <definedName name="WP_PROC_005_EXECUTION_STATE">'Library Procedures'!$C$13</definedName>
    <definedName name="WP_PROC_005_EVIDENCE_STATE">'Library Procedures'!$D$13</definedName>
    <definedName name="WP_PROC_005_RESULT_STATE">'Library Procedures'!$E$13</definedName>
    <definedName name="WP_PROC_005_ISSUE_STATE">'Library Procedures'!$F$13</definedName>
    <definedName name="WP_PROC_005_SIGNOFF_STATE">'Library Procedures'!$G$13</definedName>
    <definedName name="WP_PROC_005_DERIVED_OUTCOME">'Library Procedures'!$H$13</definedName>
    <definedName name="WP_PROC_005_PROCEDURE">'Library Procedures'!$I$13</definedName>
    <definedName name="WP_PROC_005_ASSERTION_S">'Library Procedures'!$J$13</definedName>
    <definedName name="WP_PROC_005_W_P_REF">'Library Procedures'!$K$13</definedName>
    <definedName name="WP_PROC_005_PERFORMED_BY">'Library Procedures'!$L$13</definedName>
    <definedName name="WP_PROC_005_DATE">'Library Procedures'!$M$13</definedName>
    <definedName name="WP_PROC_005_REASON_CODE">'Library Procedures'!$N$13</definedName>
    <definedName name="WP_PROC_005_SOURCE_FACT_EVIDENCE">'Library Procedures'!$O$13</definedName>
    <definedName name="WP_PROC_005_ISSUE_DEPENDENCY_IDS">'Library Procedures'!$P$13</definedName>
    <definedName name="WP_PROC_005_COMMENT_WORK_PERFORMED">'Library Procedures'!$Q$13</definedName>
    <definedName name="WP_PROC_006_APPLICABILITY">'Library Procedures'!$A$14</definedName>
    <definedName name="WP_PROC_006_REQUIREMENT">'Library Procedures'!$B$14</definedName>
    <definedName name="WP_PROC_006_EXECUTION_STATE">'Library Procedures'!$C$14</definedName>
    <definedName name="WP_PROC_006_EVIDENCE_STATE">'Library Procedures'!$D$14</definedName>
    <definedName name="WP_PROC_006_RESULT_STATE">'Library Procedures'!$E$14</definedName>
    <definedName name="WP_PROC_006_ISSUE_STATE">'Library Procedures'!$F$14</definedName>
    <definedName name="WP_PROC_006_SIGNOFF_STATE">'Library Procedures'!$G$14</definedName>
    <definedName name="WP_PROC_006_DERIVED_OUTCOME">'Library Procedures'!$H$14</definedName>
    <definedName name="WP_PROC_006_PROCEDURE">'Library Procedures'!$I$14</definedName>
    <definedName name="WP_PROC_006_ASSERTION_S">'Library Procedures'!$J$14</definedName>
    <definedName name="WP_PROC_006_W_P_REF">'Library Procedures'!$K$14</definedName>
    <definedName name="WP_PROC_006_PERFORMED_BY">'Library Procedures'!$L$14</definedName>
    <definedName name="WP_PROC_006_DATE">'Library Procedures'!$M$14</definedName>
    <definedName name="WP_PROC_006_REASON_CODE">'Library Procedures'!$N$14</definedName>
    <definedName name="WP_PROC_006_SOURCE_FACT_EVIDENCE">'Library Procedures'!$O$14</definedName>
    <definedName name="WP_PROC_006_ISSUE_DEPENDENCY_IDS">'Library Procedures'!$P$14</definedName>
    <definedName name="WP_PROC_006_COMMENT_WORK_PERFORMED">'Library Procedures'!$Q$14</definedName>
    <definedName name="WP_PROC_007_APPLICABILITY">'Library Procedures'!$A$16</definedName>
    <definedName name="WP_PROC_007_REQUIREMENT">'Library Procedures'!$B$16</definedName>
    <definedName name="WP_PROC_007_EXECUTION_STATE">'Library Procedures'!$C$16</definedName>
    <definedName name="WP_PROC_007_EVIDENCE_STATE">'Library Procedures'!$D$16</definedName>
    <definedName name="WP_PROC_007_RESULT_STATE">'Library Procedures'!$E$16</definedName>
    <definedName name="WP_PROC_007_ISSUE_STATE">'Library Procedures'!$F$16</definedName>
    <definedName name="WP_PROC_007_SIGNOFF_STATE">'Library Procedures'!$G$16</definedName>
    <definedName name="WP_PROC_007_DERIVED_OUTCOME">'Library Procedures'!$H$16</definedName>
    <definedName name="WP_PROC_007_PROCEDURE">'Library Procedures'!$I$16</definedName>
    <definedName name="WP_PROC_007_ASSERTION_S">'Library Procedures'!$J$16</definedName>
    <definedName name="WP_PROC_007_W_P_REF">'Library Procedures'!$K$16</definedName>
    <definedName name="WP_PROC_007_PERFORMED_BY">'Library Procedures'!$L$16</definedName>
    <definedName name="WP_PROC_007_DATE">'Library Procedures'!$M$16</definedName>
    <definedName name="WP_PROC_007_REASON_CODE">'Library Procedures'!$N$16</definedName>
    <definedName name="WP_PROC_007_SOURCE_FACT_EVIDENCE">'Library Procedures'!$O$16</definedName>
    <definedName name="WP_PROC_007_ISSUE_DEPENDENCY_IDS">'Library Procedures'!$P$16</definedName>
    <definedName name="WP_PROC_007_COMMENT_WORK_PERFORMED">'Library Procedures'!$Q$16</definedName>
    <definedName name="WP_PROC_008_APPLICABILITY">'Library Procedures'!$A$17</definedName>
    <definedName name="WP_PROC_008_REQUIREMENT">'Library Procedures'!$B$17</definedName>
    <definedName name="WP_PROC_008_EXECUTION_STATE">'Library Procedures'!$C$17</definedName>
    <definedName name="WP_PROC_008_EVIDENCE_STATE">'Library Procedures'!$D$17</definedName>
    <definedName name="WP_PROC_008_RESULT_STATE">'Library Procedures'!$E$17</definedName>
    <definedName name="WP_PROC_008_ISSUE_STATE">'Library Procedures'!$F$17</definedName>
    <definedName name="WP_PROC_008_SIGNOFF_STATE">'Library Procedures'!$G$17</definedName>
    <definedName name="WP_PROC_008_DERIVED_OUTCOME">'Library Procedures'!$H$17</definedName>
    <definedName name="WP_PROC_008_PROCEDURE">'Library Procedures'!$I$17</definedName>
    <definedName name="WP_PROC_008_ASSERTION_S">'Library Procedures'!$J$17</definedName>
    <definedName name="WP_PROC_008_W_P_REF">'Library Procedures'!$K$17</definedName>
    <definedName name="WP_PROC_008_PERFORMED_BY">'Library Procedures'!$L$17</definedName>
    <definedName name="WP_PROC_008_DATE">'Library Procedures'!$M$17</definedName>
    <definedName name="WP_PROC_008_REASON_CODE">'Library Procedures'!$N$17</definedName>
    <definedName name="WP_PROC_008_SOURCE_FACT_EVIDENCE">'Library Procedures'!$O$17</definedName>
    <definedName name="WP_PROC_008_ISSUE_DEPENDENCY_IDS">'Library Procedures'!$P$17</definedName>
    <definedName name="WP_PROC_008_COMMENT_WORK_PERFORMED">'Library Procedures'!$Q$17</definedName>
    <definedName name="WP_PROC_009_APPLICABILITY">'Library Procedures'!$A$19</definedName>
    <definedName name="WP_PROC_009_REQUIREMENT">'Library Procedures'!$B$19</definedName>
    <definedName name="WP_PROC_009_EXECUTION_STATE">'Library Procedures'!$C$19</definedName>
    <definedName name="WP_PROC_009_EVIDENCE_STATE">'Library Procedures'!$D$19</definedName>
    <definedName name="WP_PROC_009_RESULT_STATE">'Library Procedures'!$E$19</definedName>
    <definedName name="WP_PROC_009_ISSUE_STATE">'Library Procedures'!$F$19</definedName>
    <definedName name="WP_PROC_009_SIGNOFF_STATE">'Library Procedures'!$G$19</definedName>
    <definedName name="WP_PROC_009_DERIVED_OUTCOME">'Library Procedures'!$H$19</definedName>
    <definedName name="WP_PROC_009_PROCEDURE">'Library Procedures'!$I$19</definedName>
    <definedName name="WP_PROC_009_ASSERTION_S">'Library Procedures'!$J$19</definedName>
    <definedName name="WP_PROC_009_W_P_REF">'Library Procedures'!$K$19</definedName>
    <definedName name="WP_PROC_009_PERFORMED_BY">'Library Procedures'!$L$19</definedName>
    <definedName name="WP_PROC_009_DATE">'Library Procedures'!$M$19</definedName>
    <definedName name="WP_PROC_009_REASON_CODE">'Library Procedures'!$N$19</definedName>
    <definedName name="WP_PROC_009_SOURCE_FACT_EVIDENCE">'Library Procedures'!$O$19</definedName>
    <definedName name="WP_PROC_009_ISSUE_DEPENDENCY_IDS">'Library Procedures'!$P$19</definedName>
    <definedName name="WP_PROC_009_COMMENT_WORK_PERFORMED">'Library Procedures'!$Q$19</definedName>
    <definedName name="WP_PROC_010_APPLICABILITY">'Library Procedures'!$A$20</definedName>
    <definedName name="WP_PROC_010_REQUIREMENT">'Library Procedures'!$B$20</definedName>
    <definedName name="WP_PROC_010_EXECUTION_STATE">'Library Procedures'!$C$20</definedName>
    <definedName name="WP_PROC_010_EVIDENCE_STATE">'Library Procedures'!$D$20</definedName>
    <definedName name="WP_PROC_010_RESULT_STATE">'Library Procedures'!$E$20</definedName>
    <definedName name="WP_PROC_010_ISSUE_STATE">'Library Procedures'!$F$20</definedName>
    <definedName name="WP_PROC_010_SIGNOFF_STATE">'Library Procedures'!$G$20</definedName>
    <definedName name="WP_PROC_010_DERIVED_OUTCOME">'Library Procedures'!$H$20</definedName>
    <definedName name="WP_PROC_010_PROCEDURE">'Library Procedures'!$I$20</definedName>
    <definedName name="WP_PROC_010_ASSERTION_S">'Library Procedures'!$J$20</definedName>
    <definedName name="WP_PROC_010_W_P_REF">'Library Procedures'!$K$20</definedName>
    <definedName name="WP_PROC_010_PERFORMED_BY">'Library Procedures'!$L$20</definedName>
    <definedName name="WP_PROC_010_DATE">'Library Procedures'!$M$20</definedName>
    <definedName name="WP_PROC_010_REASON_CODE">'Library Procedures'!$N$20</definedName>
    <definedName name="WP_PROC_010_SOURCE_FACT_EVIDENCE">'Library Procedures'!$O$20</definedName>
    <definedName name="WP_PROC_010_ISSUE_DEPENDENCY_IDS">'Library Procedures'!$P$20</definedName>
    <definedName name="WP_PROC_010_COMMENT_WORK_PERFORMED">'Library Procedures'!$Q$20</definedName>
    <definedName name="WP_PROC_011_APPLICABILITY">'Library Procedures'!$A$22</definedName>
    <definedName name="WP_PROC_011_REQUIREMENT">'Library Procedures'!$B$22</definedName>
    <definedName name="WP_PROC_011_EXECUTION_STATE">'Library Procedures'!$C$22</definedName>
    <definedName name="WP_PROC_011_EVIDENCE_STATE">'Library Procedures'!$D$22</definedName>
    <definedName name="WP_PROC_011_RESULT_STATE">'Library Procedures'!$E$22</definedName>
    <definedName name="WP_PROC_011_ISSUE_STATE">'Library Procedures'!$F$22</definedName>
    <definedName name="WP_PROC_011_SIGNOFF_STATE">'Library Procedures'!$G$22</definedName>
    <definedName name="WP_PROC_011_DERIVED_OUTCOME">'Library Procedures'!$H$22</definedName>
    <definedName name="WP_PROC_011_PROCEDURE">'Library Procedures'!$I$22</definedName>
    <definedName name="WP_PROC_011_ASSERTION_S">'Library Procedures'!$J$22</definedName>
    <definedName name="WP_PROC_011_W_P_REF">'Library Procedures'!$K$22</definedName>
    <definedName name="WP_PROC_011_PERFORMED_BY">'Library Procedures'!$L$22</definedName>
    <definedName name="WP_PROC_011_DATE">'Library Procedures'!$M$22</definedName>
    <definedName name="WP_PROC_011_REASON_CODE">'Library Procedures'!$N$22</definedName>
    <definedName name="WP_PROC_011_SOURCE_FACT_EVIDENCE">'Library Procedures'!$O$22</definedName>
    <definedName name="WP_PROC_011_ISSUE_DEPENDENCY_IDS">'Library Procedures'!$P$22</definedName>
    <definedName name="WP_PROC_011_COMMENT_WORK_PERFORMED">'Library Procedures'!$Q$22</definedName>
    <definedName name="WP_ANALYTIC_JE_COMPLETENESS_EXPECTED_MONTHLY_ANCHOR">'&lt;.1&gt; Scope &amp; Data Integrity'!$A$34</definedName>
    <definedName name="WP_ANALYTIC_JE_COMPLETENESS_EXPECTED_MONTHLY_VALUE">'&lt;.1&gt; Scope &amp; Data Integrity'!$B$34</definedName>
    <definedName name="WP_ANALYTIC_JE_COMPLETENESS_EXPECTED_MONTHLY_SOURCE_REFERENCE">'&lt;.1&gt; Scope &amp; Data Integrity'!$C$34</definedName>
    <definedName name="WP_ANALYTIC_JE_COMPLETENESS_MONTHS_ANCHOR">'&lt;.1&gt; Scope &amp; Data Integrity'!$A$35</definedName>
    <definedName name="WP_ANALYTIC_JE_COMPLETENESS_MONTHS_VALUE">'&lt;.1&gt; Scope &amp; Data Integrity'!$B$35</definedName>
    <definedName name="WP_ANALYTIC_JE_COMPLETENESS_MONTHS_SOURCE_REFERENCE">'&lt;.1&gt; Scope &amp; Data Integrity'!$C$35</definedName>
    <definedName name="WP_ANALYTIC_JE_COMPLETENESS_EXPECTED_TOTAL_ANCHOR">'&lt;.1&gt; Scope &amp; Data Integrity'!$A$36</definedName>
    <definedName name="WP_ANALYTIC_JE_COMPLETENESS_EXPECTED_TOTAL_VALUE">'&lt;.1&gt; Scope &amp; Data Integrity'!$B$36</definedName>
    <definedName name="WP_ANALYTIC_JE_COMPLETENESS_EXPECTED_TOTAL_SOURCE_REFERENCE">'&lt;.1&gt; Scope &amp; Data Integrity'!$C$36</definedName>
    <definedName name="WP_ANALYTIC_JE_COMPLETENESS_ACTUAL_TOTAL_ANCHOR">'&lt;.1&gt; Scope &amp; Data Integrity'!$A$37</definedName>
    <definedName name="WP_ANALYTIC_JE_COMPLETENESS_ACTUAL_TOTAL_VALUE">'&lt;.1&gt; Scope &amp; Data Integrity'!$B$37</definedName>
    <definedName name="WP_ANALYTIC_JE_COMPLETENESS_ACTUAL_TOTAL_SOURCE_REFERENCE">'&lt;.1&gt; Scope &amp; Data Integrity'!$C$37</definedName>
    <definedName name="WP_ANALYTIC_JE_COMPLETENESS_VARIANCE_ANCHOR">'&lt;.1&gt; Scope &amp; Data Integrity'!$A$38</definedName>
    <definedName name="WP_ANALYTIC_JE_COMPLETENESS_VARIANCE_VALUE">'&lt;.1&gt; Scope &amp; Data Integrity'!$B$38</definedName>
    <definedName name="WP_ANALYTIC_JE_COMPLETENESS_VARIANCE_SOURCE_REFERENCE">'&lt;.1&gt; Scope &amp; Data Integrity'!$C$38</definedName>
    <definedName name="WP_ANALYTIC_JE_COMPLETENESS_PLAUSIBLE_ANCHOR">'&lt;.1&gt; Scope &amp; Data Integrity'!$A$39</definedName>
    <definedName name="WP_ANALYTIC_JE_COMPLETENESS_PLAUSIBLE_VALUE">'&lt;.1&gt; Scope &amp; Data Integrity'!$B$39</definedName>
    <definedName name="WP_ANALYTIC_JE_COMPLETENESS_PLAUSIBLE_SOURCE_REFERENCE">'&lt;.1&gt; Scope &amp; Data Integrity'!$C$39</definedName>
    <definedName name="WP_SIGNOFF_REQUIRED_COMPLETION_STAGE">'Workpaper Sign-off'!$B$4</definedName>
    <definedName name="WP_SIGNOFF_ASSIGNED_PREPARER">'Workpaper Sign-off'!$B$6</definedName>
    <definedName name="WP_SIGNOFF_PREPARATION_STATE">'Workpaper Sign-off'!$B$7</definedName>
    <definedName name="WP_SIGNOFF_PREPARED_BY">'Workpaper Sign-off'!$B$8</definedName>
    <definedName name="WP_SIGNOFF_PREPARATION_DATE">'Workpaper Sign-off'!$B$9</definedName>
    <definedName name="WP_SIGNOFF_ASSIGNED_REVIEWER">'Workpaper Sign-off'!$E$6</definedName>
    <definedName name="WP_SIGNOFF_REVIEW_STATE">'Workpaper Sign-off'!$E$7</definedName>
    <definedName name="WP_SIGNOFF_REVIEWED_BY">'Workpaper Sign-off'!$E$8</definedName>
    <definedName name="WP_SIGNOFF_REVIEW_DATE">'Workpaper Sign-off'!$E$9</definedName>
    <definedName name="_xlnm._FilterDatabase" localSheetId="0" hidden="1">'Library Procedures'!$A$6:$Q$22</definedName>
    <definedName name="_xlnm.Print_Titles" localSheetId="0">'Library Procedures'!$1:$6</definedName>
    <definedName name="_xlnm.Print_Area" localSheetId="0">'Library Procedures'!$A$1:$Q$22</definedName>
    <definedName name="_xlnm.Print_Area" localSheetId="1">'&lt;.0&gt; Source Index'!$A$1:$H$32</definedName>
    <definedName name="_xlnm.Print_Titles" localSheetId="2">'&lt;.1&gt; Scope &amp; Data Integrity'!$1:$7</definedName>
    <definedName name="_xlnm.Print_Area" localSheetId="2">'&lt;.1&gt; Scope &amp; Data Integrity'!$A$1:$H$63</definedName>
    <definedName name="_xlnm.Print_Titles" localSheetId="3">'&lt;.2&gt; Completeness Rollforward'!$1:$7</definedName>
    <definedName name="_xlnm.Print_Area" localSheetId="3">'&lt;.2&gt; Completeness Rollforward'!$A$1:$K$75</definedName>
    <definedName name="_xlnm.Print_Area" localSheetId="4">'Planning Context'!$A$1:$B$21</definedName>
    <definedName name="_xlnm.Print_Area" localSheetId="5">'Workpaper Sign-off'!$A$1:$F$12</definedName>
  </definedNames>
  <calcPr calcId="191029" fullCalcOnLoad="1" iterateDelta="0.000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m/d/yyyy"/>
  </numFmts>
  <fonts count="32">
    <font>
      <name val="Calibri"/>
      <charset val="1"/>
      <family val="2"/>
      <color theme="1"/>
      <sz val="11"/>
    </font>
    <font>
      <name val="Georgia"/>
      <charset val="1"/>
      <b val="1"/>
      <color rgb="FFA32020"/>
      <sz val="14"/>
    </font>
    <font>
      <name val="Georgia"/>
      <charset val="1"/>
      <b val="1"/>
      <color rgb="FF1A1A1A"/>
      <sz val="9"/>
    </font>
    <font>
      <name val="Georgia"/>
      <charset val="1"/>
      <color rgb="FF1A1A1A"/>
      <sz val="9"/>
    </font>
    <font>
      <name val="Georgia"/>
      <charset val="1"/>
      <b val="1"/>
      <color rgb="FFA32020"/>
      <sz val="9"/>
    </font>
    <font>
      <name val="Georgia"/>
      <charset val="1"/>
      <b val="1"/>
      <color rgb="FFFFFFFF"/>
      <sz val="8.5"/>
    </font>
    <font>
      <name val="Georgia"/>
      <charset val="1"/>
      <b val="1"/>
      <color rgb="FFDC6900"/>
      <sz val="9"/>
    </font>
    <font>
      <name val="Georgia"/>
      <charset val="1"/>
      <color rgb="FF6E6E6E"/>
      <sz val="9"/>
    </font>
    <font>
      <name val="Georgia"/>
      <charset val="1"/>
      <b val="1"/>
      <color rgb="FFA32020"/>
      <sz val="10"/>
    </font>
    <font>
      <name val="Georgia"/>
      <charset val="1"/>
      <b val="1"/>
      <color rgb="FFDC6900"/>
      <sz val="8"/>
    </font>
    <font>
      <name val="Georgia"/>
      <charset val="1"/>
      <b val="1"/>
      <color rgb="FF1A1A1A"/>
      <sz val="10"/>
    </font>
    <font>
      <name val="Georgia"/>
      <charset val="1"/>
      <b val="1"/>
      <color rgb="FFFFFFFF"/>
      <sz val="9"/>
    </font>
    <font>
      <name val="Carlito"/>
      <b val="1"/>
      <color rgb="00FFFFFF"/>
      <sz val="14"/>
    </font>
    <font>
      <name val="Carlito"/>
      <b val="1"/>
      <color rgb="00404040"/>
    </font>
    <font>
      <name val="Carlito"/>
      <sz val="11"/>
    </font>
    <font>
      <name val="Carlito"/>
      <i val="1"/>
      <color rgb="001F1F1F"/>
      <sz val="10"/>
    </font>
    <font>
      <name val="SourceSans3"/>
      <charset val="1"/>
      <b val="1"/>
      <color rgb="FFA32020"/>
      <sz val="14"/>
    </font>
    <font>
      <name val="SourceSans3"/>
      <charset val="1"/>
      <color rgb="FF1A1A1A"/>
      <sz val="9"/>
    </font>
    <font>
      <name val="SourceSans3"/>
      <charset val="1"/>
      <color rgb="FF6E6E6E"/>
      <sz val="9"/>
    </font>
    <font>
      <name val="SourceSans3"/>
      <charset val="1"/>
      <b val="1"/>
      <color rgb="FFFFFFFF"/>
      <sz val="9"/>
    </font>
    <font>
      <name val="SourceSans3"/>
      <charset val="1"/>
      <family val="2"/>
      <color theme="1"/>
      <sz val="11"/>
    </font>
    <font>
      <name val="SourceSans3"/>
      <charset val="1"/>
      <b val="1"/>
      <color rgb="FF1A1A1A"/>
      <sz val="9"/>
    </font>
    <font>
      <name val="SourceSans3"/>
      <charset val="1"/>
      <b val="1"/>
      <color rgb="FFA32020"/>
      <sz val="9"/>
    </font>
    <font>
      <name val="SourceSans3"/>
      <charset val="1"/>
      <b val="1"/>
      <color rgb="FFFFFFFF"/>
      <sz val="8.5"/>
    </font>
    <font>
      <name val="SourceSans3"/>
      <charset val="1"/>
      <b val="1"/>
      <color rgb="FFDC6900"/>
      <sz val="9"/>
    </font>
    <font>
      <name val="SourceSans3"/>
      <charset val="1"/>
      <b val="1"/>
      <color rgb="FFA32020"/>
      <sz val="10"/>
    </font>
    <font>
      <name val="SourceSans3"/>
      <charset val="1"/>
      <b val="1"/>
      <color rgb="FFDC6900"/>
      <sz val="8"/>
    </font>
    <font>
      <name val="SourceSans3"/>
      <charset val="1"/>
      <b val="1"/>
      <color rgb="FF1A1A1A"/>
      <sz val="10"/>
    </font>
    <font>
      <name val="SourceSans3"/>
      <b val="1"/>
      <color rgb="00FFFFFF"/>
      <sz val="14"/>
    </font>
    <font>
      <name val="SourceSans3"/>
      <b val="1"/>
      <color rgb="00404040"/>
    </font>
    <font>
      <name val="SourceSans3"/>
      <sz val="11"/>
    </font>
    <font>
      <name val="SourceSans3"/>
      <i val="1"/>
      <color rgb="001F1F1F"/>
      <sz val="10"/>
    </font>
  </fonts>
  <fills count="7">
    <fill>
      <patternFill/>
    </fill>
    <fill>
      <patternFill patternType="gray125"/>
    </fill>
    <fill>
      <patternFill patternType="solid">
        <fgColor rgb="FFA32020"/>
        <bgColor rgb="FF993366"/>
      </patternFill>
    </fill>
    <fill>
      <patternFill patternType="solid">
        <fgColor rgb="FFF4DCDC"/>
        <bgColor rgb="FFCCCCFF"/>
      </patternFill>
    </fill>
    <fill>
      <patternFill patternType="solid">
        <fgColor rgb="001F4E78"/>
      </patternFill>
    </fill>
    <fill>
      <patternFill patternType="solid">
        <fgColor rgb="00E7E6E6"/>
      </patternFill>
    </fill>
    <fill>
      <patternFill patternType="solid">
        <fgColor rgb="00D9EAF7"/>
      </patternFill>
    </fill>
  </fills>
  <borders count="13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BFBFBF"/>
      </left>
      <right style="thin">
        <color rgb="FFBFBFBF"/>
      </right>
      <top/>
      <bottom style="thin">
        <color rgb="FFBFBFBF"/>
      </bottom>
      <diagonal/>
    </border>
    <border>
      <left/>
      <right/>
      <top style="thin">
        <color rgb="FFBFBFBF"/>
      </top>
      <bottom/>
      <diagonal/>
    </border>
    <border>
      <left/>
      <right style="thin">
        <color rgb="FFBFBFBF"/>
      </right>
      <top style="thin">
        <color rgb="FFBFBFBF"/>
      </top>
      <bottom/>
      <diagonal/>
    </border>
    <border>
      <left/>
      <right/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bottom style="thin">
        <color rgb="00A6A6A6"/>
      </bottom>
    </border>
  </borders>
  <cellStyleXfs count="1">
    <xf numFmtId="0" fontId="0" fillId="0" borderId="0"/>
  </cellStyleXfs>
  <cellXfs count="98">
    <xf numFmtId="0" fontId="0" fillId="0" borderId="0" pivotButton="0" quotePrefix="0" xfId="0"/>
    <xf numFmtId="0" fontId="11" fillId="2" borderId="1" pivotButton="0" quotePrefix="0" xfId="0"/>
    <xf numFmtId="0" fontId="7" fillId="0" borderId="0" pivotButton="0" quotePrefix="0" xfId="0"/>
    <xf numFmtId="0" fontId="3" fillId="0" borderId="1" pivotButton="0" quotePrefix="0" xfId="0"/>
    <xf numFmtId="0" fontId="3" fillId="0" borderId="0" applyAlignment="1" pivotButton="0" quotePrefix="0" xfId="0">
      <alignment horizontal="left" vertical="center" wrapText="1"/>
    </xf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6" fillId="0" borderId="1" applyAlignment="1" pivotButton="0" quotePrefix="0" xfId="0">
      <alignment horizontal="center" vertical="center"/>
    </xf>
    <xf numFmtId="0" fontId="8" fillId="0" borderId="0" pivotButton="0" quotePrefix="0" xfId="0"/>
    <xf numFmtId="0" fontId="9" fillId="0" borderId="0" applyAlignment="1" pivotButton="0" quotePrefix="0" xfId="0">
      <alignment horizontal="center" vertical="center"/>
    </xf>
    <xf numFmtId="3" fontId="3" fillId="0" borderId="1" pivotButton="0" quotePrefix="0" xfId="0"/>
    <xf numFmtId="4" fontId="3" fillId="0" borderId="1" pivotButton="0" quotePrefix="0" xfId="0"/>
    <xf numFmtId="0" fontId="2" fillId="0" borderId="1" pivotButton="0" quotePrefix="0" xfId="0"/>
    <xf numFmtId="0" fontId="2" fillId="3" borderId="1" pivotButton="0" quotePrefix="0" xfId="0"/>
    <xf numFmtId="0" fontId="3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center" vertical="center"/>
    </xf>
    <xf numFmtId="1" fontId="3" fillId="0" borderId="1" pivotButton="0" quotePrefix="0" xfId="0"/>
    <xf numFmtId="3" fontId="2" fillId="3" borderId="1" pivotButton="0" quotePrefix="0" xfId="0"/>
    <xf numFmtId="10" fontId="3" fillId="0" borderId="1" pivotButton="0" quotePrefix="0" xfId="0"/>
    <xf numFmtId="0" fontId="10" fillId="3" borderId="1" pivotButton="0" quotePrefix="0" xfId="0"/>
    <xf numFmtId="3" fontId="10" fillId="3" borderId="1" pivotButton="0" quotePrefix="0" xfId="0"/>
    <xf numFmtId="4" fontId="10" fillId="3" borderId="1" pivotButton="0" quotePrefix="0" xfId="0"/>
    <xf numFmtId="0" fontId="2" fillId="3" borderId="1" applyAlignment="1" pivotButton="0" quotePrefix="0" xfId="0">
      <alignment horizontal="center" vertical="center"/>
    </xf>
    <xf numFmtId="0" fontId="11" fillId="2" borderId="1" applyAlignment="1" pivotButton="0" quotePrefix="0" xfId="0">
      <alignment horizontal="center" vertical="center" wrapText="1"/>
    </xf>
    <xf numFmtId="0" fontId="11" fillId="2" borderId="1" applyAlignment="1" pivotButton="0" quotePrefix="0" xfId="0">
      <alignment horizontal="left" vertical="center" wrapText="1"/>
    </xf>
    <xf numFmtId="0" fontId="10" fillId="3" borderId="1" applyAlignment="1" pivotButton="0" quotePrefix="0" xfId="0">
      <alignment horizontal="center" vertical="center"/>
    </xf>
    <xf numFmtId="0" fontId="4" fillId="0" borderId="2" pivotButton="0" quotePrefix="0" xfId="0"/>
    <xf numFmtId="0" fontId="3" fillId="0" borderId="2" applyAlignment="1" pivotButton="0" quotePrefix="0" xfId="0">
      <alignment horizontal="left" vertical="center" wrapText="1"/>
    </xf>
    <xf numFmtId="0" fontId="3" fillId="0" borderId="1" pivotButton="0" quotePrefix="0" xfId="0"/>
    <xf numFmtId="0" fontId="7" fillId="0" borderId="0" applyAlignment="1" pivotButton="0" quotePrefix="0" xfId="0">
      <alignment wrapText="1"/>
    </xf>
    <xf numFmtId="0" fontId="2" fillId="0" borderId="0" applyAlignment="1" pivotButton="0" quotePrefix="0" xfId="0">
      <alignment horizontal="right"/>
    </xf>
    <xf numFmtId="0" fontId="3" fillId="0" borderId="1" applyAlignment="1" pivotButton="0" quotePrefix="0" xfId="0">
      <alignment wrapText="1"/>
    </xf>
    <xf numFmtId="0" fontId="4" fillId="0" borderId="2" applyAlignment="1" pivotButton="0" quotePrefix="0" xfId="0">
      <alignment horizontal="left"/>
    </xf>
    <xf numFmtId="0" fontId="5" fillId="2" borderId="3" applyAlignment="1" pivotButton="0" quotePrefix="0" xfId="0">
      <alignment horizontal="center" vertical="center" wrapText="1"/>
    </xf>
    <xf numFmtId="0" fontId="16" fillId="0" borderId="0" applyAlignment="1" pivotButton="0" quotePrefix="0" xfId="0">
      <alignment vertical="top" wrapText="1"/>
    </xf>
    <xf numFmtId="0" fontId="20" fillId="0" borderId="0" pivotButton="0" quotePrefix="0" xfId="0"/>
    <xf numFmtId="0" fontId="17" fillId="0" borderId="0" applyAlignment="1" pivotButton="0" quotePrefix="0" xfId="0">
      <alignment vertical="top" wrapText="1"/>
    </xf>
    <xf numFmtId="0" fontId="18" fillId="0" borderId="0" applyAlignment="1" pivotButton="0" quotePrefix="0" xfId="0">
      <alignment vertical="top" wrapText="1"/>
    </xf>
    <xf numFmtId="0" fontId="19" fillId="2" borderId="1" applyAlignment="1" pivotButton="0" quotePrefix="0" xfId="0">
      <alignment horizontal="left" vertical="center" wrapText="1"/>
    </xf>
    <xf numFmtId="0" fontId="19" fillId="2" borderId="1" pivotButton="0" quotePrefix="0" xfId="0"/>
    <xf numFmtId="0" fontId="19" fillId="2" borderId="0" pivotButton="0" quotePrefix="0" xfId="0"/>
    <xf numFmtId="0" fontId="17" fillId="0" borderId="1" applyAlignment="1" pivotButton="0" quotePrefix="0" xfId="0">
      <alignment vertical="top" wrapText="1"/>
    </xf>
    <xf numFmtId="0" fontId="20" fillId="0" borderId="1" applyAlignment="1" pivotButton="0" quotePrefix="0" xfId="0">
      <alignment vertical="top" wrapText="1"/>
    </xf>
    <xf numFmtId="165" fontId="20" fillId="0" borderId="1" applyAlignment="1" pivotButton="0" quotePrefix="0" xfId="0">
      <alignment vertical="top" wrapText="1"/>
    </xf>
    <xf numFmtId="0" fontId="19" fillId="2" borderId="0" applyAlignment="1" pivotButton="0" quotePrefix="0" xfId="0">
      <alignment vertical="top" wrapText="1"/>
    </xf>
    <xf numFmtId="0" fontId="16" fillId="0" borderId="0" pivotButton="0" quotePrefix="0" xfId="0"/>
    <xf numFmtId="0" fontId="21" fillId="0" borderId="0" pivotButton="0" quotePrefix="0" xfId="0"/>
    <xf numFmtId="165" fontId="17" fillId="0" borderId="0" pivotButton="0" quotePrefix="0" xfId="0"/>
    <xf numFmtId="0" fontId="17" fillId="0" borderId="0" pivotButton="0" quotePrefix="0" xfId="0"/>
    <xf numFmtId="0" fontId="21" fillId="0" borderId="0" applyAlignment="1" pivotButton="0" quotePrefix="0" xfId="0">
      <alignment vertical="top" wrapText="1"/>
    </xf>
    <xf numFmtId="4" fontId="17" fillId="0" borderId="0" pivotButton="0" quotePrefix="0" xfId="0"/>
    <xf numFmtId="0" fontId="22" fillId="0" borderId="0" pivotButton="0" quotePrefix="0" xfId="0"/>
    <xf numFmtId="0" fontId="17" fillId="0" borderId="0" applyAlignment="1" pivotButton="0" quotePrefix="0" xfId="0">
      <alignment horizontal="left" vertical="center" wrapText="1"/>
    </xf>
    <xf numFmtId="0" fontId="23" fillId="2" borderId="1" applyAlignment="1" pivotButton="0" quotePrefix="0" xfId="0">
      <alignment horizontal="center" vertical="center" wrapText="1"/>
    </xf>
    <xf numFmtId="0" fontId="17" fillId="0" borderId="1" pivotButton="0" quotePrefix="0" xfId="0"/>
    <xf numFmtId="0" fontId="24" fillId="0" borderId="1" applyAlignment="1" pivotButton="0" quotePrefix="0" xfId="0">
      <alignment horizontal="center" vertical="center"/>
    </xf>
    <xf numFmtId="0" fontId="20" fillId="0" borderId="6" pivotButton="0" quotePrefix="0" xfId="0"/>
    <xf numFmtId="0" fontId="20" fillId="0" borderId="7" pivotButton="0" quotePrefix="0" xfId="0"/>
    <xf numFmtId="0" fontId="21" fillId="0" borderId="0" applyAlignment="1" pivotButton="0" quotePrefix="0" xfId="0">
      <alignment horizontal="right"/>
    </xf>
    <xf numFmtId="0" fontId="21" fillId="0" borderId="0" applyAlignment="1" pivotButton="0" quotePrefix="0" xfId="0">
      <alignment horizontal="right" vertical="top" wrapText="1"/>
    </xf>
    <xf numFmtId="0" fontId="22" fillId="0" borderId="2" applyAlignment="1" pivotButton="0" quotePrefix="0" xfId="0">
      <alignment horizontal="left"/>
    </xf>
    <xf numFmtId="0" fontId="17" fillId="0" borderId="2" applyAlignment="1" pivotButton="0" quotePrefix="0" xfId="0">
      <alignment horizontal="left" vertical="center" wrapText="1"/>
    </xf>
    <xf numFmtId="0" fontId="20" fillId="0" borderId="10" pivotButton="0" quotePrefix="0" xfId="0"/>
    <xf numFmtId="0" fontId="20" fillId="0" borderId="11" pivotButton="0" quotePrefix="0" xfId="0"/>
    <xf numFmtId="0" fontId="25" fillId="0" borderId="0" applyAlignment="1" pivotButton="0" quotePrefix="0" xfId="0">
      <alignment vertical="top" wrapText="1"/>
    </xf>
    <xf numFmtId="0" fontId="26" fillId="0" borderId="0" applyAlignment="1" pivotButton="0" quotePrefix="0" xfId="0">
      <alignment horizontal="center" vertical="center"/>
    </xf>
    <xf numFmtId="3" fontId="17" fillId="0" borderId="1" pivotButton="0" quotePrefix="0" xfId="0"/>
    <xf numFmtId="4" fontId="17" fillId="0" borderId="1" pivotButton="0" quotePrefix="0" xfId="0"/>
    <xf numFmtId="0" fontId="21" fillId="0" borderId="1" applyAlignment="1" pivotButton="0" quotePrefix="0" xfId="0">
      <alignment vertical="top" wrapText="1"/>
    </xf>
    <xf numFmtId="0" fontId="21" fillId="3" borderId="1" applyAlignment="1" pivotButton="0" quotePrefix="0" xfId="0">
      <alignment vertical="top" wrapText="1"/>
    </xf>
    <xf numFmtId="0" fontId="17" fillId="0" borderId="1" applyAlignment="1" pivotButton="0" quotePrefix="0" xfId="0">
      <alignment horizontal="left" vertical="center" wrapText="1"/>
    </xf>
    <xf numFmtId="0" fontId="17" fillId="0" borderId="1" applyAlignment="1" pivotButton="0" quotePrefix="0" xfId="0">
      <alignment horizontal="center" vertical="center"/>
    </xf>
    <xf numFmtId="0" fontId="17" fillId="0" borderId="1" applyAlignment="1" pivotButton="0" quotePrefix="0" xfId="0">
      <alignment horizontal="center" vertical="center" wrapText="1"/>
    </xf>
    <xf numFmtId="1" fontId="17" fillId="0" borderId="1" pivotButton="0" quotePrefix="0" xfId="0"/>
    <xf numFmtId="3" fontId="21" fillId="3" borderId="1" applyAlignment="1" pivotButton="0" quotePrefix="0" xfId="0">
      <alignment vertical="top" wrapText="1"/>
    </xf>
    <xf numFmtId="0" fontId="21" fillId="0" borderId="1" pivotButton="0" quotePrefix="0" xfId="0"/>
    <xf numFmtId="10" fontId="17" fillId="0" borderId="1" applyAlignment="1" pivotButton="0" quotePrefix="0" xfId="0">
      <alignment vertical="top" wrapText="1"/>
    </xf>
    <xf numFmtId="0" fontId="27" fillId="3" borderId="1" pivotButton="0" quotePrefix="0" xfId="0"/>
    <xf numFmtId="3" fontId="27" fillId="3" borderId="1" pivotButton="0" quotePrefix="0" xfId="0"/>
    <xf numFmtId="4" fontId="27" fillId="3" borderId="1" pivotButton="0" quotePrefix="0" xfId="0"/>
    <xf numFmtId="0" fontId="22" fillId="0" borderId="2" pivotButton="0" quotePrefix="0" xfId="0"/>
    <xf numFmtId="0" fontId="23" fillId="2" borderId="3" applyAlignment="1" pivotButton="0" quotePrefix="0" xfId="0">
      <alignment horizontal="center" vertical="center" wrapText="1"/>
    </xf>
    <xf numFmtId="4" fontId="17" fillId="0" borderId="1" applyAlignment="1" pivotButton="0" quotePrefix="0" xfId="0">
      <alignment vertical="top" wrapText="1"/>
    </xf>
    <xf numFmtId="0" fontId="27" fillId="3" borderId="1" applyAlignment="1" pivotButton="0" quotePrefix="0" xfId="0">
      <alignment vertical="top" wrapText="1"/>
    </xf>
    <xf numFmtId="0" fontId="21" fillId="3" borderId="1" applyAlignment="1" pivotButton="0" quotePrefix="0" xfId="0">
      <alignment horizontal="center" vertical="center" wrapText="1"/>
    </xf>
    <xf numFmtId="0" fontId="20" fillId="0" borderId="0" applyAlignment="1" pivotButton="0" quotePrefix="0" xfId="0">
      <alignment vertical="top" wrapText="1"/>
    </xf>
    <xf numFmtId="165" fontId="20" fillId="0" borderId="0" pivotButton="0" quotePrefix="0" xfId="0"/>
    <xf numFmtId="4" fontId="20" fillId="0" borderId="0" pivotButton="0" quotePrefix="0" xfId="0"/>
    <xf numFmtId="0" fontId="28" fillId="4" borderId="0" applyAlignment="1" pivotButton="0" quotePrefix="0" xfId="0">
      <alignment horizontal="left" vertical="center" wrapText="1"/>
    </xf>
    <xf numFmtId="0" fontId="29" fillId="5" borderId="12" pivotButton="0" quotePrefix="0" xfId="0"/>
    <xf numFmtId="0" fontId="30" fillId="0" borderId="12" pivotButton="0" quotePrefix="0" xfId="0"/>
    <xf numFmtId="0" fontId="30" fillId="0" borderId="12" applyAlignment="1" pivotButton="0" quotePrefix="0" xfId="0">
      <alignment vertical="top" wrapText="1"/>
    </xf>
    <xf numFmtId="165" fontId="30" fillId="0" borderId="12" pivotButton="0" quotePrefix="0" xfId="0"/>
    <xf numFmtId="0" fontId="31" fillId="6" borderId="0" applyAlignment="1" pivotButton="0" quotePrefix="0" xfId="0">
      <alignment vertical="top" wrapText="1"/>
    </xf>
  </cellXfs>
  <cellStyles count="1">
    <cellStyle name="Normal" xfId="0" builtinId="0"/>
  </cellStyles>
  <dxfs count="4">
    <dxf>
      <fill>
        <patternFill patternType="solid">
          <fgColor rgb="00FFF2CC"/>
        </patternFill>
      </fill>
    </dxf>
    <dxf>
      <fill>
        <patternFill patternType="solid">
          <fgColor rgb="00F4CCCC"/>
        </patternFill>
      </fill>
    </dxf>
    <dxf>
      <fill>
        <patternFill patternType="solid">
          <fgColor rgb="00D9EAD3"/>
        </patternFill>
      </fill>
    </dxf>
    <dxf>
      <fill>
        <patternFill patternType="solid">
          <fgColor rgb="00E7E6E6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4DCDC"/>
      <rgbColor rgb="FF3366FF"/>
      <rgbColor rgb="FF33CCCC"/>
      <rgbColor rgb="FF99CC00"/>
      <rgbColor rgb="FFFFCC00"/>
      <rgbColor rgb="FFFF9900"/>
      <rgbColor rgb="FFDC6900"/>
      <rgbColor rgb="FF6E6E6E"/>
      <rgbColor rgb="FF969696"/>
      <rgbColor rgb="FF003366"/>
      <rgbColor rgb="FF339966"/>
      <rgbColor rgb="FF003300"/>
      <rgbColor rgb="FF333300"/>
      <rgbColor rgb="FFA32020"/>
      <rgbColor rgb="FF993366"/>
      <rgbColor rgb="FF333399"/>
      <rgbColor rgb="FF1A1A1A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autoPageBreaks="0" fitToPage="1"/>
  </sheetPr>
  <dimension ref="A1:Q22"/>
  <sheetViews>
    <sheetView showGridLines="0" tabSelected="1" zoomScale="90" zoomScaleNormal="100" workbookViewId="0">
      <pane xSplit="8" ySplit="6" topLeftCell="I7" activePane="bottomRight" state="frozen"/>
      <selection pane="topRight"/>
      <selection pane="bottomLeft"/>
      <selection pane="bottomRight" activeCell="A1" sqref="A1"/>
    </sheetView>
  </sheetViews>
  <sheetFormatPr baseColWidth="8" defaultColWidth="8.6328125" defaultRowHeight="14.5"/>
  <cols>
    <col width="42" customWidth="1" min="1" max="1"/>
    <col width="15" customWidth="1" min="2" max="2"/>
    <col width="15" customWidth="1" min="3" max="3"/>
    <col width="17" customWidth="1" min="4" max="4"/>
    <col width="18" customWidth="1" min="5" max="5"/>
    <col width="14" customWidth="1" min="6" max="6"/>
    <col width="14" customWidth="1" min="7" max="7"/>
    <col width="42" customWidth="1" min="8" max="8"/>
    <col width="88" customWidth="1" min="9" max="9"/>
    <col width="25.8" customWidth="1" min="10" max="10"/>
    <col width="14" customWidth="1" min="11" max="11"/>
    <col width="18" customWidth="1" min="12" max="12"/>
    <col width="14" customWidth="1" min="13" max="13"/>
    <col width="18" customWidth="1" min="14" max="14"/>
    <col width="34" customWidth="1" min="15" max="15"/>
    <col width="42" customWidth="1" min="16" max="16"/>
    <col width="64" customWidth="1" min="17" max="17"/>
  </cols>
  <sheetData>
    <row r="1" ht="27" customHeight="1">
      <c r="A1" s="38" t="inlineStr">
        <is>
          <t>Journal Entries (Completeness &amp; Data Integrity) — Library of Audit Procedures</t>
        </is>
      </c>
      <c r="B1" s="39" t="n"/>
      <c r="C1" s="39" t="n"/>
      <c r="D1" s="39" t="n"/>
      <c r="E1" s="39" t="n"/>
      <c r="F1" s="39" t="n"/>
      <c r="G1" s="39" t="n"/>
      <c r="H1" s="39" t="n"/>
      <c r="I1" s="39" t="n"/>
      <c r="J1" s="39" t="n"/>
      <c r="K1" s="39" t="n"/>
      <c r="L1" s="39" t="n"/>
      <c r="M1" s="39" t="n"/>
      <c r="N1" s="39" t="n"/>
      <c r="O1" s="39" t="n"/>
      <c r="P1" s="39" t="n"/>
      <c r="Q1" s="39" t="n"/>
    </row>
    <row r="2" ht="27" customHeight="1">
      <c r="A2" s="40" t="inlineStr">
        <is>
          <t>Client / Entity: Quoxmark Personnel Network, LLC</t>
        </is>
      </c>
      <c r="B2" s="39" t="n"/>
      <c r="C2" s="39" t="n"/>
      <c r="D2" s="39" t="n"/>
      <c r="E2" s="39" t="n"/>
      <c r="F2" s="39" t="n"/>
      <c r="G2" s="39" t="n"/>
      <c r="H2" s="39" t="n"/>
      <c r="I2" s="39" t="n"/>
      <c r="J2" s="39" t="n"/>
      <c r="K2" s="39" t="n"/>
      <c r="L2" s="39" t="n"/>
      <c r="M2" s="39" t="n"/>
      <c r="N2" s="39" t="n"/>
      <c r="O2" s="39" t="n"/>
      <c r="P2" s="39" t="n"/>
      <c r="Q2" s="39" t="n"/>
    </row>
    <row r="3" ht="40.5" customHeight="1">
      <c r="A3" s="40" t="inlineStr">
        <is>
          <t>Prepared by: Audit Senior BE6B (assigned)      Reviewed by: Audit Manager 2FF3 (assigned)</t>
        </is>
      </c>
      <c r="B3" s="39" t="n"/>
      <c r="C3" s="39" t="n"/>
      <c r="D3" s="39" t="n"/>
      <c r="E3" s="39" t="n"/>
      <c r="F3" s="39" t="n"/>
      <c r="G3" s="39" t="n"/>
      <c r="H3" s="39" t="n"/>
      <c r="I3" s="39" t="n"/>
      <c r="J3" s="39" t="n"/>
      <c r="K3" s="39" t="n"/>
      <c r="L3" s="39" t="n"/>
      <c r="M3" s="39" t="n"/>
      <c r="N3" s="39" t="n"/>
      <c r="O3" s="39" t="n"/>
      <c r="P3" s="39" t="n"/>
      <c r="Q3" s="39" t="n"/>
    </row>
    <row r="4" ht="25.5" customHeight="1">
      <c r="A4" s="41" t="inlineStr">
        <is>
          <t>For every procedure, record applicability, requirement, execution, evidence, result, issue, and signoff states. Performed procedures require a W/P reference, preparer, date, result, and exact Evidence Index citation. Fact-driven N/A requires a FACT:/ JSON-Pointer citation and rationale; missing evidence remains Open. Preserve the assigned PROC: and WINDOW: dependency tokens.</t>
        </is>
      </c>
      <c r="B4" s="39" t="n"/>
      <c r="C4" s="39" t="n"/>
      <c r="D4" s="39" t="n"/>
      <c r="E4" s="39" t="n"/>
      <c r="F4" s="39" t="n"/>
      <c r="G4" s="39" t="n"/>
      <c r="H4" s="39" t="n"/>
      <c r="I4" s="39" t="n"/>
      <c r="J4" s="39" t="n"/>
      <c r="K4" s="39" t="n"/>
      <c r="L4" s="39" t="n"/>
      <c r="M4" s="39" t="n"/>
      <c r="N4" s="39" t="n"/>
      <c r="O4" s="39" t="n"/>
      <c r="P4" s="39" t="n"/>
      <c r="Q4" s="39" t="n"/>
    </row>
    <row r="5">
      <c r="A5" s="39" t="n"/>
      <c r="B5" s="39" t="n"/>
      <c r="C5" s="39" t="n"/>
      <c r="D5" s="39" t="n"/>
      <c r="E5" s="39" t="n"/>
      <c r="F5" s="39" t="n"/>
      <c r="G5" s="39" t="n"/>
      <c r="H5" s="39" t="n"/>
      <c r="I5" s="39" t="n"/>
      <c r="J5" s="39" t="n"/>
      <c r="K5" s="39" t="n"/>
      <c r="L5" s="39" t="n"/>
      <c r="M5" s="39" t="n"/>
      <c r="N5" s="39" t="n"/>
      <c r="O5" s="39" t="n"/>
      <c r="P5" s="39" t="n"/>
      <c r="Q5" s="39" t="n"/>
    </row>
    <row r="6" ht="19.5" customHeight="1">
      <c r="A6" s="42" t="inlineStr">
        <is>
          <t>Applicability</t>
        </is>
      </c>
      <c r="B6" s="42" t="inlineStr">
        <is>
          <t>Requirement</t>
        </is>
      </c>
      <c r="C6" s="42" t="inlineStr">
        <is>
          <t>Execution state</t>
        </is>
      </c>
      <c r="D6" s="42" t="inlineStr">
        <is>
          <t>Evidence state</t>
        </is>
      </c>
      <c r="E6" s="42" t="inlineStr">
        <is>
          <t>Result state</t>
        </is>
      </c>
      <c r="F6" s="42" t="inlineStr">
        <is>
          <t>Issue state</t>
        </is>
      </c>
      <c r="G6" s="42" t="inlineStr">
        <is>
          <t>Signoff state</t>
        </is>
      </c>
      <c r="H6" s="42" t="inlineStr">
        <is>
          <t>Derived outcome</t>
        </is>
      </c>
      <c r="I6" s="42" t="inlineStr">
        <is>
          <t>Procedure</t>
        </is>
      </c>
      <c r="J6" s="42" t="inlineStr">
        <is>
          <t>Assertion(s)</t>
        </is>
      </c>
      <c r="K6" s="42" t="inlineStr">
        <is>
          <t>W/P Ref</t>
        </is>
      </c>
      <c r="L6" s="42" t="inlineStr">
        <is>
          <t>Performed by</t>
        </is>
      </c>
      <c r="M6" s="42" t="inlineStr">
        <is>
          <t>Date</t>
        </is>
      </c>
      <c r="N6" s="42" t="inlineStr">
        <is>
          <t>Reason code</t>
        </is>
      </c>
      <c r="O6" s="42" t="inlineStr">
        <is>
          <t>Source fact / evidence</t>
        </is>
      </c>
      <c r="P6" s="42" t="inlineStr">
        <is>
          <t>Issue / dependency IDs</t>
        </is>
      </c>
      <c r="Q6" s="42" t="inlineStr">
        <is>
          <t>Comment / Work performed</t>
        </is>
      </c>
    </row>
    <row r="7">
      <c r="A7" s="43" t="n"/>
      <c r="B7" s="39" t="n"/>
      <c r="C7" s="39" t="n"/>
      <c r="D7" s="39" t="n"/>
      <c r="E7" s="39" t="n"/>
      <c r="F7" s="39" t="n"/>
      <c r="G7" s="39" t="n"/>
      <c r="H7" s="39" t="n"/>
      <c r="I7" s="44" t="inlineStr">
        <is>
          <t>&lt;.0&gt; Source Index</t>
        </is>
      </c>
      <c r="J7" s="39" t="n"/>
      <c r="K7" s="39" t="n"/>
      <c r="L7" s="39" t="n"/>
      <c r="M7" s="39" t="n"/>
      <c r="N7" s="39" t="n"/>
      <c r="O7" s="39" t="n"/>
      <c r="P7" s="39" t="n"/>
      <c r="Q7" s="39" t="n"/>
    </row>
    <row r="8" ht="120" customHeight="1">
      <c r="A8" s="45" t="inlineStr">
        <is>
          <t>Applicable</t>
        </is>
      </c>
      <c r="B8" s="45" t="inlineStr">
        <is>
          <t>Required</t>
        </is>
      </c>
      <c r="C8" s="45" t="inlineStr">
        <is>
          <t>Not Started</t>
        </is>
      </c>
      <c r="D8" s="45" t="inlineStr">
        <is>
          <t>Missing</t>
        </is>
      </c>
      <c r="E8" s="45" t="inlineStr">
        <is>
          <t>Unable to Conclude</t>
        </is>
      </c>
      <c r="F8" s="45" t="inlineStr">
        <is>
          <t>None</t>
        </is>
      </c>
      <c r="G8" s="46" t="inlineStr">
        <is>
          <t>Unsigned</t>
        </is>
      </c>
      <c r="H8" s="46">
        <f>IF(A8="Not Applicable - Fact Driven",IF(AND(C8="Not Performed",D8="Not Required",OR(F8="None",F8="Resolved",F8="Passed"),OR(G8="Prepared",G8="Reviewed"),LEFT(O8,6)="FACT:/",Q8&lt;&gt;""),"Valid N/A","Blocked"),IF(AND(B8="Recommended",C8="Not Performed",D8="Not Required",OR(F8="None",F8="Resolved",F8="Passed")),"Recommended - Not Performed",IF(C8&lt;&gt;"Performed","Open - "&amp;C8,IF(D8&lt;&gt;"Sufficient","Open - "&amp;D8&amp;" Evidence",IF(E8="Unable to Conclude","Open - Unable to Conclude",IF(AND(E8="Exception Identified",ISERROR(SEARCH("ISSUE:",P8))),"Open - Missing Issue ID",IF(AND(F8="Open",ISERROR(SEARCH("ISSUE:",P8))),"Open - Missing Issue ID",IF(OR(F8="Open",F8="Superseded"),"Open - "&amp;F8&amp;" Issue",IF(AND(E8="Exception Identified",NOT(OR(F8="Adjusted",F8="Passed",F8="Resolved"))),"Open - Undispositioned Exception",IF(OR(G8="Prepared",G8="Reviewed"),"Passed","Open - Unsigned"))))))))))</f>
        <v/>
      </c>
      <c r="I8" s="46" t="inlineStr">
        <is>
          <t>1. Obtain and index all JE PBC sources (complete JE / GL detail for all entries and periods, PY audited TB, CY closing TB, extraction logs / report parameters, chart of accounts, close checklist); document limitations.</t>
        </is>
      </c>
      <c r="J8" s="46" t="inlineStr">
        <is>
          <t>Completeness</t>
        </is>
      </c>
      <c r="K8" s="46" t="inlineStr">
        <is>
          <t>&lt;.0&gt;</t>
        </is>
      </c>
      <c r="L8" s="46" t="n"/>
      <c r="M8" s="47" t="n"/>
      <c r="N8" s="46" t="n"/>
      <c r="O8" s="46" t="n"/>
      <c r="P8" s="46" t="inlineStr">
        <is>
          <t>PROC:PROC-Journal reference Entries; PROC:RESP-MANAGEMENT-OVERRIDE-JE; PROC:RESP-MANAGEMENT-OVERRIDE-UNPREDICTABLE</t>
        </is>
      </c>
      <c r="Q8" s="46" t="n"/>
    </row>
    <row r="9">
      <c r="A9" s="43" t="n"/>
      <c r="B9" s="39" t="n"/>
      <c r="C9" s="39" t="n"/>
      <c r="D9" s="39" t="n"/>
      <c r="E9" s="39" t="n"/>
      <c r="F9" s="39" t="n"/>
      <c r="G9" s="39" t="n"/>
      <c r="H9" s="39" t="n"/>
      <c r="I9" s="48" t="inlineStr">
        <is>
          <t>&lt;.1&gt; Scope &amp; Data Integrity</t>
        </is>
      </c>
      <c r="J9" s="39" t="n"/>
      <c r="K9" s="39" t="n"/>
      <c r="L9" s="39" t="n"/>
      <c r="M9" s="39" t="n"/>
      <c r="N9" s="39" t="n"/>
      <c r="O9" s="39" t="n"/>
      <c r="P9" s="39" t="n"/>
      <c r="Q9" s="39" t="n"/>
    </row>
    <row r="10" ht="120" customHeight="1">
      <c r="A10" s="45" t="inlineStr">
        <is>
          <t>Applicable</t>
        </is>
      </c>
      <c r="B10" s="45" t="inlineStr">
        <is>
          <t>Required</t>
        </is>
      </c>
      <c r="C10" s="45" t="inlineStr">
        <is>
          <t>Not Started</t>
        </is>
      </c>
      <c r="D10" s="45" t="inlineStr">
        <is>
          <t>Missing</t>
        </is>
      </c>
      <c r="E10" s="45" t="inlineStr">
        <is>
          <t>Unable to Conclude</t>
        </is>
      </c>
      <c r="F10" s="45" t="inlineStr">
        <is>
          <t>None</t>
        </is>
      </c>
      <c r="G10" s="46" t="inlineStr">
        <is>
          <t>Unsigned</t>
        </is>
      </c>
      <c r="H10" s="46">
        <f>IF(A10="Not Applicable - Fact Driven",IF(AND(C10="Not Performed",D10="Not Required",OR(F10="None",F10="Resolved",F10="Passed"),OR(G10="Prepared",G10="Reviewed"),LEFT(O10,6)="FACT:/",Q10&lt;&gt;""),"Valid N/A","Blocked"),IF(AND(B10="Recommended",C10="Not Performed",D10="Not Required",OR(F10="None",F10="Resolved",F10="Passed")),"Recommended - Not Performed",IF(C10&lt;&gt;"Performed","Open - "&amp;C10,IF(D10&lt;&gt;"Sufficient","Open - "&amp;D10&amp;" Evidence",IF(E10="Unable to Conclude","Open - Unable to Conclude",IF(AND(E10="Exception Identified",ISERROR(SEARCH("ISSUE:",P10))),"Open - Missing Issue ID",IF(AND(F10="Open",ISERROR(SEARCH("ISSUE:",P10))),"Open - Missing Issue ID",IF(OR(F10="Open",F10="Superseded"),"Open - "&amp;F10&amp;" Issue",IF(AND(E10="Exception Identified",NOT(OR(F10="Adjusted",F10="Passed",F10="Resolved"))),"Open - Undispositioned Exception",IF(OR(G10="Prepared",G10="Reviewed"),"Passed","Open - Unsigned"))))))))))</f>
        <v/>
      </c>
      <c r="I10" s="46" t="inlineStr">
        <is>
          <t>2. Identify every JE / GL system, ledger and business unit in scope and document the extraction (date, report, parameters, who ran it).</t>
        </is>
      </c>
      <c r="J10" s="46" t="inlineStr">
        <is>
          <t>Completeness</t>
        </is>
      </c>
      <c r="K10" s="46" t="inlineStr">
        <is>
          <t>&lt;.1&gt;</t>
        </is>
      </c>
      <c r="L10" s="46" t="n"/>
      <c r="M10" s="47" t="n"/>
      <c r="N10" s="46" t="n"/>
      <c r="O10" s="46" t="n"/>
      <c r="P10" s="46" t="inlineStr">
        <is>
          <t>PROC:PROC-Journal reference Entries; PROC:RESP-MANAGEMENT-OVERRIDE-JE; PROC:RESP-MANAGEMENT-OVERRIDE-UNPREDICTABLE</t>
        </is>
      </c>
      <c r="Q10" s="46" t="n"/>
    </row>
    <row r="11" ht="120" customHeight="1">
      <c r="A11" s="45" t="inlineStr">
        <is>
          <t>Applicable</t>
        </is>
      </c>
      <c r="B11" s="45" t="inlineStr">
        <is>
          <t>Required</t>
        </is>
      </c>
      <c r="C11" s="45" t="inlineStr">
        <is>
          <t>Not Started</t>
        </is>
      </c>
      <c r="D11" s="45" t="inlineStr">
        <is>
          <t>Missing</t>
        </is>
      </c>
      <c r="E11" s="45" t="inlineStr">
        <is>
          <t>Unable to Conclude</t>
        </is>
      </c>
      <c r="F11" s="45" t="inlineStr">
        <is>
          <t>None</t>
        </is>
      </c>
      <c r="G11" s="46" t="inlineStr">
        <is>
          <t>Unsigned</t>
        </is>
      </c>
      <c r="H11" s="46">
        <f>IF(A11="Not Applicable - Fact Driven",IF(AND(C11="Not Performed",D11="Not Required",OR(F11="None",F11="Resolved",F11="Passed"),OR(G11="Prepared",G11="Reviewed"),LEFT(O11,6)="FACT:/",Q11&lt;&gt;""),"Valid N/A","Blocked"),IF(AND(B11="Recommended",C11="Not Performed",D11="Not Required",OR(F11="None",F11="Resolved",F11="Passed")),"Recommended - Not Performed",IF(C11&lt;&gt;"Performed","Open - "&amp;C11,IF(D11&lt;&gt;"Sufficient","Open - "&amp;D11&amp;" Evidence",IF(E11="Unable to Conclude","Open - Unable to Conclude",IF(AND(E11="Exception Identified",ISERROR(SEARCH("ISSUE:",P11))),"Open - Missing Issue ID",IF(AND(F11="Open",ISERROR(SEARCH("ISSUE:",P11))),"Open - Missing Issue ID",IF(OR(F11="Open",F11="Superseded"),"Open - "&amp;F11&amp;" Issue",IF(AND(E11="Exception Identified",NOT(OR(F11="Adjusted",F11="Passed",F11="Resolved"))),"Open - Undispositioned Exception",IF(OR(G11="Prepared",G11="Reviewed"),"Passed","Open - Unsigned"))))))))))</f>
        <v/>
      </c>
      <c r="I11" s="46" t="inlineStr">
        <is>
          <t>3. Prove the extraction with control counts — row count, total debits and total credits tied at every hop: source system → raw extract → working file — and confirm total debits equal total credits.</t>
        </is>
      </c>
      <c r="J11" s="46" t="inlineStr">
        <is>
          <t>Completeness; Accuracy</t>
        </is>
      </c>
      <c r="K11" s="46" t="inlineStr">
        <is>
          <t>&lt;.1&gt;</t>
        </is>
      </c>
      <c r="L11" s="46" t="n"/>
      <c r="M11" s="47" t="n"/>
      <c r="N11" s="46" t="n"/>
      <c r="O11" s="46" t="n"/>
      <c r="P11" s="46" t="inlineStr">
        <is>
          <t>PROC:PROC-Journal reference Entries; PROC:RESP-MANAGEMENT-OVERRIDE-JE; PROC:RESP-MANAGEMENT-OVERRIDE-UNPREDICTABLE</t>
        </is>
      </c>
      <c r="Q11" s="46" t="n"/>
    </row>
    <row r="12" ht="120" customHeight="1">
      <c r="A12" s="45" t="inlineStr">
        <is>
          <t>Applicable</t>
        </is>
      </c>
      <c r="B12" s="45" t="inlineStr">
        <is>
          <t>Required</t>
        </is>
      </c>
      <c r="C12" s="45" t="inlineStr">
        <is>
          <t>Not Started</t>
        </is>
      </c>
      <c r="D12" s="45" t="inlineStr">
        <is>
          <t>Missing</t>
        </is>
      </c>
      <c r="E12" s="45" t="inlineStr">
        <is>
          <t>Unable to Conclude</t>
        </is>
      </c>
      <c r="F12" s="45" t="inlineStr">
        <is>
          <t>None</t>
        </is>
      </c>
      <c r="G12" s="46" t="inlineStr">
        <is>
          <t>Unsigned</t>
        </is>
      </c>
      <c r="H12" s="46">
        <f>IF(A12="Not Applicable - Fact Driven",IF(AND(C12="Not Performed",D12="Not Required",OR(F12="None",F12="Resolved",F12="Passed"),OR(G12="Prepared",G12="Reviewed"),LEFT(O12,6)="FACT:/",Q12&lt;&gt;""),"Valid N/A","Blocked"),IF(AND(B12="Recommended",C12="Not Performed",D12="Not Required",OR(F12="None",F12="Resolved",F12="Passed")),"Recommended - Not Performed",IF(C12&lt;&gt;"Performed","Open - "&amp;C12,IF(D12&lt;&gt;"Sufficient","Open - "&amp;D12&amp;" Evidence",IF(E12="Unable to Conclude","Open - Unable to Conclude",IF(AND(E12="Exception Identified",ISERROR(SEARCH("ISSUE:",P12))),"Open - Missing Issue ID",IF(AND(F12="Open",ISERROR(SEARCH("ISSUE:",P12))),"Open - Missing Issue ID",IF(OR(F12="Open",F12="Superseded"),"Open - "&amp;F12&amp;" Issue",IF(AND(E12="Exception Identified",NOT(OR(F12="Adjusted",F12="Passed",F12="Resolved"))),"Open - Undispositioned Exception",IF(OR(G12="Prepared",G12="Reviewed"),"Passed","Open - Unsigned"))))))))))</f>
        <v/>
      </c>
      <c r="I12" s="46" t="inlineStr">
        <is>
          <t>4. Run data-integrity checks (unbalanced JEs, blank dates / accounts / amounts, missing user IDs, duplicate JE numbers, out-of-period records, orphan headers) with an expected result of zero; resolve failures and re-extract before relying on the population.</t>
        </is>
      </c>
      <c r="J12" s="46" t="inlineStr">
        <is>
          <t>Accuracy; Completeness</t>
        </is>
      </c>
      <c r="K12" s="46" t="inlineStr">
        <is>
          <t>&lt;.1&gt;</t>
        </is>
      </c>
      <c r="L12" s="46" t="n"/>
      <c r="M12" s="47" t="n"/>
      <c r="N12" s="46" t="n"/>
      <c r="O12" s="46" t="n"/>
      <c r="P12" s="46" t="inlineStr">
        <is>
          <t>PROC:PROC-Journal reference Entries; PROC:RESP-MANAGEMENT-OVERRIDE-JE; PROC:RESP-MANAGEMENT-OVERRIDE-UNPREDICTABLE</t>
        </is>
      </c>
      <c r="Q12" s="46" t="n"/>
    </row>
    <row r="13" ht="120" customHeight="1">
      <c r="A13" s="45" t="inlineStr">
        <is>
          <t>Applicable</t>
        </is>
      </c>
      <c r="B13" s="45" t="inlineStr">
        <is>
          <t>Required</t>
        </is>
      </c>
      <c r="C13" s="45" t="inlineStr">
        <is>
          <t>Not Started</t>
        </is>
      </c>
      <c r="D13" s="45" t="inlineStr">
        <is>
          <t>Missing</t>
        </is>
      </c>
      <c r="E13" s="45" t="inlineStr">
        <is>
          <t>Unable to Conclude</t>
        </is>
      </c>
      <c r="F13" s="45" t="inlineStr">
        <is>
          <t>None</t>
        </is>
      </c>
      <c r="G13" s="46" t="inlineStr">
        <is>
          <t>Unsigned</t>
        </is>
      </c>
      <c r="H13" s="46">
        <f>IF(A13="Not Applicable - Fact Driven",IF(AND(C13="Not Performed",D13="Not Required",OR(F13="None",F13="Resolved",F13="Passed"),OR(G13="Prepared",G13="Reviewed"),LEFT(O13,6)="FACT:/",Q13&lt;&gt;""),"Valid N/A","Blocked"),IF(AND(B13="Recommended",C13="Not Performed",D13="Not Required",OR(F13="None",F13="Resolved",F13="Passed")),"Recommended - Not Performed",IF(C13&lt;&gt;"Performed","Open - "&amp;C13,IF(D13&lt;&gt;"Sufficient","Open - "&amp;D13&amp;" Evidence",IF(E13="Unable to Conclude","Open - Unable to Conclude",IF(AND(E13="Exception Identified",ISERROR(SEARCH("ISSUE:",P13))),"Open - Missing Issue ID",IF(AND(F13="Open",ISERROR(SEARCH("ISSUE:",P13))),"Open - Missing Issue ID",IF(OR(F13="Open",F13="Superseded"),"Open - "&amp;F13&amp;" Issue",IF(AND(E13="Exception Identified",NOT(OR(F13="Adjusted",F13="Passed",F13="Resolved"))),"Open - Undispositioned Exception",IF(OR(G13="Prepared",G13="Reviewed"),"Passed","Open - Unsigned"))))))))))</f>
        <v/>
      </c>
      <c r="I13" s="46" t="inlineStr">
        <is>
          <t>5. Test population plausibility — compare the actual entry count to an expected volume (inquiry, prior year, entity size) and investigate implausibly low populations (e.g., a single entry for a full year).</t>
        </is>
      </c>
      <c r="J13" s="46" t="inlineStr">
        <is>
          <t>Completeness</t>
        </is>
      </c>
      <c r="K13" s="46" t="inlineStr">
        <is>
          <t>&lt;.1&gt;</t>
        </is>
      </c>
      <c r="L13" s="46" t="n"/>
      <c r="M13" s="47" t="n"/>
      <c r="N13" s="46" t="n"/>
      <c r="O13" s="46" t="n"/>
      <c r="P13" s="46" t="inlineStr">
        <is>
          <t>PROC:PROC-Journal reference Entries; PROC:RESP-MANAGEMENT-OVERRIDE-JE; PROC:RESP-MANAGEMENT-OVERRIDE-UNPREDICTABLE</t>
        </is>
      </c>
      <c r="Q13" s="46" t="n"/>
    </row>
    <row r="14" ht="120" customHeight="1">
      <c r="A14" s="45" t="inlineStr">
        <is>
          <t>Applicable</t>
        </is>
      </c>
      <c r="B14" s="45" t="inlineStr">
        <is>
          <t>Required</t>
        </is>
      </c>
      <c r="C14" s="45" t="inlineStr">
        <is>
          <t>Not Started</t>
        </is>
      </c>
      <c r="D14" s="45" t="inlineStr">
        <is>
          <t>Missing</t>
        </is>
      </c>
      <c r="E14" s="45" t="inlineStr">
        <is>
          <t>Unable to Conclude</t>
        </is>
      </c>
      <c r="F14" s="45" t="inlineStr">
        <is>
          <t>None</t>
        </is>
      </c>
      <c r="G14" s="46" t="inlineStr">
        <is>
          <t>Unsigned</t>
        </is>
      </c>
      <c r="H14" s="46">
        <f>IF(A14="Not Applicable - Fact Driven",IF(AND(C14="Not Performed",D14="Not Required",OR(F14="None",F14="Resolved",F14="Passed"),OR(G14="Prepared",G14="Reviewed"),LEFT(O14,6)="FACT:/",Q14&lt;&gt;""),"Valid N/A","Blocked"),IF(AND(B14="Recommended",C14="Not Performed",D14="Not Required",OR(F14="None",F14="Resolved",F14="Passed")),"Recommended - Not Performed",IF(C14&lt;&gt;"Performed","Open - "&amp;C14,IF(D14&lt;&gt;"Sufficient","Open - "&amp;D14&amp;" Evidence",IF(E14="Unable to Conclude","Open - Unable to Conclude",IF(AND(E14="Exception Identified",ISERROR(SEARCH("ISSUE:",P14))),"Open - Missing Issue ID",IF(AND(F14="Open",ISERROR(SEARCH("ISSUE:",P14))),"Open - Missing Issue ID",IF(OR(F14="Open",F14="Superseded"),"Open - "&amp;F14&amp;" Issue",IF(AND(E14="Exception Identified",NOT(OR(F14="Adjusted",F14="Passed",F14="Resolved"))),"Open - Undispositioned Exception",IF(OR(G14="Prepared",G14="Reviewed"),"Passed","Open - Unsigned"))))))))))</f>
        <v/>
      </c>
      <c r="I14" s="46" t="inlineStr">
        <is>
          <t>6. Profile the population automated vs manual (system-generated, interface, manual standard, manual top-side) — the manual strata feed the risk-testing workpaper.</t>
        </is>
      </c>
      <c r="J14" s="46" t="inlineStr">
        <is>
          <t>Completeness; Classification</t>
        </is>
      </c>
      <c r="K14" s="46" t="inlineStr">
        <is>
          <t>&lt;.1&gt;</t>
        </is>
      </c>
      <c r="L14" s="46" t="n"/>
      <c r="M14" s="47" t="n"/>
      <c r="N14" s="46" t="n"/>
      <c r="O14" s="46" t="n"/>
      <c r="P14" s="46" t="inlineStr">
        <is>
          <t>PROC:PROC-Journal reference Entries; PROC:RESP-MANAGEMENT-OVERRIDE-JE; PROC:RESP-MANAGEMENT-OVERRIDE-UNPREDICTABLE</t>
        </is>
      </c>
      <c r="Q14" s="46" t="n"/>
    </row>
    <row r="15">
      <c r="A15" s="43" t="n"/>
      <c r="B15" s="39" t="n"/>
      <c r="C15" s="39" t="n"/>
      <c r="D15" s="39" t="n"/>
      <c r="E15" s="39" t="n"/>
      <c r="F15" s="39" t="n"/>
      <c r="G15" s="39" t="n"/>
      <c r="H15" s="39" t="n"/>
      <c r="I15" s="48" t="inlineStr">
        <is>
          <t>&lt;.2&gt; Completeness Rollforward</t>
        </is>
      </c>
      <c r="J15" s="39" t="n"/>
      <c r="K15" s="39" t="n"/>
      <c r="L15" s="39" t="n"/>
      <c r="M15" s="39" t="n"/>
      <c r="N15" s="39" t="n"/>
      <c r="O15" s="39" t="n"/>
      <c r="P15" s="39" t="n"/>
      <c r="Q15" s="39" t="n"/>
    </row>
    <row r="16" ht="120" customHeight="1">
      <c r="A16" s="45" t="inlineStr">
        <is>
          <t>Applicable</t>
        </is>
      </c>
      <c r="B16" s="45" t="inlineStr">
        <is>
          <t>Required</t>
        </is>
      </c>
      <c r="C16" s="45" t="inlineStr">
        <is>
          <t>Not Started</t>
        </is>
      </c>
      <c r="D16" s="45" t="inlineStr">
        <is>
          <t>Missing</t>
        </is>
      </c>
      <c r="E16" s="45" t="inlineStr">
        <is>
          <t>Unable to Conclude</t>
        </is>
      </c>
      <c r="F16" s="45" t="inlineStr">
        <is>
          <t>None</t>
        </is>
      </c>
      <c r="G16" s="46" t="inlineStr">
        <is>
          <t>Unsigned</t>
        </is>
      </c>
      <c r="H16" s="46">
        <f>IF(A16="Not Applicable - Fact Driven",IF(AND(C16="Not Performed",D16="Not Required",OR(F16="None",F16="Resolved",F16="Passed"),OR(G16="Prepared",G16="Reviewed"),LEFT(O16,6)="FACT:/",Q16&lt;&gt;""),"Valid N/A","Blocked"),IF(AND(B16="Recommended",C16="Not Performed",D16="Not Required",OR(F16="None",F16="Resolved",F16="Passed")),"Recommended - Not Performed",IF(C16&lt;&gt;"Performed","Open - "&amp;C16,IF(D16&lt;&gt;"Sufficient","Open - "&amp;D16&amp;" Evidence",IF(E16="Unable to Conclude","Open - Unable to Conclude",IF(AND(E16="Exception Identified",ISERROR(SEARCH("ISSUE:",P16))),"Open - Missing Issue ID",IF(AND(F16="Open",ISERROR(SEARCH("ISSUE:",P16))),"Open - Missing Issue ID",IF(OR(F16="Open",F16="Superseded"),"Open - "&amp;F16&amp;" Issue",IF(AND(E16="Exception Identified",NOT(OR(F16="Adjusted",F16="Passed",F16="Resolved"))),"Open - Undispositioned Exception",IF(OR(G16="Prepared",G16="Reviewed"),"Passed","Open - Unsigned"))))))))))</f>
        <v/>
      </c>
      <c r="I16" s="46" t="inlineStr">
        <is>
          <t>7. Roll every GL account forward — opening per the PY audited TB (P&amp;L accounts cleared to retained earnings) plus JE activity per the validated population equals the recalculated ending — and agree to the client's closing TB with a per-account variance.</t>
        </is>
      </c>
      <c r="J16" s="46" t="inlineStr">
        <is>
          <t>Completeness; Accuracy</t>
        </is>
      </c>
      <c r="K16" s="46" t="inlineStr">
        <is>
          <t>&lt;.2&gt;</t>
        </is>
      </c>
      <c r="L16" s="46" t="n"/>
      <c r="M16" s="47" t="n"/>
      <c r="N16" s="46" t="n"/>
      <c r="O16" s="46" t="n"/>
      <c r="P16" s="46" t="inlineStr">
        <is>
          <t>PROC:PROC-Journal reference Entries; PROC:RESP-MANAGEMENT-OVERRIDE-JE; PROC:RESP-MANAGEMENT-OVERRIDE-UNPREDICTABLE</t>
        </is>
      </c>
      <c r="Q16" s="46" t="n"/>
    </row>
    <row r="17" ht="120" customHeight="1">
      <c r="A17" s="45" t="inlineStr">
        <is>
          <t>Applicable</t>
        </is>
      </c>
      <c r="B17" s="45" t="inlineStr">
        <is>
          <t>Required</t>
        </is>
      </c>
      <c r="C17" s="45" t="inlineStr">
        <is>
          <t>Not Started</t>
        </is>
      </c>
      <c r="D17" s="45" t="inlineStr">
        <is>
          <t>Missing</t>
        </is>
      </c>
      <c r="E17" s="45" t="inlineStr">
        <is>
          <t>Unable to Conclude</t>
        </is>
      </c>
      <c r="F17" s="45" t="inlineStr">
        <is>
          <t>None</t>
        </is>
      </c>
      <c r="G17" s="46" t="inlineStr">
        <is>
          <t>Unsigned</t>
        </is>
      </c>
      <c r="H17" s="46">
        <f>IF(A17="Not Applicable - Fact Driven",IF(AND(C17="Not Performed",D17="Not Required",OR(F17="None",F17="Resolved",F17="Passed"),OR(G17="Prepared",G17="Reviewed"),LEFT(O17,6)="FACT:/",Q17&lt;&gt;""),"Valid N/A","Blocked"),IF(AND(B17="Recommended",C17="Not Performed",D17="Not Required",OR(F17="None",F17="Resolved",F17="Passed")),"Recommended - Not Performed",IF(C17&lt;&gt;"Performed","Open - "&amp;C17,IF(D17&lt;&gt;"Sufficient","Open - "&amp;D17&amp;" Evidence",IF(E17="Unable to Conclude","Open - Unable to Conclude",IF(AND(E17="Exception Identified",ISERROR(SEARCH("ISSUE:",P17))),"Open - Missing Issue ID",IF(AND(F17="Open",ISERROR(SEARCH("ISSUE:",P17))),"Open - Missing Issue ID",IF(OR(F17="Open",F17="Superseded"),"Open - "&amp;F17&amp;" Issue",IF(AND(E17="Exception Identified",NOT(OR(F17="Adjusted",F17="Passed",F17="Resolved"))),"Open - Undispositioned Exception",IF(OR(G17="Prepared",G17="Reviewed"),"Passed","Open - Unsigned"))))))))))</f>
        <v/>
      </c>
      <c r="I17" s="46" t="inlineStr">
        <is>
          <t>8. Verify the column check-sums (balanced TB and balanced activity foot to ~0), investigate every account variance, explain the retained-earnings pickup of PY net income, and document limitations where support is unavailable rather than forcing completeness.</t>
        </is>
      </c>
      <c r="J17" s="46" t="inlineStr">
        <is>
          <t>Completeness; Accuracy</t>
        </is>
      </c>
      <c r="K17" s="46" t="inlineStr">
        <is>
          <t>&lt;.2&gt;</t>
        </is>
      </c>
      <c r="L17" s="46" t="n"/>
      <c r="M17" s="47" t="n"/>
      <c r="N17" s="46" t="n"/>
      <c r="O17" s="46" t="n"/>
      <c r="P17" s="46" t="inlineStr">
        <is>
          <t>PROC:PROC-Journal reference Entries; PROC:RESP-MANAGEMENT-OVERRIDE-JE; PROC:RESP-MANAGEMENT-OVERRIDE-UNPREDICTABLE</t>
        </is>
      </c>
      <c r="Q17" s="46" t="n"/>
    </row>
    <row r="18">
      <c r="A18" s="43" t="n"/>
      <c r="B18" s="39" t="n"/>
      <c r="C18" s="39" t="n"/>
      <c r="D18" s="39" t="n"/>
      <c r="E18" s="39" t="n"/>
      <c r="F18" s="39" t="n"/>
      <c r="G18" s="39" t="n"/>
      <c r="H18" s="39" t="n"/>
      <c r="I18" s="48" t="inlineStr">
        <is>
          <t>Documentation &amp; Review</t>
        </is>
      </c>
      <c r="J18" s="39" t="n"/>
      <c r="K18" s="39" t="n"/>
      <c r="L18" s="39" t="n"/>
      <c r="M18" s="39" t="n"/>
      <c r="N18" s="39" t="n"/>
      <c r="O18" s="39" t="n"/>
      <c r="P18" s="39" t="n"/>
      <c r="Q18" s="39" t="n"/>
    </row>
    <row r="19" ht="120" customHeight="1">
      <c r="A19" s="45" t="inlineStr">
        <is>
          <t>Applicable</t>
        </is>
      </c>
      <c r="B19" s="45" t="inlineStr">
        <is>
          <t>Required</t>
        </is>
      </c>
      <c r="C19" s="45" t="inlineStr">
        <is>
          <t>Not Started</t>
        </is>
      </c>
      <c r="D19" s="45" t="inlineStr">
        <is>
          <t>Missing</t>
        </is>
      </c>
      <c r="E19" s="45" t="inlineStr">
        <is>
          <t>Unable to Conclude</t>
        </is>
      </c>
      <c r="F19" s="45" t="inlineStr">
        <is>
          <t>None</t>
        </is>
      </c>
      <c r="G19" s="46" t="inlineStr">
        <is>
          <t>Unsigned</t>
        </is>
      </c>
      <c r="H19" s="46">
        <f>IF(A19="Not Applicable - Fact Driven",IF(AND(C19="Not Performed",D19="Not Required",OR(F19="None",F19="Resolved",F19="Passed"),OR(G19="Prepared",G19="Reviewed"),LEFT(O19,6)="FACT:/",Q19&lt;&gt;""),"Valid N/A","Blocked"),IF(AND(B19="Recommended",C19="Not Performed",D19="Not Required",OR(F19="None",F19="Resolved",F19="Passed")),"Recommended - Not Performed",IF(C19&lt;&gt;"Performed","Open - "&amp;C19,IF(D19&lt;&gt;"Sufficient","Open - "&amp;D19&amp;" Evidence",IF(E19="Unable to Conclude","Open - Unable to Conclude",IF(AND(E19="Exception Identified",ISERROR(SEARCH("ISSUE:",P19))),"Open - Missing Issue ID",IF(AND(F19="Open",ISERROR(SEARCH("ISSUE:",P19))),"Open - Missing Issue ID",IF(OR(F19="Open",F19="Superseded"),"Open - "&amp;F19&amp;" Issue",IF(AND(E19="Exception Identified",NOT(OR(F19="Adjusted",F19="Passed",F19="Resolved"))),"Open - Undispositioned Exception",IF(OR(G19="Prepared",G19="Reviewed"),"Passed","Open - Unsigned"))))))))))</f>
        <v/>
      </c>
      <c r="I19" s="46" t="inlineStr">
        <is>
          <t>9. Cross-reference each procedure to its workpaper tab and link it to the relevant assertion(s).</t>
        </is>
      </c>
      <c r="J19" s="46" t="inlineStr">
        <is>
          <t>Overall</t>
        </is>
      </c>
      <c r="K19" s="46" t="inlineStr">
        <is>
          <t>&lt;.0&gt;-&lt;.2&gt;</t>
        </is>
      </c>
      <c r="L19" s="46" t="n"/>
      <c r="M19" s="47" t="n"/>
      <c r="N19" s="46" t="n"/>
      <c r="O19" s="46" t="n"/>
      <c r="P19" s="46" t="inlineStr">
        <is>
          <t>PROC:PROC-Journal reference Entries; PROC:RESP-MANAGEMENT-OVERRIDE-JE; PROC:RESP-MANAGEMENT-OVERRIDE-UNPREDICTABLE</t>
        </is>
      </c>
      <c r="Q19" s="46" t="n"/>
    </row>
    <row r="20" ht="120" customHeight="1">
      <c r="A20" s="45" t="inlineStr">
        <is>
          <t>Applicable</t>
        </is>
      </c>
      <c r="B20" s="45" t="inlineStr">
        <is>
          <t>Required</t>
        </is>
      </c>
      <c r="C20" s="45" t="inlineStr">
        <is>
          <t>Not Started</t>
        </is>
      </c>
      <c r="D20" s="45" t="inlineStr">
        <is>
          <t>Missing</t>
        </is>
      </c>
      <c r="E20" s="45" t="inlineStr">
        <is>
          <t>Unable to Conclude</t>
        </is>
      </c>
      <c r="F20" s="45" t="inlineStr">
        <is>
          <t>None</t>
        </is>
      </c>
      <c r="G20" s="46" t="inlineStr">
        <is>
          <t>Unsigned</t>
        </is>
      </c>
      <c r="H20" s="46">
        <f>IF(A20="Not Applicable - Fact Driven",IF(AND(C20="Not Performed",D20="Not Required",OR(F20="None",F20="Resolved",F20="Passed"),OR(G20="Prepared",G20="Reviewed"),LEFT(O20,6)="FACT:/",Q20&lt;&gt;""),"Valid N/A","Blocked"),IF(AND(B20="Recommended",C20="Not Performed",D20="Not Required",OR(F20="None",F20="Resolved",F20="Passed")),"Recommended - Not Performed",IF(C20&lt;&gt;"Performed","Open - "&amp;C20,IF(D20&lt;&gt;"Sufficient","Open - "&amp;D20&amp;" Evidence",IF(E20="Unable to Conclude","Open - Unable to Conclude",IF(AND(E20="Exception Identified",ISERROR(SEARCH("ISSUE:",P20))),"Open - Missing Issue ID",IF(AND(F20="Open",ISERROR(SEARCH("ISSUE:",P20))),"Open - Missing Issue ID",IF(OR(F20="Open",F20="Superseded"),"Open - "&amp;F20&amp;" Issue",IF(AND(E20="Exception Identified",NOT(OR(F20="Adjusted",F20="Passed",F20="Resolved"))),"Open - Undispositioned Exception",IF(OR(G20="Prepared",G20="Reviewed"),"Passed","Open - Unsigned"))))))))))</f>
        <v/>
      </c>
      <c r="I20" s="46" t="inlineStr">
        <is>
          <t>10. Verify control-count, integrity, rollforward and variance formulas foot correctly and the workbook source trail is complete.</t>
        </is>
      </c>
      <c r="J20" s="46" t="inlineStr">
        <is>
          <t>Accuracy; Completeness</t>
        </is>
      </c>
      <c r="K20" s="46" t="inlineStr">
        <is>
          <t>&lt;.1&gt;/&lt;.2&gt;</t>
        </is>
      </c>
      <c r="L20" s="46" t="n"/>
      <c r="M20" s="47" t="n"/>
      <c r="N20" s="46" t="n"/>
      <c r="O20" s="46" t="n"/>
      <c r="P20" s="46" t="inlineStr">
        <is>
          <t>PROC:PROC-Journal reference Entries; PROC:RESP-MANAGEMENT-OVERRIDE-JE; PROC:RESP-MANAGEMENT-OVERRIDE-UNPREDICTABLE; WINDOW:WIN-Journal reference Entry Period</t>
        </is>
      </c>
      <c r="Q20" s="46" t="n"/>
    </row>
    <row r="21">
      <c r="A21" s="43" t="n"/>
      <c r="B21" s="39" t="n"/>
      <c r="C21" s="39" t="n"/>
      <c r="D21" s="39" t="n"/>
      <c r="E21" s="39" t="n"/>
      <c r="F21" s="39" t="n"/>
      <c r="G21" s="39" t="n"/>
      <c r="H21" s="39" t="n"/>
      <c r="I21" s="44" t="inlineStr">
        <is>
          <t>Conclusion</t>
        </is>
      </c>
      <c r="J21" s="39" t="n"/>
      <c r="K21" s="39" t="n"/>
      <c r="L21" s="39" t="n"/>
      <c r="M21" s="39" t="n"/>
      <c r="N21" s="39" t="n"/>
      <c r="O21" s="39" t="n"/>
      <c r="P21" s="39" t="n"/>
      <c r="Q21" s="39" t="n"/>
    </row>
    <row r="22" ht="120" customHeight="1">
      <c r="A22" s="45" t="inlineStr">
        <is>
          <t>Applicable</t>
        </is>
      </c>
      <c r="B22" s="45" t="inlineStr">
        <is>
          <t>Required</t>
        </is>
      </c>
      <c r="C22" s="45" t="inlineStr">
        <is>
          <t>Not Started</t>
        </is>
      </c>
      <c r="D22" s="45" t="inlineStr">
        <is>
          <t>Missing</t>
        </is>
      </c>
      <c r="E22" s="45" t="inlineStr">
        <is>
          <t>Unable to Conclude</t>
        </is>
      </c>
      <c r="F22" s="45" t="inlineStr">
        <is>
          <t>None</t>
        </is>
      </c>
      <c r="G22" s="46" t="inlineStr">
        <is>
          <t>Unsigned</t>
        </is>
      </c>
      <c r="H22" s="46">
        <f>IF(A22="Not Applicable - Fact Driven",IF(AND(C22="Not Performed",D22="Not Required",OR(F22="None",F22="Resolved",F22="Passed"),OR(G22="Prepared",G22="Reviewed"),LEFT(O22,6)="FACT:/",Q22&lt;&gt;""),"Valid N/A","Blocked"),IF(AND(B22="Recommended",C22="Not Performed",D22="Not Required",OR(F22="None",F22="Resolved",F22="Passed")),"Recommended - Not Performed",IF(C22&lt;&gt;"Performed","Open - "&amp;C22,IF(D22&lt;&gt;"Sufficient","Open - "&amp;D22&amp;" Evidence",IF(E22="Unable to Conclude","Open - Unable to Conclude",IF(AND(E22="Exception Identified",ISERROR(SEARCH("ISSUE:",P22))),"Open - Missing Issue ID",IF(AND(F22="Open",ISERROR(SEARCH("ISSUE:",P22))),"Open - Missing Issue ID",IF(OR(F22="Open",F22="Superseded"),"Open - "&amp;F22&amp;" Issue",IF(AND(E22="Exception Identified",NOT(OR(F22="Adjusted",F22="Passed",F22="Resolved"))),"Open - Undispositioned Exception",IF(OR(G22="Prepared",G22="Reviewed"),"Passed","Open - Unsigned"))))))))))</f>
        <v/>
      </c>
      <c r="I22" s="46" t="inlineStr">
        <is>
          <t>11. The journal-entry population is complete and reliable for testing (extraction controlled, integrity checks passed, rollforward proven), subject to documented open items; risk-based testing is performed on the companion JE Risk Testing workpaper.</t>
        </is>
      </c>
      <c r="J22" s="46" t="inlineStr">
        <is>
          <t>Overall</t>
        </is>
      </c>
      <c r="K22" s="46" t="inlineStr">
        <is>
          <t>&lt;.0&gt;-&lt;.2&gt;</t>
        </is>
      </c>
      <c r="L22" s="46" t="n"/>
      <c r="M22" s="47" t="n"/>
      <c r="N22" s="46" t="n"/>
      <c r="O22" s="46" t="n"/>
      <c r="P22" s="46" t="inlineStr">
        <is>
          <t>PROC:PROC-Journal reference Entries; PROC:RESP-MANAGEMENT-OVERRIDE-JE; PROC:RESP-MANAGEMENT-OVERRIDE-UNPREDICTABLE; WINDOW:WIN-Journal reference Entry Period</t>
        </is>
      </c>
      <c r="Q22" s="46" t="n"/>
    </row>
  </sheetData>
  <autoFilter ref="A6:Q22"/>
  <mergeCells count="6">
    <mergeCell ref="I15:Q15"/>
    <mergeCell ref="I7:Q7"/>
    <mergeCell ref="A4:Q4"/>
    <mergeCell ref="I9:Q9"/>
    <mergeCell ref="I18:Q18"/>
    <mergeCell ref="I21:Q21"/>
  </mergeCells>
  <conditionalFormatting sqref="A8:Q22">
    <cfRule type="expression" priority="1" dxfId="0">
      <formula>AND($F8="Open",$P8&lt;&gt;"")</formula>
    </cfRule>
    <cfRule type="expression" priority="2" dxfId="1">
      <formula>OR($H8="Blocked",AND($F8="Open",$P8=""))</formula>
    </cfRule>
    <cfRule type="expression" priority="3" dxfId="2">
      <formula>$H8="Passed"</formula>
    </cfRule>
    <cfRule type="expression" priority="4" dxfId="3">
      <formula>OR($H8="Valid N/A",$H8="Recommended - Not Performed")</formula>
    </cfRule>
  </conditionalFormatting>
  <dataValidations count="7">
    <dataValidation sqref="A8 A10 A11 A12 A13 A14 A16 A17 A19 A20 A22" showDropDown="0" showInputMessage="0" showErrorMessage="0" allowBlank="0" type="list">
      <formula1>"Applicable,Not Applicable - Fact Driven"</formula1>
    </dataValidation>
    <dataValidation sqref="B8 B10 B11 B12 B13 B14 B16 B17 B19 B20 B22" showDropDown="0" showInputMessage="0" showErrorMessage="0" allowBlank="0" type="list">
      <formula1>"Required,Recommended"</formula1>
    </dataValidation>
    <dataValidation sqref="C8 C10 C11 C12 C13 C14 C16 C17 C19 C20 C22" showDropDown="0" showInputMessage="0" showErrorMessage="0" allowBlank="0" type="list">
      <formula1>"Not Started,In Progress,Performed,Not Performed"</formula1>
    </dataValidation>
    <dataValidation sqref="D8 D10 D11 D12 D13 D14 D16 D17 D19 D20 D22" showDropDown="0" showInputMessage="0" showErrorMessage="0" allowBlank="0" type="list">
      <formula1>"Sufficient,Missing,Unreadable,Unreliable,Contradictory,Not Required"</formula1>
    </dataValidation>
    <dataValidation sqref="E8 E10 E11 E12 E13 E14 E16 E17 E19 E20 E22" showDropDown="0" showInputMessage="0" showErrorMessage="0" allowBlank="0" type="list">
      <formula1>"No Exception,Exception Identified,Unable to Conclude"</formula1>
    </dataValidation>
    <dataValidation sqref="F8 F10 F11 F12 F13 F14 F16 F17 F19 F20 F22" showDropDown="0" showInputMessage="0" showErrorMessage="0" allowBlank="0" type="list">
      <formula1>"None,Open,Adjusted,Passed,Resolved,Superseded"</formula1>
    </dataValidation>
    <dataValidation sqref="G8 G10 G11 G12 G13 G14 G16 G17 G19 G20 G22" showDropDown="0" showInputMessage="0" showErrorMessage="0" allowBlank="0" type="list">
      <formula1>"Unsigned,Prepared,Reviewed,Superseded"</formula1>
    </dataValidation>
  </dataValidations>
  <printOptions horizontalCentered="0" verticalCentered="0"/>
  <pageMargins left="0.25" right="0.25" top="0.5" bottom="0.5" header="0.2" footer="0.2"/>
  <pageSetup orientation="landscape" paperSize="1" fitToHeight="0" fitToWidth="2" horizontalDpi="300" verticalDpi="300"/>
</worksheet>
</file>

<file path=xl/worksheets/sheet2.xml><?xml version="1.0" encoding="utf-8"?>
<worksheet xmlns="http://schemas.openxmlformats.org/spreadsheetml/2006/main">
  <sheetPr>
    <outlinePr summaryBelow="1" summaryRight="1"/>
    <pageSetUpPr autoPageBreaks="0" fitToPage="1"/>
  </sheetPr>
  <dimension ref="A1:H32"/>
  <sheetViews>
    <sheetView showGridLines="0" zoomScale="90" zoomScaleNormal="100" workbookViewId="0">
      <pane ySplit="7" topLeftCell="A8" activePane="bottomLeft" state="frozen"/>
      <selection pane="bottomLeft" activeCell="A3" sqref="A3"/>
    </sheetView>
  </sheetViews>
  <sheetFormatPr baseColWidth="8" defaultColWidth="8.6328125" defaultRowHeight="14.5"/>
  <cols>
    <col width="21.90625" bestFit="1" customWidth="1" min="1" max="1"/>
    <col width="38" customWidth="1" min="2" max="2"/>
    <col width="20" customWidth="1" min="3" max="3"/>
    <col width="37.7" customWidth="1" min="4" max="4"/>
    <col width="12" customWidth="1" min="5" max="5"/>
    <col width="24" customWidth="1" min="6" max="6"/>
    <col width="34" customWidth="1" min="7" max="7"/>
    <col width="13" customWidth="1" min="8" max="8"/>
  </cols>
  <sheetData>
    <row r="1" ht="17.5" customHeight="1">
      <c r="A1" s="49" t="inlineStr">
        <is>
          <t>Source Index</t>
        </is>
      </c>
      <c r="B1" s="39" t="n"/>
      <c r="C1" s="39" t="n"/>
      <c r="D1" s="39" t="n"/>
      <c r="E1" s="39" t="n"/>
      <c r="F1" s="39" t="n"/>
      <c r="G1" s="39" t="n"/>
      <c r="H1" s="39" t="n"/>
    </row>
    <row r="2">
      <c r="A2" s="50" t="inlineStr">
        <is>
          <t>Client / Entity</t>
        </is>
      </c>
      <c r="B2" s="40" t="inlineStr">
        <is>
          <t>Quoxmark Personnel Network, LLC</t>
        </is>
      </c>
      <c r="C2" s="39" t="n"/>
      <c r="D2" s="50" t="inlineStr">
        <is>
          <t>Year-End</t>
        </is>
      </c>
      <c r="E2" s="51" t="n">
        <v>46022</v>
      </c>
      <c r="F2" s="39" t="n"/>
      <c r="G2" s="50" t="inlineStr">
        <is>
          <t>Currency</t>
        </is>
      </c>
      <c r="H2" s="52" t="inlineStr">
        <is>
          <t>USD</t>
        </is>
      </c>
    </row>
    <row r="3" ht="27" customHeight="1">
      <c r="A3" s="53" t="inlineStr">
        <is>
          <t>Performance Materiality</t>
        </is>
      </c>
      <c r="B3" s="54" t="n">
        <v>25000</v>
      </c>
      <c r="C3" s="39" t="n"/>
      <c r="D3" s="53" t="inlineStr">
        <is>
          <t>Tolerable misstatement / testing threshold</t>
        </is>
      </c>
      <c r="E3" s="54" t="n">
        <v>18800</v>
      </c>
      <c r="F3" s="39" t="n"/>
      <c r="G3" s="39" t="n"/>
      <c r="H3" s="39" t="n"/>
    </row>
    <row r="4" ht="27.75" customHeight="1">
      <c r="A4" s="55" t="inlineStr">
        <is>
          <t>Purpose:</t>
        </is>
      </c>
      <c r="B4" s="56" t="inlineStr">
        <is>
          <t>Map every journal-entry PBC source and its limitations so the evidence trail is complete and traceable.</t>
        </is>
      </c>
      <c r="C4" s="39" t="n"/>
      <c r="D4" s="39" t="n"/>
      <c r="E4" s="39" t="n"/>
      <c r="F4" s="39" t="n"/>
      <c r="G4" s="39" t="n"/>
      <c r="H4" s="39" t="n"/>
    </row>
    <row r="5" ht="42" customHeight="1">
      <c r="A5" s="55" t="inlineStr">
        <is>
          <t>Scope:</t>
        </is>
      </c>
      <c r="B5" s="56" t="inlineStr">
        <is>
          <t>Complete JE / GL detail export (all entries, all periods), prior-year audited trial balance, current-year closing trial balance, system extraction logs / report parameters, chart of accounts, close checklist.</t>
        </is>
      </c>
      <c r="C5" s="39" t="n"/>
      <c r="D5" s="39" t="n"/>
      <c r="E5" s="39" t="n"/>
      <c r="F5" s="39" t="n"/>
      <c r="G5" s="39" t="n"/>
      <c r="H5" s="39" t="n"/>
    </row>
    <row r="6" ht="15" customHeight="1">
      <c r="A6" s="55" t="inlineStr">
        <is>
          <t>Assertions:</t>
        </is>
      </c>
      <c r="B6" s="56" t="inlineStr">
        <is>
          <t>Completeness</t>
        </is>
      </c>
      <c r="C6" s="39" t="n"/>
      <c r="D6" s="39" t="n"/>
      <c r="E6" s="39" t="n"/>
      <c r="F6" s="39" t="n"/>
      <c r="G6" s="39" t="n"/>
      <c r="H6" s="39" t="n"/>
    </row>
    <row r="7" ht="30" customHeight="1">
      <c r="A7" s="57" t="inlineStr">
        <is>
          <t>Ref</t>
        </is>
      </c>
      <c r="B7" s="57" t="inlineStr">
        <is>
          <t>Source document / PBC</t>
        </is>
      </c>
      <c r="C7" s="57" t="inlineStr">
        <is>
          <t>Provided by</t>
        </is>
      </c>
      <c r="D7" s="57" t="inlineStr">
        <is>
          <t>Date received</t>
        </is>
      </c>
      <c r="E7" s="57" t="inlineStr">
        <is>
          <t>Format</t>
        </is>
      </c>
      <c r="F7" s="57" t="inlineStr">
        <is>
          <t>Used in tab(s)</t>
        </is>
      </c>
      <c r="G7" s="57" t="inlineStr">
        <is>
          <t>Limitations / notes</t>
        </is>
      </c>
      <c r="H7" s="39" t="n"/>
    </row>
    <row r="8">
      <c r="A8" s="58" t="n"/>
      <c r="B8" s="58" t="n"/>
      <c r="C8" s="58" t="n"/>
      <c r="D8" s="58" t="n"/>
      <c r="E8" s="58" t="n"/>
      <c r="F8" s="58" t="n"/>
      <c r="G8" s="58" t="n"/>
      <c r="H8" s="39" t="n"/>
    </row>
    <row r="9">
      <c r="A9" s="58" t="n"/>
      <c r="B9" s="58" t="n"/>
      <c r="C9" s="58" t="n"/>
      <c r="D9" s="58" t="n"/>
      <c r="E9" s="58" t="n"/>
      <c r="F9" s="58" t="n"/>
      <c r="G9" s="58" t="n"/>
      <c r="H9" s="39" t="n"/>
    </row>
    <row r="10">
      <c r="A10" s="58" t="n"/>
      <c r="B10" s="58" t="n"/>
      <c r="C10" s="58" t="n"/>
      <c r="D10" s="58" t="n"/>
      <c r="E10" s="58" t="n"/>
      <c r="F10" s="58" t="n"/>
      <c r="G10" s="58" t="n"/>
      <c r="H10" s="39" t="n"/>
    </row>
    <row r="11">
      <c r="A11" s="58" t="n"/>
      <c r="B11" s="58" t="n"/>
      <c r="C11" s="58" t="n"/>
      <c r="D11" s="58" t="n"/>
      <c r="E11" s="58" t="n"/>
      <c r="F11" s="58" t="n"/>
      <c r="G11" s="58" t="n"/>
      <c r="H11" s="39" t="n"/>
    </row>
    <row r="12">
      <c r="A12" s="58" t="n"/>
      <c r="B12" s="58" t="n"/>
      <c r="C12" s="58" t="n"/>
      <c r="D12" s="58" t="n"/>
      <c r="E12" s="58" t="n"/>
      <c r="F12" s="58" t="n"/>
      <c r="G12" s="58" t="n"/>
      <c r="H12" s="39" t="n"/>
    </row>
    <row r="13">
      <c r="A13" s="58" t="n"/>
      <c r="B13" s="58" t="n"/>
      <c r="C13" s="58" t="n"/>
      <c r="D13" s="58" t="n"/>
      <c r="E13" s="58" t="n"/>
      <c r="F13" s="58" t="n"/>
      <c r="G13" s="58" t="n"/>
      <c r="H13" s="39" t="n"/>
    </row>
    <row r="14">
      <c r="A14" s="58" t="n"/>
      <c r="B14" s="58" t="n"/>
      <c r="C14" s="58" t="n"/>
      <c r="D14" s="58" t="n"/>
      <c r="E14" s="58" t="n"/>
      <c r="F14" s="58" t="n"/>
      <c r="G14" s="58" t="n"/>
      <c r="H14" s="39" t="n"/>
    </row>
    <row r="15">
      <c r="A15" s="58" t="n"/>
      <c r="B15" s="58" t="n"/>
      <c r="C15" s="58" t="n"/>
      <c r="D15" s="58" t="n"/>
      <c r="E15" s="58" t="n"/>
      <c r="F15" s="58" t="n"/>
      <c r="G15" s="58" t="n"/>
      <c r="H15" s="39" t="n"/>
    </row>
    <row r="16">
      <c r="A16" s="58" t="n"/>
      <c r="B16" s="58" t="n"/>
      <c r="C16" s="58" t="n"/>
      <c r="D16" s="58" t="n"/>
      <c r="E16" s="58" t="n"/>
      <c r="F16" s="58" t="n"/>
      <c r="G16" s="58" t="n"/>
      <c r="H16" s="39" t="n"/>
    </row>
    <row r="17">
      <c r="A17" s="58" t="n"/>
      <c r="B17" s="58" t="n"/>
      <c r="C17" s="58" t="n"/>
      <c r="D17" s="58" t="n"/>
      <c r="E17" s="58" t="n"/>
      <c r="F17" s="58" t="n"/>
      <c r="G17" s="58" t="n"/>
      <c r="H17" s="39" t="n"/>
    </row>
    <row r="18">
      <c r="A18" s="58" t="n"/>
      <c r="B18" s="58" t="n"/>
      <c r="C18" s="58" t="n"/>
      <c r="D18" s="58" t="n"/>
      <c r="E18" s="58" t="n"/>
      <c r="F18" s="58" t="n"/>
      <c r="G18" s="58" t="n"/>
      <c r="H18" s="39" t="n"/>
    </row>
    <row r="19">
      <c r="A19" s="58" t="n"/>
      <c r="B19" s="58" t="n"/>
      <c r="C19" s="58" t="n"/>
      <c r="D19" s="58" t="n"/>
      <c r="E19" s="58" t="n"/>
      <c r="F19" s="58" t="n"/>
      <c r="G19" s="58" t="n"/>
      <c r="H19" s="39" t="n"/>
    </row>
    <row r="20">
      <c r="A20" s="39" t="n"/>
      <c r="B20" s="39" t="n"/>
      <c r="C20" s="39" t="n"/>
      <c r="D20" s="39" t="n"/>
      <c r="E20" s="39" t="n"/>
      <c r="F20" s="39" t="n"/>
      <c r="G20" s="39" t="n"/>
      <c r="H20" s="39" t="n"/>
    </row>
    <row r="21">
      <c r="A21" s="55" t="inlineStr">
        <is>
          <t>TM Legends</t>
        </is>
      </c>
      <c r="B21" s="39" t="n"/>
      <c r="C21" s="39" t="n"/>
      <c r="D21" s="39" t="n"/>
      <c r="E21" s="39" t="n"/>
      <c r="F21" s="39" t="n"/>
      <c r="G21" s="39" t="n"/>
      <c r="H21" s="39" t="n"/>
    </row>
    <row r="22">
      <c r="A22" s="59" t="inlineStr">
        <is>
          <t>TB</t>
        </is>
      </c>
      <c r="B22" s="45" t="inlineStr">
        <is>
          <t>Agreed to trial balance</t>
        </is>
      </c>
      <c r="C22" s="60" t="n"/>
      <c r="D22" s="61" t="n"/>
      <c r="E22" s="39" t="n"/>
      <c r="F22" s="39" t="n"/>
      <c r="G22" s="39" t="n"/>
      <c r="H22" s="39" t="n"/>
    </row>
    <row r="23">
      <c r="A23" s="59" t="inlineStr">
        <is>
          <t>GL</t>
        </is>
      </c>
      <c r="B23" s="45" t="inlineStr">
        <is>
          <t>Agreed to general ledger</t>
        </is>
      </c>
      <c r="C23" s="60" t="n"/>
      <c r="D23" s="61" t="n"/>
      <c r="E23" s="39" t="n"/>
      <c r="F23" s="39" t="n"/>
      <c r="G23" s="39" t="n"/>
      <c r="H23" s="39" t="n"/>
    </row>
    <row r="24">
      <c r="A24" s="59" t="inlineStr">
        <is>
          <t>CF</t>
        </is>
      </c>
      <c r="B24" s="45" t="inlineStr">
        <is>
          <t>Confirmed with third party</t>
        </is>
      </c>
      <c r="C24" s="60" t="n"/>
      <c r="D24" s="61" t="n"/>
      <c r="E24" s="39" t="n"/>
      <c r="F24" s="39" t="n"/>
      <c r="G24" s="39" t="n"/>
      <c r="H24" s="39" t="n"/>
    </row>
    <row r="25">
      <c r="A25" s="59" t="inlineStr">
        <is>
          <t>V</t>
        </is>
      </c>
      <c r="B25" s="45" t="inlineStr">
        <is>
          <t>Vouched to source document</t>
        </is>
      </c>
      <c r="C25" s="60" t="n"/>
      <c r="D25" s="61" t="n"/>
      <c r="E25" s="39" t="n"/>
      <c r="F25" s="39" t="n"/>
      <c r="G25" s="39" t="n"/>
      <c r="H25" s="39" t="n"/>
    </row>
    <row r="26">
      <c r="A26" s="59" t="inlineStr">
        <is>
          <t>SR</t>
        </is>
      </c>
      <c r="B26" s="45" t="inlineStr">
        <is>
          <t>Agreed to subsequent bank-cleared receipt</t>
        </is>
      </c>
      <c r="C26" s="60" t="n"/>
      <c r="D26" s="61" t="n"/>
      <c r="E26" s="39" t="n"/>
      <c r="F26" s="39" t="n"/>
      <c r="G26" s="39" t="n"/>
      <c r="H26" s="39" t="n"/>
    </row>
    <row r="27">
      <c r="A27" s="59" t="inlineStr">
        <is>
          <t>R</t>
        </is>
      </c>
      <c r="B27" s="45" t="inlineStr">
        <is>
          <t>Recalculated independently</t>
        </is>
      </c>
      <c r="C27" s="60" t="n"/>
      <c r="D27" s="61" t="n"/>
      <c r="E27" s="39" t="n"/>
      <c r="F27" s="39" t="n"/>
      <c r="G27" s="39" t="n"/>
      <c r="H27" s="39" t="n"/>
    </row>
    <row r="28">
      <c r="A28" s="59" t="inlineStr">
        <is>
          <t>F</t>
        </is>
      </c>
      <c r="B28" s="45" t="inlineStr">
        <is>
          <t>Footed / cross-cast</t>
        </is>
      </c>
      <c r="C28" s="60" t="n"/>
      <c r="D28" s="61" t="n"/>
      <c r="E28" s="39" t="n"/>
      <c r="F28" s="39" t="n"/>
      <c r="G28" s="39" t="n"/>
      <c r="H28" s="39" t="n"/>
    </row>
    <row r="29">
      <c r="A29" s="59" t="inlineStr">
        <is>
          <t>T</t>
        </is>
      </c>
      <c r="B29" s="45" t="inlineStr">
        <is>
          <t>Traced to downstream record</t>
        </is>
      </c>
      <c r="C29" s="60" t="n"/>
      <c r="D29" s="61" t="n"/>
      <c r="E29" s="39" t="n"/>
      <c r="F29" s="39" t="n"/>
      <c r="G29" s="39" t="n"/>
      <c r="H29" s="39" t="n"/>
    </row>
    <row r="30">
      <c r="A30" s="59" t="inlineStr">
        <is>
          <t>PBC</t>
        </is>
      </c>
      <c r="B30" s="45" t="inlineStr">
        <is>
          <t>Prepared by client</t>
        </is>
      </c>
      <c r="C30" s="60" t="n"/>
      <c r="D30" s="61" t="n"/>
      <c r="E30" s="39" t="n"/>
      <c r="F30" s="39" t="n"/>
      <c r="G30" s="39" t="n"/>
      <c r="H30" s="39" t="n"/>
    </row>
    <row r="31">
      <c r="A31" s="39" t="n"/>
      <c r="B31" s="39" t="n"/>
      <c r="C31" s="39" t="n"/>
      <c r="D31" s="39" t="n"/>
      <c r="E31" s="39" t="n"/>
      <c r="F31" s="39" t="n"/>
      <c r="G31" s="39" t="n"/>
      <c r="H31" s="39" t="n"/>
    </row>
    <row r="32" ht="27.75" customHeight="1">
      <c r="A32" s="41" t="inlineStr">
        <is>
          <t>Before sign-off complete Library Procedure 1 (source completeness &amp; limitations).</t>
        </is>
      </c>
      <c r="B32" s="39" t="n"/>
      <c r="C32" s="39" t="n"/>
      <c r="D32" s="39" t="n"/>
      <c r="E32" s="39" t="n"/>
      <c r="F32" s="39" t="n"/>
      <c r="G32" s="39" t="n"/>
      <c r="H32" s="39" t="n"/>
    </row>
  </sheetData>
  <mergeCells count="13">
    <mergeCell ref="A32:G32"/>
    <mergeCell ref="B28:D28"/>
    <mergeCell ref="B5:G5"/>
    <mergeCell ref="B23:D23"/>
    <mergeCell ref="B22:D22"/>
    <mergeCell ref="B26:D26"/>
    <mergeCell ref="B27:D27"/>
    <mergeCell ref="B4:G4"/>
    <mergeCell ref="B30:D30"/>
    <mergeCell ref="B29:D29"/>
    <mergeCell ref="B25:D25"/>
    <mergeCell ref="B24:D24"/>
    <mergeCell ref="B6:G6"/>
  </mergeCells>
  <printOptions horizontalCentered="0" verticalCentered="0"/>
  <pageMargins left="0.25" right="0.25" top="0.5" bottom="0.5" header="0.2" footer="0.2"/>
  <pageSetup orientation="portrait" paperSize="1" fitToHeight="0" fitToWidth="1" horizontalDpi="300" verticalDpi="300"/>
</worksheet>
</file>

<file path=xl/worksheets/sheet3.xml><?xml version="1.0" encoding="utf-8"?>
<worksheet xmlns="http://schemas.openxmlformats.org/spreadsheetml/2006/main">
  <sheetPr>
    <outlinePr summaryBelow="1" summaryRight="1"/>
    <pageSetUpPr autoPageBreaks="0" fitToPage="1"/>
  </sheetPr>
  <dimension ref="A1:H63"/>
  <sheetViews>
    <sheetView showGridLines="0" zoomScale="90" zoomScaleNormal="100" workbookViewId="0">
      <pane ySplit="7" topLeftCell="A8" activePane="bottomLeft" state="frozen"/>
      <selection pane="bottomLeft" activeCell="A4" sqref="A4:A6"/>
    </sheetView>
  </sheetViews>
  <sheetFormatPr baseColWidth="8" defaultColWidth="8.6328125" defaultRowHeight="14.5"/>
  <cols>
    <col width="42" customWidth="1" min="1" max="1"/>
    <col width="30.05" customWidth="1" min="2" max="3"/>
    <col width="14.75" customWidth="1" min="3" max="3"/>
    <col width="42" customWidth="1" min="4" max="4"/>
    <col width="42" customWidth="1" min="5" max="5"/>
    <col width="42" customWidth="1" min="6" max="6"/>
    <col width="18.15" customWidth="1" min="7" max="7"/>
    <col width="26" customWidth="1" min="8" max="8"/>
  </cols>
  <sheetData>
    <row r="1" ht="17.5" customHeight="1">
      <c r="A1" s="38" t="inlineStr">
        <is>
          <t>Scope &amp; Data Integrity (Extraction Controls)</t>
        </is>
      </c>
      <c r="B1" s="39" t="n"/>
      <c r="C1" s="39" t="n"/>
      <c r="D1" s="39" t="n"/>
      <c r="E1" s="39" t="n"/>
      <c r="F1" s="39" t="n"/>
      <c r="G1" s="39" t="n"/>
      <c r="H1" s="39" t="n"/>
    </row>
    <row r="2">
      <c r="A2" s="62" t="inlineStr">
        <is>
          <t>Client / Entity</t>
        </is>
      </c>
      <c r="B2" s="40" t="inlineStr">
        <is>
          <t>Quoxmark Personnel Network, LLC</t>
        </is>
      </c>
      <c r="C2" s="39" t="n"/>
      <c r="D2" s="50" t="inlineStr">
        <is>
          <t>Year-End</t>
        </is>
      </c>
      <c r="E2" s="51" t="n">
        <v>46022</v>
      </c>
      <c r="F2" s="39" t="n"/>
      <c r="G2" s="50" t="inlineStr">
        <is>
          <t>Currency</t>
        </is>
      </c>
      <c r="H2" s="52" t="inlineStr">
        <is>
          <t>USD</t>
        </is>
      </c>
    </row>
    <row r="3">
      <c r="A3" s="63" t="inlineStr">
        <is>
          <t>Performance Materiality</t>
        </is>
      </c>
      <c r="B3" s="54" t="n">
        <v>25000</v>
      </c>
      <c r="C3" s="39" t="n"/>
      <c r="D3" s="53" t="inlineStr">
        <is>
          <t>Tolerable misstatement / testing threshold</t>
        </is>
      </c>
      <c r="E3" s="54" t="n">
        <v>18800</v>
      </c>
      <c r="F3" s="39" t="n"/>
      <c r="G3" s="39" t="n"/>
      <c r="H3" s="39" t="n"/>
    </row>
    <row r="4" ht="42" customHeight="1">
      <c r="A4" s="64" t="inlineStr">
        <is>
          <t>Purpose:</t>
        </is>
      </c>
      <c r="B4" s="65" t="inlineStr">
        <is>
          <t>Identify the JE / GL systems and scope, prove the extraction is complete and unaltered (control counts source → extract → working file), run data-integrity checks, test population plausibility, and profile automated vs manual entries.</t>
        </is>
      </c>
      <c r="C4" s="66" t="n"/>
      <c r="D4" s="66" t="n"/>
      <c r="E4" s="66" t="n"/>
      <c r="F4" s="66" t="n"/>
      <c r="G4" s="66" t="n"/>
      <c r="H4" s="67" t="n"/>
    </row>
    <row r="5" ht="15" customHeight="1">
      <c r="A5" s="64" t="inlineStr">
        <is>
          <t>Scope:</t>
        </is>
      </c>
      <c r="B5" s="65" t="inlineStr">
        <is>
          <t>The full-period journal-entry population from every ledger / system in scope.</t>
        </is>
      </c>
      <c r="C5" s="66" t="n"/>
      <c r="D5" s="66" t="n"/>
      <c r="E5" s="66" t="n"/>
      <c r="F5" s="66" t="n"/>
      <c r="G5" s="66" t="n"/>
      <c r="H5" s="67" t="n"/>
    </row>
    <row r="6" ht="15" customHeight="1">
      <c r="A6" s="64" t="inlineStr">
        <is>
          <t>Assertions:</t>
        </is>
      </c>
      <c r="B6" s="65" t="inlineStr">
        <is>
          <t>Completeness; Accuracy</t>
        </is>
      </c>
      <c r="C6" s="66" t="n"/>
      <c r="D6" s="66" t="n"/>
      <c r="E6" s="66" t="n"/>
      <c r="F6" s="66" t="n"/>
      <c r="G6" s="66" t="n"/>
      <c r="H6" s="67" t="n"/>
    </row>
    <row r="7">
      <c r="A7" s="68" t="inlineStr">
        <is>
          <t>A. JE / GL sources &amp; systems</t>
        </is>
      </c>
      <c r="B7" s="39" t="n"/>
      <c r="C7" s="39" t="n"/>
      <c r="D7" s="39" t="n"/>
      <c r="E7" s="39" t="n"/>
      <c r="F7" s="39" t="n"/>
      <c r="G7" s="39" t="n"/>
      <c r="H7" s="39" t="n"/>
    </row>
    <row r="8" ht="25.5" customHeight="1">
      <c r="A8" s="57" t="inlineStr">
        <is>
          <t>System / ledger</t>
        </is>
      </c>
      <c r="B8" s="57" t="inlineStr">
        <is>
          <t>Business unit</t>
        </is>
      </c>
      <c r="C8" s="57" t="inlineStr">
        <is>
          <t>Period covered</t>
        </is>
      </c>
      <c r="D8" s="57" t="inlineStr">
        <is>
          <t>Extract date</t>
        </is>
      </c>
      <c r="E8" s="57" t="inlineStr">
        <is>
          <t>Extracted by (client / auditor)</t>
        </is>
      </c>
      <c r="F8" s="57" t="inlineStr">
        <is>
          <t>Format</t>
        </is>
      </c>
      <c r="G8" s="57" t="inlineStr">
        <is>
          <t>Report / parameters</t>
        </is>
      </c>
      <c r="H8" s="57" t="inlineStr">
        <is>
          <t>Comments</t>
        </is>
      </c>
    </row>
    <row r="9">
      <c r="A9" s="58" t="n"/>
      <c r="B9" s="58" t="n"/>
      <c r="C9" s="58" t="n"/>
      <c r="D9" s="58" t="n"/>
      <c r="E9" s="58" t="n"/>
      <c r="F9" s="58" t="n"/>
      <c r="G9" s="58" t="n"/>
      <c r="H9" s="58" t="n"/>
    </row>
    <row r="10">
      <c r="A10" s="58" t="n"/>
      <c r="B10" s="58" t="n"/>
      <c r="C10" s="58" t="n"/>
      <c r="D10" s="58" t="n"/>
      <c r="E10" s="58" t="n"/>
      <c r="F10" s="58" t="n"/>
      <c r="G10" s="58" t="n"/>
      <c r="H10" s="58" t="n"/>
    </row>
    <row r="11">
      <c r="A11" s="58" t="n"/>
      <c r="B11" s="58" t="n"/>
      <c r="C11" s="58" t="n"/>
      <c r="D11" s="58" t="n"/>
      <c r="E11" s="58" t="n"/>
      <c r="F11" s="58" t="n"/>
      <c r="G11" s="58" t="n"/>
      <c r="H11" s="58" t="n"/>
    </row>
    <row r="12">
      <c r="A12" s="39" t="n"/>
      <c r="B12" s="39" t="n"/>
      <c r="C12" s="39" t="n"/>
      <c r="D12" s="39" t="n"/>
      <c r="E12" s="39" t="n"/>
      <c r="F12" s="39" t="n"/>
      <c r="G12" s="39" t="n"/>
      <c r="H12" s="39" t="n"/>
    </row>
    <row r="13" ht="27" customHeight="1">
      <c r="A13" s="68" t="inlineStr">
        <is>
          <t>B. Extraction control counts (source → extract → working file)</t>
        </is>
      </c>
      <c r="B13" s="39" t="n"/>
      <c r="C13" s="39" t="n"/>
      <c r="D13" s="39" t="n"/>
      <c r="E13" s="39" t="n"/>
      <c r="F13" s="39" t="n"/>
      <c r="G13" s="39" t="n"/>
      <c r="H13" s="39" t="n"/>
    </row>
    <row r="14" ht="21.75" customHeight="1">
      <c r="A14" s="57" t="inlineStr">
        <is>
          <t>Control</t>
        </is>
      </c>
      <c r="B14" s="57" t="inlineStr">
        <is>
          <t>Per source system</t>
        </is>
      </c>
      <c r="C14" s="57" t="inlineStr">
        <is>
          <t>Per raw extract</t>
        </is>
      </c>
      <c r="D14" s="57" t="inlineStr">
        <is>
          <t>Match</t>
        </is>
      </c>
      <c r="E14" s="57" t="inlineStr">
        <is>
          <t>Per working file</t>
        </is>
      </c>
      <c r="F14" s="57" t="inlineStr">
        <is>
          <t>Match</t>
        </is>
      </c>
      <c r="G14" s="57" t="inlineStr">
        <is>
          <t>Comments</t>
        </is>
      </c>
      <c r="H14" s="39" t="n"/>
    </row>
    <row r="15">
      <c r="A15" s="39" t="n"/>
      <c r="B15" s="69" t="inlineStr">
        <is>
          <t>V</t>
        </is>
      </c>
      <c r="C15" s="39" t="n"/>
      <c r="D15" s="39" t="n"/>
      <c r="E15" s="69" t="inlineStr">
        <is>
          <t>F</t>
        </is>
      </c>
      <c r="F15" s="39" t="n"/>
      <c r="G15" s="39" t="n"/>
      <c r="H15" s="39" t="n"/>
    </row>
    <row r="16" ht="27" customHeight="1">
      <c r="A16" s="58" t="inlineStr">
        <is>
          <t>Row / line count</t>
        </is>
      </c>
      <c r="B16" s="70" t="n"/>
      <c r="C16" s="70" t="n"/>
      <c r="D16" s="45">
        <f>IF(OR(B16="",C16=""),"",IF(B16=C16,"Pass","FAIL"))</f>
        <v/>
      </c>
      <c r="E16" s="70" t="n"/>
      <c r="F16" s="45">
        <f>IF(OR(C16="",E16=""),"",IF(C16=E16,"Pass","FAIL"))</f>
        <v/>
      </c>
      <c r="G16" s="58" t="n"/>
      <c r="H16" s="39" t="n"/>
    </row>
    <row r="17" ht="27" customHeight="1">
      <c r="A17" s="58" t="inlineStr">
        <is>
          <t>Total debits</t>
        </is>
      </c>
      <c r="B17" s="71" t="n"/>
      <c r="C17" s="71" t="n"/>
      <c r="D17" s="45">
        <f>IF(OR(B17="",C17=""),"",IF(B17=C17,"Pass","FAIL"))</f>
        <v/>
      </c>
      <c r="E17" s="71" t="n"/>
      <c r="F17" s="45">
        <f>IF(OR(C17="",E17=""),"",IF(C17=E17,"Pass","FAIL"))</f>
        <v/>
      </c>
      <c r="G17" s="58" t="n"/>
      <c r="H17" s="39" t="n"/>
    </row>
    <row r="18" ht="27" customHeight="1">
      <c r="A18" s="58" t="inlineStr">
        <is>
          <t>Total credits</t>
        </is>
      </c>
      <c r="B18" s="71" t="n"/>
      <c r="C18" s="71" t="n"/>
      <c r="D18" s="45">
        <f>IF(OR(B18="",C18=""),"",IF(B18=C18,"Pass","FAIL"))</f>
        <v/>
      </c>
      <c r="E18" s="71" t="n"/>
      <c r="F18" s="45">
        <f>IF(OR(C18="",E18=""),"",IF(C18=E18,"Pass","FAIL"))</f>
        <v/>
      </c>
      <c r="G18" s="58" t="n"/>
      <c r="H18" s="39" t="n"/>
    </row>
    <row r="19" ht="27" customHeight="1">
      <c r="A19" s="72" t="inlineStr">
        <is>
          <t>Debits = credits (working file)</t>
        </is>
      </c>
      <c r="B19" s="58" t="n"/>
      <c r="C19" s="58" t="n"/>
      <c r="D19" s="58" t="n"/>
      <c r="E19" s="73">
        <f>IF(OR(E17="",E18=""),"",IF(ABS(E17-E18)&lt;0.01,"Pass","FAIL"))</f>
        <v/>
      </c>
      <c r="F19" s="58" t="n"/>
      <c r="G19" s="58" t="n"/>
      <c r="H19" s="39" t="n"/>
    </row>
    <row r="20">
      <c r="A20" s="39" t="n"/>
      <c r="B20" s="39" t="n"/>
      <c r="C20" s="39" t="n"/>
      <c r="D20" s="39" t="n"/>
      <c r="E20" s="39" t="n"/>
      <c r="F20" s="39" t="n"/>
      <c r="G20" s="39" t="n"/>
      <c r="H20" s="39" t="n"/>
    </row>
    <row r="21" ht="27" customHeight="1">
      <c r="A21" s="68" t="inlineStr">
        <is>
          <t>C. Data-integrity checks (expected result: 0)</t>
        </is>
      </c>
      <c r="B21" s="39" t="n"/>
      <c r="C21" s="39" t="n"/>
      <c r="D21" s="39" t="n"/>
      <c r="E21" s="39" t="n"/>
      <c r="F21" s="39" t="n"/>
      <c r="G21" s="39" t="n"/>
      <c r="H21" s="39" t="n"/>
    </row>
    <row r="22" ht="21.75" customHeight="1">
      <c r="A22" s="57" t="inlineStr">
        <is>
          <t>Integrity check</t>
        </is>
      </c>
      <c r="B22" s="57" t="inlineStr">
        <is>
          <t>Result (count)</t>
        </is>
      </c>
      <c r="C22" s="57" t="inlineStr">
        <is>
          <t>Expected</t>
        </is>
      </c>
      <c r="D22" s="57" t="inlineStr">
        <is>
          <t>Pass / Fail</t>
        </is>
      </c>
      <c r="E22" s="57" t="inlineStr">
        <is>
          <t>Severity</t>
        </is>
      </c>
      <c r="F22" s="57" t="inlineStr">
        <is>
          <t>Resolution / ET action</t>
        </is>
      </c>
      <c r="G22" s="57" t="inlineStr">
        <is>
          <t>Comments</t>
        </is>
      </c>
      <c r="H22" s="39" t="n"/>
    </row>
    <row r="23" ht="23" customHeight="1">
      <c r="A23" s="74" t="inlineStr">
        <is>
          <t>Unbalanced journal entries (Dr ≠ Cr by JE)</t>
        </is>
      </c>
      <c r="B23" s="70" t="n"/>
      <c r="C23" s="75" t="n">
        <v>0</v>
      </c>
      <c r="D23" s="76">
        <f>IF(B23="","",IF(B23=C23,"Pass","FAIL"))</f>
        <v/>
      </c>
      <c r="E23" s="75" t="inlineStr">
        <is>
          <t>A</t>
        </is>
      </c>
      <c r="F23" s="58" t="n"/>
      <c r="G23" s="58" t="n"/>
      <c r="H23" s="39" t="n"/>
    </row>
    <row r="24">
      <c r="A24" s="74" t="inlineStr">
        <is>
          <t>Records with blank posting dates</t>
        </is>
      </c>
      <c r="B24" s="70" t="n"/>
      <c r="C24" s="75" t="n">
        <v>0</v>
      </c>
      <c r="D24" s="76">
        <f>IF(B24="","",IF(B24=C24,"Pass","FAIL"))</f>
        <v/>
      </c>
      <c r="E24" s="75" t="inlineStr">
        <is>
          <t>A</t>
        </is>
      </c>
      <c r="F24" s="58" t="n"/>
      <c r="G24" s="58" t="n"/>
      <c r="H24" s="39" t="n"/>
    </row>
    <row r="25" ht="23" customHeight="1">
      <c r="A25" s="74" t="inlineStr">
        <is>
          <t>Records with blank GL account numbers</t>
        </is>
      </c>
      <c r="B25" s="70" t="n"/>
      <c r="C25" s="75" t="n">
        <v>0</v>
      </c>
      <c r="D25" s="76">
        <f>IF(B25="","",IF(B25=C25,"Pass","FAIL"))</f>
        <v/>
      </c>
      <c r="E25" s="75" t="inlineStr">
        <is>
          <t>A</t>
        </is>
      </c>
      <c r="F25" s="58" t="n"/>
      <c r="G25" s="58" t="n"/>
      <c r="H25" s="39" t="n"/>
    </row>
    <row r="26">
      <c r="A26" s="74" t="inlineStr">
        <is>
          <t>Records with missing user ID</t>
        </is>
      </c>
      <c r="B26" s="70" t="n"/>
      <c r="C26" s="75" t="n">
        <v>0</v>
      </c>
      <c r="D26" s="76">
        <f>IF(B26="","",IF(B26=C26,"Pass","FAIL"))</f>
        <v/>
      </c>
      <c r="E26" s="75" t="inlineStr">
        <is>
          <t>B</t>
        </is>
      </c>
      <c r="F26" s="58" t="n"/>
      <c r="G26" s="58" t="n"/>
      <c r="H26" s="39" t="n"/>
    </row>
    <row r="27">
      <c r="A27" s="74" t="inlineStr">
        <is>
          <t>Duplicate JE numbers / IDs</t>
        </is>
      </c>
      <c r="B27" s="70" t="n"/>
      <c r="C27" s="75" t="n">
        <v>0</v>
      </c>
      <c r="D27" s="76">
        <f>IF(B27="","",IF(B27=C27,"Pass","FAIL"))</f>
        <v/>
      </c>
      <c r="E27" s="75" t="inlineStr">
        <is>
          <t>B</t>
        </is>
      </c>
      <c r="F27" s="58" t="n"/>
      <c r="G27" s="58" t="n"/>
      <c r="H27" s="39" t="n"/>
    </row>
    <row r="28">
      <c r="A28" s="74" t="inlineStr">
        <is>
          <t>Records dated outside the period</t>
        </is>
      </c>
      <c r="B28" s="70" t="n"/>
      <c r="C28" s="75" t="n">
        <v>0</v>
      </c>
      <c r="D28" s="76">
        <f>IF(B28="","",IF(B28=C28,"Pass","FAIL"))</f>
        <v/>
      </c>
      <c r="E28" s="75" t="inlineStr">
        <is>
          <t>A</t>
        </is>
      </c>
      <c r="F28" s="58" t="n"/>
      <c r="G28" s="58" t="n"/>
      <c r="H28" s="39" t="n"/>
    </row>
    <row r="29">
      <c r="A29" s="74" t="inlineStr">
        <is>
          <t>Records with blank / zero amounts</t>
        </is>
      </c>
      <c r="B29" s="70" t="n"/>
      <c r="C29" s="75" t="n">
        <v>0</v>
      </c>
      <c r="D29" s="76">
        <f>IF(B29="","",IF(B29=C29,"Pass","FAIL"))</f>
        <v/>
      </c>
      <c r="E29" s="75" t="inlineStr">
        <is>
          <t>C</t>
        </is>
      </c>
      <c r="F29" s="58" t="n"/>
      <c r="G29" s="58" t="n"/>
      <c r="H29" s="39" t="n"/>
    </row>
    <row r="30" ht="23" customHeight="1">
      <c r="A30" s="74" t="inlineStr">
        <is>
          <t>JE headers without detail lines (orphans)</t>
        </is>
      </c>
      <c r="B30" s="70" t="n"/>
      <c r="C30" s="75" t="n">
        <v>0</v>
      </c>
      <c r="D30" s="76">
        <f>IF(B30="","",IF(B30=C30,"Pass","FAIL"))</f>
        <v/>
      </c>
      <c r="E30" s="75" t="inlineStr">
        <is>
          <t>B</t>
        </is>
      </c>
      <c r="F30" s="58" t="n"/>
      <c r="G30" s="58" t="n"/>
      <c r="H30" s="39" t="n"/>
    </row>
    <row r="31">
      <c r="A31" s="39" t="n"/>
      <c r="B31" s="39" t="n"/>
      <c r="C31" s="39" t="n"/>
      <c r="D31" s="39" t="n"/>
      <c r="E31" s="39" t="n"/>
      <c r="F31" s="39" t="n"/>
      <c r="G31" s="39" t="n"/>
      <c r="H31" s="39" t="n"/>
    </row>
    <row r="32" ht="27" customHeight="1">
      <c r="A32" s="68" t="inlineStr">
        <is>
          <t>D. Expected-volume reasonableness (population plausibility)</t>
        </is>
      </c>
      <c r="B32" s="39" t="n"/>
      <c r="C32" s="39" t="n"/>
      <c r="D32" s="39" t="n"/>
      <c r="E32" s="39" t="n"/>
      <c r="F32" s="39" t="n"/>
      <c r="G32" s="39" t="n"/>
      <c r="H32" s="39" t="n"/>
    </row>
    <row r="33">
      <c r="A33" s="39" t="n"/>
      <c r="B33" s="39" t="n"/>
      <c r="C33" s="39" t="n"/>
      <c r="D33" s="39" t="n"/>
      <c r="E33" s="39" t="n"/>
      <c r="F33" s="39" t="n"/>
      <c r="G33" s="39" t="n"/>
      <c r="H33" s="39" t="n"/>
    </row>
    <row r="34" ht="27" customHeight="1">
      <c r="A34" s="45" t="inlineStr">
        <is>
          <t>Expected entries per month (basis: inquiry / PY / industry)</t>
        </is>
      </c>
      <c r="B34" s="70" t="n"/>
      <c r="C34" s="39" t="n"/>
      <c r="D34" s="39" t="n"/>
      <c r="E34" s="39" t="n"/>
      <c r="F34" s="39" t="n"/>
      <c r="G34" s="39" t="n"/>
      <c r="H34" s="39" t="n"/>
    </row>
    <row r="35">
      <c r="A35" s="58" t="inlineStr">
        <is>
          <t>Months in period</t>
        </is>
      </c>
      <c r="B35" s="77" t="n"/>
      <c r="C35" s="39" t="n"/>
      <c r="D35" s="39" t="n"/>
      <c r="E35" s="39" t="n"/>
      <c r="F35" s="39" t="n"/>
      <c r="G35" s="39" t="n"/>
      <c r="H35" s="39" t="n"/>
    </row>
    <row r="36" ht="27" customHeight="1">
      <c r="A36" s="72" t="inlineStr">
        <is>
          <t>Expected total entries</t>
        </is>
      </c>
      <c r="B36" s="78">
        <f>IF(OR(B34="",B35=""),"",B34*B35)</f>
        <v/>
      </c>
      <c r="C36" s="39" t="n"/>
      <c r="D36" s="39" t="n"/>
      <c r="E36" s="39" t="n"/>
      <c r="F36" s="39" t="n"/>
      <c r="G36" s="39" t="n"/>
      <c r="H36" s="39" t="n"/>
    </row>
    <row r="37" ht="27" customHeight="1">
      <c r="A37" s="45" t="inlineStr">
        <is>
          <t>Actual entries in population (per B row count)</t>
        </is>
      </c>
      <c r="B37" s="70" t="n"/>
      <c r="C37" s="39" t="n"/>
      <c r="D37" s="39" t="n"/>
      <c r="E37" s="39" t="n"/>
      <c r="F37" s="39" t="n"/>
      <c r="G37" s="39" t="n"/>
      <c r="H37" s="39" t="n"/>
    </row>
    <row r="38" ht="27" customHeight="1">
      <c r="A38" s="79" t="inlineStr">
        <is>
          <t>Variance</t>
        </is>
      </c>
      <c r="B38" s="78">
        <f>IF(OR(B36="",B37=""),"",B37-B36)</f>
        <v/>
      </c>
      <c r="C38" s="39" t="n"/>
      <c r="D38" s="39" t="n"/>
      <c r="E38" s="39" t="n"/>
      <c r="F38" s="39" t="n"/>
      <c r="G38" s="39" t="n"/>
      <c r="H38" s="39" t="n"/>
    </row>
    <row r="39" ht="27" customHeight="1">
      <c r="A39" s="45" t="inlineStr">
        <is>
          <t>Population plausible? (Y/N) — investigate implausibly low volumes</t>
        </is>
      </c>
      <c r="B39" s="58" t="n"/>
      <c r="C39" s="39" t="n"/>
      <c r="D39" s="39" t="n"/>
      <c r="E39" s="39" t="n"/>
      <c r="F39" s="39" t="n"/>
      <c r="G39" s="39" t="n"/>
      <c r="H39" s="39" t="n"/>
    </row>
    <row r="40">
      <c r="A40" s="39" t="n"/>
      <c r="B40" s="39" t="n"/>
      <c r="C40" s="39" t="n"/>
      <c r="D40" s="39" t="n"/>
      <c r="E40" s="39" t="n"/>
      <c r="F40" s="39" t="n"/>
      <c r="G40" s="39" t="n"/>
      <c r="H40" s="39" t="n"/>
    </row>
    <row r="41">
      <c r="A41" s="68" t="inlineStr">
        <is>
          <t>E. Automated vs manual profile</t>
        </is>
      </c>
      <c r="B41" s="39" t="n"/>
      <c r="C41" s="39" t="n"/>
      <c r="D41" s="39" t="n"/>
      <c r="E41" s="39" t="n"/>
      <c r="F41" s="39" t="n"/>
      <c r="G41" s="39" t="n"/>
      <c r="H41" s="39" t="n"/>
    </row>
    <row r="42" ht="21.75" customHeight="1">
      <c r="A42" s="57" t="inlineStr">
        <is>
          <t>Source / entry type</t>
        </is>
      </c>
      <c r="B42" s="57" t="inlineStr">
        <is>
          <t>Count</t>
        </is>
      </c>
      <c r="C42" s="57" t="inlineStr">
        <is>
          <t>Debits</t>
        </is>
      </c>
      <c r="D42" s="57" t="inlineStr">
        <is>
          <t>Credits</t>
        </is>
      </c>
      <c r="E42" s="57" t="inlineStr">
        <is>
          <t>% of count</t>
        </is>
      </c>
      <c r="F42" s="57" t="inlineStr">
        <is>
          <t>Comments</t>
        </is>
      </c>
      <c r="G42" s="39" t="n"/>
      <c r="H42" s="39" t="n"/>
    </row>
    <row r="43" ht="27" customHeight="1">
      <c r="A43" s="45" t="inlineStr">
        <is>
          <t>System-generated / automated</t>
        </is>
      </c>
      <c r="B43" s="70" t="n"/>
      <c r="C43" s="71" t="n"/>
      <c r="D43" s="71" t="n"/>
      <c r="E43" s="80">
        <f>IF(OR(B43="",$B$48="",$B$48=0),"",B43/$B$48)</f>
        <v/>
      </c>
      <c r="F43" s="58" t="n"/>
      <c r="G43" s="39" t="n"/>
      <c r="H43" s="39" t="n"/>
    </row>
    <row r="44" ht="27" customHeight="1">
      <c r="A44" s="45" t="inlineStr">
        <is>
          <t>Automated interface / subledger post</t>
        </is>
      </c>
      <c r="B44" s="70" t="n"/>
      <c r="C44" s="71" t="n"/>
      <c r="D44" s="71" t="n"/>
      <c r="E44" s="80">
        <f>IF(OR(B44="",$B$48="",$B$48=0),"",B44/$B$48)</f>
        <v/>
      </c>
      <c r="F44" s="58" t="n"/>
      <c r="G44" s="39" t="n"/>
      <c r="H44" s="39" t="n"/>
    </row>
    <row r="45" ht="27" customHeight="1">
      <c r="A45" s="58" t="inlineStr">
        <is>
          <t>Manual — standard</t>
        </is>
      </c>
      <c r="B45" s="70" t="n"/>
      <c r="C45" s="71" t="n"/>
      <c r="D45" s="71" t="n"/>
      <c r="E45" s="80">
        <f>IF(OR(B45="",$B$48="",$B$48=0),"",B45/$B$48)</f>
        <v/>
      </c>
      <c r="F45" s="58" t="n"/>
      <c r="G45" s="39" t="n"/>
      <c r="H45" s="39" t="n"/>
    </row>
    <row r="46" ht="27" customHeight="1">
      <c r="A46" s="45" t="inlineStr">
        <is>
          <t>Manual — top-side / adjusting</t>
        </is>
      </c>
      <c r="B46" s="70" t="n"/>
      <c r="C46" s="71" t="n"/>
      <c r="D46" s="71" t="n"/>
      <c r="E46" s="80">
        <f>IF(OR(B46="",$B$48="",$B$48=0),"",B46/$B$48)</f>
        <v/>
      </c>
      <c r="F46" s="58" t="n"/>
      <c r="G46" s="39" t="n"/>
      <c r="H46" s="39" t="n"/>
    </row>
    <row r="47" ht="27" customHeight="1">
      <c r="A47" s="58" t="inlineStr">
        <is>
          <t>Other</t>
        </is>
      </c>
      <c r="B47" s="70" t="n"/>
      <c r="C47" s="71" t="n"/>
      <c r="D47" s="71" t="n"/>
      <c r="E47" s="80">
        <f>IF(OR(B47="",$B$48="",$B$48=0),"",B47/$B$48)</f>
        <v/>
      </c>
      <c r="F47" s="58" t="n"/>
      <c r="G47" s="39" t="n"/>
      <c r="H47" s="39" t="n"/>
    </row>
    <row r="48">
      <c r="A48" s="81" t="inlineStr">
        <is>
          <t>Total</t>
        </is>
      </c>
      <c r="B48" s="82">
        <f>SUM(B43:B47)</f>
        <v/>
      </c>
      <c r="C48" s="83">
        <f>SUM(C43:C47)</f>
        <v/>
      </c>
      <c r="D48" s="83">
        <f>SUM(D43:D47)</f>
        <v/>
      </c>
      <c r="E48" s="81" t="n"/>
      <c r="F48" s="81" t="n"/>
      <c r="G48" s="39" t="n"/>
      <c r="H48" s="39" t="n"/>
    </row>
    <row r="49">
      <c r="A49" s="39" t="n"/>
      <c r="B49" s="39" t="n"/>
      <c r="C49" s="39" t="n"/>
      <c r="D49" s="39" t="n"/>
      <c r="E49" s="39" t="n"/>
      <c r="F49" s="39" t="n"/>
      <c r="G49" s="39" t="n"/>
      <c r="H49" s="39" t="n"/>
    </row>
    <row r="50" ht="27.75" customHeight="1">
      <c r="A50" s="41" t="inlineStr">
        <is>
          <t>Control counts must tie at every hop — source system report totals → raw extract → the working file used for testing. Any FAIL or integrity exception is resolved (and the extraction re-run) before the population is relied on. An implausibly low entry count (e.g., one entry for a full year) fails the plausibility check — request the complete detail.</t>
        </is>
      </c>
      <c r="B50" s="39" t="n"/>
      <c r="C50" s="39" t="n"/>
      <c r="D50" s="39" t="n"/>
      <c r="E50" s="39" t="n"/>
      <c r="F50" s="39" t="n"/>
      <c r="G50" s="39" t="n"/>
      <c r="H50" s="39" t="n"/>
    </row>
    <row r="51">
      <c r="A51" s="39" t="n"/>
      <c r="B51" s="39" t="n"/>
      <c r="C51" s="39" t="n"/>
      <c r="D51" s="39" t="n"/>
      <c r="E51" s="39" t="n"/>
      <c r="F51" s="39" t="n"/>
      <c r="G51" s="39" t="n"/>
      <c r="H51" s="39" t="n"/>
    </row>
    <row r="52">
      <c r="A52" s="55" t="inlineStr">
        <is>
          <t>TM Legends</t>
        </is>
      </c>
      <c r="B52" s="39" t="n"/>
      <c r="C52" s="39" t="n"/>
      <c r="D52" s="39" t="n"/>
      <c r="E52" s="39" t="n"/>
      <c r="F52" s="39" t="n"/>
      <c r="G52" s="39" t="n"/>
      <c r="H52" s="39" t="n"/>
    </row>
    <row r="53">
      <c r="A53" s="59" t="inlineStr">
        <is>
          <t>TB</t>
        </is>
      </c>
      <c r="B53" s="45" t="inlineStr">
        <is>
          <t>Agreed to trial balance</t>
        </is>
      </c>
      <c r="C53" s="60" t="n"/>
      <c r="D53" s="61" t="n"/>
      <c r="E53" s="39" t="n"/>
      <c r="F53" s="39" t="n"/>
      <c r="G53" s="39" t="n"/>
      <c r="H53" s="39" t="n"/>
    </row>
    <row r="54">
      <c r="A54" s="59" t="inlineStr">
        <is>
          <t>GL</t>
        </is>
      </c>
      <c r="B54" s="45" t="inlineStr">
        <is>
          <t>Agreed to general ledger</t>
        </is>
      </c>
      <c r="C54" s="60" t="n"/>
      <c r="D54" s="61" t="n"/>
      <c r="E54" s="39" t="n"/>
      <c r="F54" s="39" t="n"/>
      <c r="G54" s="39" t="n"/>
      <c r="H54" s="39" t="n"/>
    </row>
    <row r="55">
      <c r="A55" s="59" t="inlineStr">
        <is>
          <t>CF</t>
        </is>
      </c>
      <c r="B55" s="45" t="inlineStr">
        <is>
          <t>Confirmed with third party</t>
        </is>
      </c>
      <c r="C55" s="60" t="n"/>
      <c r="D55" s="61" t="n"/>
      <c r="E55" s="39" t="n"/>
      <c r="F55" s="39" t="n"/>
      <c r="G55" s="39" t="n"/>
      <c r="H55" s="39" t="n"/>
    </row>
    <row r="56">
      <c r="A56" s="59" t="inlineStr">
        <is>
          <t>V</t>
        </is>
      </c>
      <c r="B56" s="45" t="inlineStr">
        <is>
          <t>Vouched to source document</t>
        </is>
      </c>
      <c r="C56" s="60" t="n"/>
      <c r="D56" s="61" t="n"/>
      <c r="E56" s="39" t="n"/>
      <c r="F56" s="39" t="n"/>
      <c r="G56" s="39" t="n"/>
      <c r="H56" s="39" t="n"/>
    </row>
    <row r="57">
      <c r="A57" s="59" t="inlineStr">
        <is>
          <t>SR</t>
        </is>
      </c>
      <c r="B57" s="45" t="inlineStr">
        <is>
          <t>Agreed to subsequent bank-cleared receipt</t>
        </is>
      </c>
      <c r="C57" s="60" t="n"/>
      <c r="D57" s="61" t="n"/>
      <c r="E57" s="39" t="n"/>
      <c r="F57" s="39" t="n"/>
      <c r="G57" s="39" t="n"/>
      <c r="H57" s="39" t="n"/>
    </row>
    <row r="58">
      <c r="A58" s="59" t="inlineStr">
        <is>
          <t>R</t>
        </is>
      </c>
      <c r="B58" s="45" t="inlineStr">
        <is>
          <t>Recalculated independently</t>
        </is>
      </c>
      <c r="C58" s="60" t="n"/>
      <c r="D58" s="61" t="n"/>
      <c r="E58" s="39" t="n"/>
      <c r="F58" s="39" t="n"/>
      <c r="G58" s="39" t="n"/>
      <c r="H58" s="39" t="n"/>
    </row>
    <row r="59">
      <c r="A59" s="59" t="inlineStr">
        <is>
          <t>F</t>
        </is>
      </c>
      <c r="B59" s="45" t="inlineStr">
        <is>
          <t>Footed / cross-cast</t>
        </is>
      </c>
      <c r="C59" s="60" t="n"/>
      <c r="D59" s="61" t="n"/>
      <c r="E59" s="39" t="n"/>
      <c r="F59" s="39" t="n"/>
      <c r="G59" s="39" t="n"/>
      <c r="H59" s="39" t="n"/>
    </row>
    <row r="60">
      <c r="A60" s="59" t="inlineStr">
        <is>
          <t>T</t>
        </is>
      </c>
      <c r="B60" s="45" t="inlineStr">
        <is>
          <t>Traced to downstream record</t>
        </is>
      </c>
      <c r="C60" s="60" t="n"/>
      <c r="D60" s="61" t="n"/>
      <c r="E60" s="39" t="n"/>
      <c r="F60" s="39" t="n"/>
      <c r="G60" s="39" t="n"/>
      <c r="H60" s="39" t="n"/>
    </row>
    <row r="61">
      <c r="A61" s="59" t="inlineStr">
        <is>
          <t>PBC</t>
        </is>
      </c>
      <c r="B61" s="45" t="inlineStr">
        <is>
          <t>Prepared by client</t>
        </is>
      </c>
      <c r="C61" s="60" t="n"/>
      <c r="D61" s="61" t="n"/>
      <c r="E61" s="39" t="n"/>
      <c r="F61" s="39" t="n"/>
      <c r="G61" s="39" t="n"/>
      <c r="H61" s="39" t="n"/>
    </row>
    <row r="62">
      <c r="A62" s="39" t="n"/>
      <c r="B62" s="39" t="n"/>
      <c r="C62" s="39" t="n"/>
      <c r="D62" s="39" t="n"/>
      <c r="E62" s="39" t="n"/>
      <c r="F62" s="39" t="n"/>
      <c r="G62" s="39" t="n"/>
      <c r="H62" s="39" t="n"/>
    </row>
    <row r="63" ht="27.75" customHeight="1">
      <c r="A63" s="41" t="inlineStr">
        <is>
          <t>Before sign-off complete Library Procedures 2-6 (systems &amp; scope; control counts; integrity checks; volume plausibility; automated/manual profile).</t>
        </is>
      </c>
      <c r="B63" s="39" t="n"/>
      <c r="C63" s="39" t="n"/>
      <c r="D63" s="39" t="n"/>
      <c r="E63" s="39" t="n"/>
      <c r="F63" s="39" t="n"/>
      <c r="G63" s="39" t="n"/>
      <c r="H63" s="39" t="n"/>
    </row>
  </sheetData>
  <mergeCells count="14">
    <mergeCell ref="A50:H50"/>
    <mergeCell ref="B55:D55"/>
    <mergeCell ref="B59:D59"/>
    <mergeCell ref="B60:D60"/>
    <mergeCell ref="B61:D61"/>
    <mergeCell ref="B57:D57"/>
    <mergeCell ref="B4:H4"/>
    <mergeCell ref="A63:H63"/>
    <mergeCell ref="B58:D58"/>
    <mergeCell ref="B56:D56"/>
    <mergeCell ref="B6:H6"/>
    <mergeCell ref="B53:D53"/>
    <mergeCell ref="B5:H5"/>
    <mergeCell ref="B54:D54"/>
  </mergeCells>
  <printOptions horizontalCentered="0" verticalCentered="0"/>
  <pageMargins left="0.25" right="0.25" top="0.5" bottom="0.5" header="0.2" footer="0.2"/>
  <pageSetup orientation="portrait" paperSize="1" fitToHeight="0" fitToWidth="1" horizontalDpi="300" verticalDpi="300"/>
</worksheet>
</file>

<file path=xl/worksheets/sheet4.xml><?xml version="1.0" encoding="utf-8"?>
<worksheet xmlns="http://schemas.openxmlformats.org/spreadsheetml/2006/main">
  <sheetPr>
    <outlinePr summaryBelow="1" summaryRight="1"/>
    <pageSetUpPr autoPageBreaks="0" fitToPage="1"/>
  </sheetPr>
  <dimension ref="A1:K75"/>
  <sheetViews>
    <sheetView showGridLines="0" zoomScale="90" zoomScaleNormal="100" workbookViewId="0">
      <pane xSplit="1" ySplit="7" topLeftCell="B8" activePane="bottomRight" state="frozen"/>
      <selection pane="topRight"/>
      <selection pane="bottomLeft"/>
      <selection pane="bottomRight" activeCell="D1" sqref="D1"/>
      <selection pane="bottomLeft" activeCell="A9" sqref="A9"/>
      <selection pane="bottomRight" activeCell="B9" sqref="B9"/>
    </sheetView>
  </sheetViews>
  <sheetFormatPr baseColWidth="8" defaultColWidth="8.6328125" defaultRowHeight="14.5"/>
  <cols>
    <col width="42" customWidth="1" min="1" max="1"/>
    <col width="28.35" customWidth="1" min="2" max="2"/>
    <col width="11" customWidth="1" min="3" max="3"/>
    <col width="37.7" customWidth="1" min="4" max="4"/>
    <col width="23.25" customWidth="1" min="5" max="7"/>
    <col width="42" customWidth="1" min="6" max="6"/>
    <col width="23.25" customWidth="1" min="7" max="7"/>
    <col width="37.7" customWidth="1" min="8" max="8"/>
    <col width="19" customWidth="1" min="9" max="9"/>
    <col width="42" customWidth="1" min="10" max="10"/>
    <col width="22" customWidth="1" min="11" max="11"/>
  </cols>
  <sheetData>
    <row r="1" ht="27" customHeight="1">
      <c r="A1" s="38" t="inlineStr">
        <is>
          <t>Completeness Rollforward (PY TB + JE Activity = CY TB)</t>
        </is>
      </c>
      <c r="B1" s="39" t="n"/>
      <c r="C1" s="39" t="n"/>
      <c r="D1" s="39" t="n"/>
      <c r="E1" s="39" t="n"/>
      <c r="F1" s="39" t="n"/>
      <c r="G1" s="39" t="n"/>
      <c r="H1" s="39" t="n"/>
      <c r="I1" s="39" t="n"/>
      <c r="J1" s="39" t="n"/>
      <c r="K1" s="39" t="n"/>
    </row>
    <row r="2" ht="27" customHeight="1">
      <c r="A2" s="50" t="inlineStr">
        <is>
          <t>Client / Entity</t>
        </is>
      </c>
      <c r="B2" s="40" t="inlineStr">
        <is>
          <t>Quoxmark Personnel Network, LLC</t>
        </is>
      </c>
      <c r="C2" s="39" t="n"/>
      <c r="D2" s="50" t="inlineStr">
        <is>
          <t>Year-End</t>
        </is>
      </c>
      <c r="E2" s="51" t="n">
        <v>46022</v>
      </c>
      <c r="F2" s="39" t="n"/>
      <c r="G2" s="50" t="inlineStr">
        <is>
          <t>Currency</t>
        </is>
      </c>
      <c r="H2" s="52" t="inlineStr">
        <is>
          <t>USD</t>
        </is>
      </c>
      <c r="I2" s="39" t="n"/>
      <c r="J2" s="39" t="n"/>
      <c r="K2" s="39" t="n"/>
    </row>
    <row r="3" ht="27" customHeight="1">
      <c r="A3" s="53" t="inlineStr">
        <is>
          <t>Performance Materiality</t>
        </is>
      </c>
      <c r="B3" s="54" t="n">
        <v>25000</v>
      </c>
      <c r="C3" s="39" t="n"/>
      <c r="D3" s="53" t="inlineStr">
        <is>
          <t>Tolerable misstatement / testing threshold</t>
        </is>
      </c>
      <c r="E3" s="54" t="n">
        <v>18800</v>
      </c>
      <c r="F3" s="39" t="n"/>
      <c r="G3" s="39" t="n"/>
      <c r="H3" s="39" t="n"/>
      <c r="I3" s="39" t="n"/>
      <c r="J3" s="39" t="n"/>
      <c r="K3" s="39" t="n"/>
    </row>
    <row r="4" ht="42" customHeight="1">
      <c r="A4" s="84" t="inlineStr">
        <is>
          <t>Purpose:</t>
        </is>
      </c>
      <c r="B4" s="65" t="inlineStr">
        <is>
          <t>Prove the journal-entry population is complete: for every GL account, opening balance per the prior-year audited TB (P&amp;L accounts cleared to retained earnings) plus the JE activity per the population equals the client's closing TB — variance zero.</t>
        </is>
      </c>
      <c r="C4" s="66" t="n"/>
      <c r="D4" s="66" t="n"/>
      <c r="E4" s="66" t="n"/>
      <c r="F4" s="66" t="n"/>
      <c r="G4" s="66" t="n"/>
      <c r="H4" s="66" t="n"/>
      <c r="I4" s="66" t="n"/>
      <c r="J4" s="66" t="n"/>
      <c r="K4" s="67" t="n"/>
    </row>
    <row r="5" ht="27.75" customHeight="1">
      <c r="A5" s="84" t="inlineStr">
        <is>
          <t>Scope:</t>
        </is>
      </c>
      <c r="B5" s="65" t="inlineStr">
        <is>
          <t>Every GL account on the trial balance; activity summed from the full JE population validated on &lt;.1&gt;.</t>
        </is>
      </c>
      <c r="C5" s="66" t="n"/>
      <c r="D5" s="66" t="n"/>
      <c r="E5" s="66" t="n"/>
      <c r="F5" s="66" t="n"/>
      <c r="G5" s="66" t="n"/>
      <c r="H5" s="66" t="n"/>
      <c r="I5" s="66" t="n"/>
      <c r="J5" s="66" t="n"/>
      <c r="K5" s="67" t="n"/>
    </row>
    <row r="6" ht="15" customHeight="1">
      <c r="A6" s="84" t="inlineStr">
        <is>
          <t>Assertions:</t>
        </is>
      </c>
      <c r="B6" s="65" t="inlineStr">
        <is>
          <t>Completeness; Accuracy</t>
        </is>
      </c>
      <c r="C6" s="66" t="n"/>
      <c r="D6" s="66" t="n"/>
      <c r="E6" s="66" t="n"/>
      <c r="F6" s="66" t="n"/>
      <c r="G6" s="66" t="n"/>
      <c r="H6" s="66" t="n"/>
      <c r="I6" s="66" t="n"/>
      <c r="J6" s="66" t="n"/>
      <c r="K6" s="67" t="n"/>
    </row>
    <row r="7" ht="39.75" customHeight="1">
      <c r="A7" s="85" t="inlineStr">
        <is>
          <t>FS mapping</t>
        </is>
      </c>
      <c r="B7" s="85" t="inlineStr">
        <is>
          <t>BS or PL</t>
        </is>
      </c>
      <c r="C7" s="85" t="inlineStr">
        <is>
          <t>GL account</t>
        </is>
      </c>
      <c r="D7" s="85" t="inlineStr">
        <is>
          <t>Account description</t>
        </is>
      </c>
      <c r="E7" s="85" t="inlineStr">
        <is>
          <t>Opening per PY audited TB</t>
        </is>
      </c>
      <c r="F7" s="85" t="inlineStr">
        <is>
          <t>Opening for rollforward (PL cleared to RE)</t>
        </is>
      </c>
      <c r="G7" s="85" t="inlineStr">
        <is>
          <t>JE activity (per JE data)</t>
        </is>
      </c>
      <c r="H7" s="85" t="inlineStr">
        <is>
          <t>Recalculated ending (= opening + activity)</t>
        </is>
      </c>
      <c r="I7" s="85" t="inlineStr">
        <is>
          <t>Ending per client TB</t>
        </is>
      </c>
      <c r="J7" s="85" t="inlineStr">
        <is>
          <t>Variance</t>
        </is>
      </c>
      <c r="K7" s="85" t="inlineStr">
        <is>
          <t>Comments</t>
        </is>
      </c>
    </row>
    <row r="8">
      <c r="A8" s="39" t="n"/>
      <c r="B8" s="39" t="n"/>
      <c r="C8" s="39" t="n"/>
      <c r="D8" s="39" t="n"/>
      <c r="E8" s="69" t="inlineStr">
        <is>
          <t>PY</t>
        </is>
      </c>
      <c r="F8" s="39" t="n"/>
      <c r="G8" s="69" t="inlineStr">
        <is>
          <t>T</t>
        </is>
      </c>
      <c r="H8" s="39" t="n"/>
      <c r="I8" s="69" t="inlineStr">
        <is>
          <t>TB</t>
        </is>
      </c>
      <c r="J8" s="69" t="inlineStr">
        <is>
          <t>R</t>
        </is>
      </c>
      <c r="K8" s="39" t="n"/>
    </row>
    <row r="9" ht="27" customHeight="1">
      <c r="A9" s="58" t="n"/>
      <c r="B9" s="58" t="n"/>
      <c r="C9" s="58" t="n"/>
      <c r="D9" s="58" t="n"/>
      <c r="E9" s="71" t="n"/>
      <c r="F9" s="86">
        <f>IF(B9="","",IF(OR(B9="PL",B9="P&amp;L"),0,IF(E9="",0,E9)))</f>
        <v/>
      </c>
      <c r="G9" s="71" t="n"/>
      <c r="H9" s="86">
        <f>IF(F9="","",F9+IF(G9="",0,G9))</f>
        <v/>
      </c>
      <c r="I9" s="71" t="n"/>
      <c r="J9" s="86">
        <f>IF(OR(H9="",I9=""),"",H9-I9)</f>
        <v/>
      </c>
      <c r="K9" s="58" t="n"/>
    </row>
    <row r="10" ht="27" customHeight="1">
      <c r="A10" s="58" t="n"/>
      <c r="B10" s="58" t="n"/>
      <c r="C10" s="58" t="n"/>
      <c r="D10" s="58" t="n"/>
      <c r="E10" s="71" t="n"/>
      <c r="F10" s="86">
        <f>IF(B10="","",IF(OR(B10="PL",B10="P&amp;L"),0,IF(E10="",0,E10)))</f>
        <v/>
      </c>
      <c r="G10" s="71" t="n"/>
      <c r="H10" s="86">
        <f>IF(F10="","",F10+IF(G10="",0,G10))</f>
        <v/>
      </c>
      <c r="I10" s="71" t="n"/>
      <c r="J10" s="86">
        <f>IF(OR(H10="",I10=""),"",H10-I10)</f>
        <v/>
      </c>
      <c r="K10" s="58" t="n"/>
    </row>
    <row r="11" ht="27" customHeight="1">
      <c r="A11" s="58" t="n"/>
      <c r="B11" s="58" t="n"/>
      <c r="C11" s="58" t="n"/>
      <c r="D11" s="58" t="n"/>
      <c r="E11" s="71" t="n"/>
      <c r="F11" s="86">
        <f>IF(B11="","",IF(OR(B11="PL",B11="P&amp;L"),0,IF(E11="",0,E11)))</f>
        <v/>
      </c>
      <c r="G11" s="71" t="n"/>
      <c r="H11" s="86">
        <f>IF(F11="","",F11+IF(G11="",0,G11))</f>
        <v/>
      </c>
      <c r="I11" s="71" t="n"/>
      <c r="J11" s="86">
        <f>IF(OR(H11="",I11=""),"",H11-I11)</f>
        <v/>
      </c>
      <c r="K11" s="58" t="n"/>
    </row>
    <row r="12" ht="27" customHeight="1">
      <c r="A12" s="58" t="n"/>
      <c r="B12" s="58" t="n"/>
      <c r="C12" s="58" t="n"/>
      <c r="D12" s="58" t="n"/>
      <c r="E12" s="71" t="n"/>
      <c r="F12" s="86">
        <f>IF(B12="","",IF(OR(B12="PL",B12="P&amp;L"),0,IF(E12="",0,E12)))</f>
        <v/>
      </c>
      <c r="G12" s="71" t="n"/>
      <c r="H12" s="86">
        <f>IF(F12="","",F12+IF(G12="",0,G12))</f>
        <v/>
      </c>
      <c r="I12" s="71" t="n"/>
      <c r="J12" s="86">
        <f>IF(OR(H12="",I12=""),"",H12-I12)</f>
        <v/>
      </c>
      <c r="K12" s="58" t="n"/>
    </row>
    <row r="13" ht="27" customHeight="1">
      <c r="A13" s="58" t="n"/>
      <c r="B13" s="58" t="n"/>
      <c r="C13" s="58" t="n"/>
      <c r="D13" s="58" t="n"/>
      <c r="E13" s="71" t="n"/>
      <c r="F13" s="86">
        <f>IF(B13="","",IF(OR(B13="PL",B13="P&amp;L"),0,IF(E13="",0,E13)))</f>
        <v/>
      </c>
      <c r="G13" s="71" t="n"/>
      <c r="H13" s="86">
        <f>IF(F13="","",F13+IF(G13="",0,G13))</f>
        <v/>
      </c>
      <c r="I13" s="71" t="n"/>
      <c r="J13" s="86">
        <f>IF(OR(H13="",I13=""),"",H13-I13)</f>
        <v/>
      </c>
      <c r="K13" s="58" t="n"/>
    </row>
    <row r="14" ht="27" customHeight="1">
      <c r="A14" s="58" t="n"/>
      <c r="B14" s="58" t="n"/>
      <c r="C14" s="58" t="n"/>
      <c r="D14" s="58" t="n"/>
      <c r="E14" s="71" t="n"/>
      <c r="F14" s="86">
        <f>IF(B14="","",IF(OR(B14="PL",B14="P&amp;L"),0,IF(E14="",0,E14)))</f>
        <v/>
      </c>
      <c r="G14" s="71" t="n"/>
      <c r="H14" s="86">
        <f>IF(F14="","",F14+IF(G14="",0,G14))</f>
        <v/>
      </c>
      <c r="I14" s="71" t="n"/>
      <c r="J14" s="86">
        <f>IF(OR(H14="",I14=""),"",H14-I14)</f>
        <v/>
      </c>
      <c r="K14" s="58" t="n"/>
    </row>
    <row r="15" ht="27" customHeight="1">
      <c r="A15" s="58" t="n"/>
      <c r="B15" s="58" t="n"/>
      <c r="C15" s="58" t="n"/>
      <c r="D15" s="58" t="n"/>
      <c r="E15" s="71" t="n"/>
      <c r="F15" s="86">
        <f>IF(B15="","",IF(OR(B15="PL",B15="P&amp;L"),0,IF(E15="",0,E15)))</f>
        <v/>
      </c>
      <c r="G15" s="71" t="n"/>
      <c r="H15" s="86">
        <f>IF(F15="","",F15+IF(G15="",0,G15))</f>
        <v/>
      </c>
      <c r="I15" s="71" t="n"/>
      <c r="J15" s="86">
        <f>IF(OR(H15="",I15=""),"",H15-I15)</f>
        <v/>
      </c>
      <c r="K15" s="58" t="n"/>
    </row>
    <row r="16" ht="27" customHeight="1">
      <c r="A16" s="58" t="n"/>
      <c r="B16" s="58" t="n"/>
      <c r="C16" s="58" t="n"/>
      <c r="D16" s="58" t="n"/>
      <c r="E16" s="71" t="n"/>
      <c r="F16" s="86">
        <f>IF(B16="","",IF(OR(B16="PL",B16="P&amp;L"),0,IF(E16="",0,E16)))</f>
        <v/>
      </c>
      <c r="G16" s="71" t="n"/>
      <c r="H16" s="86">
        <f>IF(F16="","",F16+IF(G16="",0,G16))</f>
        <v/>
      </c>
      <c r="I16" s="71" t="n"/>
      <c r="J16" s="86">
        <f>IF(OR(H16="",I16=""),"",H16-I16)</f>
        <v/>
      </c>
      <c r="K16" s="58" t="n"/>
    </row>
    <row r="17" ht="27" customHeight="1">
      <c r="A17" s="58" t="n"/>
      <c r="B17" s="58" t="n"/>
      <c r="C17" s="58" t="n"/>
      <c r="D17" s="58" t="n"/>
      <c r="E17" s="71" t="n"/>
      <c r="F17" s="86">
        <f>IF(B17="","",IF(OR(B17="PL",B17="P&amp;L"),0,IF(E17="",0,E17)))</f>
        <v/>
      </c>
      <c r="G17" s="71" t="n"/>
      <c r="H17" s="86">
        <f>IF(F17="","",F17+IF(G17="",0,G17))</f>
        <v/>
      </c>
      <c r="I17" s="71" t="n"/>
      <c r="J17" s="86">
        <f>IF(OR(H17="",I17=""),"",H17-I17)</f>
        <v/>
      </c>
      <c r="K17" s="58" t="n"/>
    </row>
    <row r="18" ht="27" customHeight="1">
      <c r="A18" s="58" t="n"/>
      <c r="B18" s="58" t="n"/>
      <c r="C18" s="58" t="n"/>
      <c r="D18" s="58" t="n"/>
      <c r="E18" s="71" t="n"/>
      <c r="F18" s="86">
        <f>IF(B18="","",IF(OR(B18="PL",B18="P&amp;L"),0,IF(E18="",0,E18)))</f>
        <v/>
      </c>
      <c r="G18" s="71" t="n"/>
      <c r="H18" s="86">
        <f>IF(F18="","",F18+IF(G18="",0,G18))</f>
        <v/>
      </c>
      <c r="I18" s="71" t="n"/>
      <c r="J18" s="86">
        <f>IF(OR(H18="",I18=""),"",H18-I18)</f>
        <v/>
      </c>
      <c r="K18" s="58" t="n"/>
    </row>
    <row r="19" ht="27" customHeight="1">
      <c r="A19" s="58" t="n"/>
      <c r="B19" s="58" t="n"/>
      <c r="C19" s="58" t="n"/>
      <c r="D19" s="58" t="n"/>
      <c r="E19" s="71" t="n"/>
      <c r="F19" s="86">
        <f>IF(B19="","",IF(OR(B19="PL",B19="P&amp;L"),0,IF(E19="",0,E19)))</f>
        <v/>
      </c>
      <c r="G19" s="71" t="n"/>
      <c r="H19" s="86">
        <f>IF(F19="","",F19+IF(G19="",0,G19))</f>
        <v/>
      </c>
      <c r="I19" s="71" t="n"/>
      <c r="J19" s="86">
        <f>IF(OR(H19="",I19=""),"",H19-I19)</f>
        <v/>
      </c>
      <c r="K19" s="58" t="n"/>
    </row>
    <row r="20" ht="27" customHeight="1">
      <c r="A20" s="58" t="n"/>
      <c r="B20" s="58" t="n"/>
      <c r="C20" s="58" t="n"/>
      <c r="D20" s="58" t="n"/>
      <c r="E20" s="71" t="n"/>
      <c r="F20" s="86">
        <f>IF(B20="","",IF(OR(B20="PL",B20="P&amp;L"),0,IF(E20="",0,E20)))</f>
        <v/>
      </c>
      <c r="G20" s="71" t="n"/>
      <c r="H20" s="86">
        <f>IF(F20="","",F20+IF(G20="",0,G20))</f>
        <v/>
      </c>
      <c r="I20" s="71" t="n"/>
      <c r="J20" s="86">
        <f>IF(OR(H20="",I20=""),"",H20-I20)</f>
        <v/>
      </c>
      <c r="K20" s="58" t="n"/>
    </row>
    <row r="21" ht="27" customHeight="1">
      <c r="A21" s="58" t="n"/>
      <c r="B21" s="58" t="n"/>
      <c r="C21" s="58" t="n"/>
      <c r="D21" s="58" t="n"/>
      <c r="E21" s="71" t="n"/>
      <c r="F21" s="86">
        <f>IF(B21="","",IF(OR(B21="PL",B21="P&amp;L"),0,IF(E21="",0,E21)))</f>
        <v/>
      </c>
      <c r="G21" s="71" t="n"/>
      <c r="H21" s="86">
        <f>IF(F21="","",F21+IF(G21="",0,G21))</f>
        <v/>
      </c>
      <c r="I21" s="71" t="n"/>
      <c r="J21" s="86">
        <f>IF(OR(H21="",I21=""),"",H21-I21)</f>
        <v/>
      </c>
      <c r="K21" s="58" t="n"/>
    </row>
    <row r="22" ht="27" customHeight="1">
      <c r="A22" s="58" t="n"/>
      <c r="B22" s="58" t="n"/>
      <c r="C22" s="58" t="n"/>
      <c r="D22" s="58" t="n"/>
      <c r="E22" s="71" t="n"/>
      <c r="F22" s="86">
        <f>IF(B22="","",IF(OR(B22="PL",B22="P&amp;L"),0,IF(E22="",0,E22)))</f>
        <v/>
      </c>
      <c r="G22" s="71" t="n"/>
      <c r="H22" s="86">
        <f>IF(F22="","",F22+IF(G22="",0,G22))</f>
        <v/>
      </c>
      <c r="I22" s="71" t="n"/>
      <c r="J22" s="86">
        <f>IF(OR(H22="",I22=""),"",H22-I22)</f>
        <v/>
      </c>
      <c r="K22" s="58" t="n"/>
    </row>
    <row r="23" ht="27" customHeight="1">
      <c r="A23" s="58" t="n"/>
      <c r="B23" s="58" t="n"/>
      <c r="C23" s="58" t="n"/>
      <c r="D23" s="58" t="n"/>
      <c r="E23" s="71" t="n"/>
      <c r="F23" s="86">
        <f>IF(B23="","",IF(OR(B23="PL",B23="P&amp;L"),0,IF(E23="",0,E23)))</f>
        <v/>
      </c>
      <c r="G23" s="71" t="n"/>
      <c r="H23" s="86">
        <f>IF(F23="","",F23+IF(G23="",0,G23))</f>
        <v/>
      </c>
      <c r="I23" s="71" t="n"/>
      <c r="J23" s="86">
        <f>IF(OR(H23="",I23=""),"",H23-I23)</f>
        <v/>
      </c>
      <c r="K23" s="58" t="n"/>
    </row>
    <row r="24" ht="27" customHeight="1">
      <c r="A24" s="58" t="n"/>
      <c r="B24" s="58" t="n"/>
      <c r="C24" s="58" t="n"/>
      <c r="D24" s="58" t="n"/>
      <c r="E24" s="71" t="n"/>
      <c r="F24" s="86">
        <f>IF(B24="","",IF(OR(B24="PL",B24="P&amp;L"),0,IF(E24="",0,E24)))</f>
        <v/>
      </c>
      <c r="G24" s="71" t="n"/>
      <c r="H24" s="86">
        <f>IF(F24="","",F24+IF(G24="",0,G24))</f>
        <v/>
      </c>
      <c r="I24" s="71" t="n"/>
      <c r="J24" s="86">
        <f>IF(OR(H24="",I24=""),"",H24-I24)</f>
        <v/>
      </c>
      <c r="K24" s="58" t="n"/>
    </row>
    <row r="25" ht="27" customHeight="1">
      <c r="A25" s="58" t="n"/>
      <c r="B25" s="58" t="n"/>
      <c r="C25" s="58" t="n"/>
      <c r="D25" s="58" t="n"/>
      <c r="E25" s="71" t="n"/>
      <c r="F25" s="86">
        <f>IF(B25="","",IF(OR(B25="PL",B25="P&amp;L"),0,IF(E25="",0,E25)))</f>
        <v/>
      </c>
      <c r="G25" s="71" t="n"/>
      <c r="H25" s="86">
        <f>IF(F25="","",F25+IF(G25="",0,G25))</f>
        <v/>
      </c>
      <c r="I25" s="71" t="n"/>
      <c r="J25" s="86">
        <f>IF(OR(H25="",I25=""),"",H25-I25)</f>
        <v/>
      </c>
      <c r="K25" s="58" t="n"/>
    </row>
    <row r="26" ht="27" customHeight="1">
      <c r="A26" s="58" t="n"/>
      <c r="B26" s="58" t="n"/>
      <c r="C26" s="58" t="n"/>
      <c r="D26" s="58" t="n"/>
      <c r="E26" s="71" t="n"/>
      <c r="F26" s="86">
        <f>IF(B26="","",IF(OR(B26="PL",B26="P&amp;L"),0,IF(E26="",0,E26)))</f>
        <v/>
      </c>
      <c r="G26" s="71" t="n"/>
      <c r="H26" s="86">
        <f>IF(F26="","",F26+IF(G26="",0,G26))</f>
        <v/>
      </c>
      <c r="I26" s="71" t="n"/>
      <c r="J26" s="86">
        <f>IF(OR(H26="",I26=""),"",H26-I26)</f>
        <v/>
      </c>
      <c r="K26" s="58" t="n"/>
    </row>
    <row r="27" ht="27" customHeight="1">
      <c r="A27" s="58" t="n"/>
      <c r="B27" s="58" t="n"/>
      <c r="C27" s="58" t="n"/>
      <c r="D27" s="58" t="n"/>
      <c r="E27" s="71" t="n"/>
      <c r="F27" s="86">
        <f>IF(B27="","",IF(OR(B27="PL",B27="P&amp;L"),0,IF(E27="",0,E27)))</f>
        <v/>
      </c>
      <c r="G27" s="71" t="n"/>
      <c r="H27" s="86">
        <f>IF(F27="","",F27+IF(G27="",0,G27))</f>
        <v/>
      </c>
      <c r="I27" s="71" t="n"/>
      <c r="J27" s="86">
        <f>IF(OR(H27="",I27=""),"",H27-I27)</f>
        <v/>
      </c>
      <c r="K27" s="58" t="n"/>
    </row>
    <row r="28" ht="27" customHeight="1">
      <c r="A28" s="58" t="n"/>
      <c r="B28" s="58" t="n"/>
      <c r="C28" s="58" t="n"/>
      <c r="D28" s="58" t="n"/>
      <c r="E28" s="71" t="n"/>
      <c r="F28" s="86">
        <f>IF(B28="","",IF(OR(B28="PL",B28="P&amp;L"),0,IF(E28="",0,E28)))</f>
        <v/>
      </c>
      <c r="G28" s="71" t="n"/>
      <c r="H28" s="86">
        <f>IF(F28="","",F28+IF(G28="",0,G28))</f>
        <v/>
      </c>
      <c r="I28" s="71" t="n"/>
      <c r="J28" s="86">
        <f>IF(OR(H28="",I28=""),"",H28-I28)</f>
        <v/>
      </c>
      <c r="K28" s="58" t="n"/>
    </row>
    <row r="29" ht="27" customHeight="1">
      <c r="A29" s="58" t="n"/>
      <c r="B29" s="58" t="n"/>
      <c r="C29" s="58" t="n"/>
      <c r="D29" s="58" t="n"/>
      <c r="E29" s="71" t="n"/>
      <c r="F29" s="86">
        <f>IF(B29="","",IF(OR(B29="PL",B29="P&amp;L"),0,IF(E29="",0,E29)))</f>
        <v/>
      </c>
      <c r="G29" s="71" t="n"/>
      <c r="H29" s="86">
        <f>IF(F29="","",F29+IF(G29="",0,G29))</f>
        <v/>
      </c>
      <c r="I29" s="71" t="n"/>
      <c r="J29" s="86">
        <f>IF(OR(H29="",I29=""),"",H29-I29)</f>
        <v/>
      </c>
      <c r="K29" s="58" t="n"/>
    </row>
    <row r="30" ht="27" customHeight="1">
      <c r="A30" s="58" t="n"/>
      <c r="B30" s="58" t="n"/>
      <c r="C30" s="58" t="n"/>
      <c r="D30" s="58" t="n"/>
      <c r="E30" s="71" t="n"/>
      <c r="F30" s="86">
        <f>IF(B30="","",IF(OR(B30="PL",B30="P&amp;L"),0,IF(E30="",0,E30)))</f>
        <v/>
      </c>
      <c r="G30" s="71" t="n"/>
      <c r="H30" s="86">
        <f>IF(F30="","",F30+IF(G30="",0,G30))</f>
        <v/>
      </c>
      <c r="I30" s="71" t="n"/>
      <c r="J30" s="86">
        <f>IF(OR(H30="",I30=""),"",H30-I30)</f>
        <v/>
      </c>
      <c r="K30" s="58" t="n"/>
    </row>
    <row r="31" ht="27" customHeight="1">
      <c r="A31" s="58" t="n"/>
      <c r="B31" s="58" t="n"/>
      <c r="C31" s="58" t="n"/>
      <c r="D31" s="58" t="n"/>
      <c r="E31" s="71" t="n"/>
      <c r="F31" s="86">
        <f>IF(B31="","",IF(OR(B31="PL",B31="P&amp;L"),0,IF(E31="",0,E31)))</f>
        <v/>
      </c>
      <c r="G31" s="71" t="n"/>
      <c r="H31" s="86">
        <f>IF(F31="","",F31+IF(G31="",0,G31))</f>
        <v/>
      </c>
      <c r="I31" s="71" t="n"/>
      <c r="J31" s="86">
        <f>IF(OR(H31="",I31=""),"",H31-I31)</f>
        <v/>
      </c>
      <c r="K31" s="58" t="n"/>
    </row>
    <row r="32" ht="27" customHeight="1">
      <c r="A32" s="58" t="n"/>
      <c r="B32" s="58" t="n"/>
      <c r="C32" s="58" t="n"/>
      <c r="D32" s="58" t="n"/>
      <c r="E32" s="71" t="n"/>
      <c r="F32" s="86">
        <f>IF(B32="","",IF(OR(B32="PL",B32="P&amp;L"),0,IF(E32="",0,E32)))</f>
        <v/>
      </c>
      <c r="G32" s="71" t="n"/>
      <c r="H32" s="86">
        <f>IF(F32="","",F32+IF(G32="",0,G32))</f>
        <v/>
      </c>
      <c r="I32" s="71" t="n"/>
      <c r="J32" s="86">
        <f>IF(OR(H32="",I32=""),"",H32-I32)</f>
        <v/>
      </c>
      <c r="K32" s="58" t="n"/>
    </row>
    <row r="33" ht="27" customHeight="1">
      <c r="A33" s="58" t="n"/>
      <c r="B33" s="58" t="n"/>
      <c r="C33" s="58" t="n"/>
      <c r="D33" s="58" t="n"/>
      <c r="E33" s="71" t="n"/>
      <c r="F33" s="86">
        <f>IF(B33="","",IF(OR(B33="PL",B33="P&amp;L"),0,IF(E33="",0,E33)))</f>
        <v/>
      </c>
      <c r="G33" s="71" t="n"/>
      <c r="H33" s="86">
        <f>IF(F33="","",F33+IF(G33="",0,G33))</f>
        <v/>
      </c>
      <c r="I33" s="71" t="n"/>
      <c r="J33" s="86">
        <f>IF(OR(H33="",I33=""),"",H33-I33)</f>
        <v/>
      </c>
      <c r="K33" s="58" t="n"/>
    </row>
    <row r="34" ht="27" customHeight="1">
      <c r="A34" s="58" t="n"/>
      <c r="B34" s="58" t="n"/>
      <c r="C34" s="58" t="n"/>
      <c r="D34" s="58" t="n"/>
      <c r="E34" s="71" t="n"/>
      <c r="F34" s="86">
        <f>IF(B34="","",IF(OR(B34="PL",B34="P&amp;L"),0,IF(E34="",0,E34)))</f>
        <v/>
      </c>
      <c r="G34" s="71" t="n"/>
      <c r="H34" s="86">
        <f>IF(F34="","",F34+IF(G34="",0,G34))</f>
        <v/>
      </c>
      <c r="I34" s="71" t="n"/>
      <c r="J34" s="86">
        <f>IF(OR(H34="",I34=""),"",H34-I34)</f>
        <v/>
      </c>
      <c r="K34" s="58" t="n"/>
    </row>
    <row r="35" ht="27" customHeight="1">
      <c r="A35" s="58" t="n"/>
      <c r="B35" s="58" t="n"/>
      <c r="C35" s="58" t="n"/>
      <c r="D35" s="58" t="n"/>
      <c r="E35" s="71" t="n"/>
      <c r="F35" s="86">
        <f>IF(B35="","",IF(OR(B35="PL",B35="P&amp;L"),0,IF(E35="",0,E35)))</f>
        <v/>
      </c>
      <c r="G35" s="71" t="n"/>
      <c r="H35" s="86">
        <f>IF(F35="","",F35+IF(G35="",0,G35))</f>
        <v/>
      </c>
      <c r="I35" s="71" t="n"/>
      <c r="J35" s="86">
        <f>IF(OR(H35="",I35=""),"",H35-I35)</f>
        <v/>
      </c>
      <c r="K35" s="58" t="n"/>
    </row>
    <row r="36" ht="27" customHeight="1">
      <c r="A36" s="58" t="n"/>
      <c r="B36" s="58" t="n"/>
      <c r="C36" s="58" t="n"/>
      <c r="D36" s="58" t="n"/>
      <c r="E36" s="71" t="n"/>
      <c r="F36" s="86">
        <f>IF(B36="","",IF(OR(B36="PL",B36="P&amp;L"),0,IF(E36="",0,E36)))</f>
        <v/>
      </c>
      <c r="G36" s="71" t="n"/>
      <c r="H36" s="86">
        <f>IF(F36="","",F36+IF(G36="",0,G36))</f>
        <v/>
      </c>
      <c r="I36" s="71" t="n"/>
      <c r="J36" s="86">
        <f>IF(OR(H36="",I36=""),"",H36-I36)</f>
        <v/>
      </c>
      <c r="K36" s="58" t="n"/>
    </row>
    <row r="37" ht="27" customHeight="1">
      <c r="A37" s="58" t="n"/>
      <c r="B37" s="58" t="n"/>
      <c r="C37" s="58" t="n"/>
      <c r="D37" s="58" t="n"/>
      <c r="E37" s="71" t="n"/>
      <c r="F37" s="86">
        <f>IF(B37="","",IF(OR(B37="PL",B37="P&amp;L"),0,IF(E37="",0,E37)))</f>
        <v/>
      </c>
      <c r="G37" s="71" t="n"/>
      <c r="H37" s="86">
        <f>IF(F37="","",F37+IF(G37="",0,G37))</f>
        <v/>
      </c>
      <c r="I37" s="71" t="n"/>
      <c r="J37" s="86">
        <f>IF(OR(H37="",I37=""),"",H37-I37)</f>
        <v/>
      </c>
      <c r="K37" s="58" t="n"/>
    </row>
    <row r="38" ht="27" customHeight="1">
      <c r="A38" s="58" t="n"/>
      <c r="B38" s="58" t="n"/>
      <c r="C38" s="58" t="n"/>
      <c r="D38" s="58" t="n"/>
      <c r="E38" s="71" t="n"/>
      <c r="F38" s="86">
        <f>IF(B38="","",IF(OR(B38="PL",B38="P&amp;L"),0,IF(E38="",0,E38)))</f>
        <v/>
      </c>
      <c r="G38" s="71" t="n"/>
      <c r="H38" s="86">
        <f>IF(F38="","",F38+IF(G38="",0,G38))</f>
        <v/>
      </c>
      <c r="I38" s="71" t="n"/>
      <c r="J38" s="86">
        <f>IF(OR(H38="",I38=""),"",H38-I38)</f>
        <v/>
      </c>
      <c r="K38" s="58" t="n"/>
    </row>
    <row r="39" ht="27" customHeight="1">
      <c r="A39" s="58" t="n"/>
      <c r="B39" s="58" t="n"/>
      <c r="C39" s="58" t="n"/>
      <c r="D39" s="58" t="n"/>
      <c r="E39" s="71" t="n"/>
      <c r="F39" s="86">
        <f>IF(B39="","",IF(OR(B39="PL",B39="P&amp;L"),0,IF(E39="",0,E39)))</f>
        <v/>
      </c>
      <c r="G39" s="71" t="n"/>
      <c r="H39" s="86">
        <f>IF(F39="","",F39+IF(G39="",0,G39))</f>
        <v/>
      </c>
      <c r="I39" s="71" t="n"/>
      <c r="J39" s="86">
        <f>IF(OR(H39="",I39=""),"",H39-I39)</f>
        <v/>
      </c>
      <c r="K39" s="58" t="n"/>
    </row>
    <row r="40" ht="27" customHeight="1">
      <c r="A40" s="58" t="n"/>
      <c r="B40" s="58" t="n"/>
      <c r="C40" s="58" t="n"/>
      <c r="D40" s="58" t="n"/>
      <c r="E40" s="71" t="n"/>
      <c r="F40" s="86">
        <f>IF(B40="","",IF(OR(B40="PL",B40="P&amp;L"),0,IF(E40="",0,E40)))</f>
        <v/>
      </c>
      <c r="G40" s="71" t="n"/>
      <c r="H40" s="86">
        <f>IF(F40="","",F40+IF(G40="",0,G40))</f>
        <v/>
      </c>
      <c r="I40" s="71" t="n"/>
      <c r="J40" s="86">
        <f>IF(OR(H40="",I40=""),"",H40-I40)</f>
        <v/>
      </c>
      <c r="K40" s="58" t="n"/>
    </row>
    <row r="41" ht="27" customHeight="1">
      <c r="A41" s="58" t="n"/>
      <c r="B41" s="58" t="n"/>
      <c r="C41" s="58" t="n"/>
      <c r="D41" s="58" t="n"/>
      <c r="E41" s="71" t="n"/>
      <c r="F41" s="86">
        <f>IF(B41="","",IF(OR(B41="PL",B41="P&amp;L"),0,IF(E41="",0,E41)))</f>
        <v/>
      </c>
      <c r="G41" s="71" t="n"/>
      <c r="H41" s="86">
        <f>IF(F41="","",F41+IF(G41="",0,G41))</f>
        <v/>
      </c>
      <c r="I41" s="71" t="n"/>
      <c r="J41" s="86">
        <f>IF(OR(H41="",I41=""),"",H41-I41)</f>
        <v/>
      </c>
      <c r="K41" s="58" t="n"/>
    </row>
    <row r="42" ht="27" customHeight="1">
      <c r="A42" s="58" t="n"/>
      <c r="B42" s="58" t="n"/>
      <c r="C42" s="58" t="n"/>
      <c r="D42" s="58" t="n"/>
      <c r="E42" s="71" t="n"/>
      <c r="F42" s="86">
        <f>IF(B42="","",IF(OR(B42="PL",B42="P&amp;L"),0,IF(E42="",0,E42)))</f>
        <v/>
      </c>
      <c r="G42" s="71" t="n"/>
      <c r="H42" s="86">
        <f>IF(F42="","",F42+IF(G42="",0,G42))</f>
        <v/>
      </c>
      <c r="I42" s="71" t="n"/>
      <c r="J42" s="86">
        <f>IF(OR(H42="",I42=""),"",H42-I42)</f>
        <v/>
      </c>
      <c r="K42" s="58" t="n"/>
    </row>
    <row r="43" ht="27" customHeight="1">
      <c r="A43" s="58" t="n"/>
      <c r="B43" s="58" t="n"/>
      <c r="C43" s="58" t="n"/>
      <c r="D43" s="58" t="n"/>
      <c r="E43" s="71" t="n"/>
      <c r="F43" s="86">
        <f>IF(B43="","",IF(OR(B43="PL",B43="P&amp;L"),0,IF(E43="",0,E43)))</f>
        <v/>
      </c>
      <c r="G43" s="71" t="n"/>
      <c r="H43" s="86">
        <f>IF(F43="","",F43+IF(G43="",0,G43))</f>
        <v/>
      </c>
      <c r="I43" s="71" t="n"/>
      <c r="J43" s="86">
        <f>IF(OR(H43="",I43=""),"",H43-I43)</f>
        <v/>
      </c>
      <c r="K43" s="58" t="n"/>
    </row>
    <row r="44" ht="27" customHeight="1">
      <c r="A44" s="58" t="n"/>
      <c r="B44" s="58" t="n"/>
      <c r="C44" s="58" t="n"/>
      <c r="D44" s="58" t="n"/>
      <c r="E44" s="71" t="n"/>
      <c r="F44" s="86">
        <f>IF(B44="","",IF(OR(B44="PL",B44="P&amp;L"),0,IF(E44="",0,E44)))</f>
        <v/>
      </c>
      <c r="G44" s="71" t="n"/>
      <c r="H44" s="86">
        <f>IF(F44="","",F44+IF(G44="",0,G44))</f>
        <v/>
      </c>
      <c r="I44" s="71" t="n"/>
      <c r="J44" s="86">
        <f>IF(OR(H44="",I44=""),"",H44-I44)</f>
        <v/>
      </c>
      <c r="K44" s="58" t="n"/>
    </row>
    <row r="45" ht="27" customHeight="1">
      <c r="A45" s="58" t="n"/>
      <c r="B45" s="58" t="n"/>
      <c r="C45" s="58" t="n"/>
      <c r="D45" s="58" t="n"/>
      <c r="E45" s="71" t="n"/>
      <c r="F45" s="86">
        <f>IF(B45="","",IF(OR(B45="PL",B45="P&amp;L"),0,IF(E45="",0,E45)))</f>
        <v/>
      </c>
      <c r="G45" s="71" t="n"/>
      <c r="H45" s="86">
        <f>IF(F45="","",F45+IF(G45="",0,G45))</f>
        <v/>
      </c>
      <c r="I45" s="71" t="n"/>
      <c r="J45" s="86">
        <f>IF(OR(H45="",I45=""),"",H45-I45)</f>
        <v/>
      </c>
      <c r="K45" s="58" t="n"/>
    </row>
    <row r="46" ht="27" customHeight="1">
      <c r="A46" s="58" t="n"/>
      <c r="B46" s="58" t="n"/>
      <c r="C46" s="58" t="n"/>
      <c r="D46" s="58" t="n"/>
      <c r="E46" s="71" t="n"/>
      <c r="F46" s="86">
        <f>IF(B46="","",IF(OR(B46="PL",B46="P&amp;L"),0,IF(E46="",0,E46)))</f>
        <v/>
      </c>
      <c r="G46" s="71" t="n"/>
      <c r="H46" s="86">
        <f>IF(F46="","",F46+IF(G46="",0,G46))</f>
        <v/>
      </c>
      <c r="I46" s="71" t="n"/>
      <c r="J46" s="86">
        <f>IF(OR(H46="",I46=""),"",H46-I46)</f>
        <v/>
      </c>
      <c r="K46" s="58" t="n"/>
    </row>
    <row r="47" ht="27" customHeight="1">
      <c r="A47" s="58" t="n"/>
      <c r="B47" s="58" t="n"/>
      <c r="C47" s="58" t="n"/>
      <c r="D47" s="58" t="n"/>
      <c r="E47" s="71" t="n"/>
      <c r="F47" s="86">
        <f>IF(B47="","",IF(OR(B47="PL",B47="P&amp;L"),0,IF(E47="",0,E47)))</f>
        <v/>
      </c>
      <c r="G47" s="71" t="n"/>
      <c r="H47" s="86">
        <f>IF(F47="","",F47+IF(G47="",0,G47))</f>
        <v/>
      </c>
      <c r="I47" s="71" t="n"/>
      <c r="J47" s="86">
        <f>IF(OR(H47="",I47=""),"",H47-I47)</f>
        <v/>
      </c>
      <c r="K47" s="58" t="n"/>
    </row>
    <row r="48" ht="27" customHeight="1">
      <c r="A48" s="58" t="n"/>
      <c r="B48" s="58" t="n"/>
      <c r="C48" s="58" t="n"/>
      <c r="D48" s="58" t="n"/>
      <c r="E48" s="71" t="n"/>
      <c r="F48" s="86">
        <f>IF(B48="","",IF(OR(B48="PL",B48="P&amp;L"),0,IF(E48="",0,E48)))</f>
        <v/>
      </c>
      <c r="G48" s="71" t="n"/>
      <c r="H48" s="86">
        <f>IF(F48="","",F48+IF(G48="",0,G48))</f>
        <v/>
      </c>
      <c r="I48" s="71" t="n"/>
      <c r="J48" s="86">
        <f>IF(OR(H48="",I48=""),"",H48-I48)</f>
        <v/>
      </c>
      <c r="K48" s="58" t="n"/>
    </row>
    <row r="49" ht="27" customHeight="1">
      <c r="A49" s="58" t="n"/>
      <c r="B49" s="58" t="n"/>
      <c r="C49" s="58" t="n"/>
      <c r="D49" s="58" t="n"/>
      <c r="E49" s="71" t="n"/>
      <c r="F49" s="86">
        <f>IF(B49="","",IF(OR(B49="PL",B49="P&amp;L"),0,IF(E49="",0,E49)))</f>
        <v/>
      </c>
      <c r="G49" s="71" t="n"/>
      <c r="H49" s="86">
        <f>IF(F49="","",F49+IF(G49="",0,G49))</f>
        <v/>
      </c>
      <c r="I49" s="71" t="n"/>
      <c r="J49" s="86">
        <f>IF(OR(H49="",I49=""),"",H49-I49)</f>
        <v/>
      </c>
      <c r="K49" s="58" t="n"/>
    </row>
    <row r="50" ht="27" customHeight="1">
      <c r="A50" s="58" t="n"/>
      <c r="B50" s="58" t="n"/>
      <c r="C50" s="58" t="n"/>
      <c r="D50" s="58" t="n"/>
      <c r="E50" s="71" t="n"/>
      <c r="F50" s="86">
        <f>IF(B50="","",IF(OR(B50="PL",B50="P&amp;L"),0,IF(E50="",0,E50)))</f>
        <v/>
      </c>
      <c r="G50" s="71" t="n"/>
      <c r="H50" s="86">
        <f>IF(F50="","",F50+IF(G50="",0,G50))</f>
        <v/>
      </c>
      <c r="I50" s="71" t="n"/>
      <c r="J50" s="86">
        <f>IF(OR(H50="",I50=""),"",H50-I50)</f>
        <v/>
      </c>
      <c r="K50" s="58" t="n"/>
    </row>
    <row r="51" ht="27" customHeight="1">
      <c r="A51" s="58" t="n"/>
      <c r="B51" s="58" t="n"/>
      <c r="C51" s="58" t="n"/>
      <c r="D51" s="58" t="n"/>
      <c r="E51" s="71" t="n"/>
      <c r="F51" s="86">
        <f>IF(B51="","",IF(OR(B51="PL",B51="P&amp;L"),0,IF(E51="",0,E51)))</f>
        <v/>
      </c>
      <c r="G51" s="71" t="n"/>
      <c r="H51" s="86">
        <f>IF(F51="","",F51+IF(G51="",0,G51))</f>
        <v/>
      </c>
      <c r="I51" s="71" t="n"/>
      <c r="J51" s="86">
        <f>IF(OR(H51="",I51=""),"",H51-I51)</f>
        <v/>
      </c>
      <c r="K51" s="58" t="n"/>
    </row>
    <row r="52" ht="27" customHeight="1">
      <c r="A52" s="58" t="n"/>
      <c r="B52" s="58" t="n"/>
      <c r="C52" s="58" t="n"/>
      <c r="D52" s="58" t="n"/>
      <c r="E52" s="71" t="n"/>
      <c r="F52" s="86">
        <f>IF(B52="","",IF(OR(B52="PL",B52="P&amp;L"),0,IF(E52="",0,E52)))</f>
        <v/>
      </c>
      <c r="G52" s="71" t="n"/>
      <c r="H52" s="86">
        <f>IF(F52="","",F52+IF(G52="",0,G52))</f>
        <v/>
      </c>
      <c r="I52" s="71" t="n"/>
      <c r="J52" s="86">
        <f>IF(OR(H52="",I52=""),"",H52-I52)</f>
        <v/>
      </c>
      <c r="K52" s="58" t="n"/>
    </row>
    <row r="53" ht="27" customHeight="1">
      <c r="A53" s="58" t="n"/>
      <c r="B53" s="58" t="n"/>
      <c r="C53" s="58" t="n"/>
      <c r="D53" s="58" t="n"/>
      <c r="E53" s="71" t="n"/>
      <c r="F53" s="86">
        <f>IF(B53="","",IF(OR(B53="PL",B53="P&amp;L"),0,IF(E53="",0,E53)))</f>
        <v/>
      </c>
      <c r="G53" s="71" t="n"/>
      <c r="H53" s="86">
        <f>IF(F53="","",F53+IF(G53="",0,G53))</f>
        <v/>
      </c>
      <c r="I53" s="71" t="n"/>
      <c r="J53" s="86">
        <f>IF(OR(H53="",I53=""),"",H53-I53)</f>
        <v/>
      </c>
      <c r="K53" s="58" t="n"/>
    </row>
    <row r="54" ht="27" customHeight="1">
      <c r="A54" s="58" t="n"/>
      <c r="B54" s="58" t="n"/>
      <c r="C54" s="58" t="n"/>
      <c r="D54" s="58" t="n"/>
      <c r="E54" s="71" t="n"/>
      <c r="F54" s="86">
        <f>IF(B54="","",IF(OR(B54="PL",B54="P&amp;L"),0,IF(E54="",0,E54)))</f>
        <v/>
      </c>
      <c r="G54" s="71" t="n"/>
      <c r="H54" s="86">
        <f>IF(F54="","",F54+IF(G54="",0,G54))</f>
        <v/>
      </c>
      <c r="I54" s="71" t="n"/>
      <c r="J54" s="86">
        <f>IF(OR(H54="",I54=""),"",H54-I54)</f>
        <v/>
      </c>
      <c r="K54" s="58" t="n"/>
    </row>
    <row r="55" ht="27" customHeight="1">
      <c r="A55" s="58" t="n"/>
      <c r="B55" s="58" t="n"/>
      <c r="C55" s="58" t="n"/>
      <c r="D55" s="58" t="n"/>
      <c r="E55" s="71" t="n"/>
      <c r="F55" s="86">
        <f>IF(B55="","",IF(OR(B55="PL",B55="P&amp;L"),0,IF(E55="",0,E55)))</f>
        <v/>
      </c>
      <c r="G55" s="71" t="n"/>
      <c r="H55" s="86">
        <f>IF(F55="","",F55+IF(G55="",0,G55))</f>
        <v/>
      </c>
      <c r="I55" s="71" t="n"/>
      <c r="J55" s="86">
        <f>IF(OR(H55="",I55=""),"",H55-I55)</f>
        <v/>
      </c>
      <c r="K55" s="58" t="n"/>
    </row>
    <row r="56" ht="27" customHeight="1">
      <c r="A56" s="58" t="n"/>
      <c r="B56" s="58" t="n"/>
      <c r="C56" s="58" t="n"/>
      <c r="D56" s="58" t="n"/>
      <c r="E56" s="71" t="n"/>
      <c r="F56" s="86">
        <f>IF(B56="","",IF(OR(B56="PL",B56="P&amp;L"),0,IF(E56="",0,E56)))</f>
        <v/>
      </c>
      <c r="G56" s="71" t="n"/>
      <c r="H56" s="86">
        <f>IF(F56="","",F56+IF(G56="",0,G56))</f>
        <v/>
      </c>
      <c r="I56" s="71" t="n"/>
      <c r="J56" s="86">
        <f>IF(OR(H56="",I56=""),"",H56-I56)</f>
        <v/>
      </c>
      <c r="K56" s="58" t="n"/>
    </row>
    <row r="57" ht="27" customHeight="1">
      <c r="A57" s="58" t="n"/>
      <c r="B57" s="58" t="n"/>
      <c r="C57" s="58" t="n"/>
      <c r="D57" s="58" t="n"/>
      <c r="E57" s="71" t="n"/>
      <c r="F57" s="86">
        <f>IF(B57="","",IF(OR(B57="PL",B57="P&amp;L"),0,IF(E57="",0,E57)))</f>
        <v/>
      </c>
      <c r="G57" s="71" t="n"/>
      <c r="H57" s="86">
        <f>IF(F57="","",F57+IF(G57="",0,G57))</f>
        <v/>
      </c>
      <c r="I57" s="71" t="n"/>
      <c r="J57" s="86">
        <f>IF(OR(H57="",I57=""),"",H57-I57)</f>
        <v/>
      </c>
      <c r="K57" s="58" t="n"/>
    </row>
    <row r="58" ht="27" customHeight="1">
      <c r="A58" s="58" t="n"/>
      <c r="B58" s="58" t="n"/>
      <c r="C58" s="58" t="n"/>
      <c r="D58" s="58" t="n"/>
      <c r="E58" s="71" t="n"/>
      <c r="F58" s="86">
        <f>IF(B58="","",IF(OR(B58="PL",B58="P&amp;L"),0,IF(E58="",0,E58)))</f>
        <v/>
      </c>
      <c r="G58" s="71" t="n"/>
      <c r="H58" s="86">
        <f>IF(F58="","",F58+IF(G58="",0,G58))</f>
        <v/>
      </c>
      <c r="I58" s="71" t="n"/>
      <c r="J58" s="86">
        <f>IF(OR(H58="",I58=""),"",H58-I58)</f>
        <v/>
      </c>
      <c r="K58" s="58" t="n"/>
    </row>
    <row r="59">
      <c r="A59" s="87" t="inlineStr">
        <is>
          <t>Totals / check-sums</t>
        </is>
      </c>
      <c r="B59" s="81" t="n"/>
      <c r="C59" s="81" t="n"/>
      <c r="D59" s="81" t="n"/>
      <c r="E59" s="83">
        <f>SUM(E9:E58)</f>
        <v/>
      </c>
      <c r="F59" s="83">
        <f>SUM(F9:F58)</f>
        <v/>
      </c>
      <c r="G59" s="83">
        <f>SUM(G9:G58)</f>
        <v/>
      </c>
      <c r="H59" s="83">
        <f>SUM(H9:H58)</f>
        <v/>
      </c>
      <c r="I59" s="83">
        <f>SUM(I9:I58)</f>
        <v/>
      </c>
      <c r="J59" s="83">
        <f>SUM(J9:J58)</f>
        <v/>
      </c>
      <c r="K59" s="81" t="n"/>
    </row>
    <row r="60" ht="27" customHeight="1">
      <c r="A60" s="72" t="inlineStr">
        <is>
          <t>Accounts with variance (|K| &gt; 0.005)</t>
        </is>
      </c>
      <c r="B60" s="58" t="n"/>
      <c r="C60" s="58" t="n"/>
      <c r="D60" s="58" t="n"/>
      <c r="E60" s="58" t="n"/>
      <c r="F60" s="58" t="n"/>
      <c r="G60" s="58" t="n"/>
      <c r="H60" s="58" t="n"/>
      <c r="I60" s="39" t="n"/>
      <c r="J60" s="88">
        <f>COUNTIF(J9:J58,"&gt;0.005")+COUNTIF(J9:J58,"&lt;-0.005")</f>
        <v/>
      </c>
      <c r="K60" s="58" t="n"/>
    </row>
    <row r="61">
      <c r="A61" s="39" t="n"/>
      <c r="B61" s="39" t="n"/>
      <c r="C61" s="39" t="n"/>
      <c r="D61" s="39" t="n"/>
      <c r="E61" s="39" t="n"/>
      <c r="F61" s="39" t="n"/>
      <c r="G61" s="39" t="n"/>
      <c r="H61" s="39" t="n"/>
      <c r="I61" s="39" t="n"/>
      <c r="J61" s="39" t="n"/>
      <c r="K61" s="39" t="n"/>
    </row>
    <row r="62" ht="27.75" customHeight="1">
      <c r="A62" s="41" t="inlineStr">
        <is>
          <t>Check-sums: a balanced TB foots to ~0 in the opening and closing TB columns, and balanced JE activity foots to ~0 — non-zero footings indicate an incomplete extract. P&amp;L accounts open at zero (prior-year P&amp;L closes to retained earnings); the retained-earnings row absorbs PY net income — explain it there, not as a variance. Investigate every account variance; where support is unavailable, document the limitation rather than forcing completeness.</t>
        </is>
      </c>
      <c r="B62" s="39" t="n"/>
      <c r="C62" s="39" t="n"/>
      <c r="D62" s="39" t="n"/>
      <c r="E62" s="39" t="n"/>
      <c r="F62" s="39" t="n"/>
      <c r="G62" s="39" t="n"/>
      <c r="H62" s="39" t="n"/>
      <c r="I62" s="39" t="n"/>
      <c r="J62" s="39" t="n"/>
      <c r="K62" s="39" t="n"/>
    </row>
    <row r="63">
      <c r="A63" s="39" t="n"/>
      <c r="B63" s="39" t="n"/>
      <c r="C63" s="39" t="n"/>
      <c r="D63" s="39" t="n"/>
      <c r="E63" s="39" t="n"/>
      <c r="F63" s="39" t="n"/>
      <c r="G63" s="39" t="n"/>
      <c r="H63" s="39" t="n"/>
      <c r="I63" s="39" t="n"/>
      <c r="J63" s="39" t="n"/>
      <c r="K63" s="39" t="n"/>
    </row>
    <row r="64">
      <c r="A64" s="55" t="inlineStr">
        <is>
          <t>TM Legends</t>
        </is>
      </c>
      <c r="B64" s="39" t="n"/>
      <c r="C64" s="39" t="n"/>
      <c r="D64" s="39" t="n"/>
      <c r="E64" s="39" t="n"/>
      <c r="F64" s="39" t="n"/>
      <c r="G64" s="39" t="n"/>
      <c r="H64" s="39" t="n"/>
      <c r="I64" s="39" t="n"/>
      <c r="J64" s="39" t="n"/>
      <c r="K64" s="39" t="n"/>
    </row>
    <row r="65">
      <c r="A65" s="59" t="inlineStr">
        <is>
          <t>TB</t>
        </is>
      </c>
      <c r="B65" s="45" t="inlineStr">
        <is>
          <t>Agreed to trial balance</t>
        </is>
      </c>
      <c r="C65" s="60" t="n"/>
      <c r="D65" s="61" t="n"/>
      <c r="E65" s="39" t="n"/>
      <c r="F65" s="39" t="n"/>
      <c r="G65" s="39" t="n"/>
      <c r="H65" s="39" t="n"/>
      <c r="I65" s="39" t="n"/>
      <c r="J65" s="39" t="n"/>
      <c r="K65" s="39" t="n"/>
    </row>
    <row r="66">
      <c r="A66" s="59" t="inlineStr">
        <is>
          <t>GL</t>
        </is>
      </c>
      <c r="B66" s="45" t="inlineStr">
        <is>
          <t>Agreed to general ledger</t>
        </is>
      </c>
      <c r="C66" s="60" t="n"/>
      <c r="D66" s="61" t="n"/>
      <c r="E66" s="39" t="n"/>
      <c r="F66" s="39" t="n"/>
      <c r="G66" s="39" t="n"/>
      <c r="H66" s="39" t="n"/>
      <c r="I66" s="39" t="n"/>
      <c r="J66" s="39" t="n"/>
      <c r="K66" s="39" t="n"/>
    </row>
    <row r="67">
      <c r="A67" s="59" t="inlineStr">
        <is>
          <t>CF</t>
        </is>
      </c>
      <c r="B67" s="45" t="inlineStr">
        <is>
          <t>Confirmed with third party</t>
        </is>
      </c>
      <c r="C67" s="60" t="n"/>
      <c r="D67" s="61" t="n"/>
      <c r="E67" s="39" t="n"/>
      <c r="F67" s="39" t="n"/>
      <c r="G67" s="39" t="n"/>
      <c r="H67" s="39" t="n"/>
      <c r="I67" s="39" t="n"/>
      <c r="J67" s="39" t="n"/>
      <c r="K67" s="39" t="n"/>
    </row>
    <row r="68">
      <c r="A68" s="59" t="inlineStr">
        <is>
          <t>V</t>
        </is>
      </c>
      <c r="B68" s="45" t="inlineStr">
        <is>
          <t>Vouched to source document</t>
        </is>
      </c>
      <c r="C68" s="60" t="n"/>
      <c r="D68" s="61" t="n"/>
      <c r="E68" s="39" t="n"/>
      <c r="F68" s="39" t="n"/>
      <c r="G68" s="39" t="n"/>
      <c r="H68" s="39" t="n"/>
      <c r="I68" s="39" t="n"/>
      <c r="J68" s="39" t="n"/>
      <c r="K68" s="39" t="n"/>
    </row>
    <row r="69">
      <c r="A69" s="59" t="inlineStr">
        <is>
          <t>SR</t>
        </is>
      </c>
      <c r="B69" s="45" t="inlineStr">
        <is>
          <t>Agreed to subsequent bank-cleared receipt</t>
        </is>
      </c>
      <c r="C69" s="60" t="n"/>
      <c r="D69" s="61" t="n"/>
      <c r="E69" s="39" t="n"/>
      <c r="F69" s="39" t="n"/>
      <c r="G69" s="39" t="n"/>
      <c r="H69" s="39" t="n"/>
      <c r="I69" s="39" t="n"/>
      <c r="J69" s="39" t="n"/>
      <c r="K69" s="39" t="n"/>
    </row>
    <row r="70">
      <c r="A70" s="59" t="inlineStr">
        <is>
          <t>R</t>
        </is>
      </c>
      <c r="B70" s="45" t="inlineStr">
        <is>
          <t>Recalculated independently</t>
        </is>
      </c>
      <c r="C70" s="60" t="n"/>
      <c r="D70" s="61" t="n"/>
      <c r="E70" s="39" t="n"/>
      <c r="F70" s="39" t="n"/>
      <c r="G70" s="39" t="n"/>
      <c r="H70" s="39" t="n"/>
      <c r="I70" s="39" t="n"/>
      <c r="J70" s="39" t="n"/>
      <c r="K70" s="39" t="n"/>
    </row>
    <row r="71">
      <c r="A71" s="59" t="inlineStr">
        <is>
          <t>F</t>
        </is>
      </c>
      <c r="B71" s="45" t="inlineStr">
        <is>
          <t>Footed / cross-cast</t>
        </is>
      </c>
      <c r="C71" s="60" t="n"/>
      <c r="D71" s="61" t="n"/>
      <c r="E71" s="39" t="n"/>
      <c r="F71" s="39" t="n"/>
      <c r="G71" s="39" t="n"/>
      <c r="H71" s="39" t="n"/>
      <c r="I71" s="39" t="n"/>
      <c r="J71" s="39" t="n"/>
      <c r="K71" s="39" t="n"/>
    </row>
    <row r="72">
      <c r="A72" s="59" t="inlineStr">
        <is>
          <t>T</t>
        </is>
      </c>
      <c r="B72" s="45" t="inlineStr">
        <is>
          <t>Traced to downstream record</t>
        </is>
      </c>
      <c r="C72" s="60" t="n"/>
      <c r="D72" s="61" t="n"/>
      <c r="E72" s="39" t="n"/>
      <c r="F72" s="39" t="n"/>
      <c r="G72" s="39" t="n"/>
      <c r="H72" s="39" t="n"/>
      <c r="I72" s="39" t="n"/>
      <c r="J72" s="39" t="n"/>
      <c r="K72" s="39" t="n"/>
    </row>
    <row r="73">
      <c r="A73" s="59" t="inlineStr">
        <is>
          <t>PBC</t>
        </is>
      </c>
      <c r="B73" s="45" t="inlineStr">
        <is>
          <t>Prepared by client</t>
        </is>
      </c>
      <c r="C73" s="60" t="n"/>
      <c r="D73" s="61" t="n"/>
      <c r="E73" s="39" t="n"/>
      <c r="F73" s="39" t="n"/>
      <c r="G73" s="39" t="n"/>
      <c r="H73" s="39" t="n"/>
      <c r="I73" s="39" t="n"/>
      <c r="J73" s="39" t="n"/>
      <c r="K73" s="39" t="n"/>
    </row>
    <row r="74">
      <c r="A74" s="39" t="n"/>
      <c r="B74" s="39" t="n"/>
      <c r="C74" s="39" t="n"/>
      <c r="D74" s="39" t="n"/>
      <c r="E74" s="39" t="n"/>
      <c r="F74" s="39" t="n"/>
      <c r="G74" s="39" t="n"/>
      <c r="H74" s="39" t="n"/>
      <c r="I74" s="39" t="n"/>
      <c r="J74" s="39" t="n"/>
      <c r="K74" s="39" t="n"/>
    </row>
    <row r="75" ht="27.75" customHeight="1">
      <c r="A75" s="41" t="inlineStr">
        <is>
          <t>Before sign-off complete Library Procedures 7-8 (per-account rollforward; variance investigation &amp; limitations).</t>
        </is>
      </c>
      <c r="B75" s="39" t="n"/>
      <c r="C75" s="39" t="n"/>
      <c r="D75" s="39" t="n"/>
      <c r="E75" s="39" t="n"/>
      <c r="F75" s="39" t="n"/>
      <c r="G75" s="39" t="n"/>
      <c r="H75" s="39" t="n"/>
      <c r="I75" s="39" t="n"/>
      <c r="J75" s="39" t="n"/>
      <c r="K75" s="39" t="n"/>
    </row>
  </sheetData>
  <mergeCells count="14">
    <mergeCell ref="B72:D72"/>
    <mergeCell ref="B66:D66"/>
    <mergeCell ref="A62:K62"/>
    <mergeCell ref="B67:D67"/>
    <mergeCell ref="B4:K4"/>
    <mergeCell ref="B71:D71"/>
    <mergeCell ref="B73:D73"/>
    <mergeCell ref="B70:D70"/>
    <mergeCell ref="B68:D68"/>
    <mergeCell ref="B6:K6"/>
    <mergeCell ref="B65:D65"/>
    <mergeCell ref="B69:D69"/>
    <mergeCell ref="A75:K75"/>
    <mergeCell ref="B5:K5"/>
  </mergeCells>
  <printOptions horizontalCentered="0" verticalCentered="0"/>
  <pageMargins left="0.25" right="0.25" top="0.5" bottom="0.5" header="0.2" footer="0.2"/>
  <pageSetup orientation="landscape" paperSize="1" fitToHeight="0" fitToWidth="1" horizontalDpi="300" verticalDpi="300"/>
</worksheet>
</file>

<file path=xl/worksheets/sheet5.xml><?xml version="1.0" encoding="utf-8"?>
<worksheet xmlns="http://schemas.openxmlformats.org/spreadsheetml/2006/main">
  <sheetPr>
    <outlinePr summaryBelow="1" summaryRight="1"/>
    <pageSetUpPr autoPageBreaks="0" fitToPage="1"/>
  </sheetPr>
  <dimension ref="A1:B21"/>
  <sheetViews>
    <sheetView showGridLines="0" zoomScale="90" zoomScaleNormal="100"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36" customWidth="1" min="1" max="1"/>
    <col width="90" customWidth="1" min="2" max="2"/>
  </cols>
  <sheetData>
    <row r="1">
      <c r="A1" s="89" t="inlineStr">
        <is>
          <t>AUTHORITATIVE PLANNING CONTEXT</t>
        </is>
      </c>
      <c r="B1" s="39" t="n"/>
    </row>
    <row r="2">
      <c r="A2" s="39" t="inlineStr">
        <is>
          <t>Field</t>
        </is>
      </c>
      <c r="B2" s="39" t="inlineStr">
        <is>
          <t>Value</t>
        </is>
      </c>
    </row>
    <row r="3">
      <c r="A3" s="39" t="inlineStr">
        <is>
          <t>Entity Name</t>
        </is>
      </c>
      <c r="B3" s="89" t="inlineStr">
        <is>
          <t>Quoxmark Personnel Network, LLC</t>
        </is>
      </c>
    </row>
    <row r="4">
      <c r="A4" s="89" t="inlineStr">
        <is>
          <t>Financial Statement Date</t>
        </is>
      </c>
      <c r="B4" s="90" t="n">
        <v>46022</v>
      </c>
    </row>
    <row r="5">
      <c r="A5" s="89" t="inlineStr">
        <is>
          <t>Reporting Currency</t>
        </is>
      </c>
      <c r="B5" s="39" t="inlineStr">
        <is>
          <t>USD</t>
        </is>
      </c>
    </row>
    <row r="6">
      <c r="A6" s="89" t="inlineStr">
        <is>
          <t>Overall Materiality</t>
        </is>
      </c>
      <c r="B6" s="91" t="n">
        <v>41600</v>
      </c>
    </row>
    <row r="7">
      <c r="A7" s="89" t="inlineStr">
        <is>
          <t>Performance Materiality</t>
        </is>
      </c>
      <c r="B7" s="91" t="n">
        <v>25000</v>
      </c>
    </row>
    <row r="8">
      <c r="A8" s="89" t="inlineStr">
        <is>
          <t>Tolerable Misstatement</t>
        </is>
      </c>
      <c r="B8" s="91" t="n">
        <v>18800</v>
      </c>
    </row>
    <row r="9">
      <c r="A9" s="89" t="inlineStr">
        <is>
          <t>Individually Significant Threshold</t>
        </is>
      </c>
      <c r="B9" s="91" t="n">
        <v>12500</v>
      </c>
    </row>
    <row r="10">
      <c r="A10" s="39" t="inlineStr">
        <is>
          <t>Posting Threshold</t>
        </is>
      </c>
      <c r="B10" s="91" t="n">
        <v>1300</v>
      </c>
    </row>
    <row r="11">
      <c r="A11" s="89" t="inlineStr">
        <is>
          <t>Clearly Trivial Threshold</t>
        </is>
      </c>
      <c r="B11" s="91" t="n">
        <v>1300</v>
      </c>
    </row>
    <row r="12">
      <c r="A12" s="89" t="inlineStr">
        <is>
          <t>Analytical Precision</t>
        </is>
      </c>
      <c r="B12" s="91" t="n">
        <v>18800</v>
      </c>
    </row>
    <row r="13">
      <c r="A13" s="39" t="n"/>
      <c r="B13" s="39" t="n"/>
    </row>
    <row r="14">
      <c r="A14" s="89" t="inlineStr">
        <is>
          <t>Bound planning records</t>
        </is>
      </c>
      <c r="B14" s="39" t="inlineStr">
        <is>
          <t>Canonical IDs</t>
        </is>
      </c>
    </row>
    <row r="15">
      <c r="A15" s="39" t="inlineStr">
        <is>
          <t>Sampling plan ID</t>
        </is>
      </c>
      <c r="B15" s="89" t="inlineStr">
        <is>
          <t>SAMPLE-Journal reference Entries</t>
        </is>
      </c>
    </row>
    <row r="16" ht="120" customHeight="1">
      <c r="A16" s="39" t="inlineStr">
        <is>
          <t>Selection IDs</t>
        </is>
      </c>
      <c r="B16" s="89" t="inlineStr">
        <is>
          <t>PROC-JE-DETAIL:JE-992269394291; PROC-JE-DETAIL:JE-045533970900; PROC-JE-DETAIL:JE-257497071967; PROC-JE-DETAIL:JE-624688309272; PROC-JE-DETAIL:JE-728268018571; PROC-JE-DETAIL:JE-931765189677; PROC-JE-DETAIL:JE-625295569030; PROC-JE-DETAIL:JE-407957338458; PROC-JE-DETAIL:JE-936920519348; PROC-JE-DETAIL:JE-379966536746; PROC-JE-DETAIL:JE-799228077702; PROC-JE-DETAIL:JE-859071692553; PROC-JE-DETAIL:JE-428207196735; PROC-JE-DETAIL:JE-936447559033; PROC-JE-DETAIL:JE-082977448539; PROC-JE-DETAIL:JE-285291614009; PROC-JE-DETAIL:JE-004883272130; PROC-JE-DETAIL:JE-040970179948; PROC-JE-DETAIL:JE-057978803804; PROC-JE-DETAIL:JE-085102940103; PROC-JE-DETAIL:JE-152471452668; PROC-JE-DETAIL:JE-241788646794; PROC-JE-DETAIL:JE-275760059018; PROC-JE-DETAIL:JE-322140395099; PROC-JE-DETAIL:JE-327588505960; PROC-JE-DETAIL:JE-488578117578; PROC-JE-DETAIL:JE-514407643671; PROC-JE-DETAIL:JE-564285444238; PROC-JE-DETAIL:JE-627269612325; PROC-JE-DETAIL:JE-653703854128; PROC-JE-DETAIL:JE-665043910989; PROC-JE-DETAIL:JE-698943838603; PROC-JE-DETAIL:JE-729838995045; PROC-JE-DETAIL:JE-787182321915; PROC-JE-DETAIL:JE-800034747472; PROC-JE-DETAIL:JE-974876306139; PROC-JE-DETAIL:JE-984954351630; PROC-JE-DETAIL:JE-859332400025; PROC-JE-DETAIL:JE-000745686659; PROC-JE-DETAIL:JE-875484864225; PROC-JE-DETAIL:JE-307377052684; PROC-JE-DETAIL:JE-242679229430; PROC-JE-DETAIL:JE-213581735464; PROC-JE-DETAIL:JE-312026551214</t>
        </is>
      </c>
    </row>
    <row r="17">
      <c r="A17" s="89" t="inlineStr">
        <is>
          <t>Selection requirements</t>
        </is>
      </c>
      <c r="B17" s="89" t="inlineStr">
        <is>
          <t>qualitative mandatory items; individually significant items</t>
        </is>
      </c>
    </row>
    <row r="18" ht="27" customHeight="1">
      <c r="A18" s="39" t="inlineStr">
        <is>
          <t>Procedure IDs</t>
        </is>
      </c>
      <c r="B18" s="89" t="inlineStr">
        <is>
          <t>PROC-Journal reference Entries; RESP-MANAGEMENT-OVERRIDE-JE; RESP-MANAGEMENT-OVERRIDE-UNPREDICTABLE</t>
        </is>
      </c>
    </row>
    <row r="19" ht="27" customHeight="1">
      <c r="A19" s="89" t="inlineStr">
        <is>
          <t>Procedure window IDs</t>
        </is>
      </c>
      <c r="B19" s="89" t="inlineStr">
        <is>
          <t>WIN-Journal reference Entry Period; WIN-Journal reference Entry Period; WIN-Journal reference Entry Period</t>
        </is>
      </c>
    </row>
    <row r="20">
      <c r="A20" s="89" t="inlineStr">
        <is>
          <t>Significant-risk response IDs</t>
        </is>
      </c>
      <c r="B20" s="89" t="inlineStr">
        <is>
          <t>RESP-MANAGEMENT-OVERRIDE-JE; RESP-MANAGEMENT-OVERRIDE-UNPREDICTABLE</t>
        </is>
      </c>
    </row>
    <row r="21">
      <c r="A21" s="89" t="inlineStr">
        <is>
          <t>Audit team assignments</t>
        </is>
      </c>
      <c r="B21" s="89" t="inlineStr">
        <is>
          <t>preparer: Audit Senior BE6B; reviewer: Audit Manager 2FF3</t>
        </is>
      </c>
    </row>
  </sheetData>
  <printOptions horizontalCentered="0" verticalCentered="0"/>
  <pageMargins left="0.25" right="0.25" top="0.5" bottom="0.5" header="0.2" footer="0.2"/>
  <pageSetup orientation="portrait" paperSize="1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autoPageBreaks="0" fitToPage="1"/>
  </sheetPr>
  <dimension ref="A1:F12"/>
  <sheetViews>
    <sheetView showGridLines="0" zoomScale="90" zoomScaleNormal="10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8" customWidth="1" min="1" max="1"/>
    <col width="42" customWidth="1" min="2" max="2"/>
    <col width="8.5" customWidth="1" min="3" max="3"/>
    <col width="25" customWidth="1" min="4" max="4"/>
    <col width="34" customWidth="1" min="5" max="5"/>
    <col width="8.5" customWidth="1" min="6" max="6"/>
  </cols>
  <sheetData>
    <row r="1" ht="24" customHeight="1">
      <c r="A1" s="92" t="inlineStr">
        <is>
          <t>WORKPAPER COMPLETION AND SIGN-OFF</t>
        </is>
      </c>
      <c r="B1" s="39" t="n"/>
      <c r="C1" s="39" t="n"/>
      <c r="D1" s="39" t="n"/>
      <c r="E1" s="39" t="n"/>
      <c r="F1" s="39" t="n"/>
    </row>
    <row r="2">
      <c r="A2" s="39" t="n"/>
      <c r="B2" s="39" t="n"/>
      <c r="C2" s="39" t="n"/>
      <c r="D2" s="39" t="n"/>
      <c r="E2" s="39" t="n"/>
      <c r="F2" s="39" t="n"/>
    </row>
    <row r="3" ht="27" customHeight="1">
      <c r="A3" s="39" t="inlineStr">
        <is>
          <t>Workpaper</t>
        </is>
      </c>
      <c r="B3" s="89" t="inlineStr">
        <is>
          <t>journal_entries/journal_entries_completeness_data_integrity_workpaper.xlsx</t>
        </is>
      </c>
      <c r="C3" s="39" t="n"/>
      <c r="D3" s="39" t="n"/>
      <c r="E3" s="39" t="n"/>
      <c r="F3" s="39" t="n"/>
    </row>
    <row r="4">
      <c r="A4" s="89" t="inlineStr">
        <is>
          <t>Required completion stage</t>
        </is>
      </c>
      <c r="B4" s="39" t="inlineStr">
        <is>
          <t>prepared</t>
        </is>
      </c>
      <c r="C4" s="39" t="n"/>
      <c r="D4" s="39" t="inlineStr">
        <is>
          <t>Contract version</t>
        </is>
      </c>
      <c r="E4" s="89" t="inlineStr">
        <is>
          <t>workpaper-signoff-v2.1.0</t>
        </is>
      </c>
      <c r="F4" s="39" t="n"/>
    </row>
    <row r="5">
      <c r="A5" s="39" t="n"/>
      <c r="B5" s="39" t="n"/>
      <c r="C5" s="39" t="n"/>
      <c r="D5" s="39" t="n"/>
      <c r="E5" s="39" t="n"/>
      <c r="F5" s="39" t="n"/>
    </row>
    <row r="6">
      <c r="A6" s="93" t="inlineStr">
        <is>
          <t>Assigned preparer</t>
        </is>
      </c>
      <c r="B6" s="94" t="inlineStr">
        <is>
          <t>Audit Senior BE6B</t>
        </is>
      </c>
      <c r="C6" s="39" t="n"/>
      <c r="D6" s="93" t="inlineStr">
        <is>
          <t>Assigned reviewer</t>
        </is>
      </c>
      <c r="E6" s="95" t="inlineStr">
        <is>
          <t>Audit Manager 2FF3</t>
        </is>
      </c>
      <c r="F6" s="39" t="n"/>
    </row>
    <row r="7">
      <c r="A7" s="93" t="inlineStr">
        <is>
          <t>Preparation state</t>
        </is>
      </c>
      <c r="B7" s="94" t="inlineStr">
        <is>
          <t>Unsigned</t>
        </is>
      </c>
      <c r="C7" s="39" t="n"/>
      <c r="D7" s="93" t="inlineStr">
        <is>
          <t>Review state</t>
        </is>
      </c>
      <c r="E7" s="94" t="inlineStr">
        <is>
          <t>Unsigned</t>
        </is>
      </c>
      <c r="F7" s="39" t="n"/>
    </row>
    <row r="8">
      <c r="A8" s="93" t="inlineStr">
        <is>
          <t>Prepared by</t>
        </is>
      </c>
      <c r="B8" s="94" t="n"/>
      <c r="C8" s="39" t="n"/>
      <c r="D8" s="93" t="inlineStr">
        <is>
          <t>Reviewed by</t>
        </is>
      </c>
      <c r="E8" s="94" t="n"/>
      <c r="F8" s="39" t="n"/>
    </row>
    <row r="9">
      <c r="A9" s="93" t="inlineStr">
        <is>
          <t>Preparation date</t>
        </is>
      </c>
      <c r="B9" s="96" t="n"/>
      <c r="C9" s="39" t="n"/>
      <c r="D9" s="93" t="inlineStr">
        <is>
          <t>Review date</t>
        </is>
      </c>
      <c r="E9" s="96" t="n"/>
      <c r="F9" s="39" t="n"/>
    </row>
    <row r="10">
      <c r="A10" s="39" t="n"/>
      <c r="B10" s="39" t="n"/>
      <c r="C10" s="39" t="n"/>
      <c r="D10" s="39" t="n"/>
      <c r="E10" s="39" t="n"/>
      <c r="F10" s="39" t="n"/>
    </row>
    <row r="11">
      <c r="A11" s="39" t="n"/>
      <c r="B11" s="39" t="n"/>
      <c r="C11" s="39" t="n"/>
      <c r="D11" s="39" t="n"/>
      <c r="E11" s="39" t="n"/>
      <c r="F11" s="39" t="n"/>
    </row>
    <row r="12" ht="50" customHeight="1">
      <c r="A12" s="97" t="inlineStr">
        <is>
          <t>Assignment identifies responsibility but is not sign-off. The assigned preparer records Prepared, their exact assigned identity, and the date only after all applicable procedures and exceptions are dispositioned. Leave review Unsigned unless the task expressly requires a separate review stage. Preparation and review bind to the external content/dependency digest; any substantive workbook or dependency change supersedes both records.</t>
        </is>
      </c>
      <c r="B12" s="39" t="n"/>
      <c r="C12" s="39" t="n"/>
      <c r="D12" s="39" t="n"/>
      <c r="E12" s="39" t="n"/>
      <c r="F12" s="39" t="n"/>
    </row>
  </sheetData>
  <mergeCells count="2">
    <mergeCell ref="A1:F1"/>
    <mergeCell ref="A12:F12"/>
  </mergeCells>
  <dataValidations count="2">
    <dataValidation sqref="B7" showDropDown="0" showInputMessage="0" showErrorMessage="0" allowBlank="0" type="list">
      <formula1>"Unsigned,Prepared,Superseded"</formula1>
    </dataValidation>
    <dataValidation sqref="E7" showDropDown="0" showInputMessage="0" showErrorMessage="0" allowBlank="0" type="list">
      <formula1>"Unsigned,Reviewed,Superseded"</formula1>
    </dataValidation>
  </dataValidations>
  <printOptions horizontalCentered="0" verticalCentered="0"/>
  <pageMargins left="0.25" right="0.25" top="0.5" bottom="0.5" header="0.2" footer="0.2"/>
  <pageSetup orientation="portrait" paperSize="1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2026-07-03T11:41:15Z</dcterms:created>
  <dcterms:modified xmlns:dcterms="http://purl.org/dc/terms/" xmlns:xsi="http://www.w3.org/2001/XMLSchema-instance" xsi:type="dcterms:W3CDTF">2026-07-03T14:24:46Z</dcterms:modified>
  <cp:lastModifiedBy>jerry.huang@modusaudit.com</cp:lastModifiedBy>
  <cp:revision>0</cp:revision>
</cp:coreProperties>
</file>