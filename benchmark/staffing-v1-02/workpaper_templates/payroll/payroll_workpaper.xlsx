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PAYROLL_LEAD_SHEET_ENTITY_NAME">'&lt;.1&gt; Payroll Lead Sheet'!$B$2</definedName>
    <definedName name="WP_PLAN_S002_1_PAYROLL_LEAD_SHEET_FINANCIAL_STATEMENT_DATE">'&lt;.1&gt; Payroll Lead Sheet'!$E$2</definedName>
    <definedName name="WP_PLAN_S002_1_PAYROLL_LEAD_SHEET_REPORTING_CURRENCY">'&lt;.1&gt; Payroll Lead Sheet'!$H$2</definedName>
    <definedName name="WP_PLAN_S002_1_PAYROLL_LEAD_SHEET_PERFORMANCE_MATERIALITY">'&lt;.1&gt; Payroll Lead Sheet'!$B$3</definedName>
    <definedName name="WP_PLAN_S003_2_PAYROLL_REGISTER_TESTING_ENTITY_NAME">'&lt;.2&gt; Payroll Register Testing'!$B$2</definedName>
    <definedName name="WP_PLAN_S003_2_PAYROLL_REGISTER_TESTING_FINANCIAL_STATEMENT_DATE">'&lt;.2&gt; Payroll Register Testing'!$E$2</definedName>
    <definedName name="WP_PLAN_S003_2_PAYROLL_REGISTER_TESTING_REPORTING_CURRENCY">'&lt;.2&gt; Payroll Register Testing'!$H$2</definedName>
    <definedName name="WP_PLAN_S003_2_PAYROLL_REGISTER_TESTING_PERFORMANCE_MATERIALITY">'&lt;.2&gt; Payroll Register Testing'!$B$3</definedName>
    <definedName name="WP_PLAN_S004_3_EMPLOYEE_DETAIL_TESTING_ENTITY_NAME">'&lt;.3&gt; Employee Detail Testing'!$B$2</definedName>
    <definedName name="WP_PLAN_S004_3_EMPLOYEE_DETAIL_TESTING_FINANCIAL_STATEMENT_DATE">'&lt;.3&gt; Employee Detail Testing'!$E$2</definedName>
    <definedName name="WP_PLAN_S004_3_EMPLOYEE_DETAIL_TESTING_REPORTING_CURRENCY">'&lt;.3&gt; Employee Detail Testing'!$H$2</definedName>
    <definedName name="WP_PLAN_S004_3_EMPLOYEE_DETAIL_TESTING_PERFORMANCE_MATERIALITY">'&lt;.3&gt; Employee Detail Testing'!$B$3</definedName>
    <definedName name="WP_PLAN_S005_4_PAYROLL_ACCRUAL_RECOMPUTE_ENTITY_NAME">'&lt;.4&gt; Payroll Accrual Recompute'!$B$2</definedName>
    <definedName name="WP_PLAN_S005_4_PAYROLL_ACCRUAL_RECOMPUTE_FINANCIAL_STATEMENT_DATE">'&lt;.4&gt; Payroll Accrual Recompute'!$E$2</definedName>
    <definedName name="WP_PLAN_S005_4_PAYROLL_ACCRUAL_RECOMPUTE_REPORTING_CURRENCY">'&lt;.4&gt; Payroll Accrual Recompute'!$H$2</definedName>
    <definedName name="WP_PLAN_S005_4_PAYROLL_ACCRUAL_RECOMPUTE_PERFORMANCE_MATERIALITY">'&lt;.4&gt; Payroll Accrual Recompute'!$B$3</definedName>
    <definedName name="WP_PLAN_S005_4_PAYROLL_ACCRUAL_RECOMPUTE_INDIVIDUALLY_SIGNIFICANT_THRESHOLD">'&lt;.4&gt; Payroll Accrual Recompute'!$E$3</definedName>
    <definedName name="WP_PLAN_S006_5_PAYROLL_ANALYTICS_ENTITY_NAME">'&lt;.5&gt; Payroll Analytics'!$B$2</definedName>
    <definedName name="WP_PLAN_S006_5_PAYROLL_ANALYTICS_FINANCIAL_STATEMENT_DATE">'&lt;.5&gt; Payroll Analytics'!$E$2</definedName>
    <definedName name="WP_PLAN_S006_5_PAYROLL_ANALYTICS_REPORTING_CURRENCY">'&lt;.5&gt; Payroll Analytics'!$H$2</definedName>
    <definedName name="WP_PLAN_S006_5_PAYROLL_ANALYTICS_PERFORMANCE_MATERIALITY">'&lt;.5&gt; Payroll Analytics'!$B$3</definedName>
    <definedName name="WP_PLAN_S007_6_PAYROLL_ALLOCATION_ENTITY_NAME">'&lt;.6&gt; Payroll Allocation'!$B$2</definedName>
    <definedName name="WP_PLAN_S007_6_PAYROLL_ALLOCATION_FINANCIAL_STATEMENT_DATE">'&lt;.6&gt; Payroll Allocation'!$E$2</definedName>
    <definedName name="WP_PLAN_S007_6_PAYROLL_ALLOCATION_REPORTING_CURRENCY">'&lt;.6&gt; Payroll Allocation'!$H$2</definedName>
    <definedName name="WP_PLAN_S007_6_PAYROLL_ALLOCATION_PERFORMANCE_MATERIALITY">'&lt;.6&gt; Payroll Allocation'!$B$3</definedName>
    <definedName name="WP_PLAN_S008_7_DISCLOSURES_ENTITY_NAME">'&lt;.7&gt; Disclosures'!$B$2</definedName>
    <definedName name="WP_PLAN_S008_7_DISCLOSURES_FINANCIAL_STATEMENT_DATE">'&lt;.7&gt; Disclosures'!$E$2</definedName>
    <definedName name="WP_PLAN_S008_7_DISCLOSURES_REPORTING_CURRENCY">'&lt;.7&gt; Disclosures'!$H$2</definedName>
    <definedName name="WP_PLAN_S008_7_DISCLOSURES_PERFORMANCE_MATERIALITY">'&lt;.7&gt; Disclosures'!$B$3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Procedures'!$A$7</definedName>
    <definedName name="WP_PROC_001_REQUIREMENT">'Library Procedures'!$B$7</definedName>
    <definedName name="WP_PROC_001_EXECUTION_STATE">'Library Procedures'!$C$7</definedName>
    <definedName name="WP_PROC_001_EVIDENCE_STATE">'Library Procedures'!$D$7</definedName>
    <definedName name="WP_PROC_001_RESULT_STATE">'Library Procedures'!$E$7</definedName>
    <definedName name="WP_PROC_001_ISSUE_STATE">'Library Procedures'!$F$7</definedName>
    <definedName name="WP_PROC_001_SIGNOFF_STATE">'Library Procedures'!$G$7</definedName>
    <definedName name="WP_PROC_001_DERIVED_OUTCOME">'Library Procedures'!$H$7</definedName>
    <definedName name="WP_PROC_001_PROCEDURE">'Library Procedures'!$I$7</definedName>
    <definedName name="WP_PROC_001_ASSERTION_S">'Library Procedures'!$J$7</definedName>
    <definedName name="WP_PROC_001_W_P_REF">'Library Procedures'!$K$7</definedName>
    <definedName name="WP_PROC_001_PERFORMED_BY">'Library Procedures'!$L$7</definedName>
    <definedName name="WP_PROC_001_DATE">'Library Procedures'!$M$7</definedName>
    <definedName name="WP_PROC_001_REASON_CODE">'Library Procedures'!$N$7</definedName>
    <definedName name="WP_PROC_001_SOURCE_FACT_EVIDENCE">'Library Procedures'!$O$7</definedName>
    <definedName name="WP_PROC_001_ISSUE_DEPENDENCY_IDS">'Library Procedures'!$P$7</definedName>
    <definedName name="WP_PROC_001_COMMENT_WORK_PERFORMED">'Library Procedures'!$Q$7</definedName>
    <definedName name="WP_PROC_002_APPLICABILITY">'Library Procedures'!$A$8</definedName>
    <definedName name="WP_PROC_002_REQUIREMENT">'Library Procedures'!$B$8</definedName>
    <definedName name="WP_PROC_002_EXECUTION_STATE">'Library Procedures'!$C$8</definedName>
    <definedName name="WP_PROC_002_EVIDENCE_STATE">'Library Procedures'!$D$8</definedName>
    <definedName name="WP_PROC_002_RESULT_STATE">'Library Procedures'!$E$8</definedName>
    <definedName name="WP_PROC_002_ISSUE_STATE">'Library Procedures'!$F$8</definedName>
    <definedName name="WP_PROC_002_SIGNOFF_STATE">'Library Procedures'!$G$8</definedName>
    <definedName name="WP_PROC_002_DERIVED_OUTCOME">'Library Procedures'!$H$8</definedName>
    <definedName name="WP_PROC_002_PROCEDURE">'Library Procedures'!$I$8</definedName>
    <definedName name="WP_PROC_002_ASSERTION_S">'Library Procedures'!$J$8</definedName>
    <definedName name="WP_PROC_002_W_P_REF">'Library Procedures'!$K$8</definedName>
    <definedName name="WP_PROC_002_PERFORMED_BY">'Library Procedures'!$L$8</definedName>
    <definedName name="WP_PROC_002_DATE">'Library Procedures'!$M$8</definedName>
    <definedName name="WP_PROC_002_REASON_CODE">'Library Procedures'!$N$8</definedName>
    <definedName name="WP_PROC_002_SOURCE_FACT_EVIDENCE">'Library Procedures'!$O$8</definedName>
    <definedName name="WP_PROC_002_ISSUE_DEPENDENCY_IDS">'Library Procedures'!$P$8</definedName>
    <definedName name="WP_PROC_002_COMMENT_WORK_PERFORMED">'Library Procedures'!$Q$8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Procedures'!$A$18</definedName>
    <definedName name="WP_PROC_009_REQUIREMENT">'Library Procedures'!$B$18</definedName>
    <definedName name="WP_PROC_009_EXECUTION_STATE">'Library Procedures'!$C$18</definedName>
    <definedName name="WP_PROC_009_EVIDENCE_STATE">'Library Procedures'!$D$18</definedName>
    <definedName name="WP_PROC_009_RESULT_STATE">'Library Procedures'!$E$18</definedName>
    <definedName name="WP_PROC_009_ISSUE_STATE">'Library Procedures'!$F$18</definedName>
    <definedName name="WP_PROC_009_SIGNOFF_STATE">'Library Procedures'!$G$18</definedName>
    <definedName name="WP_PROC_009_DERIVED_OUTCOME">'Library Procedures'!$H$18</definedName>
    <definedName name="WP_PROC_009_PROCEDURE">'Library Procedures'!$I$18</definedName>
    <definedName name="WP_PROC_009_ASSERTION_S">'Library Procedures'!$J$18</definedName>
    <definedName name="WP_PROC_009_W_P_REF">'Library Procedures'!$K$18</definedName>
    <definedName name="WP_PROC_009_PERFORMED_BY">'Library Procedures'!$L$18</definedName>
    <definedName name="WP_PROC_009_DATE">'Library Procedures'!$M$18</definedName>
    <definedName name="WP_PROC_009_REASON_CODE">'Library Procedures'!$N$18</definedName>
    <definedName name="WP_PROC_009_SOURCE_FACT_EVIDENCE">'Library Procedures'!$O$18</definedName>
    <definedName name="WP_PROC_009_ISSUE_DEPENDENCY_IDS">'Library Procedures'!$P$18</definedName>
    <definedName name="WP_PROC_009_COMMENT_WORK_PERFORMED">'Library Procedures'!$Q$18</definedName>
    <definedName name="WP_PROC_010_APPLICABILITY">'Library Procedures'!$A$19</definedName>
    <definedName name="WP_PROC_010_REQUIREMENT">'Library Procedures'!$B$19</definedName>
    <definedName name="WP_PROC_010_EXECUTION_STATE">'Library Procedures'!$C$19</definedName>
    <definedName name="WP_PROC_010_EVIDENCE_STATE">'Library Procedures'!$D$19</definedName>
    <definedName name="WP_PROC_010_RESULT_STATE">'Library Procedures'!$E$19</definedName>
    <definedName name="WP_PROC_010_ISSUE_STATE">'Library Procedures'!$F$19</definedName>
    <definedName name="WP_PROC_010_SIGNOFF_STATE">'Library Procedures'!$G$19</definedName>
    <definedName name="WP_PROC_010_DERIVED_OUTCOME">'Library Procedures'!$H$19</definedName>
    <definedName name="WP_PROC_010_PROCEDURE">'Library Procedures'!$I$19</definedName>
    <definedName name="WP_PROC_010_ASSERTION_S">'Library Procedures'!$J$19</definedName>
    <definedName name="WP_PROC_010_W_P_REF">'Library Procedures'!$K$19</definedName>
    <definedName name="WP_PROC_010_PERFORMED_BY">'Library Procedures'!$L$19</definedName>
    <definedName name="WP_PROC_010_DATE">'Library Procedures'!$M$19</definedName>
    <definedName name="WP_PROC_010_REASON_CODE">'Library Procedures'!$N$19</definedName>
    <definedName name="WP_PROC_010_SOURCE_FACT_EVIDENCE">'Library Procedures'!$O$19</definedName>
    <definedName name="WP_PROC_010_ISSUE_DEPENDENCY_IDS">'Library Procedures'!$P$19</definedName>
    <definedName name="WP_PROC_010_COMMENT_WORK_PERFORMED">'Library Procedures'!$Q$19</definedName>
    <definedName name="WP_PROC_011_APPLICABILITY">'Library Procedures'!$A$21</definedName>
    <definedName name="WP_PROC_011_REQUIREMENT">'Library Procedures'!$B$21</definedName>
    <definedName name="WP_PROC_011_EXECUTION_STATE">'Library Procedures'!$C$21</definedName>
    <definedName name="WP_PROC_011_EVIDENCE_STATE">'Library Procedures'!$D$21</definedName>
    <definedName name="WP_PROC_011_RESULT_STATE">'Library Procedures'!$E$21</definedName>
    <definedName name="WP_PROC_011_ISSUE_STATE">'Library Procedures'!$F$21</definedName>
    <definedName name="WP_PROC_011_SIGNOFF_STATE">'Library Procedures'!$G$21</definedName>
    <definedName name="WP_PROC_011_DERIVED_OUTCOME">'Library Procedures'!$H$21</definedName>
    <definedName name="WP_PROC_011_PROCEDURE">'Library Procedures'!$I$21</definedName>
    <definedName name="WP_PROC_011_ASSERTION_S">'Library Procedures'!$J$21</definedName>
    <definedName name="WP_PROC_011_W_P_REF">'Library Procedures'!$K$21</definedName>
    <definedName name="WP_PROC_011_PERFORMED_BY">'Library Procedures'!$L$21</definedName>
    <definedName name="WP_PROC_011_DATE">'Library Procedures'!$M$21</definedName>
    <definedName name="WP_PROC_011_REASON_CODE">'Library Procedures'!$N$21</definedName>
    <definedName name="WP_PROC_011_SOURCE_FACT_EVIDENCE">'Library Procedures'!$O$21</definedName>
    <definedName name="WP_PROC_011_ISSUE_DEPENDENCY_IDS">'Library Procedures'!$P$21</definedName>
    <definedName name="WP_PROC_011_COMMENT_WORK_PERFORMED">'Library Procedures'!$Q$21</definedName>
    <definedName name="WP_PROC_012_APPLICABILITY">'Library Procedures'!$A$22</definedName>
    <definedName name="WP_PROC_012_REQUIREMENT">'Library Procedures'!$B$22</definedName>
    <definedName name="WP_PROC_012_EXECUTION_STATE">'Library Procedures'!$C$22</definedName>
    <definedName name="WP_PROC_012_EVIDENCE_STATE">'Library Procedures'!$D$22</definedName>
    <definedName name="WP_PROC_012_RESULT_STATE">'Library Procedures'!$E$22</definedName>
    <definedName name="WP_PROC_012_ISSUE_STATE">'Library Procedures'!$F$22</definedName>
    <definedName name="WP_PROC_012_SIGNOFF_STATE">'Library Procedures'!$G$22</definedName>
    <definedName name="WP_PROC_012_DERIVED_OUTCOME">'Library Procedures'!$H$22</definedName>
    <definedName name="WP_PROC_012_PROCEDURE">'Library Procedures'!$I$22</definedName>
    <definedName name="WP_PROC_012_ASSERTION_S">'Library Procedures'!$J$22</definedName>
    <definedName name="WP_PROC_012_W_P_REF">'Library Procedures'!$K$22</definedName>
    <definedName name="WP_PROC_012_PERFORMED_BY">'Library Procedures'!$L$22</definedName>
    <definedName name="WP_PROC_012_DATE">'Library Procedures'!$M$22</definedName>
    <definedName name="WP_PROC_012_REASON_CODE">'Library Procedures'!$N$22</definedName>
    <definedName name="WP_PROC_012_SOURCE_FACT_EVIDENCE">'Library Procedures'!$O$22</definedName>
    <definedName name="WP_PROC_012_ISSUE_DEPENDENCY_IDS">'Library Procedures'!$P$22</definedName>
    <definedName name="WP_PROC_012_COMMENT_WORK_PERFORMED">'Library Procedures'!$Q$22</definedName>
    <definedName name="WP_PROC_013_APPLICABILITY">'Library Procedures'!$A$24</definedName>
    <definedName name="WP_PROC_013_REQUIREMENT">'Library Procedures'!$B$24</definedName>
    <definedName name="WP_PROC_013_EXECUTION_STATE">'Library Procedures'!$C$24</definedName>
    <definedName name="WP_PROC_013_EVIDENCE_STATE">'Library Procedures'!$D$24</definedName>
    <definedName name="WP_PROC_013_RESULT_STATE">'Library Procedures'!$E$24</definedName>
    <definedName name="WP_PROC_013_ISSUE_STATE">'Library Procedures'!$F$24</definedName>
    <definedName name="WP_PROC_013_SIGNOFF_STATE">'Library Procedures'!$G$24</definedName>
    <definedName name="WP_PROC_013_DERIVED_OUTCOME">'Library Procedures'!$H$24</definedName>
    <definedName name="WP_PROC_013_PROCEDURE">'Library Procedures'!$I$24</definedName>
    <definedName name="WP_PROC_013_ASSERTION_S">'Library Procedures'!$J$24</definedName>
    <definedName name="WP_PROC_013_W_P_REF">'Library Procedures'!$K$24</definedName>
    <definedName name="WP_PROC_013_PERFORMED_BY">'Library Procedures'!$L$24</definedName>
    <definedName name="WP_PROC_013_DATE">'Library Procedures'!$M$24</definedName>
    <definedName name="WP_PROC_013_REASON_CODE">'Library Procedures'!$N$24</definedName>
    <definedName name="WP_PROC_013_SOURCE_FACT_EVIDENCE">'Library Procedures'!$O$24</definedName>
    <definedName name="WP_PROC_013_ISSUE_DEPENDENCY_IDS">'Library Procedures'!$P$24</definedName>
    <definedName name="WP_PROC_013_COMMENT_WORK_PERFORMED">'Library Procedures'!$Q$24</definedName>
    <definedName name="WP_PROC_014_APPLICABILITY">'Library Procedures'!$A$25</definedName>
    <definedName name="WP_PROC_014_REQUIREMENT">'Library Procedures'!$B$25</definedName>
    <definedName name="WP_PROC_014_EXECUTION_STATE">'Library Procedures'!$C$25</definedName>
    <definedName name="WP_PROC_014_EVIDENCE_STATE">'Library Procedures'!$D$25</definedName>
    <definedName name="WP_PROC_014_RESULT_STATE">'Library Procedures'!$E$25</definedName>
    <definedName name="WP_PROC_014_ISSUE_STATE">'Library Procedures'!$F$25</definedName>
    <definedName name="WP_PROC_014_SIGNOFF_STATE">'Library Procedures'!$G$25</definedName>
    <definedName name="WP_PROC_014_DERIVED_OUTCOME">'Library Procedures'!$H$25</definedName>
    <definedName name="WP_PROC_014_PROCEDURE">'Library Procedures'!$I$25</definedName>
    <definedName name="WP_PROC_014_ASSERTION_S">'Library Procedures'!$J$25</definedName>
    <definedName name="WP_PROC_014_W_P_REF">'Library Procedures'!$K$25</definedName>
    <definedName name="WP_PROC_014_PERFORMED_BY">'Library Procedures'!$L$25</definedName>
    <definedName name="WP_PROC_014_DATE">'Library Procedures'!$M$25</definedName>
    <definedName name="WP_PROC_014_REASON_CODE">'Library Procedures'!$N$25</definedName>
    <definedName name="WP_PROC_014_SOURCE_FACT_EVIDENCE">'Library Procedures'!$O$25</definedName>
    <definedName name="WP_PROC_014_ISSUE_DEPENDENCY_IDS">'Library Procedures'!$P$25</definedName>
    <definedName name="WP_PROC_014_COMMENT_WORK_PERFORMED">'Library Procedures'!$Q$25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Procedures'!$A$33</definedName>
    <definedName name="WP_PROC_020_REQUIREMENT">'Library Procedures'!$B$33</definedName>
    <definedName name="WP_PROC_020_EXECUTION_STATE">'Library Procedures'!$C$33</definedName>
    <definedName name="WP_PROC_020_EVIDENCE_STATE">'Library Procedures'!$D$33</definedName>
    <definedName name="WP_PROC_020_RESULT_STATE">'Library Procedures'!$E$33</definedName>
    <definedName name="WP_PROC_020_ISSUE_STATE">'Library Procedures'!$F$33</definedName>
    <definedName name="WP_PROC_020_SIGNOFF_STATE">'Library Procedures'!$G$33</definedName>
    <definedName name="WP_PROC_020_DERIVED_OUTCOME">'Library Procedures'!$H$33</definedName>
    <definedName name="WP_PROC_020_PROCEDURE">'Library Procedures'!$I$33</definedName>
    <definedName name="WP_PROC_020_ASSERTION_S">'Library Procedures'!$J$33</definedName>
    <definedName name="WP_PROC_020_W_P_REF">'Library Procedures'!$K$33</definedName>
    <definedName name="WP_PROC_020_PERFORMED_BY">'Library Procedures'!$L$33</definedName>
    <definedName name="WP_PROC_020_DATE">'Library Procedures'!$M$33</definedName>
    <definedName name="WP_PROC_020_REASON_CODE">'Library Procedures'!$N$33</definedName>
    <definedName name="WP_PROC_020_SOURCE_FACT_EVIDENCE">'Library Procedures'!$O$33</definedName>
    <definedName name="WP_PROC_020_ISSUE_DEPENDENCY_IDS">'Library Procedures'!$P$33</definedName>
    <definedName name="WP_PROC_020_COMMENT_WORK_PERFORMED">'Library Procedures'!$Q$33</definedName>
    <definedName name="WP_TABLE_PAYROLL_EMPLOYEE_DETAIL_DATA">'&lt;.3&gt; Employee Detail Testing'!$A$9:$O$37</definedName>
    <definedName name="WP_TABLE_PAYROLL_EMPLOYEE_DETAIL_TOTAL">'&lt;.3&gt; Employee Detail Testing'!$A$38:$O$38</definedName>
    <definedName name="WP_ANALYTIC_PAYROLL_EXPECTATION_OPENING_HEADCOUNT_ANCHOR">'&lt;.5&gt; Payroll Analytics'!$A$10</definedName>
    <definedName name="WP_ANALYTIC_PAYROLL_EXPECTATION_OPENING_HEADCOUNT_VALUE">'&lt;.5&gt; Payroll Analytics'!$B$10</definedName>
    <definedName name="WP_ANALYTIC_PAYROLL_EXPECTATION_OPENING_HEADCOUNT_SOURCE_REFERENCE">'&lt;.5&gt; Payroll Analytics'!$C$10</definedName>
    <definedName name="WP_ANALYTIC_PAYROLL_EXPECTATION_NET_HEADCOUNT_CHANGE_ANCHOR">'&lt;.5&gt; Payroll Analytics'!$A$11</definedName>
    <definedName name="WP_ANALYTIC_PAYROLL_EXPECTATION_NET_HEADCOUNT_CHANGE_VALUE">'&lt;.5&gt; Payroll Analytics'!$B$11</definedName>
    <definedName name="WP_ANALYTIC_PAYROLL_EXPECTATION_NET_HEADCOUNT_CHANGE_SOURCE_REFERENCE">'&lt;.5&gt; Payroll Analytics'!$C$11</definedName>
    <definedName name="WP_ANALYTIC_PAYROLL_EXPECTATION_ENDING_HEADCOUNT_ANCHOR">'&lt;.5&gt; Payroll Analytics'!$A$12</definedName>
    <definedName name="WP_ANALYTIC_PAYROLL_EXPECTATION_ENDING_HEADCOUNT_VALUE">'&lt;.5&gt; Payroll Analytics'!$B$12</definedName>
    <definedName name="WP_ANALYTIC_PAYROLL_EXPECTATION_ENDING_HEADCOUNT_SOURCE_REFERENCE">'&lt;.5&gt; Payroll Analytics'!$C$12</definedName>
    <definedName name="WP_ANALYTIC_PAYROLL_EXPECTATION_AVERAGE_HEADCOUNT_ANCHOR">'&lt;.5&gt; Payroll Analytics'!$A$13</definedName>
    <definedName name="WP_ANALYTIC_PAYROLL_EXPECTATION_AVERAGE_HEADCOUNT_VALUE">'&lt;.5&gt; Payroll Analytics'!$B$13</definedName>
    <definedName name="WP_ANALYTIC_PAYROLL_EXPECTATION_AVERAGE_HEADCOUNT_SOURCE_REFERENCE">'&lt;.5&gt; Payroll Analytics'!$C$13</definedName>
    <definedName name="WP_ANALYTIC_PAYROLL_EXPECTATION_MONTHLY_PAY_PER_HEAD_ANCHOR">'&lt;.5&gt; Payroll Analytics'!$A$14</definedName>
    <definedName name="WP_ANALYTIC_PAYROLL_EXPECTATION_MONTHLY_PAY_PER_HEAD_VALUE">'&lt;.5&gt; Payroll Analytics'!$B$14</definedName>
    <definedName name="WP_ANALYTIC_PAYROLL_EXPECTATION_MONTHLY_PAY_PER_HEAD_SOURCE_REFERENCE">'&lt;.5&gt; Payroll Analytics'!$C$14</definedName>
    <definedName name="WP_ANALYTIC_PAYROLL_EXPECTATION_INCREMENT_PCT_ANCHOR">'&lt;.5&gt; Payroll Analytics'!$A$15</definedName>
    <definedName name="WP_ANALYTIC_PAYROLL_EXPECTATION_INCREMENT_PCT_VALUE">'&lt;.5&gt; Payroll Analytics'!$B$15</definedName>
    <definedName name="WP_ANALYTIC_PAYROLL_EXPECTATION_INCREMENT_PCT_SOURCE_REFERENCE">'&lt;.5&gt; Payroll Analytics'!$C$15</definedName>
    <definedName name="WP_ANALYTIC_PAYROLL_EXPECTATION_INCREMENT_MONTHS_ANCHOR">'&lt;.5&gt; Payroll Analytics'!$A$16</definedName>
    <definedName name="WP_ANALYTIC_PAYROLL_EXPECTATION_INCREMENT_MONTHS_VALUE">'&lt;.5&gt; Payroll Analytics'!$B$16</definedName>
    <definedName name="WP_ANALYTIC_PAYROLL_EXPECTATION_INCREMENT_MONTHS_SOURCE_REFERENCE">'&lt;.5&gt; Payroll Analytics'!$C$16</definedName>
    <definedName name="WP_ANALYTIC_PAYROLL_EXPECTATION_BEFORE_ADJUSTMENTS_ANCHOR">'&lt;.5&gt; Payroll Analytics'!$A$17</definedName>
    <definedName name="WP_ANALYTIC_PAYROLL_EXPECTATION_BEFORE_ADJUSTMENTS_VALUE">'&lt;.5&gt; Payroll Analytics'!$B$17</definedName>
    <definedName name="WP_ANALYTIC_PAYROLL_EXPECTATION_BEFORE_ADJUSTMENTS_SOURCE_REFERENCE">'&lt;.5&gt; Payroll Analytics'!$C$17</definedName>
    <definedName name="WP_ANALYTIC_PAYROLL_EXPECTATION_ONE_OFFS_ANCHOR">'&lt;.5&gt; Payroll Analytics'!$A$18</definedName>
    <definedName name="WP_ANALYTIC_PAYROLL_EXPECTATION_ONE_OFFS_VALUE">'&lt;.5&gt; Payroll Analytics'!$B$18</definedName>
    <definedName name="WP_ANALYTIC_PAYROLL_EXPECTATION_ONE_OFFS_SOURCE_REFERENCE">'&lt;.5&gt; Payroll Analytics'!$C$18</definedName>
    <definedName name="WP_ANALYTIC_PAYROLL_EXPECTATION_TOTAL_EXPECTED_ANCHOR">'&lt;.5&gt; Payroll Analytics'!$A$19</definedName>
    <definedName name="WP_ANALYTIC_PAYROLL_EXPECTATION_TOTAL_EXPECTED_VALUE">'&lt;.5&gt; Payroll Analytics'!$B$19</definedName>
    <definedName name="WP_ANALYTIC_PAYROLL_EXPECTATION_TOTAL_EXPECTED_SOURCE_REFERENCE">'&lt;.5&gt; Payroll Analytics'!$C$19</definedName>
    <definedName name="WP_ANALYTIC_PAYROLL_EXPECTATION_RECORDED_ANCHOR">'&lt;.5&gt; Payroll Analytics'!$A$20</definedName>
    <definedName name="WP_ANALYTIC_PAYROLL_EXPECTATION_RECORDED_VALUE">'&lt;.5&gt; Payroll Analytics'!$B$20</definedName>
    <definedName name="WP_ANALYTIC_PAYROLL_EXPECTATION_RECORDED_SOURCE_REFERENCE">'&lt;.5&gt; Payroll Analytics'!$C$20</definedName>
    <definedName name="WP_ANALYTIC_PAYROLL_EXPECTATION_DIFFERENCE_ANCHOR">'&lt;.5&gt; Payroll Analytics'!$A$21</definedName>
    <definedName name="WP_ANALYTIC_PAYROLL_EXPECTATION_DIFFERENCE_VALUE">'&lt;.5&gt; Payroll Analytics'!$B$21</definedName>
    <definedName name="WP_ANALYTIC_PAYROLL_EXPECTATION_DIFFERENCE_SOURCE_REFERENCE">'&lt;.5&gt; Payroll Analytics'!$C$21</definedName>
    <definedName name="WP_ANALYTIC_PAYROLL_EXPECTATION_THRESHOLD_ANCHOR">'&lt;.5&gt; Payroll Analytics'!$A$22</definedName>
    <definedName name="WP_ANALYTIC_PAYROLL_EXPECTATION_THRESHOLD_VALUE">'&lt;.5&gt; Payroll Analytics'!$B$22</definedName>
    <definedName name="WP_ANALYTIC_PAYROLL_EXPECTATION_THRESHOLD_SOURCE_REFERENCE">'&lt;.5&gt; Payroll Analytics'!$C$22</definedName>
    <definedName name="WP_ANALYTIC_PAYROLL_EXPECTATION_WITHIN_THRESHOLD_ANCHOR">'&lt;.5&gt; Payroll Analytics'!$A$23</definedName>
    <definedName name="WP_ANALYTIC_PAYROLL_EXPECTATION_WITHIN_THRESHOLD_VALUE">'&lt;.5&gt; Payroll Analytics'!$B$23</definedName>
    <definedName name="WP_ANALYTIC_PAYROLL_EXPECTATION_WITHIN_THRESHOLD_SOURCE_REFERENCE">'&lt;.5&gt; Payroll Analytics'!$C$23</definedName>
    <definedName name="WP_ANALYTIC_PAYROLL_TAX_SOCIAL_SECURITY_ANCHOR">'&lt;.5&gt; Payroll Analytics'!$A$27</definedName>
    <definedName name="WP_ANALYTIC_PAYROLL_TAX_SOCIAL_SECURITY_TAXABLE_WAGE_BASE">'&lt;.5&gt; Payroll Analytics'!$B$27</definedName>
    <definedName name="WP_ANALYTIC_PAYROLL_TAX_SOCIAL_SECURITY_STATUTORY_RATE">'&lt;.5&gt; Payroll Analytics'!$C$27</definedName>
    <definedName name="WP_ANALYTIC_PAYROLL_TAX_SOCIAL_SECURITY_EXPECTED_TAX">'&lt;.5&gt; Payroll Analytics'!$D$27</definedName>
    <definedName name="WP_ANALYTIC_PAYROLL_TAX_SOCIAL_SECURITY_RECORDED_TAX">'&lt;.5&gt; Payroll Analytics'!$E$27</definedName>
    <definedName name="WP_ANALYTIC_PAYROLL_TAX_SOCIAL_SECURITY_DIFFERENCE">'&lt;.5&gt; Payroll Analytics'!$F$27</definedName>
    <definedName name="WP_ANALYTIC_PAYROLL_TAX_SOCIAL_SECURITY_WITHIN_THRESHOLD">'&lt;.5&gt; Payroll Analytics'!$G$27</definedName>
    <definedName name="WP_ANALYTIC_PAYROLL_TAX_MEDICARE_ANCHOR">'&lt;.5&gt; Payroll Analytics'!$A$28</definedName>
    <definedName name="WP_ANALYTIC_PAYROLL_TAX_MEDICARE_TAXABLE_WAGE_BASE">'&lt;.5&gt; Payroll Analytics'!$B$28</definedName>
    <definedName name="WP_ANALYTIC_PAYROLL_TAX_MEDICARE_STATUTORY_RATE">'&lt;.5&gt; Payroll Analytics'!$C$28</definedName>
    <definedName name="WP_ANALYTIC_PAYROLL_TAX_MEDICARE_EXPECTED_TAX">'&lt;.5&gt; Payroll Analytics'!$D$28</definedName>
    <definedName name="WP_ANALYTIC_PAYROLL_TAX_MEDICARE_RECORDED_TAX">'&lt;.5&gt; Payroll Analytics'!$E$28</definedName>
    <definedName name="WP_ANALYTIC_PAYROLL_TAX_MEDICARE_DIFFERENCE">'&lt;.5&gt; Payroll Analytics'!$F$28</definedName>
    <definedName name="WP_ANALYTIC_PAYROLL_TAX_MEDICARE_WITHIN_THRESHOLD">'&lt;.5&gt; Payroll Analytics'!$G$28</definedName>
    <definedName name="WP_ANALYTIC_PAYROLL_TAX_FUTA_ANCHOR">'&lt;.5&gt; Payroll Analytics'!$A$29</definedName>
    <definedName name="WP_ANALYTIC_PAYROLL_TAX_FUTA_TAXABLE_WAGE_BASE">'&lt;.5&gt; Payroll Analytics'!$B$29</definedName>
    <definedName name="WP_ANALYTIC_PAYROLL_TAX_FUTA_STATUTORY_RATE">'&lt;.5&gt; Payroll Analytics'!$C$29</definedName>
    <definedName name="WP_ANALYTIC_PAYROLL_TAX_FUTA_EXPECTED_TAX">'&lt;.5&gt; Payroll Analytics'!$D$29</definedName>
    <definedName name="WP_ANALYTIC_PAYROLL_TAX_FUTA_RECORDED_TAX">'&lt;.5&gt; Payroll Analytics'!$E$29</definedName>
    <definedName name="WP_ANALYTIC_PAYROLL_TAX_FUTA_DIFFERENCE">'&lt;.5&gt; Payroll Analytics'!$F$29</definedName>
    <definedName name="WP_ANALYTIC_PAYROLL_TAX_FUTA_WITHIN_THRESHOLD">'&lt;.5&gt; Payroll Analytics'!$G$29</definedName>
    <definedName name="WP_ANALYTIC_PAYROLL_TAX_STATE_UNEMPLOYMENT_ANCHOR">'&lt;.5&gt; Payroll Analytics'!$A$30</definedName>
    <definedName name="WP_ANALYTIC_PAYROLL_TAX_STATE_UNEMPLOYMENT_TAXABLE_WAGE_BASE">'&lt;.5&gt; Payroll Analytics'!$B$30</definedName>
    <definedName name="WP_ANALYTIC_PAYROLL_TAX_STATE_UNEMPLOYMENT_STATUTORY_RATE">'&lt;.5&gt; Payroll Analytics'!$C$30</definedName>
    <definedName name="WP_ANALYTIC_PAYROLL_TAX_STATE_UNEMPLOYMENT_EXPECTED_TAX">'&lt;.5&gt; Payroll Analytics'!$D$30</definedName>
    <definedName name="WP_ANALYTIC_PAYROLL_TAX_STATE_UNEMPLOYMENT_RECORDED_TAX">'&lt;.5&gt; Payroll Analytics'!$E$30</definedName>
    <definedName name="WP_ANALYTIC_PAYROLL_TAX_STATE_UNEMPLOYMENT_DIFFERENCE">'&lt;.5&gt; Payroll Analytics'!$F$30</definedName>
    <definedName name="WP_ANALYTIC_PAYROLL_TAX_STATE_UNEMPLOYMENT_WITHIN_THRESHOLD">'&lt;.5&gt; Payroll Analytics'!$G$30</definedName>
    <definedName name="WP_ANALYTIC_PAYROLL_MONTHLY_JANUARY_ANCHOR">'&lt;.5&gt; Payroll Analytics'!$A$34</definedName>
    <definedName name="WP_ANALYTIC_PAYROLL_MONTHLY_JANUARY_RECORDED_PAYROLL">'&lt;.5&gt; Payroll Analytics'!$B$34</definedName>
    <definedName name="WP_ANALYTIC_PAYROLL_MONTHLY_JANUARY_HEADCOUNT">'&lt;.5&gt; Payroll Analytics'!$C$34</definedName>
    <definedName name="WP_ANALYTIC_PAYROLL_MONTHLY_JANUARY_COST_PER_HEAD">'&lt;.5&gt; Payroll Analytics'!$D$34</definedName>
    <definedName name="WP_ANALYTIC_PAYROLL_MONTHLY_JANUARY_EXPLANATION">'&lt;.5&gt; Payroll Analytics'!$E$34</definedName>
    <definedName name="WP_ANALYTIC_PAYROLL_MONTHLY_FEBRUARY_ANCHOR">'&lt;.5&gt; Payroll Analytics'!$A$35</definedName>
    <definedName name="WP_ANALYTIC_PAYROLL_MONTHLY_FEBRUARY_RECORDED_PAYROLL">'&lt;.5&gt; Payroll Analytics'!$B$35</definedName>
    <definedName name="WP_ANALYTIC_PAYROLL_MONTHLY_FEBRUARY_HEADCOUNT">'&lt;.5&gt; Payroll Analytics'!$C$35</definedName>
    <definedName name="WP_ANALYTIC_PAYROLL_MONTHLY_FEBRUARY_COST_PER_HEAD">'&lt;.5&gt; Payroll Analytics'!$D$35</definedName>
    <definedName name="WP_ANALYTIC_PAYROLL_MONTHLY_FEBRUARY_EXPLANATION">'&lt;.5&gt; Payroll Analytics'!$E$35</definedName>
    <definedName name="WP_ANALYTIC_PAYROLL_MONTHLY_MARCH_ANCHOR">'&lt;.5&gt; Payroll Analytics'!$A$36</definedName>
    <definedName name="WP_ANALYTIC_PAYROLL_MONTHLY_MARCH_RECORDED_PAYROLL">'&lt;.5&gt; Payroll Analytics'!$B$36</definedName>
    <definedName name="WP_ANALYTIC_PAYROLL_MONTHLY_MARCH_HEADCOUNT">'&lt;.5&gt; Payroll Analytics'!$C$36</definedName>
    <definedName name="WP_ANALYTIC_PAYROLL_MONTHLY_MARCH_COST_PER_HEAD">'&lt;.5&gt; Payroll Analytics'!$D$36</definedName>
    <definedName name="WP_ANALYTIC_PAYROLL_MONTHLY_MARCH_EXPLANATION">'&lt;.5&gt; Payroll Analytics'!$E$36</definedName>
    <definedName name="WP_ANALYTIC_PAYROLL_MONTHLY_APRIL_ANCHOR">'&lt;.5&gt; Payroll Analytics'!$A$37</definedName>
    <definedName name="WP_ANALYTIC_PAYROLL_MONTHLY_APRIL_RECORDED_PAYROLL">'&lt;.5&gt; Payroll Analytics'!$B$37</definedName>
    <definedName name="WP_ANALYTIC_PAYROLL_MONTHLY_APRIL_HEADCOUNT">'&lt;.5&gt; Payroll Analytics'!$C$37</definedName>
    <definedName name="WP_ANALYTIC_PAYROLL_MONTHLY_APRIL_COST_PER_HEAD">'&lt;.5&gt; Payroll Analytics'!$D$37</definedName>
    <definedName name="WP_ANALYTIC_PAYROLL_MONTHLY_APRIL_EXPLANATION">'&lt;.5&gt; Payroll Analytics'!$E$37</definedName>
    <definedName name="WP_ANALYTIC_PAYROLL_MONTHLY_MAY_ANCHOR">'&lt;.5&gt; Payroll Analytics'!$A$38</definedName>
    <definedName name="WP_ANALYTIC_PAYROLL_MONTHLY_MAY_RECORDED_PAYROLL">'&lt;.5&gt; Payroll Analytics'!$B$38</definedName>
    <definedName name="WP_ANALYTIC_PAYROLL_MONTHLY_MAY_HEADCOUNT">'&lt;.5&gt; Payroll Analytics'!$C$38</definedName>
    <definedName name="WP_ANALYTIC_PAYROLL_MONTHLY_MAY_COST_PER_HEAD">'&lt;.5&gt; Payroll Analytics'!$D$38</definedName>
    <definedName name="WP_ANALYTIC_PAYROLL_MONTHLY_MAY_EXPLANATION">'&lt;.5&gt; Payroll Analytics'!$E$38</definedName>
    <definedName name="WP_ANALYTIC_PAYROLL_MONTHLY_JUNE_ANCHOR">'&lt;.5&gt; Payroll Analytics'!$A$39</definedName>
    <definedName name="WP_ANALYTIC_PAYROLL_MONTHLY_JUNE_RECORDED_PAYROLL">'&lt;.5&gt; Payroll Analytics'!$B$39</definedName>
    <definedName name="WP_ANALYTIC_PAYROLL_MONTHLY_JUNE_HEADCOUNT">'&lt;.5&gt; Payroll Analytics'!$C$39</definedName>
    <definedName name="WP_ANALYTIC_PAYROLL_MONTHLY_JUNE_COST_PER_HEAD">'&lt;.5&gt; Payroll Analytics'!$D$39</definedName>
    <definedName name="WP_ANALYTIC_PAYROLL_MONTHLY_JUNE_EXPLANATION">'&lt;.5&gt; Payroll Analytics'!$E$39</definedName>
    <definedName name="WP_ANALYTIC_PAYROLL_MONTHLY_JULY_ANCHOR">'&lt;.5&gt; Payroll Analytics'!$A$40</definedName>
    <definedName name="WP_ANALYTIC_PAYROLL_MONTHLY_JULY_RECORDED_PAYROLL">'&lt;.5&gt; Payroll Analytics'!$B$40</definedName>
    <definedName name="WP_ANALYTIC_PAYROLL_MONTHLY_JULY_HEADCOUNT">'&lt;.5&gt; Payroll Analytics'!$C$40</definedName>
    <definedName name="WP_ANALYTIC_PAYROLL_MONTHLY_JULY_COST_PER_HEAD">'&lt;.5&gt; Payroll Analytics'!$D$40</definedName>
    <definedName name="WP_ANALYTIC_PAYROLL_MONTHLY_JULY_EXPLANATION">'&lt;.5&gt; Payroll Analytics'!$E$40</definedName>
    <definedName name="WP_ANALYTIC_PAYROLL_MONTHLY_AUGUST_ANCHOR">'&lt;.5&gt; Payroll Analytics'!$A$41</definedName>
    <definedName name="WP_ANALYTIC_PAYROLL_MONTHLY_AUGUST_RECORDED_PAYROLL">'&lt;.5&gt; Payroll Analytics'!$B$41</definedName>
    <definedName name="WP_ANALYTIC_PAYROLL_MONTHLY_AUGUST_HEADCOUNT">'&lt;.5&gt; Payroll Analytics'!$C$41</definedName>
    <definedName name="WP_ANALYTIC_PAYROLL_MONTHLY_AUGUST_COST_PER_HEAD">'&lt;.5&gt; Payroll Analytics'!$D$41</definedName>
    <definedName name="WP_ANALYTIC_PAYROLL_MONTHLY_AUGUST_EXPLANATION">'&lt;.5&gt; Payroll Analytics'!$E$41</definedName>
    <definedName name="WP_ANALYTIC_PAYROLL_MONTHLY_SEPTEMBER_ANCHOR">'&lt;.5&gt; Payroll Analytics'!$A$42</definedName>
    <definedName name="WP_ANALYTIC_PAYROLL_MONTHLY_SEPTEMBER_RECORDED_PAYROLL">'&lt;.5&gt; Payroll Analytics'!$B$42</definedName>
    <definedName name="WP_ANALYTIC_PAYROLL_MONTHLY_SEPTEMBER_HEADCOUNT">'&lt;.5&gt; Payroll Analytics'!$C$42</definedName>
    <definedName name="WP_ANALYTIC_PAYROLL_MONTHLY_SEPTEMBER_COST_PER_HEAD">'&lt;.5&gt; Payroll Analytics'!$D$42</definedName>
    <definedName name="WP_ANALYTIC_PAYROLL_MONTHLY_SEPTEMBER_EXPLANATION">'&lt;.5&gt; Payroll Analytics'!$E$42</definedName>
    <definedName name="WP_ANALYTIC_PAYROLL_MONTHLY_OCTOBER_ANCHOR">'&lt;.5&gt; Payroll Analytics'!$A$43</definedName>
    <definedName name="WP_ANALYTIC_PAYROLL_MONTHLY_OCTOBER_RECORDED_PAYROLL">'&lt;.5&gt; Payroll Analytics'!$B$43</definedName>
    <definedName name="WP_ANALYTIC_PAYROLL_MONTHLY_OCTOBER_HEADCOUNT">'&lt;.5&gt; Payroll Analytics'!$C$43</definedName>
    <definedName name="WP_ANALYTIC_PAYROLL_MONTHLY_OCTOBER_COST_PER_HEAD">'&lt;.5&gt; Payroll Analytics'!$D$43</definedName>
    <definedName name="WP_ANALYTIC_PAYROLL_MONTHLY_OCTOBER_EXPLANATION">'&lt;.5&gt; Payroll Analytics'!$E$43</definedName>
    <definedName name="WP_ANALYTIC_PAYROLL_MONTHLY_NOVEMBER_ANCHOR">'&lt;.5&gt; Payroll Analytics'!$A$44</definedName>
    <definedName name="WP_ANALYTIC_PAYROLL_MONTHLY_NOVEMBER_RECORDED_PAYROLL">'&lt;.5&gt; Payroll Analytics'!$B$44</definedName>
    <definedName name="WP_ANALYTIC_PAYROLL_MONTHLY_NOVEMBER_HEADCOUNT">'&lt;.5&gt; Payroll Analytics'!$C$44</definedName>
    <definedName name="WP_ANALYTIC_PAYROLL_MONTHLY_NOVEMBER_COST_PER_HEAD">'&lt;.5&gt; Payroll Analytics'!$D$44</definedName>
    <definedName name="WP_ANALYTIC_PAYROLL_MONTHLY_NOVEMBER_EXPLANATION">'&lt;.5&gt; Payroll Analytics'!$E$44</definedName>
    <definedName name="WP_ANALYTIC_PAYROLL_MONTHLY_DECEMBER_ANCHOR">'&lt;.5&gt; Payroll Analytics'!$A$45</definedName>
    <definedName name="WP_ANALYTIC_PAYROLL_MONTHLY_DECEMBER_RECORDED_PAYROLL">'&lt;.5&gt; Payroll Analytics'!$B$45</definedName>
    <definedName name="WP_ANALYTIC_PAYROLL_MONTHLY_DECEMBER_HEADCOUNT">'&lt;.5&gt; Payroll Analytics'!$C$45</definedName>
    <definedName name="WP_ANALYTIC_PAYROLL_MONTHLY_DECEMBER_COST_PER_HEAD">'&lt;.5&gt; Payroll Analytics'!$D$45</definedName>
    <definedName name="WP_ANALYTIC_PAYROLL_MONTHLY_DECEMBER_EXPLANATION">'&lt;.5&gt; Payroll Analytics'!$E$45</definedName>
    <definedName name="WP_DISCLOSURE_PAYROLL_ACCRUAL_CLASSIFICATION_ANCHOR">'&lt;.7&gt; Disclosures'!$A$8</definedName>
    <definedName name="WP_DISCLOSURE_PAYROLL_ACCRUAL_CLASSIFICATION_RELEVANT">'&lt;.7&gt; Disclosures'!$B$8</definedName>
    <definedName name="WP_DISCLOSURE_PAYROLL_ACCRUAL_CLASSIFICATION_SOURCE_REFERENCE">'&lt;.7&gt; Disclosures'!$C$8</definedName>
    <definedName name="WP_DISCLOSURE_PAYROLL_ACCRUAL_CLASSIFICATION_CONCLUSION">'&lt;.7&gt; Disclosures'!$D$8</definedName>
    <definedName name="WP_DISCLOSURE_PAYROLL_ACCRUAL_CLASSIFICATION_COMMENTS">'&lt;.7&gt; Disclosures'!$E$8</definedName>
    <definedName name="WP_DISCLOSURE_PAYROLL_RELATED_COMPENSATION_ANCHOR">'&lt;.7&gt; Disclosures'!$A$9</definedName>
    <definedName name="WP_DISCLOSURE_PAYROLL_RELATED_COMPENSATION_RELEVANT">'&lt;.7&gt; Disclosures'!$B$9</definedName>
    <definedName name="WP_DISCLOSURE_PAYROLL_RELATED_COMPENSATION_SOURCE_REFERENCE">'&lt;.7&gt; Disclosures'!$C$9</definedName>
    <definedName name="WP_DISCLOSURE_PAYROLL_RELATED_COMPENSATION_CONCLUSION">'&lt;.7&gt; Disclosures'!$D$9</definedName>
    <definedName name="WP_DISCLOSURE_PAYROLL_RELATED_COMPENSATION_COMMENTS">'&lt;.7&gt; Disclosures'!$E$9</definedName>
    <definedName name="WP_DISCLOSURE_PAYROLL_BENEFIT_PLANS_ANCHOR">'&lt;.7&gt; Disclosures'!$A$10</definedName>
    <definedName name="WP_DISCLOSURE_PAYROLL_BENEFIT_PLANS_RELEVANT">'&lt;.7&gt; Disclosures'!$B$10</definedName>
    <definedName name="WP_DISCLOSURE_PAYROLL_BENEFIT_PLANS_SOURCE_REFERENCE">'&lt;.7&gt; Disclosures'!$C$10</definedName>
    <definedName name="WP_DISCLOSURE_PAYROLL_BENEFIT_PLANS_CONCLUSION">'&lt;.7&gt; Disclosures'!$D$10</definedName>
    <definedName name="WP_DISCLOSURE_PAYROLL_BENEFIT_PLANS_COMMENTS">'&lt;.7&gt; Disclosures'!$E$10</definedName>
    <definedName name="WP_DISCLOSURE_PAYROLL_BONUS_SEVERANCE_ANCHOR">'&lt;.7&gt; Disclosures'!$A$11</definedName>
    <definedName name="WP_DISCLOSURE_PAYROLL_BONUS_SEVERANCE_RELEVANT">'&lt;.7&gt; Disclosures'!$B$11</definedName>
    <definedName name="WP_DISCLOSURE_PAYROLL_BONUS_SEVERANCE_SOURCE_REFERENCE">'&lt;.7&gt; Disclosures'!$C$11</definedName>
    <definedName name="WP_DISCLOSURE_PAYROLL_BONUS_SEVERANCE_CONCLUSION">'&lt;.7&gt; Disclosures'!$D$11</definedName>
    <definedName name="WP_DISCLOSURE_PAYROLL_BONUS_SEVERANCE_COMMENTS">'&lt;.7&gt; Disclosures'!$E$11</definedName>
    <definedName name="WP_DISCLOSURE_PAYROLL_TAX_CONTINGENCIES_ANCHOR">'&lt;.7&gt; Disclosures'!$A$12</definedName>
    <definedName name="WP_DISCLOSURE_PAYROLL_TAX_CONTINGENCIES_RELEVANT">'&lt;.7&gt; Disclosures'!$B$12</definedName>
    <definedName name="WP_DISCLOSURE_PAYROLL_TAX_CONTINGENCIES_SOURCE_REFERENCE">'&lt;.7&gt; Disclosures'!$C$12</definedName>
    <definedName name="WP_DISCLOSURE_PAYROLL_TAX_CONTINGENCIES_CONCLUSION">'&lt;.7&gt; Disclosures'!$D$12</definedName>
    <definedName name="WP_DISCLOSURE_PAYROLL_TAX_CONTINGENCIES_COMMENTS">'&lt;.7&gt; Disclosures'!$E$12</definedName>
    <definedName name="WP_DISCLOSURE_PAYROLL_STOCK_COMP_ANCHOR">'&lt;.7&gt; Disclosures'!$A$13</definedName>
    <definedName name="WP_DISCLOSURE_PAYROLL_STOCK_COMP_RELEVANT">'&lt;.7&gt; Disclosures'!$B$13</definedName>
    <definedName name="WP_DISCLOSURE_PAYROLL_STOCK_COMP_SOURCE_REFERENCE">'&lt;.7&gt; Disclosures'!$C$13</definedName>
    <definedName name="WP_DISCLOSURE_PAYROLL_STOCK_COMP_CONCLUSION">'&lt;.7&gt; Disclosures'!$D$13</definedName>
    <definedName name="WP_DISCLOSURE_PAYROLL_STOCK_COMP_COMMENTS">'&lt;.7&gt; Disclosures'!$E$13</definedName>
    <definedName name="WP_DISCLOSURE_PAYROLL_CAPITALIZED_LABOR_ANCHOR">'&lt;.7&gt; Disclosures'!$A$14</definedName>
    <definedName name="WP_DISCLOSURE_PAYROLL_CAPITALIZED_LABOR_RELEVANT">'&lt;.7&gt; Disclosures'!$B$14</definedName>
    <definedName name="WP_DISCLOSURE_PAYROLL_CAPITALIZED_LABOR_SOURCE_REFERENCE">'&lt;.7&gt; Disclosures'!$C$14</definedName>
    <definedName name="WP_DISCLOSURE_PAYROLL_CAPITALIZED_LABOR_CONCLUSION">'&lt;.7&gt; Disclosures'!$D$14</definedName>
    <definedName name="WP_DISCLOSURE_PAYROLL_CAPITALIZED_LABOR_COMMENTS">'&lt;.7&gt; Disclosures'!$E$14</definedName>
    <definedName name="WP_DISCLOSURE_PAYROLL_WORKFORCE_CONCENTRATION_ANCHOR">'&lt;.7&gt; Disclosures'!$A$15</definedName>
    <definedName name="WP_DISCLOSURE_PAYROLL_WORKFORCE_CONCENTRATION_RELEVANT">'&lt;.7&gt; Disclosures'!$B$15</definedName>
    <definedName name="WP_DISCLOSURE_PAYROLL_WORKFORCE_CONCENTRATION_SOURCE_REFERENCE">'&lt;.7&gt; Disclosures'!$C$15</definedName>
    <definedName name="WP_DISCLOSURE_PAYROLL_WORKFORCE_CONCENTRATION_CONCLUSION">'&lt;.7&gt; Disclosures'!$D$15</definedName>
    <definedName name="WP_DISCLOSURE_PAYROLL_WORKFORCE_CONCENTRATION_COMMENTS">'&lt;.7&gt; Disclosures'!$E$15</definedName>
    <definedName name="WP_DISCLOSURE_PAYROLL_ADJUSTMENTS_ANCHOR">'&lt;.7&gt; Disclosures'!$A$16</definedName>
    <definedName name="WP_DISCLOSURE_PAYROLL_ADJUSTMENTS_RELEVANT">'&lt;.7&gt; Disclosures'!$B$16</definedName>
    <definedName name="WP_DISCLOSURE_PAYROLL_ADJUSTMENTS_SOURCE_REFERENCE">'&lt;.7&gt; Disclosures'!$C$16</definedName>
    <definedName name="WP_DISCLOSURE_PAYROLL_ADJUSTMENTS_CONCLUSION">'&lt;.7&gt; Disclosures'!$D$16</definedName>
    <definedName name="WP_DISCLOSURE_PAYROLL_ADJUSTMENTS_COMMENTS">'&lt;.7&gt; Disclosures'!$E$16</definedName>
    <definedName name="WP_DISCLOSURE_PAYROLL_SCOPE_LIMITATIONS_ANCHOR">'&lt;.7&gt; Disclosures'!$A$17</definedName>
    <definedName name="WP_DISCLOSURE_PAYROLL_SCOPE_LIMITATIONS_RELEVANT">'&lt;.7&gt; Disclosures'!$B$17</definedName>
    <definedName name="WP_DISCLOSURE_PAYROLL_SCOPE_LIMITATIONS_SOURCE_REFERENCE">'&lt;.7&gt; Disclosures'!$C$17</definedName>
    <definedName name="WP_DISCLOSURE_PAYROLL_SCOPE_LIMITATIONS_CONCLUSION">'&lt;.7&gt; Disclosures'!$D$17</definedName>
    <definedName name="WP_DISCLOSURE_PAYROLL_SCOPE_LIMITATIONS_COMMENTS">'&lt;.7&gt; Disclosures'!$E$17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3_83515DB182B9">'&lt;.2&gt; Payroll Register Testing'!$A$13</definedName>
    <definedName name="WP_INPUT_S006_DB79D1123B8A">'&lt;.5&gt; Payroll Analytics'!$C$22</definedName>
    <definedName name="_xlnm._FilterDatabase" localSheetId="0" hidden="1">'Library Procedures'!$A$5:$Q$33</definedName>
    <definedName name="_xlnm.Print_Titles" localSheetId="0">'Library Procedures'!$1:$5</definedName>
    <definedName name="_xlnm.Print_Area" localSheetId="0">'Library Procedures'!$A$1:$Q$33</definedName>
    <definedName name="_xlnm.Print_Area" localSheetId="1">'&lt;.1&gt; Payroll Lead Sheet'!$A$1:$I$30</definedName>
    <definedName name="_xlnm.Print_Titles" localSheetId="2">'&lt;.2&gt; Payroll Register Testing'!$1:$7</definedName>
    <definedName name="_xlnm.Print_Area" localSheetId="2">'&lt;.2&gt; Payroll Register Testing'!$A$1:$M$49</definedName>
    <definedName name="_xlnm._FilterDatabase" localSheetId="3" hidden="1">'&lt;.3&gt; Employee Detail Testing'!$A$7:$O$37</definedName>
    <definedName name="_xlnm.Print_Titles" localSheetId="3">'&lt;.3&gt; Employee Detail Testing'!$1:$7</definedName>
    <definedName name="_xlnm.Print_Area" localSheetId="3">'&lt;.3&gt; Employee Detail Testing'!$A$1:$O$47</definedName>
    <definedName name="_xlnm.Print_Area" localSheetId="4">'&lt;.4&gt; Payroll Accrual Recompute'!$A$1:$J$37</definedName>
    <definedName name="_xlnm.Print_Titles" localSheetId="5">'&lt;.5&gt; Payroll Analytics'!$1:$7</definedName>
    <definedName name="_xlnm.Print_Area" localSheetId="5">'&lt;.5&gt; Payroll Analytics'!$A$1:$H$54</definedName>
    <definedName name="_xlnm.Print_Titles" localSheetId="6">'&lt;.6&gt; Payroll Allocation'!$1:$7</definedName>
    <definedName name="_xlnm.Print_Area" localSheetId="6">'&lt;.6&gt; Payroll Allocation'!$A$1:$I$41</definedName>
    <definedName name="_xlnm.Print_Area" localSheetId="7">'&lt;.7&gt; Disclosures'!$A$1:$H$20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6E6E6E"/>
      <sz val="9"/>
    </font>
    <font>
      <name val="SourceSans3"/>
      <charset val="1"/>
      <color rgb="FF1A1A1A"/>
      <sz val="9"/>
    </font>
    <font>
      <name val="SourceSans3"/>
      <charset val="1"/>
      <b val="1"/>
      <color rgb="FFFFFFFF"/>
      <sz val="9"/>
    </font>
    <font>
      <name val="SourceSans3"/>
      <charset val="1"/>
      <color rgb="FF1A1A1A"/>
      <sz val="8.5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22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3" fillId="0" borderId="0" pivotButton="0" quotePrefix="0" xfId="0"/>
    <xf numFmtId="0" fontId="19" fillId="0" borderId="0" applyAlignment="1" pivotButton="0" quotePrefix="0" xfId="0">
      <alignment vertical="top" wrapText="1"/>
    </xf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2" fillId="0" borderId="4" pivotButton="0" quotePrefix="0" xfId="0"/>
    <xf numFmtId="0" fontId="22" fillId="0" borderId="5" pivotButton="0" quotePrefix="0" xfId="0"/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4" fontId="27" fillId="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4" fontId="23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6" pivotButton="0" quotePrefix="0" xfId="0"/>
    <xf numFmtId="0" fontId="32" fillId="0" borderId="6" pivotButton="0" quotePrefix="0" xfId="0"/>
    <xf numFmtId="0" fontId="32" fillId="0" borderId="6" applyAlignment="1" pivotButton="0" quotePrefix="0" xfId="0">
      <alignment vertical="top" wrapText="1"/>
    </xf>
    <xf numFmtId="165" fontId="32" fillId="0" borderId="6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WP_PAYROLL_EMPLOYEE_DETAIL" displayName="WP_PAYROLL_EMPLOYEE_DETAIL" ref="A7:O37" headerRowCount="1">
  <autoFilter ref="A7:O37"/>
  <tableColumns count="15">
    <tableColumn id="1" name="Sample #"/>
    <tableColumn id="2" name="Pay Period End"/>
    <tableColumn id="3" name="Employee ID"/>
    <tableColumn id="4" name="Employee Name"/>
    <tableColumn id="5" name="Department / Cost Center"/>
    <tableColumn id="6" name="Pay Type (Salary / Hourly)"/>
    <tableColumn id="7" name="Authorized Rate (per HR file)"/>
    <tableColumn id="8" name="Hours / Pay Periods"/>
    <tableColumn id="9" name="Recomputed Gross"/>
    <tableColumn id="10" name="Gross per Register"/>
    <tableColumn id="11" name="Difference"/>
    <tableColumn id="12" name="Deductions agreed? (Y/N)"/>
    <tableColumn id="13" name="Net pay agreed to payment? (Y/N)"/>
    <tableColumn id="14" name="Hire / Term in period — first/final pay tested"/>
    <tableColumn id="15" name="Notes — exceptions onl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3"/>
  <sheetViews>
    <sheetView showGridLines="0" tabSelected="1" zoomScale="90" zoomScaleNormal="100" workbookViewId="0">
      <pane xSplit="8" ySplit="5" topLeftCell="I6" activePane="bottomRight" state="frozen"/>
      <selection pane="topRight"/>
      <selection pane="bottomLeft"/>
      <selection pane="bottomRight" activeCell="A11" sqref="A1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9.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17.5" customHeight="1">
      <c r="A1" s="27" t="inlineStr">
        <is>
          <t>Payroll — Library of Audit Procedures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</row>
    <row r="2" ht="120" customHeight="1">
      <c r="A2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</row>
    <row r="3" ht="54" customHeight="1">
      <c r="A3" s="30" t="inlineStr">
        <is>
          <t>Client / Entity: Quoxmark Personnel Network, LLC      Prepared by: Audit Senior BE6B (assigned)      Reviewed by: Audit Manager 2FF3 (assigned)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</row>
    <row r="5">
      <c r="A5" s="31" t="inlineStr">
        <is>
          <t>Applicability</t>
        </is>
      </c>
      <c r="B5" s="31" t="inlineStr">
        <is>
          <t>Requirement</t>
        </is>
      </c>
      <c r="C5" s="31" t="inlineStr">
        <is>
          <t>Execution state</t>
        </is>
      </c>
      <c r="D5" s="31" t="inlineStr">
        <is>
          <t>Evidence state</t>
        </is>
      </c>
      <c r="E5" s="31" t="inlineStr">
        <is>
          <t>Result state</t>
        </is>
      </c>
      <c r="F5" s="31" t="inlineStr">
        <is>
          <t>Issue state</t>
        </is>
      </c>
      <c r="G5" s="31" t="inlineStr">
        <is>
          <t>Signoff state</t>
        </is>
      </c>
      <c r="H5" s="31" t="inlineStr">
        <is>
          <t>Derived outcome</t>
        </is>
      </c>
      <c r="I5" s="31" t="inlineStr">
        <is>
          <t>Procedure</t>
        </is>
      </c>
      <c r="J5" s="31" t="inlineStr">
        <is>
          <t>Assertion(s)</t>
        </is>
      </c>
      <c r="K5" s="31" t="inlineStr">
        <is>
          <t>W/P Ref</t>
        </is>
      </c>
      <c r="L5" s="31" t="inlineStr">
        <is>
          <t>Performed by</t>
        </is>
      </c>
      <c r="M5" s="31" t="inlineStr">
        <is>
          <t>Date</t>
        </is>
      </c>
      <c r="N5" s="31" t="inlineStr">
        <is>
          <t>Reason code</t>
        </is>
      </c>
      <c r="O5" s="31" t="inlineStr">
        <is>
          <t>Source fact / evidence</t>
        </is>
      </c>
      <c r="P5" s="31" t="inlineStr">
        <is>
          <t>Issue / dependency IDs</t>
        </is>
      </c>
      <c r="Q5" s="31" t="inlineStr">
        <is>
          <t>Comment / Work performed</t>
        </is>
      </c>
    </row>
    <row r="6" ht="15" customHeight="1">
      <c r="A6" s="32" t="n"/>
      <c r="B6" s="28" t="n"/>
      <c r="C6" s="28" t="n"/>
      <c r="D6" s="28" t="n"/>
      <c r="E6" s="28" t="n"/>
      <c r="F6" s="28" t="n"/>
      <c r="G6" s="28" t="n"/>
      <c r="H6" s="28" t="n"/>
      <c r="I6" s="33" t="inlineStr">
        <is>
          <t>Section &lt;.1&gt; — Payroll Lead Sheet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</row>
    <row r="7" ht="120" customHeight="1">
      <c r="A7" s="34" t="inlineStr">
        <is>
          <t>Applicable</t>
        </is>
      </c>
      <c r="B7" s="34" t="inlineStr">
        <is>
          <t>Required</t>
        </is>
      </c>
      <c r="C7" s="34" t="inlineStr">
        <is>
          <t>Not Started</t>
        </is>
      </c>
      <c r="D7" s="34" t="inlineStr">
        <is>
          <t>Missing</t>
        </is>
      </c>
      <c r="E7" s="35" t="inlineStr">
        <is>
          <t>Unable to Conclude</t>
        </is>
      </c>
      <c r="F7" s="36" t="inlineStr">
        <is>
          <t>None</t>
        </is>
      </c>
      <c r="G7" s="36" t="inlineStr">
        <is>
          <t>Unsigned</t>
        </is>
      </c>
      <c r="H7" s="36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36" t="inlineStr">
        <is>
          <t>1. Obtain the payroll lead sheet and agree CY and PY payroll expense and accrued payroll/benefit balances to the trial balance and general ledger.</t>
        </is>
      </c>
      <c r="J7" s="36" t="inlineStr">
        <is>
          <t>Completeness; Existence</t>
        </is>
      </c>
      <c r="K7" s="36" t="inlineStr">
        <is>
          <t>&lt;.1&gt;</t>
        </is>
      </c>
      <c r="L7" s="36" t="n"/>
      <c r="M7" s="37" t="n"/>
      <c r="N7" s="36" t="n"/>
      <c r="O7" s="36" t="n"/>
      <c r="P7" s="36" t="inlineStr">
        <is>
          <t>PROC:PROC-PAYROLL; PROC:RESP-STAFFING-CUTOFF-PAYROLL</t>
        </is>
      </c>
      <c r="Q7" s="36" t="n"/>
    </row>
    <row r="8" ht="120" customHeight="1">
      <c r="A8" s="34" t="inlineStr">
        <is>
          <t>Applicable</t>
        </is>
      </c>
      <c r="B8" s="34" t="inlineStr">
        <is>
          <t>Required</t>
        </is>
      </c>
      <c r="C8" s="34" t="inlineStr">
        <is>
          <t>Not Started</t>
        </is>
      </c>
      <c r="D8" s="34" t="inlineStr">
        <is>
          <t>Missing</t>
        </is>
      </c>
      <c r="E8" s="35" t="inlineStr">
        <is>
          <t>Unable to Conclude</t>
        </is>
      </c>
      <c r="F8" s="36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2. Foot the lead sheet and investigate CY-vs-PY movements against known headcount and pay-rate changes.</t>
        </is>
      </c>
      <c r="J8" s="36" t="inlineStr">
        <is>
          <t>Accuracy; Completeness</t>
        </is>
      </c>
      <c r="K8" s="36" t="inlineStr">
        <is>
          <t>&lt;.1&gt;</t>
        </is>
      </c>
      <c r="L8" s="36" t="n"/>
      <c r="M8" s="37" t="n"/>
      <c r="N8" s="36" t="n"/>
      <c r="O8" s="36" t="n"/>
      <c r="P8" s="36" t="inlineStr">
        <is>
          <t>PROC:PROC-PAYROLL; PROC:RESP-STAFFING-CUTOFF-PAYROLL</t>
        </is>
      </c>
      <c r="Q8" s="36" t="n"/>
    </row>
    <row r="9" ht="15" customHeight="1">
      <c r="A9" s="32" t="n"/>
      <c r="B9" s="28" t="n"/>
      <c r="C9" s="28" t="n"/>
      <c r="D9" s="28" t="n"/>
      <c r="E9" s="28" t="n"/>
      <c r="F9" s="28" t="n"/>
      <c r="G9" s="28" t="n"/>
      <c r="H9" s="28" t="n"/>
      <c r="I9" s="33" t="inlineStr">
        <is>
          <t>Section &lt;.2&gt; — Payroll Register Testing (period level)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</row>
    <row r="10" ht="120" customHeight="1">
      <c r="A10" s="34" t="inlineStr">
        <is>
          <t>Applicable</t>
        </is>
      </c>
      <c r="B10" s="34" t="inlineStr">
        <is>
          <t>Required</t>
        </is>
      </c>
      <c r="C10" s="34" t="inlineStr">
        <is>
          <t>Not Started</t>
        </is>
      </c>
      <c r="D10" s="34" t="inlineStr">
        <is>
          <t>Missing</t>
        </is>
      </c>
      <c r="E10" s="35" t="inlineStr">
        <is>
          <t>Unable to Conclude</t>
        </is>
      </c>
      <c r="F10" s="36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J10" s="36" t="inlineStr">
        <is>
          <t>Completeness</t>
        </is>
      </c>
      <c r="K10" s="36" t="inlineStr">
        <is>
          <t>&lt;.2&gt;</t>
        </is>
      </c>
      <c r="L10" s="36" t="n"/>
      <c r="M10" s="37" t="n"/>
      <c r="N10" s="36" t="n"/>
      <c r="O10" s="36" t="n"/>
      <c r="P10" s="36" t="inlineStr">
        <is>
          <t>PROC:PROC-PAYROLL; PROC:RESP-STAFFING-CUTOFF-PAYROLL</t>
        </is>
      </c>
      <c r="Q10" s="36" t="n"/>
    </row>
    <row r="11" ht="120" customHeight="1">
      <c r="A11" s="34" t="inlineStr">
        <is>
          <t>Applicable</t>
        </is>
      </c>
      <c r="B11" s="34" t="inlineStr">
        <is>
          <t>Required</t>
        </is>
      </c>
      <c r="C11" s="34" t="inlineStr">
        <is>
          <t>Not Started</t>
        </is>
      </c>
      <c r="D11" s="34" t="inlineStr">
        <is>
          <t>Missing</t>
        </is>
      </c>
      <c r="E11" s="35" t="inlineStr">
        <is>
          <t>Unable to Conclude</t>
        </is>
      </c>
      <c r="F11" s="36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4. For selected pay periods, test the mathematical accuracy of the register: foot gross wages, deductions and net pay, and recompute gross less deductions equals net.</t>
        </is>
      </c>
      <c r="J11" s="36" t="inlineStr">
        <is>
          <t>Accuracy</t>
        </is>
      </c>
      <c r="K11" s="36" t="inlineStr">
        <is>
          <t>&lt;.2&gt;</t>
        </is>
      </c>
      <c r="L11" s="36" t="n"/>
      <c r="M11" s="37" t="n"/>
      <c r="N11" s="36" t="n"/>
      <c r="O11" s="36" t="n"/>
      <c r="P11" s="36" t="inlineStr">
        <is>
          <t>PROC:PROC-PAYROLL; PROC:RESP-STAFFING-CUTOFF-PAYROLL</t>
        </is>
      </c>
      <c r="Q11" s="36" t="n"/>
    </row>
    <row r="12" ht="120" customHeight="1">
      <c r="A12" s="34" t="inlineStr">
        <is>
          <t>Applicable</t>
        </is>
      </c>
      <c r="B12" s="34" t="inlineStr">
        <is>
          <t>Required</t>
        </is>
      </c>
      <c r="C12" s="34" t="inlineStr">
        <is>
          <t>Not Started</t>
        </is>
      </c>
      <c r="D12" s="34" t="inlineStr">
        <is>
          <t>Missing</t>
        </is>
      </c>
      <c r="E12" s="35" t="inlineStr">
        <is>
          <t>Unable to Conclude</t>
        </is>
      </c>
      <c r="F12" s="36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J12" s="36" t="inlineStr">
        <is>
          <t>Occurrence; Accuracy; Completeness</t>
        </is>
      </c>
      <c r="K12" s="36" t="inlineStr">
        <is>
          <t>&lt;.2&gt;</t>
        </is>
      </c>
      <c r="L12" s="36" t="n"/>
      <c r="M12" s="37" t="n"/>
      <c r="N12" s="36" t="n"/>
      <c r="O12" s="36" t="n"/>
      <c r="P12" s="36" t="inlineStr">
        <is>
          <t>PROC:PROC-PAYROLL; PROC:RESP-STAFFING-CUTOFF-PAYROLL</t>
        </is>
      </c>
      <c r="Q12" s="36" t="n"/>
    </row>
    <row r="13" ht="15" customHeight="1">
      <c r="A13" s="32" t="n"/>
      <c r="B13" s="28" t="n"/>
      <c r="C13" s="28" t="n"/>
      <c r="D13" s="28" t="n"/>
      <c r="E13" s="28" t="n"/>
      <c r="F13" s="28" t="n"/>
      <c r="G13" s="28" t="n"/>
      <c r="H13" s="28" t="n"/>
      <c r="I13" s="33" t="inlineStr">
        <is>
          <t>Section &lt;.3&gt; — Employee Detail Testing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</row>
    <row r="14" ht="120" customHeight="1">
      <c r="A14" s="34" t="inlineStr">
        <is>
          <t>Applicable</t>
        </is>
      </c>
      <c r="B14" s="34" t="inlineStr">
        <is>
          <t>Required</t>
        </is>
      </c>
      <c r="C14" s="34" t="inlineStr">
        <is>
          <t>Not Started</t>
        </is>
      </c>
      <c r="D14" s="34" t="inlineStr">
        <is>
          <t>Missing</t>
        </is>
      </c>
      <c r="E14" s="35" t="inlineStr">
        <is>
          <t>Unable to Conclude</t>
        </is>
      </c>
      <c r="F14" s="36" t="inlineStr">
        <is>
          <t>None</t>
        </is>
      </c>
      <c r="G14" s="36" t="inlineStr">
        <is>
          <t>Unsigned</t>
        </is>
      </c>
      <c r="H14" s="3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6" t="inlineStr">
        <is>
          <t>6. For selected employees, agree existence to the HR/personnel file and the pay rate to authorized documentation (offer letter, approved rate-change form).</t>
        </is>
      </c>
      <c r="J14" s="36" t="inlineStr">
        <is>
          <t>Occurrence; Accuracy</t>
        </is>
      </c>
      <c r="K14" s="36" t="inlineStr">
        <is>
          <t>&lt;.3&gt;</t>
        </is>
      </c>
      <c r="L14" s="36" t="n"/>
      <c r="M14" s="37" t="n"/>
      <c r="N14" s="36" t="n"/>
      <c r="O14" s="36" t="n"/>
      <c r="P14" s="36" t="inlineStr">
        <is>
          <t>PROC:PROC-PAYROLL; PROC:RESP-STAFFING-CUTOFF-PAYROLL</t>
        </is>
      </c>
      <c r="Q14" s="36" t="n"/>
    </row>
    <row r="15" ht="120" customHeight="1">
      <c r="A15" s="34" t="inlineStr">
        <is>
          <t>Applicable</t>
        </is>
      </c>
      <c r="B15" s="34" t="inlineStr">
        <is>
          <t>Required</t>
        </is>
      </c>
      <c r="C15" s="34" t="inlineStr">
        <is>
          <t>Not Started</t>
        </is>
      </c>
      <c r="D15" s="34" t="inlineStr">
        <is>
          <t>Missing</t>
        </is>
      </c>
      <c r="E15" s="35" t="inlineStr">
        <is>
          <t>Unable to Conclude</t>
        </is>
      </c>
      <c r="F15" s="36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7. Recompute gross pay (hours x rate, or salary / pay periods), agree statutory deductions to supporting tables or the payroll system, and agree net pay to payment evidence.</t>
        </is>
      </c>
      <c r="J15" s="36" t="inlineStr">
        <is>
          <t>Accuracy; Valuation &amp; Allocation</t>
        </is>
      </c>
      <c r="K15" s="36" t="inlineStr">
        <is>
          <t>&lt;.3&gt;</t>
        </is>
      </c>
      <c r="L15" s="36" t="n"/>
      <c r="M15" s="37" t="n"/>
      <c r="N15" s="36" t="n"/>
      <c r="O15" s="36" t="n"/>
      <c r="P15" s="36" t="inlineStr">
        <is>
          <t>PROC:PROC-PAYROLL; PROC:RESP-STAFFING-CUTOFF-PAYROLL</t>
        </is>
      </c>
      <c r="Q15" s="36" t="n"/>
    </row>
    <row r="16" ht="120" customHeight="1">
      <c r="A16" s="34" t="inlineStr">
        <is>
          <t>Applicable</t>
        </is>
      </c>
      <c r="B16" s="34" t="inlineStr">
        <is>
          <t>Required</t>
        </is>
      </c>
      <c r="C16" s="34" t="inlineStr">
        <is>
          <t>Not Started</t>
        </is>
      </c>
      <c r="D16" s="34" t="inlineStr">
        <is>
          <t>Missing</t>
        </is>
      </c>
      <c r="E16" s="35" t="inlineStr">
        <is>
          <t>Unable to Conclude</t>
        </is>
      </c>
      <c r="F16" s="36" t="inlineStr">
        <is>
          <t>None</t>
        </is>
      </c>
      <c r="G16" s="36" t="inlineStr">
        <is>
          <t>Unsigned</t>
        </is>
      </c>
      <c r="H16" s="3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6" t="inlineStr">
        <is>
          <t>8. For employees hired or terminated during the period, test the first / final pay computation and its timing against the hire or termination date.</t>
        </is>
      </c>
      <c r="J16" s="36" t="inlineStr">
        <is>
          <t>Occurrence; Cutoff</t>
        </is>
      </c>
      <c r="K16" s="36" t="inlineStr">
        <is>
          <t>&lt;.3&gt;</t>
        </is>
      </c>
      <c r="L16" s="36" t="n"/>
      <c r="M16" s="37" t="n"/>
      <c r="N16" s="36" t="n"/>
      <c r="O16" s="36" t="n"/>
      <c r="P16" s="36" t="inlineStr">
        <is>
          <t>PROC:PROC-PAYROLL; PROC:RESP-STAFFING-CUTOFF-PAYROLL</t>
        </is>
      </c>
      <c r="Q16" s="36" t="n"/>
    </row>
    <row r="17" ht="15" customHeight="1">
      <c r="A17" s="32" t="n"/>
      <c r="B17" s="28" t="n"/>
      <c r="C17" s="28" t="n"/>
      <c r="D17" s="28" t="n"/>
      <c r="E17" s="28" t="n"/>
      <c r="F17" s="28" t="n"/>
      <c r="G17" s="28" t="n"/>
      <c r="H17" s="28" t="n"/>
      <c r="I17" s="33" t="inlineStr">
        <is>
          <t>Section &lt;.4&gt; — Payroll Accrual Recompute</t>
        </is>
      </c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20" customHeight="1">
      <c r="A18" s="34" t="inlineStr">
        <is>
          <t>Applicable</t>
        </is>
      </c>
      <c r="B18" s="34" t="inlineStr">
        <is>
          <t>Required</t>
        </is>
      </c>
      <c r="C18" s="34" t="inlineStr">
        <is>
          <t>Not Started</t>
        </is>
      </c>
      <c r="D18" s="34" t="inlineStr">
        <is>
          <t>Missing</t>
        </is>
      </c>
      <c r="E18" s="35" t="inlineStr">
        <is>
          <t>Unable to Conclude</t>
        </is>
      </c>
      <c r="F18" s="36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9. Recompute accrued payroll at period end (days accrued x daily gross payroll plus employer taxes) and other payroll accruals (PTO, bonus, commissions); agree each to the recorded accrual.</t>
        </is>
      </c>
      <c r="J18" s="36" t="inlineStr">
        <is>
          <t>Valuation &amp; Allocation; Completeness; Cutoff</t>
        </is>
      </c>
      <c r="K18" s="36" t="inlineStr">
        <is>
          <t>&lt;.4&gt;</t>
        </is>
      </c>
      <c r="L18" s="36" t="n"/>
      <c r="M18" s="37" t="n"/>
      <c r="N18" s="36" t="n"/>
      <c r="O18" s="36" t="n"/>
      <c r="P18" s="36" t="inlineStr">
        <is>
          <t>PROC:PROC-PAYROLL; PROC:RESP-STAFFING-CUTOFF-PAYROLL</t>
        </is>
      </c>
      <c r="Q18" s="36" t="n"/>
    </row>
    <row r="19" ht="120" customHeight="1">
      <c r="A19" s="34" t="inlineStr">
        <is>
          <t>Applicable</t>
        </is>
      </c>
      <c r="B19" s="34" t="inlineStr">
        <is>
          <t>Required</t>
        </is>
      </c>
      <c r="C19" s="34" t="inlineStr">
        <is>
          <t>Not Started</t>
        </is>
      </c>
      <c r="D19" s="34" t="inlineStr">
        <is>
          <t>Missing</t>
        </is>
      </c>
      <c r="E19" s="35" t="inlineStr">
        <is>
          <t>Unable to Conclude</t>
        </is>
      </c>
      <c r="F19" s="36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10. Verify the accrual reverses in the subsequent period and agree the subsequent payroll payment to the bank.</t>
        </is>
      </c>
      <c r="J19" s="36" t="inlineStr">
        <is>
          <t>Cutoff; Existence</t>
        </is>
      </c>
      <c r="K19" s="36" t="inlineStr">
        <is>
          <t>&lt;.4&gt;</t>
        </is>
      </c>
      <c r="L19" s="36" t="n"/>
      <c r="M19" s="37" t="n"/>
      <c r="N19" s="36" t="n"/>
      <c r="O19" s="36" t="n"/>
      <c r="P19" s="36" t="inlineStr">
        <is>
          <t>PROC:PROC-PAYROLL; PROC:RESP-STAFFING-CUTOFF-PAYROLL; WINDOW:WIN-PAYROLL-CUTOFF</t>
        </is>
      </c>
      <c r="Q19" s="36" t="n"/>
    </row>
    <row r="20" ht="15" customHeight="1">
      <c r="A20" s="32" t="n"/>
      <c r="B20" s="28" t="n"/>
      <c r="C20" s="28" t="n"/>
      <c r="D20" s="28" t="n"/>
      <c r="E20" s="28" t="n"/>
      <c r="F20" s="28" t="n"/>
      <c r="G20" s="28" t="n"/>
      <c r="H20" s="28" t="n"/>
      <c r="I20" s="33" t="inlineStr">
        <is>
          <t>Section &lt;.5&gt; — Payroll Analytics</t>
        </is>
      </c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20" customHeight="1">
      <c r="A21" s="34" t="inlineStr">
        <is>
          <t>Applicable</t>
        </is>
      </c>
      <c r="B21" s="34" t="inlineStr">
        <is>
          <t>Required</t>
        </is>
      </c>
      <c r="C21" s="34" t="inlineStr">
        <is>
          <t>Not Started</t>
        </is>
      </c>
      <c r="D21" s="34" t="inlineStr">
        <is>
          <t>Missing</t>
        </is>
      </c>
      <c r="E21" s="35" t="inlineStr">
        <is>
          <t>Unable to Conclude</t>
        </is>
      </c>
      <c r="F21" s="36" t="inlineStr">
        <is>
          <t>None</t>
        </is>
      </c>
      <c r="G21" s="36" t="inlineStr">
        <is>
          <t>Unsigned</t>
        </is>
      </c>
      <c r="H21" s="36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6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J21" s="36" t="inlineStr">
        <is>
          <t>Completeness; Occurrence; Accuracy</t>
        </is>
      </c>
      <c r="K21" s="36" t="inlineStr">
        <is>
          <t>&lt;.5&gt;</t>
        </is>
      </c>
      <c r="L21" s="36" t="n"/>
      <c r="M21" s="37" t="n"/>
      <c r="N21" s="36" t="n"/>
      <c r="O21" s="36" t="n"/>
      <c r="P21" s="36" t="inlineStr">
        <is>
          <t>PROC:PROC-PAYROLL; PROC:RESP-STAFFING-CUTOFF-PAYROLL</t>
        </is>
      </c>
      <c r="Q21" s="36" t="n"/>
    </row>
    <row r="22" ht="120" customHeight="1">
      <c r="A22" s="34" t="inlineStr">
        <is>
          <t>Applicable</t>
        </is>
      </c>
      <c r="B22" s="34" t="inlineStr">
        <is>
          <t>Required</t>
        </is>
      </c>
      <c r="C22" s="34" t="inlineStr">
        <is>
          <t>Not Started</t>
        </is>
      </c>
      <c r="D22" s="34" t="inlineStr">
        <is>
          <t>Missing</t>
        </is>
      </c>
      <c r="E22" s="35" t="inlineStr">
        <is>
          <t>Unable to Conclude</t>
        </is>
      </c>
      <c r="F22" s="36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12. Test employer payroll-tax reasonableness (statutory rates x taxable wages) and review the monthly payroll trend against headcount.</t>
        </is>
      </c>
      <c r="J22" s="36" t="inlineStr">
        <is>
          <t>Accuracy; Completeness</t>
        </is>
      </c>
      <c r="K22" s="36" t="inlineStr">
        <is>
          <t>&lt;.5&gt;</t>
        </is>
      </c>
      <c r="L22" s="36" t="n"/>
      <c r="M22" s="37" t="n"/>
      <c r="N22" s="36" t="n"/>
      <c r="O22" s="36" t="n"/>
      <c r="P22" s="36" t="inlineStr">
        <is>
          <t>PROC:PROC-PAYROLL; PROC:RESP-STAFFING-CUTOFF-PAYROLL</t>
        </is>
      </c>
      <c r="Q22" s="36" t="n"/>
    </row>
    <row r="23" ht="15" customHeight="1">
      <c r="A23" s="32" t="n"/>
      <c r="B23" s="28" t="n"/>
      <c r="C23" s="28" t="n"/>
      <c r="D23" s="28" t="n"/>
      <c r="E23" s="28" t="n"/>
      <c r="F23" s="28" t="n"/>
      <c r="G23" s="28" t="n"/>
      <c r="H23" s="28" t="n"/>
      <c r="I23" s="33" t="inlineStr">
        <is>
          <t>Section &lt;.6&gt; — Payroll Allocation</t>
        </is>
      </c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20" customHeight="1">
      <c r="A24" s="34" t="inlineStr">
        <is>
          <t>Applicable</t>
        </is>
      </c>
      <c r="B24" s="34" t="inlineStr">
        <is>
          <t>Required</t>
        </is>
      </c>
      <c r="C24" s="34" t="inlineStr">
        <is>
          <t>Not Started</t>
        </is>
      </c>
      <c r="D24" s="34" t="inlineStr">
        <is>
          <t>Missing</t>
        </is>
      </c>
      <c r="E24" s="35" t="inlineStr">
        <is>
          <t>Unable to Conclude</t>
        </is>
      </c>
      <c r="F24" s="36" t="inlineStr">
        <is>
          <t>None</t>
        </is>
      </c>
      <c r="G24" s="36" t="inlineStr">
        <is>
          <t>Unsigned</t>
        </is>
      </c>
      <c r="H24" s="36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36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J24" s="36" t="inlineStr">
        <is>
          <t>Classification; Accuracy</t>
        </is>
      </c>
      <c r="K24" s="36" t="inlineStr">
        <is>
          <t>&lt;.6&gt;</t>
        </is>
      </c>
      <c r="L24" s="36" t="n"/>
      <c r="M24" s="37" t="n"/>
      <c r="N24" s="36" t="n"/>
      <c r="O24" s="36" t="n"/>
      <c r="P24" s="36" t="inlineStr">
        <is>
          <t>PROC:PROC-PAYROLL; PROC:RESP-STAFFING-CUTOFF-PAYROLL</t>
        </is>
      </c>
      <c r="Q24" s="36" t="n"/>
    </row>
    <row r="25" ht="120" customHeight="1">
      <c r="A25" s="34" t="inlineStr">
        <is>
          <t>Applicable</t>
        </is>
      </c>
      <c r="B25" s="34" t="inlineStr">
        <is>
          <t>Required</t>
        </is>
      </c>
      <c r="C25" s="34" t="inlineStr">
        <is>
          <t>Not Started</t>
        </is>
      </c>
      <c r="D25" s="34" t="inlineStr">
        <is>
          <t>Missing</t>
        </is>
      </c>
      <c r="E25" s="35" t="inlineStr">
        <is>
          <t>Unable to Conclude</t>
        </is>
      </c>
      <c r="F25" s="36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14. Evaluate capitalized labor (inventory / fixed assets) for consistency with the entity's costing methodology.</t>
        </is>
      </c>
      <c r="J25" s="36" t="inlineStr">
        <is>
          <t>Classification; Valuation &amp; Allocation</t>
        </is>
      </c>
      <c r="K25" s="36" t="inlineStr">
        <is>
          <t>&lt;.6&gt;</t>
        </is>
      </c>
      <c r="L25" s="36" t="n"/>
      <c r="M25" s="37" t="n"/>
      <c r="N25" s="36" t="n"/>
      <c r="O25" s="36" t="n"/>
      <c r="P25" s="36" t="inlineStr">
        <is>
          <t>PROC:PROC-PAYROLL; PROC:RESP-STAFFING-CUTOFF-PAYROLL</t>
        </is>
      </c>
      <c r="Q25" s="36" t="n"/>
    </row>
    <row r="26" ht="15" customHeight="1">
      <c r="A26" s="32" t="n"/>
      <c r="B26" s="28" t="n"/>
      <c r="C26" s="28" t="n"/>
      <c r="D26" s="28" t="n"/>
      <c r="E26" s="28" t="n"/>
      <c r="F26" s="28" t="n"/>
      <c r="G26" s="28" t="n"/>
      <c r="H26" s="28" t="n"/>
      <c r="I26" s="33" t="inlineStr">
        <is>
          <t>Section &lt;.7&gt; — Disclosures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ht="120" customHeight="1">
      <c r="A27" s="34" t="inlineStr">
        <is>
          <t>Applicable</t>
        </is>
      </c>
      <c r="B27" s="34" t="inlineStr">
        <is>
          <t>Required</t>
        </is>
      </c>
      <c r="C27" s="34" t="inlineStr">
        <is>
          <t>Not Started</t>
        </is>
      </c>
      <c r="D27" s="34" t="inlineStr">
        <is>
          <t>Missing</t>
        </is>
      </c>
      <c r="E27" s="35" t="inlineStr">
        <is>
          <t>Unable to Conclude</t>
        </is>
      </c>
      <c r="F27" s="36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Evaluate payroll-related presentation and disclosure: accrued payroll and benefits, officer / related-party compensation, benefit plans, and classification matters.</t>
        </is>
      </c>
      <c r="J27" s="36" t="inlineStr">
        <is>
          <t>Presentation &amp; Disclosure</t>
        </is>
      </c>
      <c r="K27" s="36" t="inlineStr">
        <is>
          <t>&lt;.7&gt;</t>
        </is>
      </c>
      <c r="L27" s="36" t="n"/>
      <c r="M27" s="37" t="n"/>
      <c r="N27" s="36" t="n"/>
      <c r="O27" s="36" t="n"/>
      <c r="P27" s="36" t="inlineStr">
        <is>
          <t>PROC:PROC-PAYROLL; PROC:RESP-STAFFING-CUTOFF-PAYROLL</t>
        </is>
      </c>
      <c r="Q27" s="36" t="n"/>
    </row>
    <row r="28" ht="15" customHeight="1">
      <c r="A28" s="32" t="n"/>
      <c r="B28" s="28" t="n"/>
      <c r="C28" s="28" t="n"/>
      <c r="D28" s="28" t="n"/>
      <c r="E28" s="28" t="n"/>
      <c r="F28" s="28" t="n"/>
      <c r="G28" s="28" t="n"/>
      <c r="H28" s="28" t="n"/>
      <c r="I28" s="33" t="inlineStr">
        <is>
          <t>Section R — Additional recommended procedures</t>
        </is>
      </c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 ht="120" customHeight="1">
      <c r="A29" s="34" t="inlineStr">
        <is>
          <t>Applicable</t>
        </is>
      </c>
      <c r="B29" s="34" t="inlineStr">
        <is>
          <t>Recommended</t>
        </is>
      </c>
      <c r="C29" s="34" t="inlineStr">
        <is>
          <t>Not Performed</t>
        </is>
      </c>
      <c r="D29" s="34" t="inlineStr">
        <is>
          <t>Not Required</t>
        </is>
      </c>
      <c r="E29" s="35" t="inlineStr">
        <is>
          <t>Unable to Conclude</t>
        </is>
      </c>
      <c r="F29" s="36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Reconcile total wages per the general ledger to quarterly payroll tax filings (Forms 941 / W-3 or local equivalents).</t>
        </is>
      </c>
      <c r="J29" s="36" t="inlineStr">
        <is>
          <t>Completeness; Accuracy</t>
        </is>
      </c>
      <c r="K29" s="36" t="inlineStr">
        <is>
          <t>&lt;.2&gt;</t>
        </is>
      </c>
      <c r="L29" s="36" t="n"/>
      <c r="M29" s="37" t="n"/>
      <c r="N29" s="36" t="n"/>
      <c r="O29" s="36" t="n"/>
      <c r="P29" s="36" t="inlineStr">
        <is>
          <t>PROC:PROC-PAYROLL; PROC:RESP-STAFFING-CUTOFF-PAYROLL</t>
        </is>
      </c>
      <c r="Q29" s="36" t="n"/>
    </row>
    <row r="30" ht="120" customHeight="1">
      <c r="A30" s="34" t="inlineStr">
        <is>
          <t>Applicable</t>
        </is>
      </c>
      <c r="B30" s="34" t="inlineStr">
        <is>
          <t>Recommended</t>
        </is>
      </c>
      <c r="C30" s="34" t="inlineStr">
        <is>
          <t>Not Performed</t>
        </is>
      </c>
      <c r="D30" s="34" t="inlineStr">
        <is>
          <t>Not Required</t>
        </is>
      </c>
      <c r="E30" s="35" t="inlineStr">
        <is>
          <t>Unable to Conclude</t>
        </is>
      </c>
      <c r="F30" s="36" t="inlineStr">
        <is>
          <t>None</t>
        </is>
      </c>
      <c r="G30" s="36" t="inlineStr">
        <is>
          <t>Unsigned</t>
        </is>
      </c>
      <c r="H30" s="36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6" t="inlineStr">
        <is>
          <t>17. Perform ghost-employee procedures: match the register to the active HR master file; investigate duplicate bank accounts, addresses or IDs, and payments to terminated employees.</t>
        </is>
      </c>
      <c r="J30" s="36" t="inlineStr">
        <is>
          <t>Occurrence; Existence</t>
        </is>
      </c>
      <c r="K30" s="36" t="inlineStr">
        <is>
          <t>&lt;.3&gt;</t>
        </is>
      </c>
      <c r="L30" s="36" t="n"/>
      <c r="M30" s="37" t="n"/>
      <c r="N30" s="36" t="n"/>
      <c r="O30" s="36" t="n"/>
      <c r="P30" s="36" t="inlineStr">
        <is>
          <t>PROC:PROC-PAYROLL; PROC:RESP-STAFFING-CUTOFF-PAYROLL</t>
        </is>
      </c>
      <c r="Q30" s="36" t="n"/>
    </row>
    <row r="31" ht="120" customHeight="1">
      <c r="A31" s="34" t="inlineStr">
        <is>
          <t>Applicable</t>
        </is>
      </c>
      <c r="B31" s="34" t="inlineStr">
        <is>
          <t>Recommended</t>
        </is>
      </c>
      <c r="C31" s="34" t="inlineStr">
        <is>
          <t>Not Performed</t>
        </is>
      </c>
      <c r="D31" s="34" t="inlineStr">
        <is>
          <t>Not Required</t>
        </is>
      </c>
      <c r="E31" s="35" t="inlineStr">
        <is>
          <t>Unable to Conclude</t>
        </is>
      </c>
      <c r="F31" s="36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18. Where a payroll service organization is used, obtain and evaluate the SOC 1 report, including complementary user-entity controls.</t>
        </is>
      </c>
      <c r="J31" s="36" t="inlineStr">
        <is>
          <t>All</t>
        </is>
      </c>
      <c r="K31" s="36" t="inlineStr">
        <is>
          <t>&lt;.2&gt;/&lt;.3&gt;</t>
        </is>
      </c>
      <c r="L31" s="36" t="n"/>
      <c r="M31" s="37" t="n"/>
      <c r="N31" s="36" t="n"/>
      <c r="O31" s="36" t="n"/>
      <c r="P31" s="36" t="inlineStr">
        <is>
          <t>PROC:PROC-PAYROLL; PROC:RESP-STAFFING-CUTOFF-PAYROLL</t>
        </is>
      </c>
      <c r="Q31" s="36" t="n"/>
    </row>
    <row r="32" ht="120" customHeight="1">
      <c r="A32" s="34" t="inlineStr">
        <is>
          <t>Applicable</t>
        </is>
      </c>
      <c r="B32" s="34" t="inlineStr">
        <is>
          <t>Recommended</t>
        </is>
      </c>
      <c r="C32" s="34" t="inlineStr">
        <is>
          <t>Not Performed</t>
        </is>
      </c>
      <c r="D32" s="34" t="inlineStr">
        <is>
          <t>Not Required</t>
        </is>
      </c>
      <c r="E32" s="35" t="inlineStr">
        <is>
          <t>Unable to Conclude</t>
        </is>
      </c>
      <c r="F32" s="36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19. Test unclaimed wages and stale payroll checks for escheat / liability completeness.</t>
        </is>
      </c>
      <c r="J32" s="36" t="inlineStr">
        <is>
          <t>Completeness</t>
        </is>
      </c>
      <c r="K32" s="36" t="inlineStr">
        <is>
          <t>&lt;.4&gt;</t>
        </is>
      </c>
      <c r="L32" s="36" t="n"/>
      <c r="M32" s="37" t="n"/>
      <c r="N32" s="36" t="n"/>
      <c r="O32" s="36" t="n"/>
      <c r="P32" s="36" t="inlineStr">
        <is>
          <t>PROC:PROC-PAYROLL; PROC:RESP-STAFFING-CUTOFF-PAYROLL</t>
        </is>
      </c>
      <c r="Q32" s="36" t="n"/>
    </row>
    <row r="33" ht="120" customHeight="1">
      <c r="A33" s="34" t="inlineStr">
        <is>
          <t>Applicable</t>
        </is>
      </c>
      <c r="B33" s="34" t="inlineStr">
        <is>
          <t>Recommended</t>
        </is>
      </c>
      <c r="C33" s="34" t="inlineStr">
        <is>
          <t>Not Performed</t>
        </is>
      </c>
      <c r="D33" s="34" t="inlineStr">
        <is>
          <t>Not Required</t>
        </is>
      </c>
      <c r="E33" s="35" t="inlineStr">
        <is>
          <t>Unable to Conclude</t>
        </is>
      </c>
      <c r="F33" s="36" t="inlineStr">
        <is>
          <t>None</t>
        </is>
      </c>
      <c r="G33" s="36" t="inlineStr">
        <is>
          <t>Unsigned</t>
        </is>
      </c>
      <c r="H33" s="36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6" t="inlineStr">
        <is>
          <t>20. Review segregation of duties over payroll master-file changes, payroll processing and payment approval.</t>
        </is>
      </c>
      <c r="J33" s="36" t="inlineStr">
        <is>
          <t>Occurrence</t>
        </is>
      </c>
      <c r="K33" s="36" t="inlineStr">
        <is>
          <t>&lt;.2&gt;/&lt;.3&gt;</t>
        </is>
      </c>
      <c r="L33" s="36" t="n"/>
      <c r="M33" s="37" t="n"/>
      <c r="N33" s="36" t="n"/>
      <c r="O33" s="36" t="n"/>
      <c r="P33" s="36" t="inlineStr">
        <is>
          <t>PROC:PROC-PAYROLL; PROC:RESP-STAFFING-CUTOFF-PAYROLL</t>
        </is>
      </c>
      <c r="Q33" s="36" t="n"/>
    </row>
  </sheetData>
  <autoFilter ref="A5:Q33"/>
  <mergeCells count="8">
    <mergeCell ref="I6:Q6"/>
    <mergeCell ref="I20:Q20"/>
    <mergeCell ref="I23:Q23"/>
    <mergeCell ref="I13:Q13"/>
    <mergeCell ref="I28:Q28"/>
    <mergeCell ref="I17:Q17"/>
    <mergeCell ref="I9:Q9"/>
    <mergeCell ref="I26:Q26"/>
  </mergeCells>
  <conditionalFormatting sqref="A7:Q33">
    <cfRule type="expression" priority="1" dxfId="0">
      <formula>AND($F7="Open",$P7&lt;&gt;"")</formula>
    </cfRule>
    <cfRule type="expression" priority="2" dxfId="1">
      <formula>OR($H7="Blocked",AND($F7="Open",$P7=""))</formula>
    </cfRule>
    <cfRule type="expression" priority="3" dxfId="2">
      <formula>$H7="Passed"</formula>
    </cfRule>
    <cfRule type="expression" priority="4" dxfId="3">
      <formula>OR($H7="Valid N/A",$H7="Recommended - Not Performed")</formula>
    </cfRule>
  </conditionalFormatting>
  <dataValidations count="7">
    <dataValidation sqref="A7 A8 A10 A11 A12 A14 A15 A16 A18 A19 A21 A22 A24 A25 A27 A29 A30 A31 A32 A33" showDropDown="0" showInputMessage="0" showErrorMessage="0" allowBlank="0" type="list">
      <formula1>"Applicable,Not Applicable - Fact Driven"</formula1>
    </dataValidation>
    <dataValidation sqref="B7 B8 B10 B11 B12 B14 B15 B16 B18 B19 B21 B22 B24 B25 B27 B29 B30 B31 B32 B33" showDropDown="0" showInputMessage="0" showErrorMessage="0" allowBlank="0" type="list">
      <formula1>"Required,Recommended"</formula1>
    </dataValidation>
    <dataValidation sqref="C7 C8 C10 C11 C12 C14 C15 C16 C18 C19 C21 C22 C24 C25 C27 C29 C30 C31 C32 C33" showDropDown="0" showInputMessage="0" showErrorMessage="0" allowBlank="0" type="list">
      <formula1>"Not Started,In Progress,Performed,Not Performed"</formula1>
    </dataValidation>
    <dataValidation sqref="D7 D8 D10 D11 D12 D14 D15 D16 D18 D19 D21 D22 D24 D25 D27 D29 D30 D31 D32 D33" showDropDown="0" showInputMessage="0" showErrorMessage="0" allowBlank="0" type="list">
      <formula1>"Sufficient,Missing,Unreadable,Unreliable,Contradictory,Not Required"</formula1>
    </dataValidation>
    <dataValidation sqref="E7 E8 E10 E11 E12 E14 E15 E16 E18 E19 E21 E22 E24 E25 E27 E29 E30 E31 E32 E33" showDropDown="0" showInputMessage="0" showErrorMessage="0" allowBlank="0" type="list">
      <formula1>"No Exception,Exception Identified,Unable to Conclude"</formula1>
    </dataValidation>
    <dataValidation sqref="F7 F8 F10 F11 F12 F14 F15 F16 F18 F19 F21 F22 F24 F25 F27 F29 F30 F31 F32 F33" showDropDown="0" showInputMessage="0" showErrorMessage="0" allowBlank="0" type="list">
      <formula1>"None,Open,Adjusted,Passed,Resolved,Superseded"</formula1>
    </dataValidation>
    <dataValidation sqref="G7 G8 G10 G11 G12 G14 G15 G16 G18 G19 G21 G22 G24 G25 G27 G29 G30 G31 G32 G3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2.4" bestFit="1" customWidth="1" min="1" max="1"/>
    <col width="28.35" customWidth="1" min="2" max="2"/>
    <col width="38" customWidth="1" min="3" max="3"/>
    <col width="14" customWidth="1" min="4" max="5"/>
    <col width="13.05" customWidth="1" min="5" max="5"/>
    <col width="30.05" customWidth="1" min="6" max="6"/>
    <col width="23.25" customWidth="1" min="7" max="7"/>
    <col width="24" customWidth="1" min="8" max="8"/>
    <col width="9" customWidth="1" min="9" max="9"/>
  </cols>
  <sheetData>
    <row r="1" ht="17.5" customHeight="1">
      <c r="A1" s="27" t="inlineStr">
        <is>
          <t>Payroll Lead Sheet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25000</v>
      </c>
      <c r="C3" s="28" t="n"/>
      <c r="D3" s="38" t="n"/>
      <c r="E3" s="41" t="n"/>
      <c r="F3" s="28" t="n"/>
      <c r="G3" s="28" t="n"/>
      <c r="H3" s="28" t="n"/>
      <c r="I3" s="28" t="n"/>
    </row>
    <row r="4" ht="27" customHeight="1">
      <c r="A4" s="44" t="inlineStr">
        <is>
          <t>Purpose:</t>
        </is>
      </c>
      <c r="B4" s="45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46" t="n"/>
      <c r="D4" s="46" t="n"/>
      <c r="E4" s="46" t="n"/>
      <c r="F4" s="46" t="n"/>
      <c r="G4" s="46" t="n"/>
      <c r="H4" s="46" t="n"/>
      <c r="I4" s="47" t="n"/>
    </row>
    <row r="5" ht="22.4" customHeight="1">
      <c r="A5" s="44" t="inlineStr">
        <is>
          <t>Scope:</t>
        </is>
      </c>
      <c r="B5" s="45" t="inlineStr">
        <is>
          <t>All payroll-related accounts: gross wages/salaries, employer taxes, benefits, bonus/commission, temp labor, capitalized-labor contra, accrued payroll &amp; benefits, accrued PTO.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Completeness; Existence; Valuation &amp; Allocation; Accuracy</t>
        </is>
      </c>
      <c r="C6" s="46" t="n"/>
      <c r="D6" s="46" t="n"/>
      <c r="E6" s="46" t="n"/>
      <c r="F6" s="46" t="n"/>
      <c r="G6" s="46" t="n"/>
      <c r="H6" s="46" t="n"/>
      <c r="I6" s="47" t="n"/>
    </row>
    <row r="7">
      <c r="A7" s="48" t="inlineStr">
        <is>
          <t>Entity / Property</t>
        </is>
      </c>
      <c r="B7" s="48" t="inlineStr">
        <is>
          <t>GL Account</t>
        </is>
      </c>
      <c r="C7" s="48" t="inlineStr">
        <is>
          <t>Account Description</t>
        </is>
      </c>
      <c r="D7" s="48" t="inlineStr">
        <is>
          <t>CY TB Balance</t>
        </is>
      </c>
      <c r="E7" s="48" t="inlineStr">
        <is>
          <t>PY TB Balance</t>
        </is>
      </c>
      <c r="F7" s="48" t="inlineStr">
        <is>
          <t>Difference</t>
        </is>
      </c>
      <c r="G7" s="48" t="inlineStr">
        <is>
          <t>% Change</t>
        </is>
      </c>
      <c r="H7" s="48" t="inlineStr">
        <is>
          <t>Testing Disposition</t>
        </is>
      </c>
      <c r="I7" s="48" t="inlineStr">
        <is>
          <t>W/P Ref</t>
        </is>
      </c>
    </row>
    <row r="8">
      <c r="A8" s="28" t="n"/>
      <c r="B8" s="28" t="n"/>
      <c r="C8" s="28" t="n"/>
      <c r="D8" s="49" t="inlineStr">
        <is>
          <t>TB</t>
        </is>
      </c>
      <c r="E8" s="49" t="inlineStr">
        <is>
          <t>PY</t>
        </is>
      </c>
      <c r="F8" s="49" t="inlineStr">
        <is>
          <t>R</t>
        </is>
      </c>
      <c r="G8" s="49" t="inlineStr">
        <is>
          <t>R</t>
        </is>
      </c>
      <c r="H8" s="28" t="n"/>
      <c r="I8" s="28" t="n"/>
    </row>
    <row r="9">
      <c r="A9" s="45" t="n"/>
      <c r="B9" s="45" t="n"/>
      <c r="C9" s="45" t="n"/>
      <c r="D9" s="50" t="n"/>
      <c r="E9" s="50" t="n"/>
      <c r="F9" s="50">
        <f>IF(OR(D9="",E9=""),"",D9-E9)</f>
        <v/>
      </c>
      <c r="G9" s="51">
        <f>IFERROR(F9/ABS(E9),"")</f>
        <v/>
      </c>
      <c r="H9" s="45" t="n"/>
      <c r="I9" s="45" t="n"/>
    </row>
    <row r="10" ht="27" customHeight="1">
      <c r="A10" s="45" t="n"/>
      <c r="B10" s="45" t="n"/>
      <c r="C10" s="45" t="n"/>
      <c r="D10" s="50" t="n"/>
      <c r="E10" s="50" t="n"/>
      <c r="F10" s="50">
        <f>IF(OR(D10="",E10=""),"",D10-E10)</f>
        <v/>
      </c>
      <c r="G10" s="51">
        <f>IFERROR(F10/ABS(E10),"")</f>
        <v/>
      </c>
      <c r="H10" s="45" t="n"/>
      <c r="I10" s="45" t="n"/>
    </row>
    <row r="11" ht="27" customHeight="1">
      <c r="A11" s="45" t="n"/>
      <c r="B11" s="45" t="n"/>
      <c r="C11" s="45" t="n"/>
      <c r="D11" s="50" t="n"/>
      <c r="E11" s="50" t="n"/>
      <c r="F11" s="50">
        <f>IF(OR(D11="",E11=""),"",D11-E11)</f>
        <v/>
      </c>
      <c r="G11" s="51">
        <f>IFERROR(F11/ABS(E11),"")</f>
        <v/>
      </c>
      <c r="H11" s="45" t="n"/>
      <c r="I11" s="45" t="n"/>
    </row>
    <row r="12" ht="27" customHeight="1">
      <c r="A12" s="45" t="n"/>
      <c r="B12" s="45" t="n"/>
      <c r="C12" s="45" t="n"/>
      <c r="D12" s="50" t="n"/>
      <c r="E12" s="50" t="n"/>
      <c r="F12" s="50">
        <f>IF(OR(D12="",E12=""),"",D12-E12)</f>
        <v/>
      </c>
      <c r="G12" s="51">
        <f>IFERROR(F12/ABS(E12),"")</f>
        <v/>
      </c>
      <c r="H12" s="45" t="n"/>
      <c r="I12" s="45" t="n"/>
    </row>
    <row r="13" ht="27" customHeight="1">
      <c r="A13" s="45" t="n"/>
      <c r="B13" s="45" t="n"/>
      <c r="C13" s="45" t="n"/>
      <c r="D13" s="50" t="n"/>
      <c r="E13" s="50" t="n"/>
      <c r="F13" s="50">
        <f>IF(OR(D13="",E13=""),"",D13-E13)</f>
        <v/>
      </c>
      <c r="G13" s="51">
        <f>IFERROR(F13/ABS(E13),"")</f>
        <v/>
      </c>
      <c r="H13" s="45" t="n"/>
      <c r="I13" s="45" t="n"/>
    </row>
    <row r="14" ht="27" customHeight="1">
      <c r="A14" s="45" t="n"/>
      <c r="B14" s="45" t="n"/>
      <c r="C14" s="45" t="n"/>
      <c r="D14" s="50" t="n"/>
      <c r="E14" s="50" t="n"/>
      <c r="F14" s="50">
        <f>IF(OR(D14="",E14=""),"",D14-E14)</f>
        <v/>
      </c>
      <c r="G14" s="51">
        <f>IFERROR(F14/ABS(E14),"")</f>
        <v/>
      </c>
      <c r="H14" s="45" t="n"/>
      <c r="I14" s="45" t="n"/>
    </row>
    <row r="15" ht="27" customHeight="1">
      <c r="A15" s="45" t="n"/>
      <c r="B15" s="45" t="n"/>
      <c r="C15" s="45" t="n"/>
      <c r="D15" s="50" t="n"/>
      <c r="E15" s="50" t="n"/>
      <c r="F15" s="50">
        <f>IF(OR(D15="",E15=""),"",D15-E15)</f>
        <v/>
      </c>
      <c r="G15" s="51">
        <f>IFERROR(F15/ABS(E15),"")</f>
        <v/>
      </c>
      <c r="H15" s="45" t="n"/>
      <c r="I15" s="45" t="n"/>
    </row>
    <row r="16" ht="27" customHeight="1">
      <c r="A16" s="45" t="n"/>
      <c r="B16" s="45" t="n"/>
      <c r="C16" s="45" t="n"/>
      <c r="D16" s="50" t="n"/>
      <c r="E16" s="50" t="n"/>
      <c r="F16" s="50">
        <f>IF(OR(D16="",E16=""),"",D16-E16)</f>
        <v/>
      </c>
      <c r="G16" s="51">
        <f>IFERROR(F16/ABS(E16),"")</f>
        <v/>
      </c>
      <c r="H16" s="45" t="n"/>
      <c r="I16" s="45" t="n"/>
    </row>
    <row r="17" ht="27" customHeight="1">
      <c r="A17" s="45" t="n"/>
      <c r="B17" s="45" t="n"/>
      <c r="C17" s="45" t="n"/>
      <c r="D17" s="50" t="n"/>
      <c r="E17" s="50" t="n"/>
      <c r="F17" s="50">
        <f>IF(OR(D17="",E17=""),"",D17-E17)</f>
        <v/>
      </c>
      <c r="G17" s="51">
        <f>IFERROR(F17/ABS(E17),"")</f>
        <v/>
      </c>
      <c r="H17" s="45" t="n"/>
      <c r="I17" s="45" t="n"/>
    </row>
    <row r="18" ht="27" customHeight="1">
      <c r="A18" s="45" t="n"/>
      <c r="B18" s="45" t="n"/>
      <c r="C18" s="45" t="n"/>
      <c r="D18" s="50" t="n"/>
      <c r="E18" s="50" t="n"/>
      <c r="F18" s="50">
        <f>IF(OR(D18="",E18=""),"",D18-E18)</f>
        <v/>
      </c>
      <c r="G18" s="51">
        <f>IFERROR(F18/ABS(E18),"")</f>
        <v/>
      </c>
      <c r="H18" s="45" t="n"/>
      <c r="I18" s="45" t="n"/>
    </row>
    <row r="19" ht="27" customHeight="1">
      <c r="A19" s="45" t="n"/>
      <c r="B19" s="45" t="n"/>
      <c r="C19" s="45" t="n"/>
      <c r="D19" s="50" t="n"/>
      <c r="E19" s="50" t="n"/>
      <c r="F19" s="50">
        <f>IF(OR(D19="",E19=""),"",D19-E19)</f>
        <v/>
      </c>
      <c r="G19" s="51">
        <f>IFERROR(F19/ABS(E19),"")</f>
        <v/>
      </c>
      <c r="H19" s="45" t="n"/>
      <c r="I19" s="45" t="n"/>
    </row>
    <row r="20" ht="27" customHeight="1">
      <c r="A20" s="45" t="n"/>
      <c r="B20" s="45" t="n"/>
      <c r="C20" s="45" t="n"/>
      <c r="D20" s="50" t="n"/>
      <c r="E20" s="50" t="n"/>
      <c r="F20" s="50">
        <f>IF(OR(D20="",E20=""),"",D20-E20)</f>
        <v/>
      </c>
      <c r="G20" s="51">
        <f>IFERROR(F20/ABS(E20),"")</f>
        <v/>
      </c>
      <c r="H20" s="45" t="n"/>
      <c r="I20" s="45" t="n"/>
    </row>
    <row r="21" ht="27" customHeight="1">
      <c r="A21" s="52" t="inlineStr">
        <is>
          <t>Total payroll population</t>
        </is>
      </c>
      <c r="B21" s="52" t="n"/>
      <c r="C21" s="52" t="n"/>
      <c r="D21" s="53">
        <f>SUM(D9:D20)</f>
        <v/>
      </c>
      <c r="E21" s="53">
        <f>SUM(E9:E20)</f>
        <v/>
      </c>
      <c r="F21" s="53">
        <f>SUM(F9:F20)</f>
        <v/>
      </c>
      <c r="G21" s="52" t="n"/>
      <c r="H21" s="52" t="n"/>
      <c r="I21" s="52" t="n"/>
    </row>
    <row r="22">
      <c r="A22" s="28" t="n"/>
      <c r="B22" s="28" t="n"/>
      <c r="C22" s="28" t="n"/>
      <c r="D22" s="49" t="inlineStr">
        <is>
          <t>F</t>
        </is>
      </c>
      <c r="E22" s="49" t="inlineStr">
        <is>
          <t>F</t>
        </is>
      </c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54" t="inlineStr">
        <is>
          <t>TM Legends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15" customHeight="1">
      <c r="A25" s="55" t="inlineStr">
        <is>
          <t>TB</t>
        </is>
      </c>
      <c r="B25" s="45" t="inlineStr">
        <is>
          <t>Agreed to trial balance</t>
        </is>
      </c>
      <c r="C25" s="46" t="n"/>
      <c r="D25" s="46" t="n"/>
      <c r="E25" s="46" t="n"/>
      <c r="F25" s="46" t="n"/>
      <c r="G25" s="46" t="n"/>
      <c r="H25" s="46" t="n"/>
      <c r="I25" s="47" t="n"/>
    </row>
    <row r="26" ht="15" customHeight="1">
      <c r="A26" s="55" t="inlineStr">
        <is>
          <t>PY</t>
        </is>
      </c>
      <c r="B26" s="45" t="inlineStr">
        <is>
          <t>Traced from PY FS/TB</t>
        </is>
      </c>
      <c r="C26" s="46" t="n"/>
      <c r="D26" s="46" t="n"/>
      <c r="E26" s="46" t="n"/>
      <c r="F26" s="46" t="n"/>
      <c r="G26" s="46" t="n"/>
      <c r="H26" s="46" t="n"/>
      <c r="I26" s="47" t="n"/>
    </row>
    <row r="27" ht="15" customHeight="1">
      <c r="A27" s="55" t="inlineStr">
        <is>
          <t>R</t>
        </is>
      </c>
      <c r="B27" s="45" t="inlineStr">
        <is>
          <t>Recalculated independently</t>
        </is>
      </c>
      <c r="C27" s="46" t="n"/>
      <c r="D27" s="46" t="n"/>
      <c r="E27" s="46" t="n"/>
      <c r="F27" s="46" t="n"/>
      <c r="G27" s="46" t="n"/>
      <c r="H27" s="46" t="n"/>
      <c r="I27" s="47" t="n"/>
    </row>
    <row r="28" ht="15" customHeight="1">
      <c r="A28" s="55" t="inlineStr">
        <is>
          <t>F</t>
        </is>
      </c>
      <c r="B28" s="45" t="inlineStr">
        <is>
          <t>Footed</t>
        </is>
      </c>
      <c r="C28" s="46" t="n"/>
      <c r="D28" s="46" t="n"/>
      <c r="E28" s="46" t="n"/>
      <c r="F28" s="46" t="n"/>
      <c r="G28" s="46" t="n"/>
      <c r="H28" s="46" t="n"/>
      <c r="I28" s="47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 ht="27.75" customHeight="1">
      <c r="A30" s="29" t="inlineStr">
        <is>
          <t>Before sign-off complete Library Procedures 1-2. The population listed here drives selections in &lt;.2&gt;-&lt;.6&gt;.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M4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2" sqref="C12"/>
    </sheetView>
  </sheetViews>
  <sheetFormatPr baseColWidth="8" defaultColWidth="8.6328125" defaultRowHeight="14.5"/>
  <cols>
    <col width="42" bestFit="1" customWidth="1" min="1" max="1"/>
    <col width="28.35" customWidth="1" min="2" max="2"/>
    <col width="24.1" customWidth="1" min="3" max="3"/>
    <col width="30.05" customWidth="1" min="4" max="5"/>
    <col width="42" customWidth="1" min="5" max="5"/>
    <col width="19" customWidth="1" min="6" max="6"/>
    <col width="31.75" customWidth="1" min="7" max="7"/>
    <col width="42" customWidth="1" min="8" max="8"/>
    <col width="17.3" customWidth="1" min="9" max="10"/>
    <col width="30.05" customWidth="1" min="10" max="10"/>
    <col width="24.1" customWidth="1" min="11" max="11"/>
    <col width="30.05" customWidth="1" min="12" max="12"/>
    <col width="22" customWidth="1" min="13" max="13"/>
  </cols>
  <sheetData>
    <row r="1" ht="17.5" customHeight="1">
      <c r="A1" s="27" t="inlineStr">
        <is>
          <t>Payroll Register Testing (Period Level)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 ht="27" customHeight="1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</row>
    <row r="3">
      <c r="A3" s="42" t="inlineStr">
        <is>
          <t>Performance Materiality</t>
        </is>
      </c>
      <c r="B3" s="43" t="n">
        <v>25000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15" customHeight="1">
      <c r="A4" s="44" t="inlineStr">
        <is>
          <t>Purpose:</t>
        </is>
      </c>
      <c r="B4" s="45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7" t="n"/>
    </row>
    <row r="5" ht="15" customHeight="1">
      <c r="A5" s="44" t="inlineStr">
        <is>
          <t>Scope:</t>
        </is>
      </c>
      <c r="B5" s="45" t="inlineStr">
        <is>
          <t>All payroll registers / pay runs for the period, including off-cycle and bonus runs.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7" t="n"/>
    </row>
    <row r="6" ht="22.4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</row>
    <row r="7" ht="27" customHeight="1">
      <c r="A7" s="54" t="inlineStr">
        <is>
          <t>A. Pay-run population completeness (Library Procedure 3)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27" customHeight="1">
      <c r="A8" s="48" t="inlineStr">
        <is>
          <t>Pay Frequency</t>
        </is>
      </c>
      <c r="B8" s="48" t="inlineStr">
        <is>
          <t>Expected pay runs in period</t>
        </is>
      </c>
      <c r="C8" s="48" t="inlineStr">
        <is>
          <t>Registers obtained (count)</t>
        </is>
      </c>
      <c r="D8" s="48" t="inlineStr">
        <is>
          <t>Missing periods (refs)</t>
        </is>
      </c>
      <c r="E8" s="48" t="inlineStr">
        <is>
          <t>Population complete?</t>
        </is>
      </c>
      <c r="F8" s="48" t="inlineStr">
        <is>
          <t>Notes</t>
        </is>
      </c>
      <c r="G8" s="28" t="n"/>
      <c r="H8" s="28" t="n"/>
      <c r="I8" s="28" t="n"/>
      <c r="J8" s="28" t="n"/>
      <c r="K8" s="28" t="n"/>
      <c r="L8" s="28" t="n"/>
      <c r="M8" s="28" t="n"/>
    </row>
    <row r="9">
      <c r="A9" s="45" t="inlineStr">
        <is>
          <t>Biweekly</t>
        </is>
      </c>
      <c r="B9" s="45" t="n"/>
      <c r="C9" s="45" t="n"/>
      <c r="D9" s="45" t="n"/>
      <c r="E9" s="56">
        <f>IF(OR(B9="",C9=""),"",IF(B9=C9,"Yes","No"))</f>
        <v/>
      </c>
      <c r="F9" s="45" t="n"/>
      <c r="G9" s="28" t="n"/>
      <c r="H9" s="28" t="n"/>
      <c r="I9" s="28" t="n"/>
      <c r="J9" s="28" t="n"/>
      <c r="K9" s="28" t="n"/>
      <c r="L9" s="28" t="n"/>
      <c r="M9" s="28" t="n"/>
    </row>
    <row r="10" ht="27" customHeight="1">
      <c r="A10" s="45" t="inlineStr">
        <is>
          <t>Semimonthly</t>
        </is>
      </c>
      <c r="B10" s="45" t="n"/>
      <c r="C10" s="45" t="n"/>
      <c r="D10" s="45" t="n"/>
      <c r="E10" s="56">
        <f>IF(OR(B10="",C10=""),"",IF(B10=C10,"Yes","No"))</f>
        <v/>
      </c>
      <c r="F10" s="45" t="n"/>
      <c r="G10" s="28" t="n"/>
      <c r="H10" s="28" t="n"/>
      <c r="I10" s="28" t="n"/>
      <c r="J10" s="28" t="n"/>
      <c r="K10" s="28" t="n"/>
      <c r="L10" s="28" t="n"/>
      <c r="M10" s="28" t="n"/>
    </row>
    <row r="11" ht="27" customHeight="1">
      <c r="A11" s="45" t="inlineStr">
        <is>
          <t>Monthly</t>
        </is>
      </c>
      <c r="B11" s="45" t="n"/>
      <c r="C11" s="45" t="n"/>
      <c r="D11" s="45" t="n"/>
      <c r="E11" s="56">
        <f>IF(OR(B11="",C11=""),"",IF(B11=C11,"Yes","No"))</f>
        <v/>
      </c>
      <c r="F11" s="45" t="n"/>
      <c r="G11" s="28" t="n"/>
      <c r="H11" s="28" t="n"/>
      <c r="I11" s="28" t="n"/>
      <c r="J11" s="28" t="n"/>
      <c r="K11" s="28" t="n"/>
      <c r="L11" s="28" t="n"/>
      <c r="M11" s="28" t="n"/>
    </row>
    <row r="12" ht="27" customHeight="1">
      <c r="A12" s="45" t="inlineStr">
        <is>
          <t>Off-cycle / bonus runs</t>
        </is>
      </c>
      <c r="B12" s="45" t="n"/>
      <c r="C12" s="45" t="n"/>
      <c r="D12" s="45" t="n"/>
      <c r="E12" s="56">
        <f>IF(OR(B12="",C12=""),"",IF(B12=C12,"Yes","No"))</f>
        <v/>
      </c>
      <c r="F12" s="45" t="n"/>
      <c r="G12" s="28" t="n"/>
      <c r="H12" s="28" t="n"/>
      <c r="I12" s="28" t="n"/>
      <c r="J12" s="28" t="n"/>
      <c r="K12" s="28" t="n"/>
      <c r="L12" s="28" t="n"/>
      <c r="M12" s="28" t="n"/>
    </row>
    <row r="13" ht="27" customHeight="1">
      <c r="A13" s="45" t="inlineStr">
        <is>
          <t>[Other]</t>
        </is>
      </c>
      <c r="B13" s="45" t="n"/>
      <c r="C13" s="45" t="n"/>
      <c r="D13" s="45" t="n"/>
      <c r="E13" s="56">
        <f>IF(OR(B13="",C13=""),"",IF(B13=C13,"Yes","No"))</f>
        <v/>
      </c>
      <c r="F13" s="45" t="n"/>
      <c r="G13" s="28" t="n"/>
      <c r="H13" s="28" t="n"/>
      <c r="I13" s="28" t="n"/>
      <c r="J13" s="28" t="n"/>
      <c r="K13" s="28" t="n"/>
      <c r="L13" s="28" t="n"/>
      <c r="M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</row>
    <row r="15" ht="27" customHeight="1">
      <c r="A15" s="54" t="inlineStr">
        <is>
          <t>B. Register math and agreement to GL and bank (Library Procedures 4-5)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</row>
    <row r="16" ht="33" customHeight="1">
      <c r="A16" s="48" t="inlineStr">
        <is>
          <t>Sample #</t>
        </is>
      </c>
      <c r="B16" s="48" t="inlineStr">
        <is>
          <t>Pay Period End</t>
        </is>
      </c>
      <c r="C16" s="48" t="inlineStr">
        <is>
          <t>Run / Payment Ref</t>
        </is>
      </c>
      <c r="D16" s="48" t="inlineStr">
        <is>
          <t>Gross Wages per Register</t>
        </is>
      </c>
      <c r="E16" s="48" t="inlineStr">
        <is>
          <t>Deductions per Register</t>
        </is>
      </c>
      <c r="F16" s="48" t="inlineStr">
        <is>
          <t>Net Pay per Register</t>
        </is>
      </c>
      <c r="G16" s="48" t="inlineStr">
        <is>
          <t>Recomputed Net (Gross − Deductions)</t>
        </is>
      </c>
      <c r="H16" s="48" t="inlineStr">
        <is>
          <t>Register math ties?</t>
        </is>
      </c>
      <c r="I16" s="48" t="inlineStr">
        <is>
          <t>Gross Wages per GL</t>
        </is>
      </c>
      <c r="J16" s="48" t="inlineStr">
        <is>
          <t>Difference (Register vs GL)</t>
        </is>
      </c>
      <c r="K16" s="48" t="inlineStr">
        <is>
          <t>Net Pay per Bank Statement</t>
        </is>
      </c>
      <c r="L16" s="48" t="inlineStr">
        <is>
          <t>Difference (Register vs Bank)</t>
        </is>
      </c>
      <c r="M16" s="48" t="inlineStr">
        <is>
          <t>Notes — exceptions only</t>
        </is>
      </c>
    </row>
    <row r="17">
      <c r="A17" s="28" t="n"/>
      <c r="B17" s="28" t="n"/>
      <c r="C17" s="28" t="n"/>
      <c r="D17" s="49" t="inlineStr">
        <is>
          <t>PBC</t>
        </is>
      </c>
      <c r="E17" s="49" t="inlineStr">
        <is>
          <t>PBC</t>
        </is>
      </c>
      <c r="F17" s="49" t="inlineStr">
        <is>
          <t>PBC</t>
        </is>
      </c>
      <c r="G17" s="28" t="n"/>
      <c r="H17" s="28" t="n"/>
      <c r="I17" s="49" t="inlineStr">
        <is>
          <t>GL</t>
        </is>
      </c>
      <c r="J17" s="28" t="n"/>
      <c r="K17" s="49" t="inlineStr">
        <is>
          <t>BS</t>
        </is>
      </c>
      <c r="L17" s="28" t="n"/>
      <c r="M17" s="28" t="n"/>
    </row>
    <row r="18" ht="27" customHeight="1">
      <c r="A18" s="56" t="n">
        <v>1</v>
      </c>
      <c r="B18" s="45" t="n"/>
      <c r="C18" s="45" t="n"/>
      <c r="D18" s="50" t="n"/>
      <c r="E18" s="50" t="n"/>
      <c r="F18" s="50" t="n"/>
      <c r="G18" s="50">
        <f>IF(OR(D18="",E18=""),"",D18-E18)</f>
        <v/>
      </c>
      <c r="H18" s="45">
        <f>IF(OR(F18="",G18=""),"",IF(ROUND(F18-G18,2)=0,"Yes","No"))</f>
        <v/>
      </c>
      <c r="I18" s="50" t="n"/>
      <c r="J18" s="50">
        <f>IF(OR(D18="",I18=""),"",D18-I18)</f>
        <v/>
      </c>
      <c r="K18" s="50" t="n"/>
      <c r="L18" s="50">
        <f>IF(OR(F18="",K18=""),"",F18-K18)</f>
        <v/>
      </c>
      <c r="M18" s="45" t="n"/>
    </row>
    <row r="19" ht="27" customHeight="1">
      <c r="A19" s="56" t="n">
        <v>2</v>
      </c>
      <c r="B19" s="45" t="n"/>
      <c r="C19" s="45" t="n"/>
      <c r="D19" s="50" t="n"/>
      <c r="E19" s="50" t="n"/>
      <c r="F19" s="50" t="n"/>
      <c r="G19" s="50">
        <f>IF(OR(D19="",E19=""),"",D19-E19)</f>
        <v/>
      </c>
      <c r="H19" s="45">
        <f>IF(OR(F19="",G19=""),"",IF(ROUND(F19-G19,2)=0,"Yes","No"))</f>
        <v/>
      </c>
      <c r="I19" s="50" t="n"/>
      <c r="J19" s="50">
        <f>IF(OR(D19="",I19=""),"",D19-I19)</f>
        <v/>
      </c>
      <c r="K19" s="50" t="n"/>
      <c r="L19" s="50">
        <f>IF(OR(F19="",K19=""),"",F19-K19)</f>
        <v/>
      </c>
      <c r="M19" s="45" t="n"/>
    </row>
    <row r="20" ht="27" customHeight="1">
      <c r="A20" s="56" t="n">
        <v>3</v>
      </c>
      <c r="B20" s="45" t="n"/>
      <c r="C20" s="45" t="n"/>
      <c r="D20" s="50" t="n"/>
      <c r="E20" s="50" t="n"/>
      <c r="F20" s="50" t="n"/>
      <c r="G20" s="50">
        <f>IF(OR(D20="",E20=""),"",D20-E20)</f>
        <v/>
      </c>
      <c r="H20" s="45">
        <f>IF(OR(F20="",G20=""),"",IF(ROUND(F20-G20,2)=0,"Yes","No"))</f>
        <v/>
      </c>
      <c r="I20" s="50" t="n"/>
      <c r="J20" s="50">
        <f>IF(OR(D20="",I20=""),"",D20-I20)</f>
        <v/>
      </c>
      <c r="K20" s="50" t="n"/>
      <c r="L20" s="50">
        <f>IF(OR(F20="",K20=""),"",F20-K20)</f>
        <v/>
      </c>
      <c r="M20" s="45" t="n"/>
    </row>
    <row r="21" ht="27" customHeight="1">
      <c r="A21" s="56" t="n">
        <v>4</v>
      </c>
      <c r="B21" s="45" t="n"/>
      <c r="C21" s="45" t="n"/>
      <c r="D21" s="50" t="n"/>
      <c r="E21" s="50" t="n"/>
      <c r="F21" s="50" t="n"/>
      <c r="G21" s="50">
        <f>IF(OR(D21="",E21=""),"",D21-E21)</f>
        <v/>
      </c>
      <c r="H21" s="45">
        <f>IF(OR(F21="",G21=""),"",IF(ROUND(F21-G21,2)=0,"Yes","No"))</f>
        <v/>
      </c>
      <c r="I21" s="50" t="n"/>
      <c r="J21" s="50">
        <f>IF(OR(D21="",I21=""),"",D21-I21)</f>
        <v/>
      </c>
      <c r="K21" s="50" t="n"/>
      <c r="L21" s="50">
        <f>IF(OR(F21="",K21=""),"",F21-K21)</f>
        <v/>
      </c>
      <c r="M21" s="45" t="n"/>
    </row>
    <row r="22" ht="27" customHeight="1">
      <c r="A22" s="56" t="n">
        <v>5</v>
      </c>
      <c r="B22" s="45" t="n"/>
      <c r="C22" s="45" t="n"/>
      <c r="D22" s="50" t="n"/>
      <c r="E22" s="50" t="n"/>
      <c r="F22" s="50" t="n"/>
      <c r="G22" s="50">
        <f>IF(OR(D22="",E22=""),"",D22-E22)</f>
        <v/>
      </c>
      <c r="H22" s="45">
        <f>IF(OR(F22="",G22=""),"",IF(ROUND(F22-G22,2)=0,"Yes","No"))</f>
        <v/>
      </c>
      <c r="I22" s="50" t="n"/>
      <c r="J22" s="50">
        <f>IF(OR(D22="",I22=""),"",D22-I22)</f>
        <v/>
      </c>
      <c r="K22" s="50" t="n"/>
      <c r="L22" s="50">
        <f>IF(OR(F22="",K22=""),"",F22-K22)</f>
        <v/>
      </c>
      <c r="M22" s="45" t="n"/>
    </row>
    <row r="23" ht="27" customHeight="1">
      <c r="A23" s="56" t="n">
        <v>6</v>
      </c>
      <c r="B23" s="45" t="n"/>
      <c r="C23" s="45" t="n"/>
      <c r="D23" s="50" t="n"/>
      <c r="E23" s="50" t="n"/>
      <c r="F23" s="50" t="n"/>
      <c r="G23" s="50">
        <f>IF(OR(D23="",E23=""),"",D23-E23)</f>
        <v/>
      </c>
      <c r="H23" s="45">
        <f>IF(OR(F23="",G23=""),"",IF(ROUND(F23-G23,2)=0,"Yes","No"))</f>
        <v/>
      </c>
      <c r="I23" s="50" t="n"/>
      <c r="J23" s="50">
        <f>IF(OR(D23="",I23=""),"",D23-I23)</f>
        <v/>
      </c>
      <c r="K23" s="50" t="n"/>
      <c r="L23" s="50">
        <f>IF(OR(F23="",K23=""),"",F23-K23)</f>
        <v/>
      </c>
      <c r="M23" s="45" t="n"/>
    </row>
    <row r="24" ht="27" customHeight="1">
      <c r="A24" s="56" t="n">
        <v>7</v>
      </c>
      <c r="B24" s="45" t="n"/>
      <c r="C24" s="45" t="n"/>
      <c r="D24" s="50" t="n"/>
      <c r="E24" s="50" t="n"/>
      <c r="F24" s="50" t="n"/>
      <c r="G24" s="50">
        <f>IF(OR(D24="",E24=""),"",D24-E24)</f>
        <v/>
      </c>
      <c r="H24" s="45">
        <f>IF(OR(F24="",G24=""),"",IF(ROUND(F24-G24,2)=0,"Yes","No"))</f>
        <v/>
      </c>
      <c r="I24" s="50" t="n"/>
      <c r="J24" s="50">
        <f>IF(OR(D24="",I24=""),"",D24-I24)</f>
        <v/>
      </c>
      <c r="K24" s="50" t="n"/>
      <c r="L24" s="50">
        <f>IF(OR(F24="",K24=""),"",F24-K24)</f>
        <v/>
      </c>
      <c r="M24" s="45" t="n"/>
    </row>
    <row r="25" ht="27" customHeight="1">
      <c r="A25" s="56" t="n">
        <v>8</v>
      </c>
      <c r="B25" s="45" t="n"/>
      <c r="C25" s="45" t="n"/>
      <c r="D25" s="50" t="n"/>
      <c r="E25" s="50" t="n"/>
      <c r="F25" s="50" t="n"/>
      <c r="G25" s="50">
        <f>IF(OR(D25="",E25=""),"",D25-E25)</f>
        <v/>
      </c>
      <c r="H25" s="45">
        <f>IF(OR(F25="",G25=""),"",IF(ROUND(F25-G25,2)=0,"Yes","No"))</f>
        <v/>
      </c>
      <c r="I25" s="50" t="n"/>
      <c r="J25" s="50">
        <f>IF(OR(D25="",I25=""),"",D25-I25)</f>
        <v/>
      </c>
      <c r="K25" s="50" t="n"/>
      <c r="L25" s="50">
        <f>IF(OR(F25="",K25=""),"",F25-K25)</f>
        <v/>
      </c>
      <c r="M25" s="45" t="n"/>
    </row>
    <row r="26" ht="27" customHeight="1">
      <c r="A26" s="56" t="n">
        <v>9</v>
      </c>
      <c r="B26" s="45" t="n"/>
      <c r="C26" s="45" t="n"/>
      <c r="D26" s="50" t="n"/>
      <c r="E26" s="50" t="n"/>
      <c r="F26" s="50" t="n"/>
      <c r="G26" s="50">
        <f>IF(OR(D26="",E26=""),"",D26-E26)</f>
        <v/>
      </c>
      <c r="H26" s="45">
        <f>IF(OR(F26="",G26=""),"",IF(ROUND(F26-G26,2)=0,"Yes","No"))</f>
        <v/>
      </c>
      <c r="I26" s="50" t="n"/>
      <c r="J26" s="50">
        <f>IF(OR(D26="",I26=""),"",D26-I26)</f>
        <v/>
      </c>
      <c r="K26" s="50" t="n"/>
      <c r="L26" s="50">
        <f>IF(OR(F26="",K26=""),"",F26-K26)</f>
        <v/>
      </c>
      <c r="M26" s="45" t="n"/>
    </row>
    <row r="27" ht="27" customHeight="1">
      <c r="A27" s="56" t="n">
        <v>10</v>
      </c>
      <c r="B27" s="45" t="n"/>
      <c r="C27" s="45" t="n"/>
      <c r="D27" s="50" t="n"/>
      <c r="E27" s="50" t="n"/>
      <c r="F27" s="50" t="n"/>
      <c r="G27" s="50">
        <f>IF(OR(D27="",E27=""),"",D27-E27)</f>
        <v/>
      </c>
      <c r="H27" s="45">
        <f>IF(OR(F27="",G27=""),"",IF(ROUND(F27-G27,2)=0,"Yes","No"))</f>
        <v/>
      </c>
      <c r="I27" s="50" t="n"/>
      <c r="J27" s="50">
        <f>IF(OR(D27="",I27=""),"",D27-I27)</f>
        <v/>
      </c>
      <c r="K27" s="50" t="n"/>
      <c r="L27" s="50">
        <f>IF(OR(F27="",K27=""),"",F27-K27)</f>
        <v/>
      </c>
      <c r="M27" s="45" t="n"/>
    </row>
    <row r="28">
      <c r="A28" s="52" t="inlineStr">
        <is>
          <t>Total(s)</t>
        </is>
      </c>
      <c r="B28" s="52" t="n"/>
      <c r="C28" s="52" t="n"/>
      <c r="D28" s="53">
        <f>SUM(D18:D27)</f>
        <v/>
      </c>
      <c r="E28" s="53">
        <f>SUM(E18:E27)</f>
        <v/>
      </c>
      <c r="F28" s="53">
        <f>SUM(F18:F27)</f>
        <v/>
      </c>
      <c r="G28" s="52" t="n"/>
      <c r="H28" s="52" t="n"/>
      <c r="I28" s="53">
        <f>SUM(I18:I27)</f>
        <v/>
      </c>
      <c r="J28" s="52" t="n"/>
      <c r="K28" s="53">
        <f>SUM(K18:K27)</f>
        <v/>
      </c>
      <c r="L28" s="52" t="n"/>
      <c r="M28" s="52" t="n"/>
    </row>
    <row r="29">
      <c r="A29" s="28" t="n"/>
      <c r="B29" s="28" t="n"/>
      <c r="C29" s="28" t="n"/>
      <c r="D29" s="49" t="inlineStr">
        <is>
          <t>F</t>
        </is>
      </c>
      <c r="E29" s="28" t="n"/>
      <c r="F29" s="49" t="inlineStr">
        <is>
          <t>F</t>
        </is>
      </c>
      <c r="G29" s="28" t="n"/>
      <c r="H29" s="28" t="n"/>
      <c r="I29" s="28" t="n"/>
      <c r="J29" s="28" t="n"/>
      <c r="K29" s="28" t="n"/>
      <c r="L29" s="28" t="n"/>
      <c r="M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</row>
    <row r="31" ht="104" customHeight="1">
      <c r="A31" s="54" t="inlineStr">
        <is>
          <t>C. Employer taxes and remittances (Library Procedure 5)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</row>
    <row r="32" ht="33" customHeight="1">
      <c r="A32" s="48" t="inlineStr">
        <is>
          <t>Pay Period End</t>
        </is>
      </c>
      <c r="B32" s="48" t="inlineStr">
        <is>
          <t>Employer Taxes per Register</t>
        </is>
      </c>
      <c r="C32" s="48" t="inlineStr">
        <is>
          <t>Employer Taxes per GL</t>
        </is>
      </c>
      <c r="D32" s="48" t="inlineStr">
        <is>
          <t>Difference</t>
        </is>
      </c>
      <c r="E32" s="48" t="inlineStr">
        <is>
          <t>Total Remittance per Bank / EFTPS</t>
        </is>
      </c>
      <c r="F32" s="48" t="inlineStr">
        <is>
          <t>Remittance Date</t>
        </is>
      </c>
      <c r="G32" s="48" t="inlineStr">
        <is>
          <t>Timely? (Y/N)</t>
        </is>
      </c>
      <c r="H32" s="48" t="inlineStr">
        <is>
          <t>Notes</t>
        </is>
      </c>
      <c r="I32" s="28" t="n"/>
      <c r="J32" s="28" t="n"/>
      <c r="K32" s="28" t="n"/>
      <c r="L32" s="28" t="n"/>
      <c r="M32" s="28" t="n"/>
    </row>
    <row r="33" ht="27" customHeight="1">
      <c r="A33" s="45" t="n"/>
      <c r="B33" s="50" t="n"/>
      <c r="C33" s="50" t="n"/>
      <c r="D33" s="50">
        <f>IF(OR(B33="",C33=""),"",B33-C33)</f>
        <v/>
      </c>
      <c r="E33" s="50" t="n"/>
      <c r="F33" s="45" t="n"/>
      <c r="G33" s="45" t="n"/>
      <c r="H33" s="45" t="n"/>
      <c r="I33" s="28" t="n"/>
      <c r="J33" s="28" t="n"/>
      <c r="K33" s="28" t="n"/>
      <c r="L33" s="28" t="n"/>
      <c r="M33" s="28" t="n"/>
    </row>
    <row r="34" ht="27" customHeight="1">
      <c r="A34" s="45" t="n"/>
      <c r="B34" s="50" t="n"/>
      <c r="C34" s="50" t="n"/>
      <c r="D34" s="50">
        <f>IF(OR(B34="",C34=""),"",B34-C34)</f>
        <v/>
      </c>
      <c r="E34" s="50" t="n"/>
      <c r="F34" s="45" t="n"/>
      <c r="G34" s="45" t="n"/>
      <c r="H34" s="45" t="n"/>
      <c r="I34" s="28" t="n"/>
      <c r="J34" s="28" t="n"/>
      <c r="K34" s="28" t="n"/>
      <c r="L34" s="28" t="n"/>
      <c r="M34" s="28" t="n"/>
    </row>
    <row r="35" ht="27" customHeight="1">
      <c r="A35" s="45" t="n"/>
      <c r="B35" s="50" t="n"/>
      <c r="C35" s="50" t="n"/>
      <c r="D35" s="50">
        <f>IF(OR(B35="",C35=""),"",B35-C35)</f>
        <v/>
      </c>
      <c r="E35" s="50" t="n"/>
      <c r="F35" s="45" t="n"/>
      <c r="G35" s="45" t="n"/>
      <c r="H35" s="45" t="n"/>
      <c r="I35" s="28" t="n"/>
      <c r="J35" s="28" t="n"/>
      <c r="K35" s="28" t="n"/>
      <c r="L35" s="28" t="n"/>
      <c r="M35" s="28" t="n"/>
    </row>
    <row r="36" ht="27" customHeight="1">
      <c r="A36" s="45" t="n"/>
      <c r="B36" s="50" t="n"/>
      <c r="C36" s="50" t="n"/>
      <c r="D36" s="50">
        <f>IF(OR(B36="",C36=""),"",B36-C36)</f>
        <v/>
      </c>
      <c r="E36" s="50" t="n"/>
      <c r="F36" s="45" t="n"/>
      <c r="G36" s="45" t="n"/>
      <c r="H36" s="45" t="n"/>
      <c r="I36" s="28" t="n"/>
      <c r="J36" s="28" t="n"/>
      <c r="K36" s="28" t="n"/>
      <c r="L36" s="28" t="n"/>
      <c r="M36" s="28" t="n"/>
    </row>
    <row r="37" ht="27" customHeight="1">
      <c r="A37" s="45" t="n"/>
      <c r="B37" s="50" t="n"/>
      <c r="C37" s="50" t="n"/>
      <c r="D37" s="50">
        <f>IF(OR(B37="",C37=""),"",B37-C37)</f>
        <v/>
      </c>
      <c r="E37" s="50" t="n"/>
      <c r="F37" s="45" t="n"/>
      <c r="G37" s="45" t="n"/>
      <c r="H37" s="45" t="n"/>
      <c r="I37" s="28" t="n"/>
      <c r="J37" s="28" t="n"/>
      <c r="K37" s="28" t="n"/>
      <c r="L37" s="28" t="n"/>
      <c r="M37" s="28" t="n"/>
    </row>
    <row r="38" ht="27" customHeight="1">
      <c r="A38" s="45" t="n"/>
      <c r="B38" s="50" t="n"/>
      <c r="C38" s="50" t="n"/>
      <c r="D38" s="50">
        <f>IF(OR(B38="",C38=""),"",B38-C38)</f>
        <v/>
      </c>
      <c r="E38" s="50" t="n"/>
      <c r="F38" s="45" t="n"/>
      <c r="G38" s="45" t="n"/>
      <c r="H38" s="45" t="n"/>
      <c r="I38" s="28" t="n"/>
      <c r="J38" s="28" t="n"/>
      <c r="K38" s="28" t="n"/>
      <c r="L38" s="28" t="n"/>
      <c r="M38" s="28" t="n"/>
    </row>
    <row r="39">
      <c r="A39" s="52" t="inlineStr">
        <is>
          <t>Total(s)</t>
        </is>
      </c>
      <c r="B39" s="53">
        <f>SUM(B33:B38)</f>
        <v/>
      </c>
      <c r="C39" s="53">
        <f>SUM(C33:C38)</f>
        <v/>
      </c>
      <c r="D39" s="52" t="n"/>
      <c r="E39" s="53">
        <f>SUM(E33:E38)</f>
        <v/>
      </c>
      <c r="F39" s="52" t="n"/>
      <c r="G39" s="52" t="n"/>
      <c r="H39" s="52" t="n"/>
      <c r="I39" s="28" t="n"/>
      <c r="J39" s="28" t="n"/>
      <c r="K39" s="28" t="n"/>
      <c r="L39" s="28" t="n"/>
      <c r="M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</row>
    <row r="41" ht="26" customHeight="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</row>
    <row r="42" ht="15" customHeight="1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7" t="n"/>
    </row>
    <row r="43" ht="15" customHeight="1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7" t="n"/>
    </row>
    <row r="44" ht="15" customHeight="1">
      <c r="A44" s="55" t="inlineStr">
        <is>
          <t>GL</t>
        </is>
      </c>
      <c r="B44" s="45" t="inlineStr">
        <is>
          <t>Agreed to general ledger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7" t="n"/>
    </row>
    <row r="45" ht="15" customHeight="1">
      <c r="A45" s="55" t="inlineStr">
        <is>
          <t>BS</t>
        </is>
      </c>
      <c r="B45" s="45" t="inlineStr">
        <is>
          <t>Agreed to bank statement / funding drawdown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7" t="n"/>
    </row>
    <row r="46" ht="15" customHeight="1">
      <c r="A46" s="55" t="inlineStr">
        <is>
          <t>V</t>
        </is>
      </c>
      <c r="B46" s="45" t="inlineStr">
        <is>
          <t>Vouched to source document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7" t="n"/>
    </row>
    <row r="47" ht="15" customHeight="1">
      <c r="A47" s="55" t="inlineStr">
        <is>
          <t>PBC</t>
        </is>
      </c>
      <c r="B47" s="45" t="inlineStr">
        <is>
          <t>Prepared by client</t>
        </is>
      </c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</row>
    <row r="49" ht="39.75" customHeight="1">
      <c r="A49" s="29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4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1.90625" bestFit="1" customWidth="1" min="1" max="1"/>
    <col width="28.35" customWidth="1" min="2" max="2"/>
    <col width="12" customWidth="1" min="3" max="3"/>
    <col width="18" customWidth="1" min="4" max="5"/>
    <col width="22.4" customWidth="1" min="5" max="5"/>
    <col width="24.1" customWidth="1" min="6" max="7"/>
    <col width="26.65" customWidth="1" min="7" max="7"/>
    <col width="18.15" customWidth="1" min="8" max="8"/>
    <col width="37.7" customWidth="1" min="9" max="10"/>
    <col width="17.3" customWidth="1" min="10" max="10"/>
    <col width="30.05" customWidth="1" min="11" max="11"/>
    <col width="22.4" customWidth="1" min="12" max="12"/>
    <col width="29.2" customWidth="1" min="13" max="13"/>
    <col width="41.1" customWidth="1" min="14" max="15"/>
    <col width="21.55" customWidth="1" min="15" max="15"/>
  </cols>
  <sheetData>
    <row r="1" ht="17.5" customHeight="1">
      <c r="A1" s="27" t="inlineStr">
        <is>
          <t>Employee Detail Testing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27" customHeight="1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  <c r="N2" s="28" t="n"/>
      <c r="O2" s="28" t="n"/>
    </row>
    <row r="3">
      <c r="A3" s="42" t="inlineStr">
        <is>
          <t>Performance Materiality</t>
        </is>
      </c>
      <c r="B3" s="43" t="n">
        <v>25000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>
      <c r="A4" s="44" t="inlineStr">
        <is>
          <t>Purpose:</t>
        </is>
      </c>
      <c r="B4" s="45" t="inlineStr">
        <is>
          <t>Test that paid employees exist in the HR records, pay rates are authorized, gross pay recomputes, deductions are supported and net pay reached the employee.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7" t="n"/>
    </row>
    <row r="5" ht="15" customHeight="1">
      <c r="A5" s="44" t="inlineStr">
        <is>
          <t>Scope:</t>
        </is>
      </c>
      <c r="B5" s="45" t="inlineStr">
        <is>
          <t>Employees selected from the payroll registers tested at &lt;.2&gt;, including at least one hire and one termination occurring in the period where applicable.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7" t="n"/>
    </row>
    <row r="6" ht="22.4" customHeight="1">
      <c r="A6" s="44" t="inlineStr">
        <is>
          <t>Assertions:</t>
        </is>
      </c>
      <c r="B6" s="45" t="inlineStr">
        <is>
          <t>Occurrence; Accuracy; Valuation &amp; Allocation; Cutoff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7" t="n"/>
    </row>
    <row r="7" ht="33" customHeight="1">
      <c r="A7" s="48" t="inlineStr">
        <is>
          <t>Sample #</t>
        </is>
      </c>
      <c r="B7" s="48" t="inlineStr">
        <is>
          <t>Pay Period End</t>
        </is>
      </c>
      <c r="C7" s="48" t="inlineStr">
        <is>
          <t>Employee ID</t>
        </is>
      </c>
      <c r="D7" s="48" t="inlineStr">
        <is>
          <t>Employee Name</t>
        </is>
      </c>
      <c r="E7" s="48" t="inlineStr">
        <is>
          <t>Department / Cost Center</t>
        </is>
      </c>
      <c r="F7" s="48" t="inlineStr">
        <is>
          <t>Pay Type (Salary / Hourly)</t>
        </is>
      </c>
      <c r="G7" s="48" t="inlineStr">
        <is>
          <t>Authorized Rate (per HR file)</t>
        </is>
      </c>
      <c r="H7" s="48" t="inlineStr">
        <is>
          <t>Hours / Pay Periods</t>
        </is>
      </c>
      <c r="I7" s="48" t="inlineStr">
        <is>
          <t>Recomputed Gross</t>
        </is>
      </c>
      <c r="J7" s="48" t="inlineStr">
        <is>
          <t>Gross per Register</t>
        </is>
      </c>
      <c r="K7" s="48" t="inlineStr">
        <is>
          <t>Difference</t>
        </is>
      </c>
      <c r="L7" s="48" t="inlineStr">
        <is>
          <t>Deductions agreed? (Y/N)</t>
        </is>
      </c>
      <c r="M7" s="48" t="inlineStr">
        <is>
          <t>Net pay agreed to payment? (Y/N)</t>
        </is>
      </c>
      <c r="N7" s="48" t="inlineStr">
        <is>
          <t>Hire / Term in period — first/final pay tested</t>
        </is>
      </c>
      <c r="O7" s="48" t="inlineStr">
        <is>
          <t>Notes — exceptions only</t>
        </is>
      </c>
    </row>
    <row r="8">
      <c r="A8" s="28" t="n"/>
      <c r="B8" s="28" t="n"/>
      <c r="C8" s="28" t="n"/>
      <c r="D8" s="28" t="n"/>
      <c r="E8" s="28" t="n"/>
      <c r="F8" s="28" t="n"/>
      <c r="G8" s="49" t="inlineStr">
        <is>
          <t>V</t>
        </is>
      </c>
      <c r="H8" s="28" t="n"/>
      <c r="I8" s="49" t="inlineStr">
        <is>
          <t>R</t>
        </is>
      </c>
      <c r="J8" s="49" t="inlineStr">
        <is>
          <t>PBC</t>
        </is>
      </c>
      <c r="K8" s="28" t="n"/>
      <c r="L8" s="28" t="n"/>
      <c r="M8" s="28" t="n"/>
      <c r="N8" s="28" t="n"/>
      <c r="O8" s="28" t="n"/>
    </row>
    <row r="9">
      <c r="A9" s="56" t="n">
        <v>1</v>
      </c>
      <c r="B9" s="45" t="n"/>
      <c r="C9" s="45" t="n"/>
      <c r="D9" s="45" t="n"/>
      <c r="E9" s="45" t="n"/>
      <c r="F9" s="45" t="n"/>
      <c r="G9" s="50" t="n"/>
      <c r="H9" s="45" t="n"/>
      <c r="I9" s="50">
        <f>IF(OR(G9="",H9=""),"",ROUND(G9*H9,2))</f>
        <v/>
      </c>
      <c r="J9" s="50" t="n"/>
      <c r="K9" s="50">
        <f>IF(OR(I9="",J9=""),"",J9-I9)</f>
        <v/>
      </c>
      <c r="L9" s="45" t="n"/>
      <c r="M9" s="45" t="n"/>
      <c r="N9" s="45" t="n"/>
      <c r="O9" s="45" t="n"/>
    </row>
    <row r="10" ht="27" customHeight="1">
      <c r="A10" s="56" t="n">
        <v>2</v>
      </c>
      <c r="B10" s="45" t="n"/>
      <c r="C10" s="45" t="n"/>
      <c r="D10" s="45" t="n"/>
      <c r="E10" s="45" t="n"/>
      <c r="F10" s="45" t="n"/>
      <c r="G10" s="50" t="n"/>
      <c r="H10" s="45" t="n"/>
      <c r="I10" s="50">
        <f>IF(OR(G10="",H10=""),"",ROUND(G10*H10,2))</f>
        <v/>
      </c>
      <c r="J10" s="50" t="n"/>
      <c r="K10" s="50">
        <f>IF(OR(I10="",J10=""),"",J10-I10)</f>
        <v/>
      </c>
      <c r="L10" s="45" t="n"/>
      <c r="M10" s="45" t="n"/>
      <c r="N10" s="45" t="n"/>
      <c r="O10" s="45" t="n"/>
    </row>
    <row r="11" ht="27" customHeight="1">
      <c r="A11" s="56" t="n">
        <v>3</v>
      </c>
      <c r="B11" s="45" t="n"/>
      <c r="C11" s="45" t="n"/>
      <c r="D11" s="45" t="n"/>
      <c r="E11" s="45" t="n"/>
      <c r="F11" s="45" t="n"/>
      <c r="G11" s="50" t="n"/>
      <c r="H11" s="45" t="n"/>
      <c r="I11" s="50">
        <f>IF(OR(G11="",H11=""),"",ROUND(G11*H11,2))</f>
        <v/>
      </c>
      <c r="J11" s="50" t="n"/>
      <c r="K11" s="50">
        <f>IF(OR(I11="",J11=""),"",J11-I11)</f>
        <v/>
      </c>
      <c r="L11" s="45" t="n"/>
      <c r="M11" s="45" t="n"/>
      <c r="N11" s="45" t="n"/>
      <c r="O11" s="45" t="n"/>
    </row>
    <row r="12" ht="27" customHeight="1">
      <c r="A12" s="56" t="n">
        <v>4</v>
      </c>
      <c r="B12" s="45" t="n"/>
      <c r="C12" s="45" t="n"/>
      <c r="D12" s="45" t="n"/>
      <c r="E12" s="45" t="n"/>
      <c r="F12" s="45" t="n"/>
      <c r="G12" s="50" t="n"/>
      <c r="H12" s="45" t="n"/>
      <c r="I12" s="50">
        <f>IF(OR(G12="",H12=""),"",ROUND(G12*H12,2))</f>
        <v/>
      </c>
      <c r="J12" s="50" t="n"/>
      <c r="K12" s="50">
        <f>IF(OR(I12="",J12=""),"",J12-I12)</f>
        <v/>
      </c>
      <c r="L12" s="45" t="n"/>
      <c r="M12" s="45" t="n"/>
      <c r="N12" s="45" t="n"/>
      <c r="O12" s="45" t="n"/>
    </row>
    <row r="13" ht="27" customHeight="1">
      <c r="A13" s="56" t="n">
        <v>5</v>
      </c>
      <c r="B13" s="45" t="n"/>
      <c r="C13" s="45" t="n"/>
      <c r="D13" s="45" t="n"/>
      <c r="E13" s="45" t="n"/>
      <c r="F13" s="45" t="n"/>
      <c r="G13" s="50" t="n"/>
      <c r="H13" s="45" t="n"/>
      <c r="I13" s="50">
        <f>IF(OR(G13="",H13=""),"",ROUND(G13*H13,2))</f>
        <v/>
      </c>
      <c r="J13" s="50" t="n"/>
      <c r="K13" s="50">
        <f>IF(OR(I13="",J13=""),"",J13-I13)</f>
        <v/>
      </c>
      <c r="L13" s="45" t="n"/>
      <c r="M13" s="45" t="n"/>
      <c r="N13" s="45" t="n"/>
      <c r="O13" s="45" t="n"/>
    </row>
    <row r="14" ht="27" customHeight="1">
      <c r="A14" s="56" t="n">
        <v>6</v>
      </c>
      <c r="B14" s="45" t="n"/>
      <c r="C14" s="45" t="n"/>
      <c r="D14" s="45" t="n"/>
      <c r="E14" s="45" t="n"/>
      <c r="F14" s="45" t="n"/>
      <c r="G14" s="50" t="n"/>
      <c r="H14" s="45" t="n"/>
      <c r="I14" s="50">
        <f>IF(OR(G14="",H14=""),"",ROUND(G14*H14,2))</f>
        <v/>
      </c>
      <c r="J14" s="50" t="n"/>
      <c r="K14" s="50">
        <f>IF(OR(I14="",J14=""),"",J14-I14)</f>
        <v/>
      </c>
      <c r="L14" s="45" t="n"/>
      <c r="M14" s="45" t="n"/>
      <c r="N14" s="45" t="n"/>
      <c r="O14" s="45" t="n"/>
    </row>
    <row r="15" ht="27" customHeight="1">
      <c r="A15" s="56" t="n">
        <v>7</v>
      </c>
      <c r="B15" s="45" t="n"/>
      <c r="C15" s="45" t="n"/>
      <c r="D15" s="45" t="n"/>
      <c r="E15" s="45" t="n"/>
      <c r="F15" s="45" t="n"/>
      <c r="G15" s="50" t="n"/>
      <c r="H15" s="45" t="n"/>
      <c r="I15" s="50">
        <f>IF(OR(G15="",H15=""),"",ROUND(G15*H15,2))</f>
        <v/>
      </c>
      <c r="J15" s="50" t="n"/>
      <c r="K15" s="50">
        <f>IF(OR(I15="",J15=""),"",J15-I15)</f>
        <v/>
      </c>
      <c r="L15" s="45" t="n"/>
      <c r="M15" s="45" t="n"/>
      <c r="N15" s="45" t="n"/>
      <c r="O15" s="45" t="n"/>
    </row>
    <row r="16" ht="27" customHeight="1">
      <c r="A16" s="56" t="n">
        <v>8</v>
      </c>
      <c r="B16" s="45" t="n"/>
      <c r="C16" s="45" t="n"/>
      <c r="D16" s="45" t="n"/>
      <c r="E16" s="45" t="n"/>
      <c r="F16" s="45" t="n"/>
      <c r="G16" s="50" t="n"/>
      <c r="H16" s="45" t="n"/>
      <c r="I16" s="50">
        <f>IF(OR(G16="",H16=""),"",ROUND(G16*H16,2))</f>
        <v/>
      </c>
      <c r="J16" s="50" t="n"/>
      <c r="K16" s="50">
        <f>IF(OR(I16="",J16=""),"",J16-I16)</f>
        <v/>
      </c>
      <c r="L16" s="45" t="n"/>
      <c r="M16" s="45" t="n"/>
      <c r="N16" s="45" t="n"/>
      <c r="O16" s="45" t="n"/>
    </row>
    <row r="17" ht="27" customHeight="1">
      <c r="A17" s="56" t="n">
        <v>9</v>
      </c>
      <c r="B17" s="45" t="n"/>
      <c r="C17" s="45" t="n"/>
      <c r="D17" s="45" t="n"/>
      <c r="E17" s="45" t="n"/>
      <c r="F17" s="45" t="n"/>
      <c r="G17" s="50" t="n"/>
      <c r="H17" s="45" t="n"/>
      <c r="I17" s="50">
        <f>IF(OR(G17="",H17=""),"",ROUND(G17*H17,2))</f>
        <v/>
      </c>
      <c r="J17" s="50" t="n"/>
      <c r="K17" s="50">
        <f>IF(OR(I17="",J17=""),"",J17-I17)</f>
        <v/>
      </c>
      <c r="L17" s="45" t="n"/>
      <c r="M17" s="45" t="n"/>
      <c r="N17" s="45" t="n"/>
      <c r="O17" s="45" t="n"/>
    </row>
    <row r="18" ht="27" customHeight="1">
      <c r="A18" s="56" t="n">
        <v>10</v>
      </c>
      <c r="B18" s="45" t="n"/>
      <c r="C18" s="45" t="n"/>
      <c r="D18" s="45" t="n"/>
      <c r="E18" s="45" t="n"/>
      <c r="F18" s="45" t="n"/>
      <c r="G18" s="50" t="n"/>
      <c r="H18" s="45" t="n"/>
      <c r="I18" s="50">
        <f>IF(OR(G18="",H18=""),"",ROUND(G18*H18,2))</f>
        <v/>
      </c>
      <c r="J18" s="50" t="n"/>
      <c r="K18" s="50">
        <f>IF(OR(I18="",J18=""),"",J18-I18)</f>
        <v/>
      </c>
      <c r="L18" s="45" t="n"/>
      <c r="M18" s="45" t="n"/>
      <c r="N18" s="45" t="n"/>
      <c r="O18" s="45" t="n"/>
    </row>
    <row r="19" ht="27" customHeight="1">
      <c r="A19" s="56" t="n">
        <v>11</v>
      </c>
      <c r="B19" s="45" t="n"/>
      <c r="C19" s="45" t="n"/>
      <c r="D19" s="45" t="n"/>
      <c r="E19" s="45" t="n"/>
      <c r="F19" s="45" t="n"/>
      <c r="G19" s="50" t="n"/>
      <c r="H19" s="45" t="n"/>
      <c r="I19" s="50">
        <f>IF(OR(G19="",H19=""),"",ROUND(G19*H19,2))</f>
        <v/>
      </c>
      <c r="J19" s="50" t="n"/>
      <c r="K19" s="50">
        <f>IF(OR(I19="",J19=""),"",J19-I19)</f>
        <v/>
      </c>
      <c r="L19" s="45" t="n"/>
      <c r="M19" s="45" t="n"/>
      <c r="N19" s="45" t="n"/>
      <c r="O19" s="45" t="n"/>
    </row>
    <row r="20" ht="27" customHeight="1">
      <c r="A20" s="56" t="n">
        <v>12</v>
      </c>
      <c r="B20" s="45" t="n"/>
      <c r="C20" s="45" t="n"/>
      <c r="D20" s="45" t="n"/>
      <c r="E20" s="45" t="n"/>
      <c r="F20" s="45" t="n"/>
      <c r="G20" s="50" t="n"/>
      <c r="H20" s="45" t="n"/>
      <c r="I20" s="50">
        <f>IF(OR(G20="",H20=""),"",ROUND(G20*H20,2))</f>
        <v/>
      </c>
      <c r="J20" s="50" t="n"/>
      <c r="K20" s="50">
        <f>IF(OR(I20="",J20=""),"",J20-I20)</f>
        <v/>
      </c>
      <c r="L20" s="45" t="n"/>
      <c r="M20" s="45" t="n"/>
      <c r="N20" s="45" t="n"/>
      <c r="O20" s="45" t="n"/>
    </row>
    <row r="21" ht="27" customHeight="1">
      <c r="A21" s="56" t="n">
        <v>13</v>
      </c>
      <c r="B21" s="45" t="n"/>
      <c r="C21" s="45" t="n"/>
      <c r="D21" s="45" t="n"/>
      <c r="E21" s="45" t="n"/>
      <c r="F21" s="45" t="n"/>
      <c r="G21" s="50" t="n"/>
      <c r="H21" s="45" t="n"/>
      <c r="I21" s="50">
        <f>IF(OR(G21="",H21=""),"",ROUND(G21*H21,2))</f>
        <v/>
      </c>
      <c r="J21" s="50" t="n"/>
      <c r="K21" s="50">
        <f>IF(OR(I21="",J21=""),"",J21-I21)</f>
        <v/>
      </c>
      <c r="L21" s="45" t="n"/>
      <c r="M21" s="45" t="n"/>
      <c r="N21" s="45" t="n"/>
      <c r="O21" s="45" t="n"/>
    </row>
    <row r="22" ht="27" customHeight="1">
      <c r="A22" s="56" t="n">
        <v>14</v>
      </c>
      <c r="B22" s="45" t="n"/>
      <c r="C22" s="45" t="n"/>
      <c r="D22" s="45" t="n"/>
      <c r="E22" s="45" t="n"/>
      <c r="F22" s="45" t="n"/>
      <c r="G22" s="50" t="n"/>
      <c r="H22" s="45" t="n"/>
      <c r="I22" s="50">
        <f>IF(OR(G22="",H22=""),"",ROUND(G22*H22,2))</f>
        <v/>
      </c>
      <c r="J22" s="50" t="n"/>
      <c r="K22" s="50">
        <f>IF(OR(I22="",J22=""),"",J22-I22)</f>
        <v/>
      </c>
      <c r="L22" s="45" t="n"/>
      <c r="M22" s="45" t="n"/>
      <c r="N22" s="45" t="n"/>
      <c r="O22" s="45" t="n"/>
    </row>
    <row r="23" ht="27" customHeight="1">
      <c r="A23" s="56" t="n">
        <v>15</v>
      </c>
      <c r="B23" s="45" t="n"/>
      <c r="C23" s="45" t="n"/>
      <c r="D23" s="45" t="n"/>
      <c r="E23" s="45" t="n"/>
      <c r="F23" s="45" t="n"/>
      <c r="G23" s="50" t="n"/>
      <c r="H23" s="45" t="n"/>
      <c r="I23" s="50">
        <f>IF(OR(G23="",H23=""),"",ROUND(G23*H23,2))</f>
        <v/>
      </c>
      <c r="J23" s="50" t="n"/>
      <c r="K23" s="50">
        <f>IF(OR(I23="",J23=""),"",J23-I23)</f>
        <v/>
      </c>
      <c r="L23" s="45" t="n"/>
      <c r="M23" s="45" t="n"/>
      <c r="N23" s="45" t="n"/>
      <c r="O23" s="45" t="n"/>
    </row>
    <row r="24" ht="27" customHeight="1">
      <c r="A24" s="56" t="n">
        <v>16</v>
      </c>
      <c r="B24" s="45" t="n"/>
      <c r="C24" s="45" t="n"/>
      <c r="D24" s="45" t="n"/>
      <c r="E24" s="45" t="n"/>
      <c r="F24" s="45" t="n"/>
      <c r="G24" s="50" t="n"/>
      <c r="H24" s="45" t="n"/>
      <c r="I24" s="50">
        <f>IF(OR(G24="",H24=""),"",ROUND(G24*H24,2))</f>
        <v/>
      </c>
      <c r="J24" s="50" t="n"/>
      <c r="K24" s="50">
        <f>IF(OR(I24="",J24=""),"",J24-I24)</f>
        <v/>
      </c>
      <c r="L24" s="45" t="n"/>
      <c r="M24" s="45" t="n"/>
      <c r="N24" s="45" t="n"/>
      <c r="O24" s="45" t="n"/>
    </row>
    <row r="25" ht="27" customHeight="1">
      <c r="A25" s="56" t="n">
        <v>17</v>
      </c>
      <c r="B25" s="45" t="n"/>
      <c r="C25" s="45" t="n"/>
      <c r="D25" s="45" t="n"/>
      <c r="E25" s="45" t="n"/>
      <c r="F25" s="45" t="n"/>
      <c r="G25" s="50" t="n"/>
      <c r="H25" s="45" t="n"/>
      <c r="I25" s="50">
        <f>IF(OR(G25="",H25=""),"",ROUND(G25*H25,2))</f>
        <v/>
      </c>
      <c r="J25" s="50" t="n"/>
      <c r="K25" s="50">
        <f>IF(OR(I25="",J25=""),"",J25-I25)</f>
        <v/>
      </c>
      <c r="L25" s="45" t="n"/>
      <c r="M25" s="45" t="n"/>
      <c r="N25" s="45" t="n"/>
      <c r="O25" s="45" t="n"/>
    </row>
    <row r="26" ht="27" customHeight="1">
      <c r="A26" s="56" t="n">
        <v>18</v>
      </c>
      <c r="B26" s="45" t="n"/>
      <c r="C26" s="45" t="n"/>
      <c r="D26" s="45" t="n"/>
      <c r="E26" s="45" t="n"/>
      <c r="F26" s="45" t="n"/>
      <c r="G26" s="50" t="n"/>
      <c r="H26" s="45" t="n"/>
      <c r="I26" s="50">
        <f>IF(OR(G26="",H26=""),"",ROUND(G26*H26,2))</f>
        <v/>
      </c>
      <c r="J26" s="50" t="n"/>
      <c r="K26" s="50">
        <f>IF(OR(I26="",J26=""),"",J26-I26)</f>
        <v/>
      </c>
      <c r="L26" s="45" t="n"/>
      <c r="M26" s="45" t="n"/>
      <c r="N26" s="45" t="n"/>
      <c r="O26" s="45" t="n"/>
    </row>
    <row r="27" ht="27" customHeight="1">
      <c r="A27" s="56" t="n">
        <v>19</v>
      </c>
      <c r="B27" s="45" t="n"/>
      <c r="C27" s="45" t="n"/>
      <c r="D27" s="45" t="n"/>
      <c r="E27" s="45" t="n"/>
      <c r="F27" s="45" t="n"/>
      <c r="G27" s="50" t="n"/>
      <c r="H27" s="45" t="n"/>
      <c r="I27" s="50">
        <f>IF(OR(G27="",H27=""),"",ROUND(G27*H27,2))</f>
        <v/>
      </c>
      <c r="J27" s="50" t="n"/>
      <c r="K27" s="50">
        <f>IF(OR(I27="",J27=""),"",J27-I27)</f>
        <v/>
      </c>
      <c r="L27" s="45" t="n"/>
      <c r="M27" s="45" t="n"/>
      <c r="N27" s="45" t="n"/>
      <c r="O27" s="45" t="n"/>
    </row>
    <row r="28" ht="27" customHeight="1">
      <c r="A28" s="56" t="n">
        <v>20</v>
      </c>
      <c r="B28" s="45" t="n"/>
      <c r="C28" s="45" t="n"/>
      <c r="D28" s="45" t="n"/>
      <c r="E28" s="45" t="n"/>
      <c r="F28" s="45" t="n"/>
      <c r="G28" s="50" t="n"/>
      <c r="H28" s="45" t="n"/>
      <c r="I28" s="50">
        <f>IF(OR(G28="",H28=""),"",ROUND(G28*H28,2))</f>
        <v/>
      </c>
      <c r="J28" s="50" t="n"/>
      <c r="K28" s="50">
        <f>IF(OR(I28="",J28=""),"",J28-I28)</f>
        <v/>
      </c>
      <c r="L28" s="45" t="n"/>
      <c r="M28" s="45" t="n"/>
      <c r="N28" s="45" t="n"/>
      <c r="O28" s="45" t="n"/>
    </row>
    <row r="29" ht="27" customHeight="1">
      <c r="A29" s="56" t="n">
        <v>21</v>
      </c>
      <c r="B29" s="45" t="n"/>
      <c r="C29" s="45" t="n"/>
      <c r="D29" s="45" t="n"/>
      <c r="E29" s="45" t="n"/>
      <c r="F29" s="45" t="n"/>
      <c r="G29" s="50" t="n"/>
      <c r="H29" s="45" t="n"/>
      <c r="I29" s="50">
        <f>IF(OR(G29="",H29=""),"",ROUND(G29*H29,2))</f>
        <v/>
      </c>
      <c r="J29" s="50" t="n"/>
      <c r="K29" s="50">
        <f>IF(OR(I29="",J29=""),"",J29-I29)</f>
        <v/>
      </c>
      <c r="L29" s="45" t="n"/>
      <c r="M29" s="45" t="n"/>
      <c r="N29" s="45" t="n"/>
      <c r="O29" s="45" t="n"/>
    </row>
    <row r="30" ht="27" customHeight="1">
      <c r="A30" s="56" t="n">
        <v>22</v>
      </c>
      <c r="B30" s="45" t="n"/>
      <c r="C30" s="45" t="n"/>
      <c r="D30" s="45" t="n"/>
      <c r="E30" s="45" t="n"/>
      <c r="F30" s="45" t="n"/>
      <c r="G30" s="50" t="n"/>
      <c r="H30" s="45" t="n"/>
      <c r="I30" s="50">
        <f>IF(OR(G30="",H30=""),"",ROUND(G30*H30,2))</f>
        <v/>
      </c>
      <c r="J30" s="50" t="n"/>
      <c r="K30" s="50">
        <f>IF(OR(I30="",J30=""),"",J30-I30)</f>
        <v/>
      </c>
      <c r="L30" s="45" t="n"/>
      <c r="M30" s="45" t="n"/>
      <c r="N30" s="45" t="n"/>
      <c r="O30" s="45" t="n"/>
    </row>
    <row r="31" ht="27" customHeight="1">
      <c r="A31" s="56" t="n">
        <v>23</v>
      </c>
      <c r="B31" s="45" t="n"/>
      <c r="C31" s="45" t="n"/>
      <c r="D31" s="45" t="n"/>
      <c r="E31" s="45" t="n"/>
      <c r="F31" s="45" t="n"/>
      <c r="G31" s="50" t="n"/>
      <c r="H31" s="45" t="n"/>
      <c r="I31" s="50">
        <f>IF(OR(G31="",H31=""),"",ROUND(G31*H31,2))</f>
        <v/>
      </c>
      <c r="J31" s="50" t="n"/>
      <c r="K31" s="50">
        <f>IF(OR(I31="",J31=""),"",J31-I31)</f>
        <v/>
      </c>
      <c r="L31" s="45" t="n"/>
      <c r="M31" s="45" t="n"/>
      <c r="N31" s="45" t="n"/>
      <c r="O31" s="45" t="n"/>
    </row>
    <row r="32" ht="27" customHeight="1">
      <c r="A32" s="56" t="n">
        <v>24</v>
      </c>
      <c r="B32" s="45" t="n"/>
      <c r="C32" s="45" t="n"/>
      <c r="D32" s="45" t="n"/>
      <c r="E32" s="45" t="n"/>
      <c r="F32" s="45" t="n"/>
      <c r="G32" s="50" t="n"/>
      <c r="H32" s="45" t="n"/>
      <c r="I32" s="50">
        <f>IF(OR(G32="",H32=""),"",ROUND(G32*H32,2))</f>
        <v/>
      </c>
      <c r="J32" s="50" t="n"/>
      <c r="K32" s="50">
        <f>IF(OR(I32="",J32=""),"",J32-I32)</f>
        <v/>
      </c>
      <c r="L32" s="45" t="n"/>
      <c r="M32" s="45" t="n"/>
      <c r="N32" s="45" t="n"/>
      <c r="O32" s="45" t="n"/>
    </row>
    <row r="33" ht="27" customHeight="1">
      <c r="A33" s="56" t="n">
        <v>25</v>
      </c>
      <c r="B33" s="45" t="n"/>
      <c r="C33" s="45" t="n"/>
      <c r="D33" s="45" t="n"/>
      <c r="E33" s="45" t="n"/>
      <c r="F33" s="45" t="n"/>
      <c r="G33" s="50" t="n"/>
      <c r="H33" s="45" t="n"/>
      <c r="I33" s="50">
        <f>IF(OR(G33="",H33=""),"",ROUND(G33*H33,2))</f>
        <v/>
      </c>
      <c r="J33" s="50" t="n"/>
      <c r="K33" s="50">
        <f>IF(OR(I33="",J33=""),"",J33-I33)</f>
        <v/>
      </c>
      <c r="L33" s="45" t="n"/>
      <c r="M33" s="45" t="n"/>
      <c r="N33" s="45" t="n"/>
      <c r="O33" s="45" t="n"/>
    </row>
    <row r="34" ht="27" customHeight="1">
      <c r="A34" s="56" t="n">
        <v>26</v>
      </c>
      <c r="B34" s="45" t="n"/>
      <c r="C34" s="45" t="n"/>
      <c r="D34" s="45" t="n"/>
      <c r="E34" s="45" t="n"/>
      <c r="F34" s="45" t="n"/>
      <c r="G34" s="50" t="n"/>
      <c r="H34" s="45" t="n"/>
      <c r="I34" s="50">
        <f>IF(OR(G34="",H34=""),"",ROUND(G34*H34,2))</f>
        <v/>
      </c>
      <c r="J34" s="50" t="n"/>
      <c r="K34" s="50">
        <f>IF(OR(I34="",J34=""),"",J34-I34)</f>
        <v/>
      </c>
      <c r="L34" s="45" t="n"/>
      <c r="M34" s="45" t="n"/>
      <c r="N34" s="45" t="n"/>
      <c r="O34" s="45" t="n"/>
    </row>
    <row r="35" ht="27" customHeight="1">
      <c r="A35" s="56" t="n">
        <v>27</v>
      </c>
      <c r="B35" s="45" t="n"/>
      <c r="C35" s="45" t="n"/>
      <c r="D35" s="45" t="n"/>
      <c r="E35" s="45" t="n"/>
      <c r="F35" s="45" t="n"/>
      <c r="G35" s="50" t="n"/>
      <c r="H35" s="45" t="n"/>
      <c r="I35" s="50">
        <f>IF(OR(G35="",H35=""),"",ROUND(G35*H35,2))</f>
        <v/>
      </c>
      <c r="J35" s="50" t="n"/>
      <c r="K35" s="50">
        <f>IF(OR(I35="",J35=""),"",J35-I35)</f>
        <v/>
      </c>
      <c r="L35" s="45" t="n"/>
      <c r="M35" s="45" t="n"/>
      <c r="N35" s="45" t="n"/>
      <c r="O35" s="45" t="n"/>
    </row>
    <row r="36" ht="27" customHeight="1">
      <c r="A36" s="56" t="n">
        <v>28</v>
      </c>
      <c r="B36" s="45" t="n"/>
      <c r="C36" s="45" t="n"/>
      <c r="D36" s="45" t="n"/>
      <c r="E36" s="45" t="n"/>
      <c r="F36" s="45" t="n"/>
      <c r="G36" s="50" t="n"/>
      <c r="H36" s="45" t="n"/>
      <c r="I36" s="50">
        <f>IF(OR(G36="",H36=""),"",ROUND(G36*H36,2))</f>
        <v/>
      </c>
      <c r="J36" s="50" t="n"/>
      <c r="K36" s="50">
        <f>IF(OR(I36="",J36=""),"",J36-I36)</f>
        <v/>
      </c>
      <c r="L36" s="45" t="n"/>
      <c r="M36" s="45" t="n"/>
      <c r="N36" s="45" t="n"/>
      <c r="O36" s="45" t="n"/>
    </row>
    <row r="37" ht="27" customHeight="1">
      <c r="A37" s="56" t="n">
        <v>29</v>
      </c>
      <c r="B37" s="45" t="n"/>
      <c r="C37" s="45" t="n"/>
      <c r="D37" s="45" t="n"/>
      <c r="E37" s="45" t="n"/>
      <c r="F37" s="45" t="n"/>
      <c r="G37" s="50" t="n"/>
      <c r="H37" s="45" t="n"/>
      <c r="I37" s="50">
        <f>IF(OR(G37="",H37=""),"",ROUND(G37*H37,2))</f>
        <v/>
      </c>
      <c r="J37" s="50" t="n"/>
      <c r="K37" s="50">
        <f>IF(OR(I37="",J37=""),"",J37-I37)</f>
        <v/>
      </c>
      <c r="L37" s="45" t="n"/>
      <c r="M37" s="45" t="n"/>
      <c r="N37" s="45" t="n"/>
      <c r="O37" s="45" t="n"/>
    </row>
    <row r="38">
      <c r="A38" s="52" t="inlineStr">
        <is>
          <t>Total(s)</t>
        </is>
      </c>
      <c r="B38" s="52" t="n"/>
      <c r="C38" s="52" t="n"/>
      <c r="D38" s="52" t="n"/>
      <c r="E38" s="52" t="n"/>
      <c r="F38" s="52" t="n"/>
      <c r="G38" s="52" t="n"/>
      <c r="H38" s="52" t="n"/>
      <c r="I38" s="53" t="n"/>
      <c r="J38" s="53" t="n"/>
      <c r="K38" s="52" t="n"/>
      <c r="L38" s="52" t="n"/>
      <c r="M38" s="52" t="n"/>
      <c r="N38" s="52" t="n"/>
      <c r="O38" s="52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49" t="inlineStr">
        <is>
          <t>F</t>
        </is>
      </c>
      <c r="J39" s="49" t="inlineStr">
        <is>
          <t>F</t>
        </is>
      </c>
      <c r="K39" s="28" t="n"/>
      <c r="L39" s="28" t="n"/>
      <c r="M39" s="28" t="n"/>
      <c r="N39" s="28" t="n"/>
      <c r="O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</row>
    <row r="4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</row>
    <row r="42">
      <c r="A42" s="55" t="inlineStr">
        <is>
          <t>V</t>
        </is>
      </c>
      <c r="B42" s="45" t="inlineStr">
        <is>
          <t>Vouched to HR / personnel file or authorized rate documentation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7" t="n"/>
    </row>
    <row r="43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7" t="n"/>
    </row>
    <row r="44">
      <c r="A44" s="55" t="inlineStr">
        <is>
          <t>PBC</t>
        </is>
      </c>
      <c r="B44" s="45" t="inlineStr">
        <is>
          <t>Prepared by client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7" t="n"/>
    </row>
    <row r="45">
      <c r="A45" s="55" t="inlineStr">
        <is>
          <t>F</t>
        </is>
      </c>
      <c r="B45" s="45" t="inlineStr">
        <is>
          <t>Footed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7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</row>
    <row r="47">
      <c r="A47" s="29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</row>
  </sheetData>
  <autoFilter ref="A7:O37"/>
  <mergeCells count="8">
    <mergeCell ref="B4:O4"/>
    <mergeCell ref="B44:O44"/>
    <mergeCell ref="B43:O43"/>
    <mergeCell ref="B6:O6"/>
    <mergeCell ref="A47:O47"/>
    <mergeCell ref="B5:O5"/>
    <mergeCell ref="B45:O45"/>
    <mergeCell ref="B42:O42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0" sqref="A10"/>
    </sheetView>
  </sheetViews>
  <sheetFormatPr baseColWidth="8" defaultColWidth="8.6328125" defaultRowHeight="14.5"/>
  <cols>
    <col width="42" customWidth="1" min="1" max="1"/>
    <col width="28.35" customWidth="1" min="2" max="3"/>
    <col width="16.45" customWidth="1" min="3" max="3"/>
    <col width="37.7" customWidth="1" min="4" max="4"/>
    <col width="30.05" customWidth="1" min="5" max="6"/>
    <col width="19.85" customWidth="1" min="6" max="6"/>
    <col width="42" customWidth="1" min="7" max="7"/>
    <col width="13.05" customWidth="1" min="8" max="8"/>
    <col width="30.05" customWidth="1" min="9" max="9"/>
    <col width="22" customWidth="1" min="10" max="10"/>
  </cols>
  <sheetData>
    <row r="1" ht="17.5" customHeight="1">
      <c r="A1" s="27" t="inlineStr">
        <is>
          <t>Payroll Accrual Recompute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27" customHeight="1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</row>
    <row r="3" ht="27" customHeight="1">
      <c r="A3" s="42" t="inlineStr">
        <is>
          <t>Performance Materiality</t>
        </is>
      </c>
      <c r="B3" s="43" t="n">
        <v>25000</v>
      </c>
      <c r="C3" s="28" t="n"/>
      <c r="D3" s="42" t="inlineStr">
        <is>
          <t>Threshold — individually significant items</t>
        </is>
      </c>
      <c r="E3" s="43" t="n">
        <v>12500</v>
      </c>
      <c r="F3" s="28" t="n"/>
      <c r="G3" s="28" t="n"/>
      <c r="H3" s="28" t="n"/>
      <c r="I3" s="28" t="n"/>
      <c r="J3" s="28" t="n"/>
    </row>
    <row r="4" ht="22.4" customHeight="1">
      <c r="A4" s="44" t="inlineStr">
        <is>
          <t>Purpose:</t>
        </is>
      </c>
      <c r="B4" s="45" t="inlineStr">
        <is>
          <t>Recompute period-end payroll accruals from day counts and daily payroll, test other payroll accrual methods, and verify reversal and subsequent payment.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15" customHeight="1">
      <c r="A5" s="44" t="inlineStr">
        <is>
          <t>Scope:</t>
        </is>
      </c>
      <c r="B5" s="45" t="inlineStr">
        <is>
          <t>Accrued payroll and benefits at period end: accrued wages, employer taxes, PTO, bonus and commission accruals.</t>
        </is>
      </c>
      <c r="C5" s="46" t="n"/>
      <c r="D5" s="46" t="n"/>
      <c r="E5" s="46" t="n"/>
      <c r="F5" s="46" t="n"/>
      <c r="G5" s="46" t="n"/>
      <c r="H5" s="46" t="n"/>
      <c r="I5" s="46" t="n"/>
      <c r="J5" s="47" t="n"/>
    </row>
    <row r="6" ht="15" customHeight="1">
      <c r="A6" s="44" t="inlineStr">
        <is>
          <t>Assertions:</t>
        </is>
      </c>
      <c r="B6" s="45" t="inlineStr">
        <is>
          <t>Valuation &amp; Allocation; Completeness; Cutoff; Existence</t>
        </is>
      </c>
      <c r="C6" s="46" t="n"/>
      <c r="D6" s="46" t="n"/>
      <c r="E6" s="46" t="n"/>
      <c r="F6" s="46" t="n"/>
      <c r="G6" s="46" t="n"/>
      <c r="H6" s="46" t="n"/>
      <c r="I6" s="46" t="n"/>
      <c r="J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27" customHeight="1">
      <c r="A8" s="54" t="inlineStr">
        <is>
          <t>A. Accrued wages and employer taxes (Library Procedure 9)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3" customHeight="1">
      <c r="A9" s="48" t="inlineStr">
        <is>
          <t>Accrual / GL Account</t>
        </is>
      </c>
      <c r="B9" s="48" t="inlineStr">
        <is>
          <t>Last Pay Period End</t>
        </is>
      </c>
      <c r="C9" s="48" t="inlineStr">
        <is>
          <t>Period End Date</t>
        </is>
      </c>
      <c r="D9" s="48" t="inlineStr">
        <is>
          <t>Days Accrued</t>
        </is>
      </c>
      <c r="E9" s="48" t="inlineStr">
        <is>
          <t>Daily Gross Payroll</t>
        </is>
      </c>
      <c r="F9" s="48" t="inlineStr">
        <is>
          <t>Daily Employer Taxes</t>
        </is>
      </c>
      <c r="G9" s="48" t="inlineStr">
        <is>
          <t>Recomputed Accrual</t>
        </is>
      </c>
      <c r="H9" s="48" t="inlineStr">
        <is>
          <t>Per GL</t>
        </is>
      </c>
      <c r="I9" s="48" t="inlineStr">
        <is>
          <t>Difference</t>
        </is>
      </c>
      <c r="J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28" t="n"/>
      <c r="G10" s="49" t="inlineStr">
        <is>
          <t>R</t>
        </is>
      </c>
      <c r="H10" s="49" t="inlineStr">
        <is>
          <t>GL</t>
        </is>
      </c>
      <c r="I10" s="28" t="n"/>
      <c r="J10" s="28" t="n"/>
    </row>
    <row r="11" ht="27" customHeight="1">
      <c r="A11" s="45" t="n"/>
      <c r="B11" s="45" t="n"/>
      <c r="C11" s="45" t="n"/>
      <c r="D11" s="45" t="n"/>
      <c r="E11" s="50" t="n"/>
      <c r="F11" s="50" t="n"/>
      <c r="G11" s="50">
        <f>IF(OR(D11="",E11=""),"",ROUND(D11*(E11+IF(F11="",0,F11)),2))</f>
        <v/>
      </c>
      <c r="H11" s="50" t="n"/>
      <c r="I11" s="50">
        <f>IF(OR(G11="",H11=""),"",H11-G11)</f>
        <v/>
      </c>
      <c r="J11" s="45" t="n"/>
    </row>
    <row r="12" ht="27" customHeight="1">
      <c r="A12" s="45" t="n"/>
      <c r="B12" s="45" t="n"/>
      <c r="C12" s="45" t="n"/>
      <c r="D12" s="45" t="n"/>
      <c r="E12" s="50" t="n"/>
      <c r="F12" s="50" t="n"/>
      <c r="G12" s="50">
        <f>IF(OR(D12="",E12=""),"",ROUND(D12*(E12+IF(F12="",0,F12)),2))</f>
        <v/>
      </c>
      <c r="H12" s="50" t="n"/>
      <c r="I12" s="50">
        <f>IF(OR(G12="",H12=""),"",H12-G12)</f>
        <v/>
      </c>
      <c r="J12" s="45" t="n"/>
    </row>
    <row r="13" ht="27" customHeight="1">
      <c r="A13" s="45" t="n"/>
      <c r="B13" s="45" t="n"/>
      <c r="C13" s="45" t="n"/>
      <c r="D13" s="45" t="n"/>
      <c r="E13" s="50" t="n"/>
      <c r="F13" s="50" t="n"/>
      <c r="G13" s="50">
        <f>IF(OR(D13="",E13=""),"",ROUND(D13*(E13+IF(F13="",0,F13)),2))</f>
        <v/>
      </c>
      <c r="H13" s="50" t="n"/>
      <c r="I13" s="50">
        <f>IF(OR(G13="",H13=""),"",H13-G13)</f>
        <v/>
      </c>
      <c r="J13" s="45" t="n"/>
    </row>
    <row r="14" ht="27" customHeight="1">
      <c r="A14" s="45" t="n"/>
      <c r="B14" s="45" t="n"/>
      <c r="C14" s="45" t="n"/>
      <c r="D14" s="45" t="n"/>
      <c r="E14" s="50" t="n"/>
      <c r="F14" s="50" t="n"/>
      <c r="G14" s="50">
        <f>IF(OR(D14="",E14=""),"",ROUND(D14*(E14+IF(F14="",0,F14)),2))</f>
        <v/>
      </c>
      <c r="H14" s="50" t="n"/>
      <c r="I14" s="50">
        <f>IF(OR(G14="",H14=""),"",H14-G14)</f>
        <v/>
      </c>
      <c r="J14" s="45" t="n"/>
    </row>
    <row r="15">
      <c r="A15" s="52" t="inlineStr">
        <is>
          <t>Total(s)</t>
        </is>
      </c>
      <c r="B15" s="52" t="n"/>
      <c r="C15" s="52" t="n"/>
      <c r="D15" s="52" t="n"/>
      <c r="E15" s="52" t="n"/>
      <c r="F15" s="52" t="n"/>
      <c r="G15" s="53">
        <f>SUM(G11:G14)</f>
        <v/>
      </c>
      <c r="H15" s="53">
        <f>SUM(H11:H14)</f>
        <v/>
      </c>
      <c r="I15" s="52" t="n"/>
      <c r="J15" s="52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27" customHeight="1">
      <c r="A17" s="54" t="inlineStr">
        <is>
          <t>B. Other payroll accruals — PTO / bonus / commissions (Library Procedure 9)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22" customHeight="1">
      <c r="A18" s="48" t="inlineStr">
        <is>
          <t>Accrual Type</t>
        </is>
      </c>
      <c r="B18" s="48" t="inlineStr">
        <is>
          <t>Basis / Method (describe)</t>
        </is>
      </c>
      <c r="C18" s="48" t="inlineStr">
        <is>
          <t>Recomputed Amount</t>
        </is>
      </c>
      <c r="D18" s="48" t="inlineStr">
        <is>
          <t>Per GL</t>
        </is>
      </c>
      <c r="E18" s="48" t="inlineStr">
        <is>
          <t>Difference</t>
        </is>
      </c>
      <c r="F18" s="48" t="inlineStr">
        <is>
          <t>Support Ref</t>
        </is>
      </c>
      <c r="G18" s="48" t="inlineStr">
        <is>
          <t>Notes — exceptions only</t>
        </is>
      </c>
      <c r="H18" s="28" t="n"/>
      <c r="I18" s="28" t="n"/>
      <c r="J18" s="28" t="n"/>
    </row>
    <row r="19" ht="27" customHeight="1">
      <c r="A19" s="45" t="n"/>
      <c r="B19" s="45" t="n"/>
      <c r="C19" s="50" t="n"/>
      <c r="D19" s="50" t="n"/>
      <c r="E19" s="50">
        <f>IF(OR(C19="",D19=""),"",D19-C19)</f>
        <v/>
      </c>
      <c r="F19" s="45" t="n"/>
      <c r="G19" s="45" t="n"/>
      <c r="H19" s="28" t="n"/>
      <c r="I19" s="28" t="n"/>
      <c r="J19" s="28" t="n"/>
    </row>
    <row r="20" ht="27" customHeight="1">
      <c r="A20" s="45" t="n"/>
      <c r="B20" s="45" t="n"/>
      <c r="C20" s="50" t="n"/>
      <c r="D20" s="50" t="n"/>
      <c r="E20" s="50">
        <f>IF(OR(C20="",D20=""),"",D20-C20)</f>
        <v/>
      </c>
      <c r="F20" s="45" t="n"/>
      <c r="G20" s="45" t="n"/>
      <c r="H20" s="28" t="n"/>
      <c r="I20" s="28" t="n"/>
      <c r="J20" s="28" t="n"/>
    </row>
    <row r="21" ht="27" customHeight="1">
      <c r="A21" s="45" t="n"/>
      <c r="B21" s="45" t="n"/>
      <c r="C21" s="50" t="n"/>
      <c r="D21" s="50" t="n"/>
      <c r="E21" s="50">
        <f>IF(OR(C21="",D21=""),"",D21-C21)</f>
        <v/>
      </c>
      <c r="F21" s="45" t="n"/>
      <c r="G21" s="45" t="n"/>
      <c r="H21" s="28" t="n"/>
      <c r="I21" s="28" t="n"/>
      <c r="J21" s="28" t="n"/>
    </row>
    <row r="22" ht="27" customHeight="1">
      <c r="A22" s="45" t="n"/>
      <c r="B22" s="45" t="n"/>
      <c r="C22" s="50" t="n"/>
      <c r="D22" s="50" t="n"/>
      <c r="E22" s="50">
        <f>IF(OR(C22="",D22=""),"",D22-C22)</f>
        <v/>
      </c>
      <c r="F22" s="45" t="n"/>
      <c r="G22" s="45" t="n"/>
      <c r="H22" s="28" t="n"/>
      <c r="I22" s="28" t="n"/>
      <c r="J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27" customHeight="1">
      <c r="A24" s="54" t="inlineStr">
        <is>
          <t>C. Subsequent reversal and payment (Library Procedure 10)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3" customHeight="1">
      <c r="A25" s="48" t="inlineStr">
        <is>
          <t>Accrual</t>
        </is>
      </c>
      <c r="B25" s="48" t="inlineStr">
        <is>
          <t>Reversal Date</t>
        </is>
      </c>
      <c r="C25" s="48" t="inlineStr">
        <is>
          <t>Reversal JE Ref</t>
        </is>
      </c>
      <c r="D25" s="48" t="inlineStr">
        <is>
          <t>Subsequent Payment Date</t>
        </is>
      </c>
      <c r="E25" s="48" t="inlineStr">
        <is>
          <t>Amount Paid</t>
        </is>
      </c>
      <c r="F25" s="48" t="inlineStr">
        <is>
          <t>Agreed to bank? (Y/N)</t>
        </is>
      </c>
      <c r="G25" s="48" t="inlineStr">
        <is>
          <t>Notes — exceptions only</t>
        </is>
      </c>
      <c r="H25" s="28" t="n"/>
      <c r="I25" s="28" t="n"/>
      <c r="J25" s="28" t="n"/>
    </row>
    <row r="26">
      <c r="A26" s="45" t="n"/>
      <c r="B26" s="45" t="n"/>
      <c r="C26" s="45" t="n"/>
      <c r="D26" s="45" t="n"/>
      <c r="E26" s="50" t="n"/>
      <c r="F26" s="45" t="n"/>
      <c r="G26" s="45" t="n"/>
      <c r="H26" s="28" t="n"/>
      <c r="I26" s="28" t="n"/>
      <c r="J26" s="28" t="n"/>
    </row>
    <row r="27">
      <c r="A27" s="45" t="n"/>
      <c r="B27" s="45" t="n"/>
      <c r="C27" s="45" t="n"/>
      <c r="D27" s="45" t="n"/>
      <c r="E27" s="50" t="n"/>
      <c r="F27" s="45" t="n"/>
      <c r="G27" s="45" t="n"/>
      <c r="H27" s="28" t="n"/>
      <c r="I27" s="28" t="n"/>
      <c r="J27" s="28" t="n"/>
    </row>
    <row r="28">
      <c r="A28" s="45" t="n"/>
      <c r="B28" s="45" t="n"/>
      <c r="C28" s="45" t="n"/>
      <c r="D28" s="45" t="n"/>
      <c r="E28" s="50" t="n"/>
      <c r="F28" s="45" t="n"/>
      <c r="G28" s="45" t="n"/>
      <c r="H28" s="28" t="n"/>
      <c r="I28" s="28" t="n"/>
      <c r="J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</row>
    <row r="30">
      <c r="A30" s="54" t="inlineStr">
        <is>
          <t>TM Legends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 ht="15" customHeight="1">
      <c r="A31" s="55" t="inlineStr">
        <is>
          <t>R</t>
        </is>
      </c>
      <c r="B31" s="45" t="inlineStr">
        <is>
          <t>Recalculated independently</t>
        </is>
      </c>
      <c r="C31" s="46" t="n"/>
      <c r="D31" s="46" t="n"/>
      <c r="E31" s="46" t="n"/>
      <c r="F31" s="46" t="n"/>
      <c r="G31" s="46" t="n"/>
      <c r="H31" s="46" t="n"/>
      <c r="I31" s="46" t="n"/>
      <c r="J31" s="47" t="n"/>
    </row>
    <row r="32" ht="15" customHeight="1">
      <c r="A32" s="55" t="inlineStr">
        <is>
          <t>GL</t>
        </is>
      </c>
      <c r="B32" s="45" t="inlineStr">
        <is>
          <t>Agreed to general ledger</t>
        </is>
      </c>
      <c r="C32" s="46" t="n"/>
      <c r="D32" s="46" t="n"/>
      <c r="E32" s="46" t="n"/>
      <c r="F32" s="46" t="n"/>
      <c r="G32" s="46" t="n"/>
      <c r="H32" s="46" t="n"/>
      <c r="I32" s="46" t="n"/>
      <c r="J32" s="47" t="n"/>
    </row>
    <row r="33" ht="15" customHeight="1">
      <c r="A33" s="55" t="inlineStr">
        <is>
          <t>BS</t>
        </is>
      </c>
      <c r="B33" s="45" t="inlineStr">
        <is>
          <t>Agreed to bank statement</t>
        </is>
      </c>
      <c r="C33" s="46" t="n"/>
      <c r="D33" s="46" t="n"/>
      <c r="E33" s="46" t="n"/>
      <c r="F33" s="46" t="n"/>
      <c r="G33" s="46" t="n"/>
      <c r="H33" s="46" t="n"/>
      <c r="I33" s="46" t="n"/>
      <c r="J33" s="47" t="n"/>
    </row>
    <row r="34" ht="15" customHeight="1">
      <c r="A34" s="55" t="inlineStr">
        <is>
          <t>V</t>
        </is>
      </c>
      <c r="B34" s="45" t="inlineStr">
        <is>
          <t>Vouched to source document</t>
        </is>
      </c>
      <c r="C34" s="46" t="n"/>
      <c r="D34" s="46" t="n"/>
      <c r="E34" s="46" t="n"/>
      <c r="F34" s="46" t="n"/>
      <c r="G34" s="46" t="n"/>
      <c r="H34" s="46" t="n"/>
      <c r="I34" s="46" t="n"/>
      <c r="J34" s="47" t="n"/>
    </row>
    <row r="35" ht="15" customHeight="1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  <row r="37" ht="51.75" customHeight="1">
      <c r="A37" s="29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42" customWidth="1" min="1" max="1"/>
    <col width="42" customWidth="1" min="2" max="2"/>
    <col width="42" customWidth="1" min="3" max="3"/>
    <col width="42" customWidth="1" min="4" max="5"/>
    <col width="13" customWidth="1" min="5" max="5"/>
    <col width="30.05" customWidth="1" min="6" max="6"/>
    <col width="42" customWidth="1" min="7" max="7"/>
    <col width="13" customWidth="1" min="8" max="8"/>
  </cols>
  <sheetData>
    <row r="1" ht="17.5" customHeight="1">
      <c r="A1" s="58" t="inlineStr">
        <is>
          <t>Payroll Analytics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25000</v>
      </c>
      <c r="C3" s="28" t="n"/>
      <c r="D3" s="38" t="n"/>
      <c r="E3" s="41" t="n"/>
      <c r="F3" s="28" t="n"/>
      <c r="G3" s="28" t="n"/>
      <c r="H3" s="28" t="n"/>
    </row>
    <row r="4" ht="22.4" customHeight="1">
      <c r="A4" s="44" t="inlineStr">
        <is>
          <t>Purpose:</t>
        </is>
      </c>
      <c r="B4" s="45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46" t="n"/>
      <c r="D4" s="46" t="n"/>
      <c r="E4" s="46" t="n"/>
      <c r="F4" s="46" t="n"/>
      <c r="G4" s="47" t="n"/>
      <c r="H4" s="28" t="n"/>
    </row>
    <row r="5" ht="15" customHeight="1">
      <c r="A5" s="44" t="inlineStr">
        <is>
          <t>Scope:</t>
        </is>
      </c>
      <c r="B5" s="45" t="inlineStr">
        <is>
          <t>Total payroll expense per the lead sheet &lt;.1&gt;; employer payroll taxes; monthly trend.</t>
        </is>
      </c>
      <c r="C5" s="46" t="n"/>
      <c r="D5" s="46" t="n"/>
      <c r="E5" s="46" t="n"/>
      <c r="F5" s="46" t="n"/>
      <c r="G5" s="47" t="n"/>
      <c r="H5" s="28" t="n"/>
    </row>
    <row r="6" ht="15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7" t="n"/>
      <c r="H6" s="28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28" t="n"/>
    </row>
    <row r="8">
      <c r="A8" s="54" t="inlineStr">
        <is>
          <t>A. Expectation model (Library Procedure 11)</t>
        </is>
      </c>
      <c r="B8" s="28" t="n"/>
      <c r="C8" s="28" t="n"/>
      <c r="D8" s="28" t="n"/>
      <c r="E8" s="28" t="n"/>
      <c r="F8" s="28" t="n"/>
      <c r="G8" s="28" t="n"/>
      <c r="H8" s="28" t="n"/>
    </row>
    <row r="9">
      <c r="A9" s="48" t="inlineStr">
        <is>
          <t>Model Component</t>
        </is>
      </c>
      <c r="B9" s="48" t="inlineStr">
        <is>
          <t>Amount / Value</t>
        </is>
      </c>
      <c r="C9" s="48" t="inlineStr">
        <is>
          <t>TM / Source</t>
        </is>
      </c>
      <c r="D9" s="28" t="n"/>
      <c r="E9" s="28" t="n"/>
      <c r="F9" s="28" t="n"/>
      <c r="G9" s="28" t="n"/>
      <c r="H9" s="28" t="n"/>
    </row>
    <row r="10" ht="27" customHeight="1">
      <c r="A10" s="45" t="inlineStr">
        <is>
          <t>Headcount at start of period</t>
        </is>
      </c>
      <c r="B10" s="50" t="n"/>
      <c r="C10" s="59" t="inlineStr">
        <is>
          <t>PAY-02 HR census — employees active at fiscal-year start</t>
        </is>
      </c>
      <c r="D10" s="28" t="n"/>
      <c r="E10" s="28" t="n"/>
      <c r="F10" s="28" t="n"/>
      <c r="G10" s="28" t="n"/>
      <c r="H10" s="28" t="n"/>
    </row>
    <row r="11" ht="27" customHeight="1">
      <c r="A11" s="45" t="inlineStr">
        <is>
          <t>Net headcount change during period</t>
        </is>
      </c>
      <c r="B11" s="50" t="n"/>
      <c r="C11" s="59" t="inlineStr">
        <is>
          <t>PAY-02 HR census — in-year hires less terminations</t>
        </is>
      </c>
      <c r="D11" s="28" t="n"/>
      <c r="E11" s="28" t="n"/>
      <c r="F11" s="28" t="n"/>
      <c r="G11" s="28" t="n"/>
      <c r="H11" s="28" t="n"/>
    </row>
    <row r="12">
      <c r="A12" s="45" t="inlineStr">
        <is>
          <t>Headcount at end of period</t>
        </is>
      </c>
      <c r="B12" s="50">
        <f>IF(OR(B10="",B11=""),"",B10+B11)</f>
        <v/>
      </c>
      <c r="C12" s="59" t="inlineStr">
        <is>
          <t>R</t>
        </is>
      </c>
      <c r="D12" s="28" t="n"/>
      <c r="E12" s="28" t="n"/>
      <c r="F12" s="28" t="n"/>
      <c r="G12" s="28" t="n"/>
      <c r="H12" s="28" t="n"/>
    </row>
    <row r="13">
      <c r="A13" s="45" t="inlineStr">
        <is>
          <t>Average headcount</t>
        </is>
      </c>
      <c r="B13" s="50">
        <f>IF(OR(B10="",B12=""),"",(B10+B12)/2)</f>
        <v/>
      </c>
      <c r="C13" s="59" t="inlineStr">
        <is>
          <t>R</t>
        </is>
      </c>
      <c r="D13" s="28" t="n"/>
      <c r="E13" s="28" t="n"/>
      <c r="F13" s="28" t="n"/>
      <c r="G13" s="28" t="n"/>
      <c r="H13" s="28" t="n"/>
    </row>
    <row r="14" ht="27" customHeight="1">
      <c r="A14" s="45" t="inlineStr">
        <is>
          <t>Average gross pay per head per month</t>
        </is>
      </c>
      <c r="B14" s="50" t="n"/>
      <c r="C14" s="59" t="inlineStr">
        <is>
          <t>PAY-02 authorized compensation and active employee-months</t>
        </is>
      </c>
      <c r="D14" s="28" t="n"/>
      <c r="E14" s="28" t="n"/>
      <c r="F14" s="28" t="n"/>
      <c r="G14" s="28" t="n"/>
      <c r="H14" s="28" t="n"/>
    </row>
    <row r="15" ht="27" customHeight="1">
      <c r="A15" s="45" t="inlineStr">
        <is>
          <t>Average increment %</t>
        </is>
      </c>
      <c r="B15" s="50" t="n"/>
      <c r="C15" s="59" t="inlineStr">
        <is>
          <t>PAY-03 independently approved compensation changes</t>
        </is>
      </c>
      <c r="D15" s="28" t="n"/>
      <c r="E15" s="28" t="n"/>
      <c r="F15" s="28" t="n"/>
      <c r="G15" s="28" t="n"/>
      <c r="H15" s="28" t="n"/>
    </row>
    <row r="16" ht="27" customHeight="1">
      <c r="A16" s="45" t="inlineStr">
        <is>
          <t>Months at incremented rate</t>
        </is>
      </c>
      <c r="B16" s="50" t="n"/>
      <c r="C16" s="59" t="inlineStr">
        <is>
          <t>PAY-03 effective dates through fiscal year end</t>
        </is>
      </c>
      <c r="D16" s="28" t="n"/>
      <c r="E16" s="28" t="n"/>
      <c r="F16" s="28" t="n"/>
      <c r="G16" s="28" t="n"/>
      <c r="H16" s="28" t="n"/>
    </row>
    <row r="17" ht="40.5" customHeight="1">
      <c r="A17" s="45" t="inlineStr">
        <is>
          <t>Expected payroll before adjustments</t>
        </is>
      </c>
      <c r="B17" s="50">
        <f>IF(OR(B13="",B14="",B16=""),"",ROUND(B13*B14*(12-B16)+B13*B14*(1+IF(B15="",0,B15))*B16,2))</f>
        <v/>
      </c>
      <c r="C17" s="59" t="inlineStr">
        <is>
          <t>R</t>
        </is>
      </c>
      <c r="D17" s="28" t="n"/>
      <c r="E17" s="28" t="n"/>
      <c r="F17" s="28" t="n"/>
      <c r="G17" s="28" t="n"/>
      <c r="H17" s="28" t="n"/>
    </row>
    <row r="18" ht="27" customHeight="1">
      <c r="A18" s="45" t="inlineStr">
        <is>
          <t>One-off adjustments (severance, bonus, other) +/-</t>
        </is>
      </c>
      <c r="B18" s="50" t="n"/>
      <c r="C18" s="59" t="inlineStr">
        <is>
          <t>PAY-03 authorized bonus, severance, and other one-off pay</t>
        </is>
      </c>
      <c r="D18" s="28" t="n"/>
      <c r="E18" s="28" t="n"/>
      <c r="F18" s="28" t="n"/>
      <c r="G18" s="28" t="n"/>
      <c r="H18" s="28" t="n"/>
    </row>
    <row r="19">
      <c r="A19" s="45" t="inlineStr">
        <is>
          <t>Total expected payroll expense</t>
        </is>
      </c>
      <c r="B19" s="50">
        <f>IF(B17="","",B17+IF(B18="",0,B18))</f>
        <v/>
      </c>
      <c r="C19" s="59" t="inlineStr">
        <is>
          <t>R</t>
        </is>
      </c>
      <c r="D19" s="28" t="n"/>
      <c r="E19" s="28" t="n"/>
      <c r="F19" s="28" t="n"/>
      <c r="G19" s="28" t="n"/>
      <c r="H19" s="28" t="n"/>
    </row>
    <row r="20" ht="27" customHeight="1">
      <c r="A20" s="45" t="inlineStr">
        <is>
          <t>Gross wages per GL / payroll lead sheet &lt;.1&gt;</t>
        </is>
      </c>
      <c r="B20" s="50" t="n"/>
      <c r="C20" s="59" t="inlineStr">
        <is>
          <t>FOUNDATIONAL-03 / payroll lead sheet — gross wages</t>
        </is>
      </c>
      <c r="D20" s="28" t="n"/>
      <c r="E20" s="28" t="n"/>
      <c r="F20" s="28" t="n"/>
      <c r="G20" s="28" t="n"/>
      <c r="H20" s="28" t="n"/>
    </row>
    <row r="21">
      <c r="A21" s="45" t="inlineStr">
        <is>
          <t>Difference</t>
        </is>
      </c>
      <c r="B21" s="50">
        <f>IF(OR(B19="",B20=""),"",B20-B19)</f>
        <v/>
      </c>
      <c r="C21" s="59" t="inlineStr">
        <is>
          <t>R</t>
        </is>
      </c>
      <c r="D21" s="28" t="n"/>
      <c r="E21" s="28" t="n"/>
      <c r="F21" s="28" t="n"/>
      <c r="G21" s="28" t="n"/>
      <c r="H21" s="28" t="n"/>
    </row>
    <row r="22">
      <c r="A22" s="45" t="inlineStr">
        <is>
          <t>Threshold for investigation</t>
        </is>
      </c>
      <c r="B22" s="50" t="n"/>
      <c r="C22" s="59" t="inlineStr">
        <is>
          <t>[input]</t>
        </is>
      </c>
      <c r="D22" s="28" t="n"/>
      <c r="E22" s="28" t="n"/>
      <c r="F22" s="28" t="n"/>
      <c r="G22" s="28" t="n"/>
      <c r="H22" s="28" t="n"/>
    </row>
    <row r="23" ht="27" customHeight="1">
      <c r="A23" s="45" t="inlineStr">
        <is>
          <t>Difference within threshold?</t>
        </is>
      </c>
      <c r="B23" s="50">
        <f>IF(OR(B21="",B22=""),"",IF(ABS(B21)&lt;=B22,"Yes","No"))</f>
        <v/>
      </c>
      <c r="C23" s="59" t="inlineStr">
        <is>
          <t>R</t>
        </is>
      </c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 ht="27" customHeight="1">
      <c r="A25" s="54" t="inlineStr">
        <is>
          <t>B. Employer payroll-tax reasonableness (Library Procedure 12)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 ht="22" customHeight="1">
      <c r="A26" s="48" t="inlineStr">
        <is>
          <t>Tax Type</t>
        </is>
      </c>
      <c r="B26" s="48" t="inlineStr">
        <is>
          <t>Taxable Wage Base</t>
        </is>
      </c>
      <c r="C26" s="48" t="inlineStr">
        <is>
          <t>Statutory Rate %</t>
        </is>
      </c>
      <c r="D26" s="48" t="inlineStr">
        <is>
          <t>Expected Tax</t>
        </is>
      </c>
      <c r="E26" s="48" t="inlineStr">
        <is>
          <t>Per GL</t>
        </is>
      </c>
      <c r="F26" s="48" t="inlineStr">
        <is>
          <t>Difference</t>
        </is>
      </c>
      <c r="G26" s="48" t="inlineStr">
        <is>
          <t>Within threshold?</t>
        </is>
      </c>
      <c r="H26" s="28" t="n"/>
    </row>
    <row r="27" ht="27" customHeight="1">
      <c r="A27" s="45" t="inlineStr">
        <is>
          <t>Social Security</t>
        </is>
      </c>
      <c r="B27" s="50" t="n"/>
      <c r="C27" s="45" t="n"/>
      <c r="D27" s="50">
        <f>IF(OR(B27="",C27=""),"",ROUND(B27*C27,2))</f>
        <v/>
      </c>
      <c r="E27" s="50" t="n"/>
      <c r="F27" s="50">
        <f>IF(OR(D27="",E27=""),"",E27-D27)</f>
        <v/>
      </c>
      <c r="G27" s="45">
        <f>IF(F27="","",IF(ABS(F27)&lt;=IF(ISNUMBER($E$3),$E$3,0),"Yes","No"))</f>
        <v/>
      </c>
      <c r="H27" s="28" t="n"/>
    </row>
    <row r="28" ht="27" customHeight="1">
      <c r="A28" s="45" t="inlineStr">
        <is>
          <t>Medicare</t>
        </is>
      </c>
      <c r="B28" s="50" t="n"/>
      <c r="C28" s="45" t="n"/>
      <c r="D28" s="50">
        <f>IF(OR(B28="",C28=""),"",ROUND(B28*C28,2))</f>
        <v/>
      </c>
      <c r="E28" s="50" t="n"/>
      <c r="F28" s="50">
        <f>IF(OR(D28="",E28=""),"",E28-D28)</f>
        <v/>
      </c>
      <c r="G28" s="45">
        <f>IF(F28="","",IF(ABS(F28)&lt;=IF(ISNUMBER($E$3),$E$3,0),"Yes","No"))</f>
        <v/>
      </c>
      <c r="H28" s="28" t="n"/>
    </row>
    <row r="29" ht="27" customHeight="1">
      <c r="A29" s="45" t="inlineStr">
        <is>
          <t>FUTA</t>
        </is>
      </c>
      <c r="B29" s="50" t="n"/>
      <c r="C29" s="45" t="n"/>
      <c r="D29" s="50">
        <f>IF(OR(B29="",C29=""),"",ROUND(B29*C29,2))</f>
        <v/>
      </c>
      <c r="E29" s="50" t="n"/>
      <c r="F29" s="50">
        <f>IF(OR(D29="",E29=""),"",E29-D29)</f>
        <v/>
      </c>
      <c r="G29" s="45">
        <f>IF(F29="","",IF(ABS(F29)&lt;=IF(ISNUMBER($E$3),$E$3,0),"Yes","No"))</f>
        <v/>
      </c>
      <c r="H29" s="28" t="n"/>
    </row>
    <row r="30" ht="27" customHeight="1">
      <c r="A30" s="45" t="inlineStr">
        <is>
          <t>State unemployment</t>
        </is>
      </c>
      <c r="B30" s="50" t="n"/>
      <c r="C30" s="45" t="n"/>
      <c r="D30" s="50">
        <f>IF(OR(B30="",C30=""),"",ROUND(B30*C30,2))</f>
        <v/>
      </c>
      <c r="E30" s="50" t="n"/>
      <c r="F30" s="50">
        <f>IF(OR(D30="",E30=""),"",E30-D30)</f>
        <v/>
      </c>
      <c r="G30" s="45">
        <f>IF(F30="","",IF(ABS(F30)&lt;=IF(ISNUMBER($E$3),$E$3,0),"Yes","No"))</f>
        <v/>
      </c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54" t="inlineStr">
        <is>
          <t>C. Monthly trend (Library Procedure 12)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48" t="inlineStr">
        <is>
          <t>Month</t>
        </is>
      </c>
      <c r="B33" s="48" t="inlineStr">
        <is>
          <t>Gross Payroll per GL</t>
        </is>
      </c>
      <c r="C33" s="48" t="inlineStr">
        <is>
          <t>Headcount</t>
        </is>
      </c>
      <c r="D33" s="48" t="inlineStr">
        <is>
          <t>Cost per Head</t>
        </is>
      </c>
      <c r="E33" s="48" t="inlineStr">
        <is>
          <t>Notes</t>
        </is>
      </c>
      <c r="F33" s="28" t="n"/>
      <c r="G33" s="28" t="n"/>
      <c r="H33" s="28" t="n"/>
    </row>
    <row r="34" ht="27" customHeight="1">
      <c r="A34" s="45" t="inlineStr">
        <is>
          <t>January</t>
        </is>
      </c>
      <c r="B34" s="50" t="n"/>
      <c r="C34" s="45" t="n"/>
      <c r="D34" s="50">
        <f>IF(OR(B34="",C34="",C34=0),"",ROUND(B34/C34,2))</f>
        <v/>
      </c>
      <c r="E34" s="45" t="n"/>
      <c r="F34" s="28" t="n"/>
      <c r="G34" s="28" t="n"/>
      <c r="H34" s="28" t="n"/>
    </row>
    <row r="35" ht="27" customHeight="1">
      <c r="A35" s="45" t="inlineStr">
        <is>
          <t>February</t>
        </is>
      </c>
      <c r="B35" s="50" t="n"/>
      <c r="C35" s="45" t="n"/>
      <c r="D35" s="50">
        <f>IF(OR(B35="",C35="",C35=0),"",ROUND(B35/C35,2))</f>
        <v/>
      </c>
      <c r="E35" s="45" t="n"/>
      <c r="F35" s="28" t="n"/>
      <c r="G35" s="28" t="n"/>
      <c r="H35" s="28" t="n"/>
    </row>
    <row r="36" ht="27" customHeight="1">
      <c r="A36" s="45" t="inlineStr">
        <is>
          <t>March</t>
        </is>
      </c>
      <c r="B36" s="50" t="n"/>
      <c r="C36" s="45" t="n"/>
      <c r="D36" s="50">
        <f>IF(OR(B36="",C36="",C36=0),"",ROUND(B36/C36,2))</f>
        <v/>
      </c>
      <c r="E36" s="45" t="n"/>
      <c r="F36" s="28" t="n"/>
      <c r="G36" s="28" t="n"/>
      <c r="H36" s="28" t="n"/>
    </row>
    <row r="37" ht="27" customHeight="1">
      <c r="A37" s="45" t="inlineStr">
        <is>
          <t>April</t>
        </is>
      </c>
      <c r="B37" s="50" t="n"/>
      <c r="C37" s="45" t="n"/>
      <c r="D37" s="50">
        <f>IF(OR(B37="",C37="",C37=0),"",ROUND(B37/C37,2))</f>
        <v/>
      </c>
      <c r="E37" s="45" t="n"/>
      <c r="F37" s="28" t="n"/>
      <c r="G37" s="28" t="n"/>
      <c r="H37" s="28" t="n"/>
    </row>
    <row r="38" ht="27" customHeight="1">
      <c r="A38" s="45" t="inlineStr">
        <is>
          <t>May</t>
        </is>
      </c>
      <c r="B38" s="50" t="n"/>
      <c r="C38" s="45" t="n"/>
      <c r="D38" s="50">
        <f>IF(OR(B38="",C38="",C38=0),"",ROUND(B38/C38,2))</f>
        <v/>
      </c>
      <c r="E38" s="45" t="n"/>
      <c r="F38" s="28" t="n"/>
      <c r="G38" s="28" t="n"/>
      <c r="H38" s="28" t="n"/>
    </row>
    <row r="39" ht="27" customHeight="1">
      <c r="A39" s="45" t="inlineStr">
        <is>
          <t>June</t>
        </is>
      </c>
      <c r="B39" s="50" t="n"/>
      <c r="C39" s="45" t="n"/>
      <c r="D39" s="50">
        <f>IF(OR(B39="",C39="",C39=0),"",ROUND(B39/C39,2))</f>
        <v/>
      </c>
      <c r="E39" s="45" t="n"/>
      <c r="F39" s="28" t="n"/>
      <c r="G39" s="28" t="n"/>
      <c r="H39" s="28" t="n"/>
    </row>
    <row r="40" ht="27" customHeight="1">
      <c r="A40" s="45" t="inlineStr">
        <is>
          <t>July</t>
        </is>
      </c>
      <c r="B40" s="50" t="n"/>
      <c r="C40" s="45" t="n"/>
      <c r="D40" s="50">
        <f>IF(OR(B40="",C40="",C40=0),"",ROUND(B40/C40,2))</f>
        <v/>
      </c>
      <c r="E40" s="45" t="n"/>
      <c r="F40" s="28" t="n"/>
      <c r="G40" s="28" t="n"/>
      <c r="H40" s="28" t="n"/>
    </row>
    <row r="41" ht="27" customHeight="1">
      <c r="A41" s="45" t="inlineStr">
        <is>
          <t>August</t>
        </is>
      </c>
      <c r="B41" s="50" t="n"/>
      <c r="C41" s="45" t="n"/>
      <c r="D41" s="50">
        <f>IF(OR(B41="",C41="",C41=0),"",ROUND(B41/C41,2))</f>
        <v/>
      </c>
      <c r="E41" s="45" t="n"/>
      <c r="F41" s="28" t="n"/>
      <c r="G41" s="28" t="n"/>
      <c r="H41" s="28" t="n"/>
    </row>
    <row r="42" ht="27" customHeight="1">
      <c r="A42" s="45" t="inlineStr">
        <is>
          <t>September</t>
        </is>
      </c>
      <c r="B42" s="50" t="n"/>
      <c r="C42" s="45" t="n"/>
      <c r="D42" s="50">
        <f>IF(OR(B42="",C42="",C42=0),"",ROUND(B42/C42,2))</f>
        <v/>
      </c>
      <c r="E42" s="45" t="n"/>
      <c r="F42" s="28" t="n"/>
      <c r="G42" s="28" t="n"/>
      <c r="H42" s="28" t="n"/>
    </row>
    <row r="43" ht="27" customHeight="1">
      <c r="A43" s="45" t="inlineStr">
        <is>
          <t>October</t>
        </is>
      </c>
      <c r="B43" s="50" t="n"/>
      <c r="C43" s="45" t="n"/>
      <c r="D43" s="50">
        <f>IF(OR(B43="",C43="",C43=0),"",ROUND(B43/C43,2))</f>
        <v/>
      </c>
      <c r="E43" s="45" t="n"/>
      <c r="F43" s="28" t="n"/>
      <c r="G43" s="28" t="n"/>
      <c r="H43" s="28" t="n"/>
    </row>
    <row r="44" ht="27" customHeight="1">
      <c r="A44" s="45" t="inlineStr">
        <is>
          <t>November</t>
        </is>
      </c>
      <c r="B44" s="50" t="n"/>
      <c r="C44" s="45" t="n"/>
      <c r="D44" s="50">
        <f>IF(OR(B44="",C44="",C44=0),"",ROUND(B44/C44,2))</f>
        <v/>
      </c>
      <c r="E44" s="45" t="n"/>
      <c r="F44" s="28" t="n"/>
      <c r="G44" s="28" t="n"/>
      <c r="H44" s="28" t="n"/>
    </row>
    <row r="45" ht="27" customHeight="1">
      <c r="A45" s="45" t="inlineStr">
        <is>
          <t>December</t>
        </is>
      </c>
      <c r="B45" s="50" t="n"/>
      <c r="C45" s="45" t="n"/>
      <c r="D45" s="50">
        <f>IF(OR(B45="",C45="",C45=0),"",ROUND(B45/C45,2))</f>
        <v/>
      </c>
      <c r="E45" s="45" t="n"/>
      <c r="F45" s="28" t="n"/>
      <c r="G45" s="28" t="n"/>
      <c r="H45" s="28" t="n"/>
    </row>
    <row r="46">
      <c r="A46" s="52" t="inlineStr">
        <is>
          <t>Total</t>
        </is>
      </c>
      <c r="B46" s="53">
        <f>SUM(B34:B45)</f>
        <v/>
      </c>
      <c r="C46" s="52" t="n"/>
      <c r="D46" s="52" t="n"/>
      <c r="E46" s="52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54" t="inlineStr">
        <is>
          <t>TM Legends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 ht="15" customHeight="1">
      <c r="A49" s="55" t="inlineStr">
        <is>
          <t>R</t>
        </is>
      </c>
      <c r="B49" s="45" t="inlineStr">
        <is>
          <t>Recalculated independently</t>
        </is>
      </c>
      <c r="C49" s="46" t="n"/>
      <c r="D49" s="46" t="n"/>
      <c r="E49" s="46" t="n"/>
      <c r="F49" s="46" t="n"/>
      <c r="G49" s="47" t="n"/>
      <c r="H49" s="28" t="n"/>
    </row>
    <row r="50" ht="15" customHeight="1">
      <c r="A50" s="55" t="inlineStr">
        <is>
          <t>TB</t>
        </is>
      </c>
      <c r="B50" s="45" t="inlineStr">
        <is>
          <t>Agreed to trial balance / lead sheet</t>
        </is>
      </c>
      <c r="C50" s="46" t="n"/>
      <c r="D50" s="46" t="n"/>
      <c r="E50" s="46" t="n"/>
      <c r="F50" s="46" t="n"/>
      <c r="G50" s="47" t="n"/>
      <c r="H50" s="28" t="n"/>
    </row>
    <row r="51" ht="15" customHeight="1">
      <c r="A51" s="55" t="inlineStr">
        <is>
          <t>A</t>
        </is>
      </c>
      <c r="B51" s="45" t="inlineStr">
        <is>
          <t>Agreed to payroll register / HR listing</t>
        </is>
      </c>
      <c r="C51" s="46" t="n"/>
      <c r="D51" s="46" t="n"/>
      <c r="E51" s="46" t="n"/>
      <c r="F51" s="46" t="n"/>
      <c r="G51" s="47" t="n"/>
      <c r="H51" s="28" t="n"/>
    </row>
    <row r="52" ht="15" customHeight="1">
      <c r="A52" s="55" t="inlineStr">
        <is>
          <t>F</t>
        </is>
      </c>
      <c r="B52" s="45" t="inlineStr">
        <is>
          <t>Footed</t>
        </is>
      </c>
      <c r="C52" s="46" t="n"/>
      <c r="D52" s="46" t="n"/>
      <c r="E52" s="46" t="n"/>
      <c r="F52" s="46" t="n"/>
      <c r="G52" s="47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 ht="39.75" customHeight="1">
      <c r="A54" s="29" t="inlineStr">
        <is>
          <t>Before sign-off complete Library Procedures 11-12. Set the threshold before comparing; differences above it must be investigated with corroborated explanations, not inquiry alone.</t>
        </is>
      </c>
      <c r="B54" s="28" t="n"/>
      <c r="C54" s="28" t="n"/>
      <c r="D54" s="28" t="n"/>
      <c r="E54" s="28" t="n"/>
      <c r="F54" s="28" t="n"/>
      <c r="G54" s="28" t="n"/>
      <c r="H54" s="28" t="n"/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3" sqref="D3:E3"/>
    </sheetView>
  </sheetViews>
  <sheetFormatPr baseColWidth="8" defaultColWidth="8.6328125" defaultRowHeight="14.5"/>
  <cols>
    <col width="42" customWidth="1" min="1" max="1"/>
    <col width="28.35" customWidth="1" min="2" max="2"/>
    <col width="16.45" customWidth="1" min="3" max="3"/>
    <col width="30.05" customWidth="1" min="4" max="4"/>
    <col width="42" customWidth="1" min="5" max="5"/>
    <col width="14" customWidth="1" min="6" max="6"/>
    <col width="30.9" customWidth="1" min="7" max="8"/>
    <col width="34.3" customWidth="1" min="8" max="8"/>
    <col width="22" customWidth="1" min="9" max="9"/>
  </cols>
  <sheetData>
    <row r="1" ht="17.5" customHeight="1">
      <c r="A1" s="27" t="inlineStr">
        <is>
          <t>Payroll Allocation &amp; Classification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25000</v>
      </c>
      <c r="C3" s="28" t="n"/>
      <c r="D3" s="38" t="n"/>
      <c r="E3" s="41" t="n"/>
      <c r="F3" s="28" t="n"/>
      <c r="G3" s="28" t="n"/>
      <c r="H3" s="28" t="n"/>
      <c r="I3" s="28" t="n"/>
    </row>
    <row r="4" ht="15" customHeight="1">
      <c r="A4" s="44" t="inlineStr">
        <is>
          <t>Purpose:</t>
        </is>
      </c>
      <c r="B4" s="45" t="inlineStr">
        <is>
          <t>Test that employees are coded to the correct department per HR records and that the payroll allocation used for costing and classification reperforms.</t>
        </is>
      </c>
      <c r="C4" s="46" t="n"/>
      <c r="D4" s="46" t="n"/>
      <c r="E4" s="46" t="n"/>
      <c r="F4" s="46" t="n"/>
      <c r="G4" s="46" t="n"/>
      <c r="H4" s="46" t="n"/>
      <c r="I4" s="47" t="n"/>
    </row>
    <row r="5" ht="15" customHeight="1">
      <c r="A5" s="44" t="inlineStr">
        <is>
          <t>Scope:</t>
        </is>
      </c>
      <c r="B5" s="45" t="inlineStr">
        <is>
          <t>Allocation of total payroll cost among direct labor, manufacturing overhead, SG&amp;A and capitalized labor (inventory / fixed assets).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Classification; Accuracy; Valuation &amp; Allocation</t>
        </is>
      </c>
      <c r="C6" s="46" t="n"/>
      <c r="D6" s="46" t="n"/>
      <c r="E6" s="46" t="n"/>
      <c r="F6" s="46" t="n"/>
      <c r="G6" s="46" t="n"/>
      <c r="H6" s="46" t="n"/>
      <c r="I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7" customHeight="1">
      <c r="A8" s="54" t="inlineStr">
        <is>
          <t>A. Employee / department coding selections (Library Procedure 13)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</row>
    <row r="9" ht="33" customHeight="1">
      <c r="A9" s="48" t="inlineStr">
        <is>
          <t>Sample #</t>
        </is>
      </c>
      <c r="B9" s="48" t="inlineStr">
        <is>
          <t>Employee / Department</t>
        </is>
      </c>
      <c r="C9" s="48" t="inlineStr">
        <is>
          <t>Home Dept Code</t>
        </is>
      </c>
      <c r="D9" s="48" t="inlineStr">
        <is>
          <t>Department Description</t>
        </is>
      </c>
      <c r="E9" s="48" t="inlineStr">
        <is>
          <t>Classification (Direct Labor / Mfg OH / SG&amp;A / Capitalized)</t>
        </is>
      </c>
      <c r="F9" s="48" t="inlineStr">
        <is>
          <t>Amount</t>
        </is>
      </c>
      <c r="G9" s="48" t="inlineStr">
        <is>
          <t>Coding agreed to HR records? (Y/N)</t>
        </is>
      </c>
      <c r="H9" s="48" t="inlineStr">
        <is>
          <t>Allocation reperformed and ties? (Y/N)</t>
        </is>
      </c>
      <c r="I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49" t="inlineStr">
        <is>
          <t>PBC</t>
        </is>
      </c>
      <c r="G10" s="49" t="inlineStr">
        <is>
          <t>V</t>
        </is>
      </c>
      <c r="H10" s="49" t="inlineStr">
        <is>
          <t>R</t>
        </is>
      </c>
      <c r="I10" s="28" t="n"/>
    </row>
    <row r="11">
      <c r="A11" s="56" t="n">
        <v>1</v>
      </c>
      <c r="B11" s="45" t="n"/>
      <c r="C11" s="45" t="n"/>
      <c r="D11" s="45" t="n"/>
      <c r="E11" s="45" t="n"/>
      <c r="F11" s="50" t="n"/>
      <c r="G11" s="45" t="n"/>
      <c r="H11" s="45" t="n"/>
      <c r="I11" s="45" t="n"/>
    </row>
    <row r="12">
      <c r="A12" s="56" t="n">
        <v>2</v>
      </c>
      <c r="B12" s="45" t="n"/>
      <c r="C12" s="45" t="n"/>
      <c r="D12" s="45" t="n"/>
      <c r="E12" s="45" t="n"/>
      <c r="F12" s="50" t="n"/>
      <c r="G12" s="45" t="n"/>
      <c r="H12" s="45" t="n"/>
      <c r="I12" s="45" t="n"/>
    </row>
    <row r="13">
      <c r="A13" s="56" t="n">
        <v>3</v>
      </c>
      <c r="B13" s="45" t="n"/>
      <c r="C13" s="45" t="n"/>
      <c r="D13" s="45" t="n"/>
      <c r="E13" s="45" t="n"/>
      <c r="F13" s="50" t="n"/>
      <c r="G13" s="45" t="n"/>
      <c r="H13" s="45" t="n"/>
      <c r="I13" s="45" t="n"/>
    </row>
    <row r="14">
      <c r="A14" s="56" t="n">
        <v>4</v>
      </c>
      <c r="B14" s="45" t="n"/>
      <c r="C14" s="45" t="n"/>
      <c r="D14" s="45" t="n"/>
      <c r="E14" s="45" t="n"/>
      <c r="F14" s="50" t="n"/>
      <c r="G14" s="45" t="n"/>
      <c r="H14" s="45" t="n"/>
      <c r="I14" s="45" t="n"/>
    </row>
    <row r="15">
      <c r="A15" s="56" t="n">
        <v>5</v>
      </c>
      <c r="B15" s="45" t="n"/>
      <c r="C15" s="45" t="n"/>
      <c r="D15" s="45" t="n"/>
      <c r="E15" s="45" t="n"/>
      <c r="F15" s="50" t="n"/>
      <c r="G15" s="45" t="n"/>
      <c r="H15" s="45" t="n"/>
      <c r="I15" s="45" t="n"/>
    </row>
    <row r="16">
      <c r="A16" s="56" t="n">
        <v>6</v>
      </c>
      <c r="B16" s="45" t="n"/>
      <c r="C16" s="45" t="n"/>
      <c r="D16" s="45" t="n"/>
      <c r="E16" s="45" t="n"/>
      <c r="F16" s="50" t="n"/>
      <c r="G16" s="45" t="n"/>
      <c r="H16" s="45" t="n"/>
      <c r="I16" s="45" t="n"/>
    </row>
    <row r="17">
      <c r="A17" s="56" t="n">
        <v>7</v>
      </c>
      <c r="B17" s="45" t="n"/>
      <c r="C17" s="45" t="n"/>
      <c r="D17" s="45" t="n"/>
      <c r="E17" s="45" t="n"/>
      <c r="F17" s="50" t="n"/>
      <c r="G17" s="45" t="n"/>
      <c r="H17" s="45" t="n"/>
      <c r="I17" s="45" t="n"/>
    </row>
    <row r="18">
      <c r="A18" s="56" t="n">
        <v>8</v>
      </c>
      <c r="B18" s="45" t="n"/>
      <c r="C18" s="45" t="n"/>
      <c r="D18" s="45" t="n"/>
      <c r="E18" s="45" t="n"/>
      <c r="F18" s="50" t="n"/>
      <c r="G18" s="45" t="n"/>
      <c r="H18" s="45" t="n"/>
      <c r="I18" s="45" t="n"/>
    </row>
    <row r="19">
      <c r="A19" s="56" t="n">
        <v>9</v>
      </c>
      <c r="B19" s="45" t="n"/>
      <c r="C19" s="45" t="n"/>
      <c r="D19" s="45" t="n"/>
      <c r="E19" s="45" t="n"/>
      <c r="F19" s="50" t="n"/>
      <c r="G19" s="45" t="n"/>
      <c r="H19" s="45" t="n"/>
      <c r="I19" s="45" t="n"/>
    </row>
    <row r="20">
      <c r="A20" s="56" t="n">
        <v>10</v>
      </c>
      <c r="B20" s="45" t="n"/>
      <c r="C20" s="45" t="n"/>
      <c r="D20" s="45" t="n"/>
      <c r="E20" s="45" t="n"/>
      <c r="F20" s="50" t="n"/>
      <c r="G20" s="45" t="n"/>
      <c r="H20" s="45" t="n"/>
      <c r="I20" s="45" t="n"/>
    </row>
    <row r="21">
      <c r="A21" s="52" t="inlineStr">
        <is>
          <t>Total</t>
        </is>
      </c>
      <c r="B21" s="52" t="n"/>
      <c r="C21" s="52" t="n"/>
      <c r="D21" s="52" t="n"/>
      <c r="E21" s="52" t="n"/>
      <c r="F21" s="53">
        <f>SUM(F11:F20)</f>
        <v/>
      </c>
      <c r="G21" s="52" t="n"/>
      <c r="H21" s="52" t="n"/>
      <c r="I21" s="52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7" customHeight="1">
      <c r="A23" s="54" t="inlineStr">
        <is>
          <t>B. Classification summary and reperformance (Library Procedures 13-14)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 ht="33" customHeight="1">
      <c r="A24" s="48" t="inlineStr">
        <is>
          <t>Classification</t>
        </is>
      </c>
      <c r="B24" s="48" t="inlineStr">
        <is>
          <t>Per Client Allocation</t>
        </is>
      </c>
      <c r="C24" s="48" t="inlineStr">
        <is>
          <t>Per Reperformance</t>
        </is>
      </c>
      <c r="D24" s="48" t="inlineStr">
        <is>
          <t>Difference</t>
        </is>
      </c>
      <c r="E24" s="48" t="inlineStr">
        <is>
          <t>Notes</t>
        </is>
      </c>
      <c r="F24" s="28" t="n"/>
      <c r="G24" s="28" t="n"/>
      <c r="H24" s="28" t="n"/>
      <c r="I24" s="28" t="n"/>
    </row>
    <row r="25" ht="27" customHeight="1">
      <c r="A25" s="45" t="inlineStr">
        <is>
          <t>Direct labor (COGS)</t>
        </is>
      </c>
      <c r="B25" s="50" t="n"/>
      <c r="C25" s="50" t="n"/>
      <c r="D25" s="50">
        <f>IF(OR(B25="",C25=""),"",B25-C25)</f>
        <v/>
      </c>
      <c r="E25" s="45" t="n"/>
      <c r="F25" s="28" t="n"/>
      <c r="G25" s="28" t="n"/>
      <c r="H25" s="28" t="n"/>
      <c r="I25" s="28" t="n"/>
    </row>
    <row r="26" ht="27" customHeight="1">
      <c r="A26" s="45" t="inlineStr">
        <is>
          <t>Manufacturing overhead</t>
        </is>
      </c>
      <c r="B26" s="50" t="n"/>
      <c r="C26" s="50" t="n"/>
      <c r="D26" s="50">
        <f>IF(OR(B26="",C26=""),"",B26-C26)</f>
        <v/>
      </c>
      <c r="E26" s="45" t="n"/>
      <c r="F26" s="28" t="n"/>
      <c r="G26" s="28" t="n"/>
      <c r="H26" s="28" t="n"/>
      <c r="I26" s="28" t="n"/>
    </row>
    <row r="27" ht="34.5" customHeight="1">
      <c r="A27" s="45" t="inlineStr">
        <is>
          <t>SG&amp;A / operating expense</t>
        </is>
      </c>
      <c r="B27" s="50" t="n"/>
      <c r="C27" s="50" t="n"/>
      <c r="D27" s="50">
        <f>IF(OR(B27="",C27=""),"",B27-C27)</f>
        <v/>
      </c>
      <c r="E27" s="45" t="n"/>
      <c r="F27" s="28" t="n"/>
      <c r="G27" s="28" t="n"/>
      <c r="H27" s="28" t="n"/>
      <c r="I27" s="28" t="n"/>
    </row>
    <row r="28" ht="34.5" customHeight="1">
      <c r="A28" s="45" t="inlineStr">
        <is>
          <t>Capitalized labor — inventory</t>
        </is>
      </c>
      <c r="B28" s="50" t="n"/>
      <c r="C28" s="50" t="n"/>
      <c r="D28" s="50">
        <f>IF(OR(B28="",C28=""),"",B28-C28)</f>
        <v/>
      </c>
      <c r="E28" s="45" t="n"/>
      <c r="F28" s="28" t="n"/>
      <c r="G28" s="28" t="n"/>
      <c r="H28" s="28" t="n"/>
      <c r="I28" s="28" t="n"/>
    </row>
    <row r="29" ht="34.5" customHeight="1">
      <c r="A29" s="45" t="inlineStr">
        <is>
          <t>Capitalized labor — fixed assets</t>
        </is>
      </c>
      <c r="B29" s="50" t="n"/>
      <c r="C29" s="50" t="n"/>
      <c r="D29" s="50">
        <f>IF(OR(B29="",C29=""),"",B29-C29)</f>
        <v/>
      </c>
      <c r="E29" s="45" t="n"/>
      <c r="F29" s="28" t="n"/>
      <c r="G29" s="28" t="n"/>
      <c r="H29" s="28" t="n"/>
      <c r="I29" s="28" t="n"/>
    </row>
    <row r="30" ht="26" customHeight="1">
      <c r="A30" s="52" t="inlineStr">
        <is>
          <t>Total allocated</t>
        </is>
      </c>
      <c r="B30" s="53">
        <f>SUM(B25:B29)</f>
        <v/>
      </c>
      <c r="C30" s="53">
        <f>SUM(C25:C29)</f>
        <v/>
      </c>
      <c r="D30" s="53">
        <f>SUM(D25:D29)</f>
        <v/>
      </c>
      <c r="E30" s="52" t="n"/>
      <c r="F30" s="28" t="n"/>
      <c r="G30" s="28" t="n"/>
      <c r="H30" s="28" t="n"/>
      <c r="I30" s="28" t="n"/>
    </row>
    <row r="31" ht="34.5" customHeight="1">
      <c r="A31" s="45" t="inlineStr">
        <is>
          <t>Total payroll per GL / lead sheet &lt;.1&gt;</t>
        </is>
      </c>
      <c r="B31" s="50" t="n"/>
      <c r="C31" s="28" t="n"/>
      <c r="D31" s="28" t="n"/>
      <c r="E31" s="28" t="n"/>
      <c r="F31" s="28" t="n"/>
      <c r="G31" s="28" t="n"/>
      <c r="H31" s="28" t="n"/>
      <c r="I31" s="28" t="n"/>
    </row>
    <row r="32" ht="34.5" customHeight="1">
      <c r="A32" s="60" t="inlineStr">
        <is>
          <t>Difference (should be 0)</t>
        </is>
      </c>
      <c r="B32" s="61">
        <f>IF(B31="","",B30-B31)</f>
        <v/>
      </c>
      <c r="C32" s="28" t="n"/>
      <c r="D32" s="28" t="n"/>
      <c r="E32" s="28" t="n"/>
      <c r="F32" s="28" t="n"/>
      <c r="G32" s="28" t="n"/>
      <c r="H32" s="28" t="n"/>
      <c r="I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 ht="26" customHeight="1">
      <c r="A34" s="54" t="inlineStr">
        <is>
          <t>TM Legends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 ht="15" customHeight="1">
      <c r="A35" s="55" t="inlineStr">
        <is>
          <t>V</t>
        </is>
      </c>
      <c r="B35" s="45" t="inlineStr">
        <is>
          <t>Vouched to HR master file / org chart</t>
        </is>
      </c>
      <c r="C35" s="46" t="n"/>
      <c r="D35" s="46" t="n"/>
      <c r="E35" s="46" t="n"/>
      <c r="F35" s="46" t="n"/>
      <c r="G35" s="46" t="n"/>
      <c r="H35" s="46" t="n"/>
      <c r="I35" s="47" t="n"/>
    </row>
    <row r="36" ht="15" customHeight="1">
      <c r="A36" s="55" t="inlineStr">
        <is>
          <t>R</t>
        </is>
      </c>
      <c r="B36" s="45" t="inlineStr">
        <is>
          <t>Reperformed allocation calculation</t>
        </is>
      </c>
      <c r="C36" s="46" t="n"/>
      <c r="D36" s="46" t="n"/>
      <c r="E36" s="46" t="n"/>
      <c r="F36" s="46" t="n"/>
      <c r="G36" s="46" t="n"/>
      <c r="H36" s="46" t="n"/>
      <c r="I36" s="47" t="n"/>
    </row>
    <row r="37" ht="15" customHeight="1">
      <c r="A37" s="55" t="inlineStr">
        <is>
          <t>GL</t>
        </is>
      </c>
      <c r="B37" s="45" t="inlineStr">
        <is>
          <t>Agreed to general ledger</t>
        </is>
      </c>
      <c r="C37" s="46" t="n"/>
      <c r="D37" s="46" t="n"/>
      <c r="E37" s="46" t="n"/>
      <c r="F37" s="46" t="n"/>
      <c r="G37" s="46" t="n"/>
      <c r="H37" s="46" t="n"/>
      <c r="I37" s="47" t="n"/>
    </row>
    <row r="38" ht="15" customHeight="1">
      <c r="A38" s="55" t="inlineStr">
        <is>
          <t>PBC</t>
        </is>
      </c>
      <c r="B38" s="45" t="inlineStr">
        <is>
          <t>Prepared by client</t>
        </is>
      </c>
      <c r="C38" s="46" t="n"/>
      <c r="D38" s="46" t="n"/>
      <c r="E38" s="46" t="n"/>
      <c r="F38" s="46" t="n"/>
      <c r="G38" s="46" t="n"/>
      <c r="H38" s="46" t="n"/>
      <c r="I38" s="47" t="n"/>
    </row>
    <row r="39" ht="15" customHeight="1">
      <c r="A39" s="55" t="inlineStr">
        <is>
          <t>F</t>
        </is>
      </c>
      <c r="B39" s="45" t="inlineStr">
        <is>
          <t>Footed</t>
        </is>
      </c>
      <c r="C39" s="46" t="n"/>
      <c r="D39" s="46" t="n"/>
      <c r="E39" s="46" t="n"/>
      <c r="F39" s="46" t="n"/>
      <c r="G39" s="46" t="n"/>
      <c r="H39" s="46" t="n"/>
      <c r="I39" s="4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39.75" customHeight="1">
      <c r="A41" s="29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4" customWidth="1" min="1" max="1"/>
    <col width="28.35" customWidth="1" min="2" max="2"/>
    <col width="19" customWidth="1" min="3" max="3"/>
    <col width="28" customWidth="1" min="4" max="4"/>
    <col width="41.1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7" t="inlineStr">
        <is>
          <t>Disclosures and Conclusion</t>
        </is>
      </c>
      <c r="B1" s="28" t="n"/>
      <c r="C1" s="28" t="n"/>
      <c r="D1" s="28" t="n"/>
      <c r="E1" s="28" t="n"/>
      <c r="F1" s="28" t="n"/>
      <c r="G1" s="28" t="n"/>
      <c r="H1" s="28" t="n"/>
    </row>
    <row r="2" ht="27" customHeight="1">
      <c r="A2" s="38" t="inlineStr">
        <is>
          <t>Client / Entity</t>
        </is>
      </c>
      <c r="B2" s="39" t="inlineStr">
        <is>
          <t>Quoxmark Personnel Network,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25000</v>
      </c>
      <c r="C3" s="28" t="n"/>
      <c r="D3" s="28" t="n"/>
      <c r="E3" s="28" t="n"/>
      <c r="F3" s="28" t="n"/>
      <c r="G3" s="28" t="n"/>
      <c r="H3" s="28" t="n"/>
    </row>
    <row r="4" ht="15" customHeight="1">
      <c r="A4" s="44" t="inlineStr">
        <is>
          <t>Purpose:</t>
        </is>
      </c>
      <c r="B4" s="45" t="inlineStr">
        <is>
          <t>Summarize review-ready payroll conclusions and disclosure considerations.</t>
        </is>
      </c>
      <c r="C4" s="46" t="n"/>
      <c r="D4" s="46" t="n"/>
      <c r="E4" s="47" t="n"/>
      <c r="F4" s="28" t="n"/>
      <c r="G4" s="28" t="n"/>
      <c r="H4" s="28" t="n"/>
    </row>
    <row r="5" ht="15" customHeight="1">
      <c r="A5" s="44" t="inlineStr">
        <is>
          <t>Scope:</t>
        </is>
      </c>
      <c r="B5" s="45" t="inlineStr">
        <is>
          <t>Payroll presentation, disclosure, classification and workpaper conclusion.</t>
        </is>
      </c>
      <c r="C5" s="46" t="n"/>
      <c r="D5" s="46" t="n"/>
      <c r="E5" s="47" t="n"/>
      <c r="F5" s="28" t="n"/>
      <c r="G5" s="28" t="n"/>
      <c r="H5" s="28" t="n"/>
    </row>
    <row r="6" ht="15" customHeight="1">
      <c r="A6" s="44" t="inlineStr">
        <is>
          <t>Assertions:</t>
        </is>
      </c>
      <c r="B6" s="45" t="inlineStr">
        <is>
          <t>Presentation &amp; Disclosure; Classification</t>
        </is>
      </c>
      <c r="C6" s="46" t="n"/>
      <c r="D6" s="46" t="n"/>
      <c r="E6" s="47" t="n"/>
      <c r="F6" s="28" t="n"/>
      <c r="G6" s="28" t="n"/>
      <c r="H6" s="28" t="n"/>
    </row>
    <row r="7" ht="27" customHeight="1">
      <c r="A7" s="48" t="inlineStr">
        <is>
          <t>Area</t>
        </is>
      </c>
      <c r="B7" s="48" t="inlineStr">
        <is>
          <t>Relevant?</t>
        </is>
      </c>
      <c r="C7" s="48" t="inlineStr">
        <is>
          <t>Support / Source Ref</t>
        </is>
      </c>
      <c r="D7" s="48" t="inlineStr">
        <is>
          <t>Conclusion</t>
        </is>
      </c>
      <c r="E7" s="48" t="inlineStr">
        <is>
          <t>Comments / Disclosure or Classification Impact</t>
        </is>
      </c>
      <c r="F7" s="28" t="n"/>
      <c r="G7" s="28" t="n"/>
      <c r="H7" s="28" t="n"/>
    </row>
    <row r="8" ht="27" customHeight="1">
      <c r="A8" s="45" t="inlineStr">
        <is>
          <t>Accrued payroll and benefits presentation (current classification)</t>
        </is>
      </c>
      <c r="B8" s="45" t="n"/>
      <c r="C8" s="45" t="n"/>
      <c r="D8" s="45" t="n"/>
      <c r="E8" s="45" t="n"/>
      <c r="F8" s="28" t="n"/>
      <c r="G8" s="28" t="n"/>
      <c r="H8" s="28" t="n"/>
    </row>
    <row r="9" ht="24" customHeight="1">
      <c r="A9" s="45" t="inlineStr">
        <is>
          <t>Officer and related-party compensation</t>
        </is>
      </c>
      <c r="B9" s="45" t="n"/>
      <c r="C9" s="45" t="n"/>
      <c r="D9" s="45" t="n"/>
      <c r="E9" s="45" t="n"/>
      <c r="F9" s="28" t="n"/>
      <c r="G9" s="28" t="n"/>
      <c r="H9" s="28" t="n"/>
    </row>
    <row r="10" ht="27" customHeight="1">
      <c r="A10" s="45" t="inlineStr">
        <is>
          <t>Pension / 401(k) / defined-contribution plan disclosures</t>
        </is>
      </c>
      <c r="B10" s="45" t="n"/>
      <c r="C10" s="45" t="n"/>
      <c r="D10" s="45" t="n"/>
      <c r="E10" s="45" t="n"/>
      <c r="F10" s="28" t="n"/>
      <c r="G10" s="28" t="n"/>
      <c r="H10" s="28" t="n"/>
    </row>
    <row r="11" ht="27" customHeight="1">
      <c r="A11" s="45" t="inlineStr">
        <is>
          <t>Bonus, severance and termination benefit arrangements</t>
        </is>
      </c>
      <c r="B11" s="45" t="n"/>
      <c r="C11" s="45" t="n"/>
      <c r="D11" s="45" t="n"/>
      <c r="E11" s="45" t="n"/>
      <c r="F11" s="28" t="n"/>
      <c r="G11" s="28" t="n"/>
      <c r="H11" s="28" t="n"/>
    </row>
    <row r="12" ht="27" customHeight="1">
      <c r="A12" s="45" t="inlineStr">
        <is>
          <t>Payroll tax filings, contingencies or penalties</t>
        </is>
      </c>
      <c r="B12" s="45" t="n"/>
      <c r="C12" s="45" t="n"/>
      <c r="D12" s="45" t="n"/>
      <c r="E12" s="45" t="n"/>
      <c r="F12" s="28" t="n"/>
      <c r="G12" s="28" t="n"/>
      <c r="H12" s="28" t="n"/>
    </row>
    <row r="13" ht="24" customHeight="1">
      <c r="A13" s="45" t="inlineStr">
        <is>
          <t>Stock-based or other incentive compensation</t>
        </is>
      </c>
      <c r="B13" s="45" t="n"/>
      <c r="C13" s="45" t="n"/>
      <c r="D13" s="45" t="n"/>
      <c r="E13" s="45" t="n"/>
      <c r="F13" s="28" t="n"/>
      <c r="G13" s="28" t="n"/>
      <c r="H13" s="28" t="n"/>
    </row>
    <row r="14" ht="27" customHeight="1">
      <c r="A14" s="45" t="inlineStr">
        <is>
          <t>Capitalized labor consistency (inventory / fixed assets)</t>
        </is>
      </c>
      <c r="B14" s="45" t="n"/>
      <c r="C14" s="45" t="n"/>
      <c r="D14" s="45" t="n"/>
      <c r="E14" s="45" t="n"/>
      <c r="F14" s="28" t="n"/>
      <c r="G14" s="28" t="n"/>
      <c r="H14" s="28" t="n"/>
    </row>
    <row r="15" ht="27" customHeight="1">
      <c r="A15" s="45" t="inlineStr">
        <is>
          <t>Workforce concentration, union agreements, multi-employer plans</t>
        </is>
      </c>
      <c r="B15" s="45" t="n"/>
      <c r="C15" s="45" t="n"/>
      <c r="D15" s="45" t="n"/>
      <c r="E15" s="45" t="n"/>
      <c r="F15" s="28" t="n"/>
      <c r="G15" s="28" t="n"/>
      <c r="H15" s="28" t="n"/>
    </row>
    <row r="16" ht="27" customHeight="1">
      <c r="A16" s="45" t="inlineStr">
        <is>
          <t>Proposed adjustments or unrecorded payroll liabilities</t>
        </is>
      </c>
      <c r="B16" s="45" t="n"/>
      <c r="C16" s="45" t="n"/>
      <c r="D16" s="45" t="n"/>
      <c r="E16" s="45" t="n"/>
      <c r="F16" s="28" t="n"/>
      <c r="G16" s="28" t="n"/>
      <c r="H16" s="28" t="n"/>
    </row>
    <row r="17" ht="27" customHeight="1">
      <c r="A17" s="45" t="inlineStr">
        <is>
          <t>Unresolved missing support or scope limitations</t>
        </is>
      </c>
      <c r="B17" s="45" t="n"/>
      <c r="C17" s="45" t="n"/>
      <c r="D17" s="45" t="n"/>
      <c r="E17" s="45" t="n"/>
      <c r="F17" s="28" t="n"/>
      <c r="G17" s="28" t="n"/>
      <c r="H17" s="28" t="n"/>
    </row>
    <row r="18" ht="24" customHeight="1">
      <c r="A18" s="45" t="inlineStr">
        <is>
          <t>Final payroll conclusion</t>
        </is>
      </c>
      <c r="B18" s="45" t="n"/>
      <c r="C18" s="45" t="n"/>
      <c r="D18" s="45" t="n"/>
      <c r="E18" s="45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9" t="inlineStr">
        <is>
          <t>Before sign-off complete Library Procedure 15.</t>
        </is>
      </c>
      <c r="B20" s="28" t="n"/>
      <c r="C20" s="28" t="n"/>
      <c r="D20" s="28" t="n"/>
      <c r="E20" s="28" t="n"/>
      <c r="F20" s="28" t="n"/>
      <c r="G20" s="28" t="n"/>
      <c r="H20" s="28" t="n"/>
    </row>
  </sheetData>
  <mergeCells count="3">
    <mergeCell ref="B6:E6"/>
    <mergeCell ref="B5:E5"/>
    <mergeCell ref="B4:E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2" t="inlineStr">
        <is>
          <t>AUTHORITATIVE PLANNING CONTEXT</t>
        </is>
      </c>
      <c r="B1" s="28" t="n"/>
    </row>
    <row r="2">
      <c r="A2" s="28" t="inlineStr">
        <is>
          <t>Field</t>
        </is>
      </c>
      <c r="B2" s="28" t="inlineStr">
        <is>
          <t>Value</t>
        </is>
      </c>
    </row>
    <row r="3">
      <c r="A3" s="28" t="inlineStr">
        <is>
          <t>Entity Name</t>
        </is>
      </c>
      <c r="B3" s="62" t="inlineStr">
        <is>
          <t>Quoxmark Personnel Network, LLC</t>
        </is>
      </c>
    </row>
    <row r="4">
      <c r="A4" s="62" t="inlineStr">
        <is>
          <t>Financial Statement Date</t>
        </is>
      </c>
      <c r="B4" s="63" t="n">
        <v>46022</v>
      </c>
    </row>
    <row r="5">
      <c r="A5" s="62" t="inlineStr">
        <is>
          <t>Reporting Currency</t>
        </is>
      </c>
      <c r="B5" s="28" t="inlineStr">
        <is>
          <t>USD</t>
        </is>
      </c>
    </row>
    <row r="6">
      <c r="A6" s="62" t="inlineStr">
        <is>
          <t>Overall Materiality</t>
        </is>
      </c>
      <c r="B6" s="64" t="n">
        <v>41600</v>
      </c>
    </row>
    <row r="7">
      <c r="A7" s="62" t="inlineStr">
        <is>
          <t>Performance Materiality</t>
        </is>
      </c>
      <c r="B7" s="64" t="n">
        <v>25000</v>
      </c>
    </row>
    <row r="8">
      <c r="A8" s="62" t="inlineStr">
        <is>
          <t>Tolerable Misstatement</t>
        </is>
      </c>
      <c r="B8" s="64" t="n">
        <v>18800</v>
      </c>
    </row>
    <row r="9">
      <c r="A9" s="62" t="inlineStr">
        <is>
          <t>Individually Significant Threshold</t>
        </is>
      </c>
      <c r="B9" s="64" t="n">
        <v>12500</v>
      </c>
    </row>
    <row r="10">
      <c r="A10" s="28" t="inlineStr">
        <is>
          <t>Posting Threshold</t>
        </is>
      </c>
      <c r="B10" s="64" t="n">
        <v>1300</v>
      </c>
    </row>
    <row r="11">
      <c r="A11" s="62" t="inlineStr">
        <is>
          <t>Clearly Trivial Threshold</t>
        </is>
      </c>
      <c r="B11" s="64" t="n">
        <v>1300</v>
      </c>
    </row>
    <row r="12">
      <c r="A12" s="62" t="inlineStr">
        <is>
          <t>Analytical Precision</t>
        </is>
      </c>
      <c r="B12" s="64" t="n">
        <v>18800</v>
      </c>
    </row>
    <row r="13">
      <c r="A13" s="28" t="n"/>
      <c r="B13" s="28" t="n"/>
    </row>
    <row r="14">
      <c r="A14" s="62" t="inlineStr">
        <is>
          <t>Bound planning records</t>
        </is>
      </c>
      <c r="B14" s="28" t="inlineStr">
        <is>
          <t>Canonical IDs</t>
        </is>
      </c>
    </row>
    <row r="15">
      <c r="A15" s="28" t="inlineStr">
        <is>
          <t>Sampling plan ID</t>
        </is>
      </c>
      <c r="B15" s="28" t="inlineStr">
        <is>
          <t>SAMPLE-PAYROLL</t>
        </is>
      </c>
    </row>
    <row r="16" ht="120" customHeight="1">
      <c r="A16" s="28" t="inlineStr">
        <is>
          <t>Selection IDs</t>
        </is>
      </c>
      <c r="B16" s="62" t="inlineStr">
        <is>
          <t>PROC-PAYROLL-DETAIL:Employee record 001; PROC-PAYROLL-DETAIL:Employee record 002; PROC-PAYROLL-DETAIL:Employee record 003; PROC-PAYROLL-DETAIL:Employee record 004; PROC-PAYROLL-DETAIL:Employee record 005; PROC-PAYROLL-DETAIL:Employee record 006; PROC-PAYROLL-DETAIL:Employee record 007; PROC-PAYROLL-DETAIL:Employee record 008; PROC-PAYROLL-DETAIL:Employee record 009; PROC-PAYROLL-DETAIL:Employee record 010; PROC-PAYROLL-DETAIL:Employee record 011; PROC-PAYROLL-DETAIL:Employee record 012; PROC-PAYROLL-DETAIL:Employee record 013; PROC-PAYROLL-DETAIL:Employee record 014; PROC-PAYROLL-DETAIL:Employee record 015; PROC-PAYROLL-DETAIL:Employee record 016; PROC-PAYROLL-DETAIL:Employee record 017; PROC-PAYROLL-DETAIL:Employee record 018; PROC-PAYROLL-DETAIL:Employee record 019; PROC-PAYROLL-DETAIL:Employee record 020; PROC-PAYROLL-DETAIL:Employee record 036; PROC-PAYROLL-DETAIL:Employee record 040; PROC-PAYROLL-DETAIL:Employee record 022; PROC-PAYROLL-DETAIL:Employee record 025; PROC-PAYROLL-DETAIL:Employee record 048; PROC-PAYROLL-DETAIL:Employee record 056; PROC-PAYROLL-DETAIL:Employee record 021; PROC-PAYROLL-DETAIL:Employee record 024; PROC-PAYROLL-DETAIL:Employee record 031</t>
        </is>
      </c>
    </row>
    <row r="17">
      <c r="A17" s="62" t="inlineStr">
        <is>
          <t>Selection requirements</t>
        </is>
      </c>
      <c r="B17" s="62" t="inlineStr">
        <is>
          <t>qualitative mandatory items; individually significant items</t>
        </is>
      </c>
    </row>
    <row r="18">
      <c r="A18" s="28" t="inlineStr">
        <is>
          <t>Procedure IDs</t>
        </is>
      </c>
      <c r="B18" s="62" t="inlineStr">
        <is>
          <t>PROC-PAYROLL; RESP-STAFFING-CUTOFF-PAYROLL</t>
        </is>
      </c>
    </row>
    <row r="19">
      <c r="A19" s="62" t="inlineStr">
        <is>
          <t>Procedure window IDs</t>
        </is>
      </c>
      <c r="B19" s="62" t="inlineStr">
        <is>
          <t>WIN-PAYROLL-CUTOFF; WIN-PAYROLL-CUTOFF</t>
        </is>
      </c>
    </row>
    <row r="20">
      <c r="A20" s="62" t="inlineStr">
        <is>
          <t>Significant-risk response IDs</t>
        </is>
      </c>
      <c r="B20" s="62" t="inlineStr">
        <is>
          <t>RESP-STAFFING-CUTOFF-PAYROLL</t>
        </is>
      </c>
    </row>
    <row r="21">
      <c r="A21" s="62" t="inlineStr">
        <is>
          <t>Audit team assignments</t>
        </is>
      </c>
      <c r="B21" s="62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5" t="inlineStr">
        <is>
          <t>WORKPAPER COMPLETION AND SIGN-OFF</t>
        </is>
      </c>
      <c r="B1" s="28" t="n"/>
      <c r="C1" s="28" t="n"/>
      <c r="D1" s="28" t="n"/>
      <c r="E1" s="28" t="n"/>
      <c r="F1" s="28" t="n"/>
    </row>
    <row r="2">
      <c r="A2" s="28" t="n"/>
      <c r="B2" s="28" t="n"/>
      <c r="C2" s="28" t="n"/>
      <c r="D2" s="28" t="n"/>
      <c r="E2" s="28" t="n"/>
      <c r="F2" s="28" t="n"/>
    </row>
    <row r="3">
      <c r="A3" s="28" t="inlineStr">
        <is>
          <t>Workpaper</t>
        </is>
      </c>
      <c r="B3" s="62" t="inlineStr">
        <is>
          <t>payroll/payroll_workpaper.xlsx</t>
        </is>
      </c>
      <c r="C3" s="28" t="n"/>
      <c r="D3" s="28" t="n"/>
      <c r="E3" s="28" t="n"/>
      <c r="F3" s="28" t="n"/>
    </row>
    <row r="4">
      <c r="A4" s="62" t="inlineStr">
        <is>
          <t>Required completion stage</t>
        </is>
      </c>
      <c r="B4" s="28" t="inlineStr">
        <is>
          <t>prepared</t>
        </is>
      </c>
      <c r="C4" s="28" t="n"/>
      <c r="D4" s="28" t="inlineStr">
        <is>
          <t>Contract version</t>
        </is>
      </c>
      <c r="E4" s="62" t="inlineStr">
        <is>
          <t>workpaper-signoff-v2.1.0</t>
        </is>
      </c>
      <c r="F4" s="28" t="n"/>
    </row>
    <row r="5">
      <c r="A5" s="28" t="n"/>
      <c r="B5" s="28" t="n"/>
      <c r="C5" s="28" t="n"/>
      <c r="D5" s="28" t="n"/>
      <c r="E5" s="28" t="n"/>
      <c r="F5" s="28" t="n"/>
    </row>
    <row r="6">
      <c r="A6" s="66" t="inlineStr">
        <is>
          <t>Assigned preparer</t>
        </is>
      </c>
      <c r="B6" s="67" t="inlineStr">
        <is>
          <t>Audit Senior BE6B</t>
        </is>
      </c>
      <c r="C6" s="28" t="n"/>
      <c r="D6" s="66" t="inlineStr">
        <is>
          <t>Assigned reviewer</t>
        </is>
      </c>
      <c r="E6" s="68" t="inlineStr">
        <is>
          <t>Audit Manager 2FF3</t>
        </is>
      </c>
      <c r="F6" s="28" t="n"/>
    </row>
    <row r="7">
      <c r="A7" s="66" t="inlineStr">
        <is>
          <t>Preparation state</t>
        </is>
      </c>
      <c r="B7" s="67" t="inlineStr">
        <is>
          <t>Unsigned</t>
        </is>
      </c>
      <c r="C7" s="28" t="n"/>
      <c r="D7" s="66" t="inlineStr">
        <is>
          <t>Review state</t>
        </is>
      </c>
      <c r="E7" s="67" t="inlineStr">
        <is>
          <t>Unsigned</t>
        </is>
      </c>
      <c r="F7" s="28" t="n"/>
    </row>
    <row r="8">
      <c r="A8" s="66" t="inlineStr">
        <is>
          <t>Prepared by</t>
        </is>
      </c>
      <c r="B8" s="67" t="n"/>
      <c r="C8" s="28" t="n"/>
      <c r="D8" s="66" t="inlineStr">
        <is>
          <t>Reviewed by</t>
        </is>
      </c>
      <c r="E8" s="67" t="n"/>
      <c r="F8" s="28" t="n"/>
    </row>
    <row r="9">
      <c r="A9" s="66" t="inlineStr">
        <is>
          <t>Preparation date</t>
        </is>
      </c>
      <c r="B9" s="69" t="n"/>
      <c r="C9" s="28" t="n"/>
      <c r="D9" s="66" t="inlineStr">
        <is>
          <t>Review date</t>
        </is>
      </c>
      <c r="E9" s="69" t="n"/>
      <c r="F9" s="28" t="n"/>
    </row>
    <row r="10">
      <c r="A10" s="28" t="n"/>
      <c r="B10" s="28" t="n"/>
      <c r="C10" s="28" t="n"/>
      <c r="D10" s="28" t="n"/>
      <c r="E10" s="28" t="n"/>
      <c r="F10" s="28" t="n"/>
    </row>
    <row r="11">
      <c r="A11" s="28" t="n"/>
      <c r="B11" s="28" t="n"/>
      <c r="C11" s="28" t="n"/>
      <c r="D11" s="28" t="n"/>
      <c r="E11" s="28" t="n"/>
      <c r="F11" s="28" t="n"/>
    </row>
    <row r="12" ht="54" customHeight="1">
      <c r="A12" s="70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8" t="n"/>
      <c r="C12" s="28" t="n"/>
      <c r="D12" s="28" t="n"/>
      <c r="E12" s="28" t="n"/>
      <c r="F12" s="28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lastModifiedBy>jerry.huang@modusaudit.com</cp:lastModifiedBy>
  <cp:revision>0</cp:revision>
</cp:coreProperties>
</file>