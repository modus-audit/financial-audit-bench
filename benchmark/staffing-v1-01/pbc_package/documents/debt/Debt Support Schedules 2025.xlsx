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Debt Supporting Schedules -" sheetId="1" state="visible" r:id="rId1"/>
    <sheet xmlns:r="http://schemas.openxmlformats.org/officeDocument/2006/relationships" name="Accrued Interest" sheetId="2" state="visible" r:id="rId2"/>
    <sheet xmlns:r="http://schemas.openxmlformats.org/officeDocument/2006/relationships" name="Contractual and EIR" sheetId="3" state="visible" r:id="rId3"/>
    <sheet xmlns:r="http://schemas.openxmlformats.org/officeDocument/2006/relationships" name="Fee Composition" sheetId="4" state="visible" r:id="rId4"/>
    <sheet xmlns:r="http://schemas.openxmlformats.org/officeDocument/2006/relationships" name="Presentation" sheetId="5" state="visible" r:id="rId5"/>
    <sheet xmlns:r="http://schemas.openxmlformats.org/officeDocument/2006/relationships" name="Covenant Tests" sheetId="6" state="visible" r:id="rId6"/>
    <sheet xmlns:r="http://schemas.openxmlformats.org/officeDocument/2006/relationships" name="Collateral Cross Ref" sheetId="7" state="visible" r:id="rId7"/>
    <sheet xmlns:r="http://schemas.openxmlformats.org/officeDocument/2006/relationships" name="Confirmation Control" sheetId="8" state="visible" r:id="rId8"/>
    <sheet xmlns:r="http://schemas.openxmlformats.org/officeDocument/2006/relationships" name="Disclosure Checklist" sheetId="9" state="visible" r:id="rId9"/>
  </sheets>
  <definedNames>
    <definedName name="_xlnm._FilterDatabase" localSheetId="0" hidden="1">'Debt Supporting Schedules -'!$A$5:$C$19</definedName>
    <definedName name="_xlnm.Print_Area" localSheetId="0">'Debt Supporting Schedules -'!$A$1:$C$19</definedName>
    <definedName name="_xlnm.Print_Area" localSheetId="1">'Accrued Interest'!$A$1:$Q$2</definedName>
    <definedName name="_xlnm._FilterDatabase" localSheetId="2" hidden="1">'Contractual and EIR'!$A$1:$X$217</definedName>
    <definedName name="_xlnm.Print_Titles" localSheetId="2">'Contractual and EIR'!$1:$1</definedName>
    <definedName name="_xlnm.Print_Area" localSheetId="2">'Contractual and EIR'!$A$1:$X$217</definedName>
    <definedName name="_xlnm.Print_Area" localSheetId="3">'Fee Composition'!$A$1:$P$1</definedName>
    <definedName name="_xlnm.Print_Area" localSheetId="4">'Presentation'!$A$1:$J$1</definedName>
    <definedName name="_xlnm.Print_Area" localSheetId="5">'Covenant Tests'!$A$1:$S$2</definedName>
    <definedName name="_xlnm.Print_Area" localSheetId="6">'Collateral Cross Ref'!$A$1:$L$2</definedName>
    <definedName name="_xlnm.Print_Area" localSheetId="7">'Confirmation Control'!$A$1:$X$2</definedName>
    <definedName name="_xlnm.Print_Area" localSheetId="8">'Disclosure Checklist'!$A$1:$H$12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0.00\)"/>
    <numFmt numFmtId="165" formatCode="mm/dd/yyyy"/>
    <numFmt numFmtId="166" formatCode="_(\$* #,##0.00_);_(\$* \(#,##0.00\);_(\$* \-??_);_(@_)"/>
  </numFmts>
  <fonts count="8">
    <font>
      <name val="Calibri"/>
      <charset val="1"/>
      <family val="2"/>
      <color theme="1"/>
      <sz val="11"/>
    </font>
    <font>
      <name val="Arial"/>
      <family val="0"/>
      <sz val="10"/>
    </font>
    <font>
      <name val="Arial"/>
      <family val="0"/>
      <sz val="10"/>
    </font>
    <font>
      <name val="Arial"/>
      <family val="0"/>
      <sz val="10"/>
    </font>
    <font>
      <name val="Cambria"/>
      <charset val="1"/>
      <family val="0"/>
      <b val="1"/>
      <color rgb="FF1F3864"/>
      <sz val="14"/>
    </font>
    <font>
      <name val="Cambria"/>
      <charset val="1"/>
      <family val="0"/>
      <b val="1"/>
      <color rgb="FF1F3864"/>
      <sz val="11"/>
    </font>
    <font>
      <name val="Cambria"/>
      <charset val="1"/>
      <family val="0"/>
      <b val="1"/>
      <color rgb="FF1F3864"/>
      <sz val="10"/>
    </font>
    <font>
      <name val="Cambria"/>
      <charset val="1"/>
      <family val="0"/>
      <b val="1"/>
      <sz val="11"/>
    </font>
  </fonts>
  <fills count="3">
    <fill>
      <patternFill/>
    </fill>
    <fill>
      <patternFill patternType="gray125"/>
    </fill>
    <fill>
      <patternFill patternType="solid">
        <fgColor rgb="FFD9E1F2"/>
        <bgColor rgb="FFCCFFFF"/>
      </patternFill>
    </fill>
  </fills>
  <borders count="3">
    <border>
      <left/>
      <right/>
      <top/>
      <bottom/>
      <diagonal/>
    </border>
    <border>
      <left/>
      <right/>
      <top/>
      <bottom style="medium">
        <color rgb="FF8EA9DB"/>
      </bottom>
      <diagonal/>
    </border>
    <border>
      <left/>
      <right/>
      <top style="thin">
        <color rgb="FF404040"/>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4"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164" fontId="0" fillId="0" borderId="0" applyAlignment="1" pivotButton="0" quotePrefix="0" xfId="0">
      <alignment horizontal="general" vertical="bottom"/>
    </xf>
    <xf numFmtId="0" fontId="0" fillId="0" borderId="0" applyAlignment="1" pivotButton="0" quotePrefix="0" xfId="0">
      <alignment horizontal="general" vertical="top" wrapText="1"/>
    </xf>
    <xf numFmtId="10"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4"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1F386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19"/>
  <sheetViews>
    <sheetView showFormulas="0" showGridLines="0" showRowColHeaders="1" showZeros="1" rightToLeft="0" tabSelected="1" showOutlineSymbols="1" defaultGridColor="1"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12" min="1" max="1"/>
    <col width="40" customWidth="1" style="12" min="2" max="2"/>
    <col width="52" customWidth="1" style="12" min="3" max="3"/>
  </cols>
  <sheetData>
    <row r="1" ht="17.35" customHeight="1" s="13">
      <c r="A1" s="14" t="inlineStr">
        <is>
          <t>Quaxinov Staffing Services, LLC</t>
        </is>
      </c>
    </row>
    <row r="2" ht="15" customHeight="1" s="13">
      <c r="A2" s="12" t="inlineStr">
        <is>
          <t>Debt Supporting Schedules - 2025</t>
        </is>
      </c>
    </row>
    <row r="3" ht="15" customHeight="1" s="13">
      <c r="A3" s="15" t="inlineStr">
        <is>
          <t>As of December 31, 2025</t>
        </is>
      </c>
    </row>
    <row r="4"/>
    <row r="5" ht="15" customHeight="1" s="13">
      <c r="A5" s="16" t="inlineStr">
        <is>
          <t>Metric</t>
        </is>
      </c>
      <c r="B5" s="16" t="inlineStr">
        <is>
          <t>Value</t>
        </is>
      </c>
      <c r="C5" s="16" t="inlineStr">
        <is>
          <t>Unit / basis</t>
        </is>
      </c>
    </row>
    <row r="6" ht="15" customHeight="1" s="13">
      <c r="A6" s="17" t="inlineStr">
        <is>
          <t>Total principal</t>
        </is>
      </c>
      <c r="B6" s="18" t="n">
        <v>114957.79</v>
      </c>
      <c r="C6" s="17" t="inlineStr">
        <is>
          <t>USD</t>
        </is>
      </c>
    </row>
    <row r="7" ht="15" customHeight="1" s="13">
      <c r="A7" s="12" t="inlineStr">
        <is>
          <t>Term-debt principal</t>
        </is>
      </c>
      <c r="B7" s="19" t="n">
        <v>114957.79</v>
      </c>
      <c r="C7" s="12" t="inlineStr">
        <is>
          <t>USD</t>
        </is>
      </c>
    </row>
    <row r="8" ht="15" customHeight="1" s="13">
      <c r="A8" s="12" t="inlineStr">
        <is>
          <t>Revolving principal</t>
        </is>
      </c>
      <c r="B8" s="19" t="n">
        <v>0</v>
      </c>
      <c r="C8" s="12" t="inlineStr">
        <is>
          <t>USD</t>
        </is>
      </c>
    </row>
    <row r="9" ht="15" customHeight="1" s="13">
      <c r="A9" s="12" t="inlineStr">
        <is>
          <t>Net carrying amount</t>
        </is>
      </c>
      <c r="B9" s="19" t="n">
        <v>114957.79</v>
      </c>
      <c r="C9" s="12" t="inlineStr">
        <is>
          <t>USD</t>
        </is>
      </c>
    </row>
    <row r="10" ht="35.05" customHeight="1" s="13">
      <c r="A10" s="12" t="inlineStr">
        <is>
          <t>Fair value</t>
        </is>
      </c>
      <c r="B10" s="19" t="n">
        <v>114957.79</v>
      </c>
      <c r="C10" s="20" t="inlineStr">
        <is>
          <t>variable-rate carrying amount plus fixed-rate remaining contractual cash flows discounted at the disclosed current market-yield assumption</t>
        </is>
      </c>
    </row>
    <row r="11" ht="15" customHeight="1" s="13">
      <c r="A11" s="12" t="inlineStr">
        <is>
          <t>Fair-value hierarchy</t>
        </is>
      </c>
      <c r="B11" s="12" t="inlineStr">
        <is>
          <t>Level 3 management estimate</t>
        </is>
      </c>
      <c r="C11" s="12" t="inlineStr">
        <is>
          <t>classification</t>
        </is>
      </c>
    </row>
    <row r="12" ht="15" customHeight="1" s="13">
      <c r="A12" s="12" t="inlineStr">
        <is>
          <t>Fixed-rate current market yield</t>
        </is>
      </c>
      <c r="B12" s="12" t="inlineStr">
        <is>
          <t>Not applicable</t>
        </is>
      </c>
      <c r="C12" s="12" t="inlineStr">
        <is>
          <t>Not applicable</t>
        </is>
      </c>
    </row>
    <row r="13" ht="15" customHeight="1" s="13">
      <c r="A13" s="12" t="inlineStr">
        <is>
          <t>Market-yield source / assumption</t>
        </is>
      </c>
      <c r="B13" s="12" t="inlineStr">
        <is>
          <t>Not applicable variable rate debt only</t>
        </is>
      </c>
      <c r="C13" s="12" t="inlineStr">
        <is>
          <t>valuation input</t>
        </is>
      </c>
    </row>
    <row r="14" ht="15" customHeight="1" s="13">
      <c r="A14" s="12" t="inlineStr">
        <is>
          <t>Weighted-average rate</t>
        </is>
      </c>
      <c r="B14" s="21" t="n">
        <v>0.06</v>
      </c>
      <c r="C14" s="12" t="inlineStr">
        <is>
          <t>annual decimal rate</t>
        </is>
      </c>
    </row>
    <row r="15" ht="15" customHeight="1" s="13">
      <c r="A15" s="12" t="inlineStr">
        <is>
          <t>Interest expense</t>
        </is>
      </c>
      <c r="B15" s="19" t="n">
        <v>7021.48</v>
      </c>
      <c r="C15" s="12" t="inlineStr">
        <is>
          <t>USD</t>
        </is>
      </c>
    </row>
    <row r="16" ht="15" customHeight="1" s="13">
      <c r="A16" s="12" t="inlineStr">
        <is>
          <t>EBITDA</t>
        </is>
      </c>
      <c r="B16" s="19" t="n">
        <v>696241.01</v>
      </c>
      <c r="C16" s="12" t="inlineStr">
        <is>
          <t>USD</t>
        </is>
      </c>
    </row>
    <row r="17" ht="15" customHeight="1" s="13">
      <c r="A17" s="12" t="inlineStr">
        <is>
          <t>Interest coverage</t>
        </is>
      </c>
      <c r="B17" s="19" t="n">
        <v>99.16</v>
      </c>
      <c r="C17" s="12" t="inlineStr">
        <is>
          <t>times</t>
        </is>
      </c>
    </row>
    <row r="18" ht="15" customHeight="1" s="13">
      <c r="A18" s="12" t="inlineStr">
        <is>
          <t>Committed revolving capacity</t>
        </is>
      </c>
      <c r="B18" s="19" t="n">
        <v>0</v>
      </c>
      <c r="C18" s="12" t="inlineStr">
        <is>
          <t>USD</t>
        </is>
      </c>
    </row>
    <row r="19" ht="15" customHeight="1" s="13">
      <c r="A19" s="12" t="inlineStr">
        <is>
          <t>Unused availability</t>
        </is>
      </c>
      <c r="B19" s="19" t="n">
        <v>0</v>
      </c>
      <c r="C19" s="12" t="inlineStr">
        <is>
          <t>Not applicable no revolving facility</t>
        </is>
      </c>
    </row>
  </sheetData>
  <autoFilter ref="A5:C19"/>
  <printOptions horizontalCentered="0" verticalCentered="0" headings="0" gridLines="0" gridLinesSet="1"/>
  <pageMargins left="0.35" right="0.35" top="0.5" bottom="0.5"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Q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20" customWidth="1" style="12" min="1" max="1"/>
    <col width="16" customWidth="1" style="12" min="2" max="2"/>
    <col width="19" customWidth="1" style="12" min="3" max="3"/>
    <col width="20" customWidth="1" style="12" min="4" max="4"/>
    <col width="22" customWidth="1" style="12" min="5" max="5"/>
    <col width="10" customWidth="1" style="12" min="6" max="7"/>
    <col width="13" customWidth="1" style="13" min="7" max="7"/>
    <col width="12" customWidth="1" style="12" min="8" max="8"/>
    <col width="13" customWidth="1" style="12" min="9" max="9"/>
    <col width="35" customWidth="1" style="12" min="10" max="10"/>
    <col width="20" customWidth="1" style="12" min="11" max="11"/>
    <col width="14" customWidth="1" style="12" min="12" max="12"/>
    <col width="19" customWidth="1" style="12" min="13" max="13"/>
    <col width="17" customWidth="1" style="12" min="14" max="14"/>
    <col width="25" customWidth="1" style="12" min="15" max="15"/>
    <col width="12" customWidth="1" style="12" min="16" max="16"/>
    <col width="52" customWidth="1" style="12" min="17" max="17"/>
  </cols>
  <sheetData>
    <row r="1" ht="17.35" customHeight="1" s="13">
      <c r="A1" s="14" t="inlineStr">
        <is>
          <t>Loan</t>
        </is>
      </c>
      <c r="B1" s="12" t="inlineStr">
        <is>
          <t>Statement Date</t>
        </is>
      </c>
      <c r="C1" s="12" t="inlineStr">
        <is>
          <t>Last Payment Date</t>
        </is>
      </c>
      <c r="D1" s="12" t="inlineStr">
        <is>
          <t>Payment Convention</t>
        </is>
      </c>
      <c r="E1" s="12" t="inlineStr">
        <is>
          <t>Day-count Convention</t>
        </is>
      </c>
      <c r="F1" s="12" t="inlineStr">
        <is>
          <t>Days</t>
        </is>
      </c>
      <c r="G1" s="12" t="inlineStr">
        <is>
          <t>Basis</t>
        </is>
      </c>
      <c r="H1" s="12" t="inlineStr">
        <is>
          <t>Principal</t>
        </is>
      </c>
      <c r="I1" s="12" t="inlineStr">
        <is>
          <t>Annual Rate</t>
        </is>
      </c>
      <c r="J1" s="12" t="inlineStr">
        <is>
          <t>Calculation</t>
        </is>
      </c>
      <c r="K1" s="12" t="inlineStr">
        <is>
          <t>Recomputed Accrual</t>
        </is>
      </c>
      <c r="L1" s="12" t="inlineStr">
        <is>
          <t>Book Accrual</t>
        </is>
      </c>
      <c r="M1" s="12" t="inlineStr">
        <is>
          <t>Confirmed Accrual</t>
        </is>
      </c>
      <c r="N1" s="12" t="inlineStr">
        <is>
          <t>Book Difference</t>
        </is>
      </c>
      <c r="O1" s="12" t="inlineStr">
        <is>
          <t>Confirmation Difference</t>
        </is>
      </c>
      <c r="P1" s="12" t="inlineStr">
        <is>
          <t>Resolution</t>
        </is>
      </c>
      <c r="Q1" s="12" t="inlineStr">
        <is>
          <t>Support</t>
        </is>
      </c>
    </row>
    <row r="2" ht="35.05" customHeight="1" s="13">
      <c r="A2" s="12" t="inlineStr">
        <is>
          <t>Debt reference 001</t>
        </is>
      </c>
      <c r="B2" s="22" t="n">
        <v>46022</v>
      </c>
      <c r="C2" s="22" t="n">
        <v>46022</v>
      </c>
      <c r="D2" s="12" t="inlineStr">
        <is>
          <t>arrears</t>
        </is>
      </c>
      <c r="E2" s="12" t="inlineStr">
        <is>
          <t>30/360</t>
        </is>
      </c>
      <c r="F2" s="12" t="inlineStr">
        <is>
          <t>0</t>
        </is>
      </c>
      <c r="G2" s="12" t="inlineStr">
        <is>
          <t>360</t>
        </is>
      </c>
      <c r="H2" s="19" t="n">
        <v>114957.79</v>
      </c>
      <c r="I2" s="12" t="inlineStr">
        <is>
          <t>0.0600</t>
        </is>
      </c>
      <c r="J2" s="12" t="inlineStr">
        <is>
          <t>114957.79 x 0.0600 x 0/360 = 0.00</t>
        </is>
      </c>
      <c r="K2" s="19" t="n">
        <v>0</v>
      </c>
      <c r="L2" s="19" t="n">
        <v>0</v>
      </c>
      <c r="M2" s="19" t="n">
        <v>0</v>
      </c>
      <c r="N2" s="19" t="n">
        <v>0</v>
      </c>
      <c r="O2" s="19" t="n">
        <v>0</v>
      </c>
      <c r="P2" s="12" t="inlineStr">
        <is>
          <t>resolved</t>
        </is>
      </c>
      <c r="Q2" s="20" t="inlineStr">
        <is>
          <t>Debt reference 06 interest schedule INTEREST-Debt reference Schedule 12; Debt reference 03 confirmation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X217"/>
  <sheetViews>
    <sheetView showFormulas="0" showGridLines="0" showRowColHeaders="1" showZeros="1" rightToLeft="0" tabSelected="0" showOutlineSymbols="1" defaultGridColor="1" view="normal" topLeftCell="A1" colorId="64" zoomScale="90" zoomScaleNormal="9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0" customWidth="1" style="12" min="1" max="1"/>
    <col width="10" customWidth="1" style="12" min="2" max="2"/>
    <col width="12" customWidth="1" style="12" min="3" max="4"/>
    <col width="13" customWidth="1" style="13" min="4" max="4"/>
    <col width="14" customWidth="1" style="12" min="5" max="5"/>
    <col width="21" customWidth="1" style="12" min="6" max="6"/>
    <col width="20" customWidth="1" style="12" min="7" max="7"/>
    <col width="15" customWidth="1" style="12" min="8" max="8"/>
    <col width="17" customWidth="1" style="12" min="9" max="9"/>
    <col width="31" customWidth="1" style="12" min="10" max="10"/>
    <col width="23" customWidth="1" style="12" min="11" max="11"/>
    <col width="17" customWidth="1" style="12" min="12" max="12"/>
    <col width="23" customWidth="1" style="12" min="13" max="13"/>
    <col width="18" customWidth="1" style="12" min="14" max="14"/>
    <col width="28" customWidth="1" style="12" min="15" max="15"/>
    <col width="26" customWidth="1" style="12" min="16" max="16"/>
    <col width="14" customWidth="1" style="12" min="17" max="17"/>
    <col width="22" customWidth="1" style="12" min="18" max="18"/>
    <col width="29" customWidth="1" style="12" min="19" max="19"/>
    <col width="18" customWidth="1" style="12" min="20" max="20"/>
    <col width="23" customWidth="1" style="12" min="21" max="21"/>
    <col width="38" customWidth="1" style="12" min="22" max="22"/>
    <col width="34" customWidth="1" style="12" min="23" max="23"/>
    <col width="33" customWidth="1" style="12" min="24" max="24"/>
  </cols>
  <sheetData>
    <row r="1" ht="15" customHeight="1" s="13">
      <c r="A1" s="16" t="inlineStr">
        <is>
          <t>Loan</t>
        </is>
      </c>
      <c r="B1" s="16" t="inlineStr">
        <is>
          <t>Period</t>
        </is>
      </c>
      <c r="C1" s="16" t="inlineStr">
        <is>
          <t>Start</t>
        </is>
      </c>
      <c r="D1" s="16" t="inlineStr">
        <is>
          <t>End</t>
        </is>
      </c>
      <c r="E1" s="16" t="inlineStr">
        <is>
          <t>Payment Date</t>
        </is>
      </c>
      <c r="F1" s="16" t="inlineStr">
        <is>
          <t>Beginning Principal</t>
        </is>
      </c>
      <c r="G1" s="16" t="inlineStr">
        <is>
          <t>Annual Stated Rate</t>
        </is>
      </c>
      <c r="H1" s="16" t="inlineStr">
        <is>
          <t>Interest Days</t>
        </is>
      </c>
      <c r="I1" s="16" t="inlineStr">
        <is>
          <t>Day-count Basis</t>
        </is>
      </c>
      <c r="J1" s="16" t="inlineStr">
        <is>
          <t>Contractual Interest</t>
        </is>
      </c>
      <c r="K1" s="16" t="inlineStr">
        <is>
          <t>Contractual Principal</t>
        </is>
      </c>
      <c r="L1" s="16" t="inlineStr">
        <is>
          <t>Contractual Fee</t>
        </is>
      </c>
      <c r="M1" s="16" t="inlineStr">
        <is>
          <t>Contractual Cash Flow</t>
        </is>
      </c>
      <c r="N1" s="16" t="inlineStr">
        <is>
          <t>Ending Principal</t>
        </is>
      </c>
      <c r="O1" s="16" t="inlineStr">
        <is>
          <t>Beginning Unamortized Cost</t>
        </is>
      </c>
      <c r="P1" s="16" t="inlineStr">
        <is>
          <t>Beginning Amortized Cost</t>
        </is>
      </c>
      <c r="Q1" s="16" t="inlineStr">
        <is>
          <t>Periodic EIR</t>
        </is>
      </c>
      <c r="R1" s="16" t="inlineStr">
        <is>
          <t>EIR Interest Expense</t>
        </is>
      </c>
      <c r="S1" s="16" t="inlineStr">
        <is>
          <t>Cost Amortization</t>
        </is>
      </c>
      <c r="T1" s="16" t="inlineStr">
        <is>
          <t>Unamortized Cost</t>
        </is>
      </c>
      <c r="U1" s="16" t="inlineStr">
        <is>
          <t>Ending Amortized Cost</t>
        </is>
      </c>
      <c r="V1" s="16" t="inlineStr">
        <is>
          <t>Interest Calculation</t>
        </is>
      </c>
      <c r="W1" s="16" t="inlineStr">
        <is>
          <t>Cash-flow Source</t>
        </is>
      </c>
      <c r="X1" s="16" t="inlineStr">
        <is>
          <t>Rate Solver</t>
        </is>
      </c>
    </row>
    <row r="2" ht="15" customHeight="1" s="13">
      <c r="A2" s="12" t="inlineStr">
        <is>
          <t>Debt reference 001</t>
        </is>
      </c>
      <c r="B2" s="12" t="inlineStr">
        <is>
          <t>1</t>
        </is>
      </c>
      <c r="C2" s="22" t="n">
        <v>45658</v>
      </c>
      <c r="D2" s="22" t="n">
        <v>45688</v>
      </c>
      <c r="E2" s="22" t="n">
        <v>45688</v>
      </c>
      <c r="F2" s="19" t="n">
        <v>118739.19</v>
      </c>
      <c r="G2" s="12" t="inlineStr">
        <is>
          <t>0.0600</t>
        </is>
      </c>
      <c r="H2" s="12" t="inlineStr">
        <is>
          <t>30</t>
        </is>
      </c>
      <c r="I2" s="12" t="inlineStr">
        <is>
          <t>360</t>
        </is>
      </c>
      <c r="J2" s="12">
        <f>ROUND(F2*G2*H2/I2,2)</f>
        <v>593.70</v>
      </c>
      <c r="K2" s="19" t="n">
        <v>306.54</v>
      </c>
      <c r="L2" s="19" t="n">
        <v>0</v>
      </c>
      <c r="M2" s="12">
        <f>SUM(J2:L2)</f>
        <v>900.24</v>
      </c>
      <c r="N2" s="19" t="n">
        <v>118432.65</v>
      </c>
      <c r="O2" s="19" t="n">
        <v>0</v>
      </c>
      <c r="P2" s="19" t="n">
        <v>118739.19</v>
      </c>
      <c r="Q2" s="12" t="inlineStr">
        <is>
          <t>0.00500000</t>
        </is>
      </c>
      <c r="R2" s="12">
        <f>ROUND(P2*Q2,2)</f>
        <v>593.70</v>
      </c>
      <c r="S2" s="12">
        <f>MIN(MAX(R2-J2,0),O2)</f>
        <v>0.0</v>
      </c>
      <c r="T2" s="12">
        <f>O2-S2</f>
        <v>0.0</v>
      </c>
      <c r="U2" s="12">
        <f>N2-T2</f>
        <v>118432.65</v>
      </c>
      <c r="V2" s="12" t="inlineStr">
        <is>
          <t>118739.19 x 0.0600 x 30/360 = 593.70</t>
        </is>
      </c>
      <c r="W2" s="12" t="inlineStr">
        <is>
          <t>Debt reference Schedule 01</t>
        </is>
      </c>
      <c r="X2" s="12" t="inlineStr">
        <is>
          <t>Not applicable no issuance cost</t>
        </is>
      </c>
    </row>
    <row r="3" ht="15" customHeight="1" s="13">
      <c r="A3" s="12" t="inlineStr">
        <is>
          <t>Debt reference 001</t>
        </is>
      </c>
      <c r="B3" s="12" t="inlineStr">
        <is>
          <t>2</t>
        </is>
      </c>
      <c r="C3" s="22" t="n">
        <v>45689</v>
      </c>
      <c r="D3" s="22" t="n">
        <v>45716</v>
      </c>
      <c r="E3" s="22" t="n">
        <v>45716</v>
      </c>
      <c r="F3" s="23" t="n">
        <v>118432.65</v>
      </c>
      <c r="G3" s="12" t="inlineStr">
        <is>
          <t>0.0600</t>
        </is>
      </c>
      <c r="H3" s="12" t="inlineStr">
        <is>
          <t>30</t>
        </is>
      </c>
      <c r="I3" s="12" t="inlineStr">
        <is>
          <t>360</t>
        </is>
      </c>
      <c r="J3" s="12">
        <f>ROUND(F3*G3*H3/I3,2)</f>
        <v>592.16</v>
      </c>
      <c r="K3" s="23" t="n">
        <v>308.08</v>
      </c>
      <c r="L3" s="23" t="n">
        <v>0</v>
      </c>
      <c r="M3" s="12">
        <f>SUM(J3:L3)</f>
        <v>900.24</v>
      </c>
      <c r="N3" s="23" t="n">
        <v>118124.57</v>
      </c>
      <c r="O3" s="23" t="n">
        <v>0</v>
      </c>
      <c r="P3" s="23" t="n">
        <v>118432.65</v>
      </c>
      <c r="Q3" s="12" t="inlineStr">
        <is>
          <t>0.00500000</t>
        </is>
      </c>
      <c r="R3" s="12">
        <f>ROUND(P3*Q3,2)</f>
        <v>592.16</v>
      </c>
      <c r="S3" s="12">
        <f>MIN(MAX(R3-J3,0),O3)</f>
        <v>0.00</v>
      </c>
      <c r="T3" s="12">
        <f>O3-S3</f>
        <v>0.0</v>
      </c>
      <c r="U3" s="12">
        <f>N3-T3</f>
        <v>118124.57</v>
      </c>
      <c r="V3" s="12" t="inlineStr">
        <is>
          <t>118432.65 x 0.0600 x 30/360 = 592.16</t>
        </is>
      </c>
      <c r="W3" s="12" t="inlineStr">
        <is>
          <t>Debt reference Schedule 02</t>
        </is>
      </c>
      <c r="X3" s="12" t="inlineStr">
        <is>
          <t>Not applicable no issuance cost</t>
        </is>
      </c>
    </row>
    <row r="4" ht="15" customHeight="1" s="13">
      <c r="A4" s="12" t="inlineStr">
        <is>
          <t>Debt reference 001</t>
        </is>
      </c>
      <c r="B4" s="12" t="inlineStr">
        <is>
          <t>3</t>
        </is>
      </c>
      <c r="C4" s="22" t="n">
        <v>45717</v>
      </c>
      <c r="D4" s="22" t="n">
        <v>45747</v>
      </c>
      <c r="E4" s="22" t="n">
        <v>45747</v>
      </c>
      <c r="F4" s="23" t="n">
        <v>118124.57</v>
      </c>
      <c r="G4" s="12" t="inlineStr">
        <is>
          <t>0.0600</t>
        </is>
      </c>
      <c r="H4" s="12" t="inlineStr">
        <is>
          <t>30</t>
        </is>
      </c>
      <c r="I4" s="12" t="inlineStr">
        <is>
          <t>360</t>
        </is>
      </c>
      <c r="J4" s="12">
        <f>ROUND(F4*G4*H4/I4,2)</f>
        <v>590.62</v>
      </c>
      <c r="K4" s="23" t="n">
        <v>309.62</v>
      </c>
      <c r="L4" s="23" t="n">
        <v>0</v>
      </c>
      <c r="M4" s="12">
        <f>SUM(J4:L4)</f>
        <v>900.24</v>
      </c>
      <c r="N4" s="23" t="n">
        <v>117814.95</v>
      </c>
      <c r="O4" s="23" t="n">
        <v>0</v>
      </c>
      <c r="P4" s="23" t="n">
        <v>118124.57</v>
      </c>
      <c r="Q4" s="12" t="inlineStr">
        <is>
          <t>0.00500000</t>
        </is>
      </c>
      <c r="R4" s="12">
        <f>ROUND(P4*Q4,2)</f>
        <v>590.62</v>
      </c>
      <c r="S4" s="12">
        <f>MIN(MAX(R4-J4,0),O4)</f>
        <v>0.00</v>
      </c>
      <c r="T4" s="12">
        <f>O4-S4</f>
        <v>0.0</v>
      </c>
      <c r="U4" s="12">
        <f>N4-T4</f>
        <v>117814.95</v>
      </c>
      <c r="V4" s="12" t="inlineStr">
        <is>
          <t>118124.57 x 0.0600 x 30/360 = 590.62</t>
        </is>
      </c>
      <c r="W4" s="12" t="inlineStr">
        <is>
          <t>Debt reference Schedule 03</t>
        </is>
      </c>
      <c r="X4" s="12" t="inlineStr">
        <is>
          <t>Not applicable no issuance cost</t>
        </is>
      </c>
    </row>
    <row r="5" ht="15" customHeight="1" s="13">
      <c r="A5" s="12" t="inlineStr">
        <is>
          <t>Debt reference 001</t>
        </is>
      </c>
      <c r="B5" s="12" t="inlineStr">
        <is>
          <t>4</t>
        </is>
      </c>
      <c r="C5" s="22" t="n">
        <v>45748</v>
      </c>
      <c r="D5" s="22" t="n">
        <v>45777</v>
      </c>
      <c r="E5" s="22" t="n">
        <v>45777</v>
      </c>
      <c r="F5" s="23" t="n">
        <v>117814.95</v>
      </c>
      <c r="G5" s="12" t="inlineStr">
        <is>
          <t>0.0600</t>
        </is>
      </c>
      <c r="H5" s="12" t="inlineStr">
        <is>
          <t>30</t>
        </is>
      </c>
      <c r="I5" s="12" t="inlineStr">
        <is>
          <t>360</t>
        </is>
      </c>
      <c r="J5" s="12">
        <f>ROUND(F5*G5*H5/I5,2)</f>
        <v>589.07</v>
      </c>
      <c r="K5" s="23" t="n">
        <v>311.17</v>
      </c>
      <c r="L5" s="23" t="n">
        <v>0</v>
      </c>
      <c r="M5" s="12">
        <f>SUM(J5:L5)</f>
        <v>900.24</v>
      </c>
      <c r="N5" s="23" t="n">
        <v>117503.78</v>
      </c>
      <c r="O5" s="23" t="n">
        <v>0</v>
      </c>
      <c r="P5" s="23" t="n">
        <v>117814.95</v>
      </c>
      <c r="Q5" s="12" t="inlineStr">
        <is>
          <t>0.00500000</t>
        </is>
      </c>
      <c r="R5" s="12">
        <f>ROUND(P5*Q5,2)</f>
        <v>589.07</v>
      </c>
      <c r="S5" s="12">
        <f>MIN(MAX(R5-J5,0),O5)</f>
        <v>0.00</v>
      </c>
      <c r="T5" s="12">
        <f>O5-S5</f>
        <v>0.0</v>
      </c>
      <c r="U5" s="12">
        <f>N5-T5</f>
        <v>117503.78</v>
      </c>
      <c r="V5" s="12" t="inlineStr">
        <is>
          <t>117814.95 x 0.0600 x 30/360 = 589.07</t>
        </is>
      </c>
      <c r="W5" s="12" t="inlineStr">
        <is>
          <t>Debt reference Schedule 04</t>
        </is>
      </c>
      <c r="X5" s="12" t="inlineStr">
        <is>
          <t>Not applicable no issuance cost</t>
        </is>
      </c>
    </row>
    <row r="6" ht="15" customHeight="1" s="13">
      <c r="A6" s="12" t="inlineStr">
        <is>
          <t>Debt reference 001</t>
        </is>
      </c>
      <c r="B6" s="12" t="inlineStr">
        <is>
          <t>5</t>
        </is>
      </c>
      <c r="C6" s="22" t="n">
        <v>45778</v>
      </c>
      <c r="D6" s="22" t="n">
        <v>45808</v>
      </c>
      <c r="E6" s="22" t="n">
        <v>45808</v>
      </c>
      <c r="F6" s="23" t="n">
        <v>117503.78</v>
      </c>
      <c r="G6" s="12" t="inlineStr">
        <is>
          <t>0.0600</t>
        </is>
      </c>
      <c r="H6" s="12" t="inlineStr">
        <is>
          <t>30</t>
        </is>
      </c>
      <c r="I6" s="12" t="inlineStr">
        <is>
          <t>360</t>
        </is>
      </c>
      <c r="J6" s="12">
        <f>ROUND(F6*G6*H6/I6,2)</f>
        <v>587.52</v>
      </c>
      <c r="K6" s="23" t="n">
        <v>312.72</v>
      </c>
      <c r="L6" s="23" t="n">
        <v>0</v>
      </c>
      <c r="M6" s="12">
        <f>SUM(J6:L6)</f>
        <v>900.24</v>
      </c>
      <c r="N6" s="23" t="n">
        <v>117191.06</v>
      </c>
      <c r="O6" s="23" t="n">
        <v>0</v>
      </c>
      <c r="P6" s="23" t="n">
        <v>117503.78</v>
      </c>
      <c r="Q6" s="12" t="inlineStr">
        <is>
          <t>0.00500000</t>
        </is>
      </c>
      <c r="R6" s="12">
        <f>ROUND(P6*Q6,2)</f>
        <v>587.52</v>
      </c>
      <c r="S6" s="12">
        <f>MIN(MAX(R6-J6,0),O6)</f>
        <v>0.00</v>
      </c>
      <c r="T6" s="12">
        <f>O6-S6</f>
        <v>0.0</v>
      </c>
      <c r="U6" s="12">
        <f>N6-T6</f>
        <v>117191.06</v>
      </c>
      <c r="V6" s="12" t="inlineStr">
        <is>
          <t>117503.78 x 0.0600 x 30/360 = 587.52</t>
        </is>
      </c>
      <c r="W6" s="12" t="inlineStr">
        <is>
          <t>Debt reference Schedule 05</t>
        </is>
      </c>
      <c r="X6" s="12" t="inlineStr">
        <is>
          <t>Not applicable no issuance cost</t>
        </is>
      </c>
    </row>
    <row r="7" ht="15" customHeight="1" s="13">
      <c r="A7" s="12" t="inlineStr">
        <is>
          <t>Debt reference 001</t>
        </is>
      </c>
      <c r="B7" s="12" t="inlineStr">
        <is>
          <t>6</t>
        </is>
      </c>
      <c r="C7" s="22" t="n">
        <v>45809</v>
      </c>
      <c r="D7" s="22" t="n">
        <v>45838</v>
      </c>
      <c r="E7" s="22" t="n">
        <v>45838</v>
      </c>
      <c r="F7" s="23" t="n">
        <v>117191.06</v>
      </c>
      <c r="G7" s="12" t="inlineStr">
        <is>
          <t>0.0600</t>
        </is>
      </c>
      <c r="H7" s="12" t="inlineStr">
        <is>
          <t>30</t>
        </is>
      </c>
      <c r="I7" s="12" t="inlineStr">
        <is>
          <t>360</t>
        </is>
      </c>
      <c r="J7" s="12">
        <f>ROUND(F7*G7*H7/I7,2)</f>
        <v>585.96</v>
      </c>
      <c r="K7" s="23" t="n">
        <v>314.28</v>
      </c>
      <c r="L7" s="23" t="n">
        <v>0</v>
      </c>
      <c r="M7" s="12">
        <f>SUM(J7:L7)</f>
        <v>900.24</v>
      </c>
      <c r="N7" s="23" t="n">
        <v>116876.78</v>
      </c>
      <c r="O7" s="23" t="n">
        <v>0</v>
      </c>
      <c r="P7" s="23" t="n">
        <v>117191.06</v>
      </c>
      <c r="Q7" s="12" t="inlineStr">
        <is>
          <t>0.00500000</t>
        </is>
      </c>
      <c r="R7" s="12">
        <f>ROUND(P7*Q7,2)</f>
        <v>585.96</v>
      </c>
      <c r="S7" s="12">
        <f>MIN(MAX(R7-J7,0),O7)</f>
        <v>0.00</v>
      </c>
      <c r="T7" s="12">
        <f>O7-S7</f>
        <v>0.0</v>
      </c>
      <c r="U7" s="12">
        <f>N7-T7</f>
        <v>116876.78</v>
      </c>
      <c r="V7" s="12" t="inlineStr">
        <is>
          <t>117191.06 x 0.0600 x 30/360 = 585.96</t>
        </is>
      </c>
      <c r="W7" s="12" t="inlineStr">
        <is>
          <t>Debt reference Schedule 06</t>
        </is>
      </c>
      <c r="X7" s="12" t="inlineStr">
        <is>
          <t>Not applicable no issuance cost</t>
        </is>
      </c>
    </row>
    <row r="8" ht="15" customHeight="1" s="13">
      <c r="A8" s="12" t="inlineStr">
        <is>
          <t>Debt reference 001</t>
        </is>
      </c>
      <c r="B8" s="12" t="inlineStr">
        <is>
          <t>7</t>
        </is>
      </c>
      <c r="C8" s="22" t="n">
        <v>45839</v>
      </c>
      <c r="D8" s="22" t="n">
        <v>45869</v>
      </c>
      <c r="E8" s="22" t="n">
        <v>45869</v>
      </c>
      <c r="F8" s="23" t="n">
        <v>116876.78</v>
      </c>
      <c r="G8" s="12" t="inlineStr">
        <is>
          <t>0.0600</t>
        </is>
      </c>
      <c r="H8" s="12" t="inlineStr">
        <is>
          <t>30</t>
        </is>
      </c>
      <c r="I8" s="12" t="inlineStr">
        <is>
          <t>360</t>
        </is>
      </c>
      <c r="J8" s="12">
        <f>ROUND(F8*G8*H8/I8,2)</f>
        <v>584.38</v>
      </c>
      <c r="K8" s="23" t="n">
        <v>315.86</v>
      </c>
      <c r="L8" s="23" t="n">
        <v>0</v>
      </c>
      <c r="M8" s="12">
        <f>SUM(J8:L8)</f>
        <v>900.24</v>
      </c>
      <c r="N8" s="23" t="n">
        <v>116560.92</v>
      </c>
      <c r="O8" s="23" t="n">
        <v>0</v>
      </c>
      <c r="P8" s="23" t="n">
        <v>116876.78</v>
      </c>
      <c r="Q8" s="12" t="inlineStr">
        <is>
          <t>0.00500000</t>
        </is>
      </c>
      <c r="R8" s="12">
        <f>ROUND(P8*Q8,2)</f>
        <v>584.38</v>
      </c>
      <c r="S8" s="12">
        <f>MIN(MAX(R8-J8,0),O8)</f>
        <v>0.00</v>
      </c>
      <c r="T8" s="12">
        <f>O8-S8</f>
        <v>0.0</v>
      </c>
      <c r="U8" s="12">
        <f>N8-T8</f>
        <v>116560.92</v>
      </c>
      <c r="V8" s="12" t="inlineStr">
        <is>
          <t>116876.78 x 0.0600 x 30/360 = 584.38</t>
        </is>
      </c>
      <c r="W8" s="12" t="inlineStr">
        <is>
          <t>Debt reference Schedule 07</t>
        </is>
      </c>
      <c r="X8" s="12" t="inlineStr">
        <is>
          <t>Not applicable no issuance cost</t>
        </is>
      </c>
    </row>
    <row r="9" ht="15" customHeight="1" s="13">
      <c r="A9" s="12" t="inlineStr">
        <is>
          <t>Debt reference 001</t>
        </is>
      </c>
      <c r="B9" s="12" t="inlineStr">
        <is>
          <t>8</t>
        </is>
      </c>
      <c r="C9" s="22" t="n">
        <v>45870</v>
      </c>
      <c r="D9" s="22" t="n">
        <v>45900</v>
      </c>
      <c r="E9" s="22" t="n">
        <v>45900</v>
      </c>
      <c r="F9" s="23" t="n">
        <v>116560.92</v>
      </c>
      <c r="G9" s="12" t="inlineStr">
        <is>
          <t>0.0600</t>
        </is>
      </c>
      <c r="H9" s="12" t="inlineStr">
        <is>
          <t>30</t>
        </is>
      </c>
      <c r="I9" s="12" t="inlineStr">
        <is>
          <t>360</t>
        </is>
      </c>
      <c r="J9" s="12">
        <f>ROUND(F9*G9*H9/I9,2)</f>
        <v>582.80</v>
      </c>
      <c r="K9" s="23" t="n">
        <v>317.44</v>
      </c>
      <c r="L9" s="23" t="n">
        <v>0</v>
      </c>
      <c r="M9" s="12">
        <f>SUM(J9:L9)</f>
        <v>900.24</v>
      </c>
      <c r="N9" s="23" t="n">
        <v>116243.48</v>
      </c>
      <c r="O9" s="23" t="n">
        <v>0</v>
      </c>
      <c r="P9" s="23" t="n">
        <v>116560.92</v>
      </c>
      <c r="Q9" s="12" t="inlineStr">
        <is>
          <t>0.00500000</t>
        </is>
      </c>
      <c r="R9" s="12">
        <f>ROUND(P9*Q9,2)</f>
        <v>582.80</v>
      </c>
      <c r="S9" s="12">
        <f>MIN(MAX(R9-J9,0),O9)</f>
        <v>0.0</v>
      </c>
      <c r="T9" s="12">
        <f>O9-S9</f>
        <v>0.0</v>
      </c>
      <c r="U9" s="12">
        <f>N9-T9</f>
        <v>116243.48</v>
      </c>
      <c r="V9" s="12" t="inlineStr">
        <is>
          <t>116560.92 x 0.0600 x 30/360 = 582.80</t>
        </is>
      </c>
      <c r="W9" s="12" t="inlineStr">
        <is>
          <t>Debt reference Schedule 08</t>
        </is>
      </c>
      <c r="X9" s="12" t="inlineStr">
        <is>
          <t>Not applicable no issuance cost</t>
        </is>
      </c>
    </row>
    <row r="10" ht="15" customHeight="1" s="13">
      <c r="A10" s="12" t="inlineStr">
        <is>
          <t>Debt reference 001</t>
        </is>
      </c>
      <c r="B10" s="12" t="inlineStr">
        <is>
          <t>9</t>
        </is>
      </c>
      <c r="C10" s="22" t="n">
        <v>45901</v>
      </c>
      <c r="D10" s="22" t="n">
        <v>45930</v>
      </c>
      <c r="E10" s="22" t="n">
        <v>45930</v>
      </c>
      <c r="F10" s="23" t="n">
        <v>116243.48</v>
      </c>
      <c r="G10" s="12" t="inlineStr">
        <is>
          <t>0.0600</t>
        </is>
      </c>
      <c r="H10" s="12" t="inlineStr">
        <is>
          <t>30</t>
        </is>
      </c>
      <c r="I10" s="12" t="inlineStr">
        <is>
          <t>360</t>
        </is>
      </c>
      <c r="J10" s="12">
        <f>ROUND(F10*G10*H10/I10,2)</f>
        <v>581.22</v>
      </c>
      <c r="K10" s="23" t="n">
        <v>319.02</v>
      </c>
      <c r="L10" s="23" t="n">
        <v>0</v>
      </c>
      <c r="M10" s="12">
        <f>SUM(J10:L10)</f>
        <v>900.24</v>
      </c>
      <c r="N10" s="23" t="n">
        <v>115924.46</v>
      </c>
      <c r="O10" s="23" t="n">
        <v>0</v>
      </c>
      <c r="P10" s="23" t="n">
        <v>116243.48</v>
      </c>
      <c r="Q10" s="12" t="inlineStr">
        <is>
          <t>0.00500000</t>
        </is>
      </c>
      <c r="R10" s="12">
        <f>ROUND(P10*Q10,2)</f>
        <v>581.22</v>
      </c>
      <c r="S10" s="12">
        <f>MIN(MAX(R10-J10,0),O10)</f>
        <v>0.00</v>
      </c>
      <c r="T10" s="12">
        <f>O10-S10</f>
        <v>0.0</v>
      </c>
      <c r="U10" s="12">
        <f>N10-T10</f>
        <v>115924.46</v>
      </c>
      <c r="V10" s="12" t="inlineStr">
        <is>
          <t>116243.48 x 0.0600 x 30/360 = 581.22</t>
        </is>
      </c>
      <c r="W10" s="12" t="inlineStr">
        <is>
          <t>Debt reference Schedule 09</t>
        </is>
      </c>
      <c r="X10" s="12" t="inlineStr">
        <is>
          <t>Not applicable no issuance cost</t>
        </is>
      </c>
    </row>
    <row r="11" ht="15" customHeight="1" s="13">
      <c r="A11" s="12" t="inlineStr">
        <is>
          <t>Debt reference 001</t>
        </is>
      </c>
      <c r="B11" s="12" t="inlineStr">
        <is>
          <t>10</t>
        </is>
      </c>
      <c r="C11" s="22" t="n">
        <v>45931</v>
      </c>
      <c r="D11" s="22" t="n">
        <v>45961</v>
      </c>
      <c r="E11" s="22" t="n">
        <v>45961</v>
      </c>
      <c r="F11" s="23" t="n">
        <v>115924.46</v>
      </c>
      <c r="G11" s="12" t="inlineStr">
        <is>
          <t>0.0600</t>
        </is>
      </c>
      <c r="H11" s="12" t="inlineStr">
        <is>
          <t>30</t>
        </is>
      </c>
      <c r="I11" s="12" t="inlineStr">
        <is>
          <t>360</t>
        </is>
      </c>
      <c r="J11" s="12">
        <f>ROUND(F11*G11*H11/I11,2)</f>
        <v>579.62</v>
      </c>
      <c r="K11" s="23" t="n">
        <v>320.62</v>
      </c>
      <c r="L11" s="23" t="n">
        <v>0</v>
      </c>
      <c r="M11" s="12">
        <f>SUM(J11:L11)</f>
        <v>900.24</v>
      </c>
      <c r="N11" s="23" t="n">
        <v>115603.84</v>
      </c>
      <c r="O11" s="23" t="n">
        <v>0</v>
      </c>
      <c r="P11" s="23" t="n">
        <v>115924.46</v>
      </c>
      <c r="Q11" s="12" t="inlineStr">
        <is>
          <t>0.00500000</t>
        </is>
      </c>
      <c r="R11" s="12">
        <f>ROUND(P11*Q11,2)</f>
        <v>579.62</v>
      </c>
      <c r="S11" s="12">
        <f>MIN(MAX(R11-J11,0),O11)</f>
        <v>0.00</v>
      </c>
      <c r="T11" s="12">
        <f>O11-S11</f>
        <v>0.0</v>
      </c>
      <c r="U11" s="12">
        <f>N11-T11</f>
        <v>115603.84</v>
      </c>
      <c r="V11" s="12" t="inlineStr">
        <is>
          <t>115924.46 x 0.0600 x 30/360 = 579.62</t>
        </is>
      </c>
      <c r="W11" s="12" t="inlineStr">
        <is>
          <t>Debt reference Schedule 10</t>
        </is>
      </c>
      <c r="X11" s="12" t="inlineStr">
        <is>
          <t>Not applicable no issuance cost</t>
        </is>
      </c>
    </row>
    <row r="12" ht="15" customHeight="1" s="13">
      <c r="A12" s="12" t="inlineStr">
        <is>
          <t>Debt reference 001</t>
        </is>
      </c>
      <c r="B12" s="12" t="inlineStr">
        <is>
          <t>11</t>
        </is>
      </c>
      <c r="C12" s="22" t="n">
        <v>45962</v>
      </c>
      <c r="D12" s="22" t="n">
        <v>45991</v>
      </c>
      <c r="E12" s="22" t="n">
        <v>45991</v>
      </c>
      <c r="F12" s="23" t="n">
        <v>115603.84</v>
      </c>
      <c r="G12" s="12" t="inlineStr">
        <is>
          <t>0.0600</t>
        </is>
      </c>
      <c r="H12" s="12" t="inlineStr">
        <is>
          <t>30</t>
        </is>
      </c>
      <c r="I12" s="12" t="inlineStr">
        <is>
          <t>360</t>
        </is>
      </c>
      <c r="J12" s="12">
        <f>ROUND(F12*G12*H12/I12,2)</f>
        <v>578.02</v>
      </c>
      <c r="K12" s="23" t="n">
        <v>322.22</v>
      </c>
      <c r="L12" s="23" t="n">
        <v>0</v>
      </c>
      <c r="M12" s="12">
        <f>SUM(J12:L12)</f>
        <v>900.24</v>
      </c>
      <c r="N12" s="23" t="n">
        <v>115281.62</v>
      </c>
      <c r="O12" s="23" t="n">
        <v>0</v>
      </c>
      <c r="P12" s="23" t="n">
        <v>115603.84</v>
      </c>
      <c r="Q12" s="12" t="inlineStr">
        <is>
          <t>0.00500000</t>
        </is>
      </c>
      <c r="R12" s="12">
        <f>ROUND(P12*Q12,2)</f>
        <v>578.02</v>
      </c>
      <c r="S12" s="12">
        <f>MIN(MAX(R12-J12,0),O12)</f>
        <v>0.00</v>
      </c>
      <c r="T12" s="12">
        <f>O12-S12</f>
        <v>0.0</v>
      </c>
      <c r="U12" s="12">
        <f>N12-T12</f>
        <v>115281.62</v>
      </c>
      <c r="V12" s="12" t="inlineStr">
        <is>
          <t>115603.84 x 0.0600 x 30/360 = 578.02</t>
        </is>
      </c>
      <c r="W12" s="12" t="inlineStr">
        <is>
          <t>Debt reference Schedule 11</t>
        </is>
      </c>
      <c r="X12" s="12" t="inlineStr">
        <is>
          <t>Not applicable no issuance cost</t>
        </is>
      </c>
    </row>
    <row r="13" ht="15" customHeight="1" s="13">
      <c r="A13" s="12" t="inlineStr">
        <is>
          <t>Debt reference 001</t>
        </is>
      </c>
      <c r="B13" s="12" t="inlineStr">
        <is>
          <t>12</t>
        </is>
      </c>
      <c r="C13" s="22" t="n">
        <v>45992</v>
      </c>
      <c r="D13" s="22" t="n">
        <v>46022</v>
      </c>
      <c r="E13" s="22" t="n">
        <v>46022</v>
      </c>
      <c r="F13" s="23" t="n">
        <v>115281.62</v>
      </c>
      <c r="G13" s="12" t="inlineStr">
        <is>
          <t>0.0600</t>
        </is>
      </c>
      <c r="H13" s="12" t="inlineStr">
        <is>
          <t>30</t>
        </is>
      </c>
      <c r="I13" s="12" t="inlineStr">
        <is>
          <t>360</t>
        </is>
      </c>
      <c r="J13" s="12">
        <f>ROUND(F13*G13*H13/I13,2)</f>
        <v>576.41</v>
      </c>
      <c r="K13" s="23" t="n">
        <v>323.83</v>
      </c>
      <c r="L13" s="23" t="n">
        <v>0</v>
      </c>
      <c r="M13" s="12">
        <f>SUM(J13:L13)</f>
        <v>900.24</v>
      </c>
      <c r="N13" s="23" t="n">
        <v>114957.79</v>
      </c>
      <c r="O13" s="23" t="n">
        <v>0</v>
      </c>
      <c r="P13" s="23" t="n">
        <v>115281.62</v>
      </c>
      <c r="Q13" s="12" t="inlineStr">
        <is>
          <t>0.00500000</t>
        </is>
      </c>
      <c r="R13" s="12">
        <f>ROUND(P13*Q13,2)</f>
        <v>576.41</v>
      </c>
      <c r="S13" s="12">
        <f>MIN(MAX(R13-J13,0),O13)</f>
        <v>0.00</v>
      </c>
      <c r="T13" s="12">
        <f>O13-S13</f>
        <v>0.0</v>
      </c>
      <c r="U13" s="12">
        <f>N13-T13</f>
        <v>114957.79</v>
      </c>
      <c r="V13" s="12" t="inlineStr">
        <is>
          <t>115281.62 x 0.0600 x 30/360 = 576.41</t>
        </is>
      </c>
      <c r="W13" s="12" t="inlineStr">
        <is>
          <t>Debt reference Schedule 12</t>
        </is>
      </c>
      <c r="X13" s="12" t="inlineStr">
        <is>
          <t>Not applicable no issuance cost</t>
        </is>
      </c>
    </row>
    <row r="14" ht="15" customHeight="1" s="13">
      <c r="A14" s="12" t="inlineStr">
        <is>
          <t>Debt reference 001</t>
        </is>
      </c>
      <c r="B14" s="12" t="inlineStr">
        <is>
          <t>13</t>
        </is>
      </c>
      <c r="C14" s="22" t="n">
        <v>46023</v>
      </c>
      <c r="D14" s="22" t="n">
        <v>46053</v>
      </c>
      <c r="E14" s="22" t="n">
        <v>46053</v>
      </c>
      <c r="F14" s="23" t="n">
        <v>114957.79</v>
      </c>
      <c r="G14" s="12" t="inlineStr">
        <is>
          <t>0.0600</t>
        </is>
      </c>
      <c r="H14" s="12" t="inlineStr">
        <is>
          <t>30</t>
        </is>
      </c>
      <c r="I14" s="12" t="inlineStr">
        <is>
          <t>360</t>
        </is>
      </c>
      <c r="J14" s="12">
        <f>ROUND(F14*G14*H14/I14,2)</f>
        <v>574.79</v>
      </c>
      <c r="K14" s="23" t="n">
        <v>325.45</v>
      </c>
      <c r="L14" s="23" t="n">
        <v>0</v>
      </c>
      <c r="M14" s="12">
        <f>SUM(J14:L14)</f>
        <v>900.24</v>
      </c>
      <c r="N14" s="23" t="n">
        <v>114632.34</v>
      </c>
      <c r="O14" s="23" t="n">
        <v>0</v>
      </c>
      <c r="P14" s="23" t="n">
        <v>114957.79</v>
      </c>
      <c r="Q14" s="12" t="inlineStr">
        <is>
          <t>0.00500000</t>
        </is>
      </c>
      <c r="R14" s="12">
        <f>ROUND(P14*Q14,2)</f>
        <v>574.79</v>
      </c>
      <c r="S14" s="12">
        <f>MIN(MAX(R14-J14,0),O14)</f>
        <v>0.00</v>
      </c>
      <c r="T14" s="12">
        <f>O14-S14</f>
        <v>0.0</v>
      </c>
      <c r="U14" s="12">
        <f>N14-T14</f>
        <v>114632.34</v>
      </c>
      <c r="V14" s="12" t="inlineStr">
        <is>
          <t>114957.79 x 0.0600 x 30/360 = 574.79</t>
        </is>
      </c>
      <c r="W14" s="12" t="inlineStr">
        <is>
          <t>PROJECTED-Debt reference 001 001</t>
        </is>
      </c>
      <c r="X14" s="12" t="inlineStr">
        <is>
          <t>Not applicable no issuance cost</t>
        </is>
      </c>
    </row>
    <row r="15" ht="15" customHeight="1" s="13">
      <c r="A15" s="12" t="inlineStr">
        <is>
          <t>Debt reference 001</t>
        </is>
      </c>
      <c r="B15" s="12" t="inlineStr">
        <is>
          <t>14</t>
        </is>
      </c>
      <c r="C15" s="22" t="n">
        <v>46054</v>
      </c>
      <c r="D15" s="22" t="n">
        <v>46081</v>
      </c>
      <c r="E15" s="22" t="n">
        <v>46081</v>
      </c>
      <c r="F15" s="23" t="n">
        <v>114632.34</v>
      </c>
      <c r="G15" s="12" t="inlineStr">
        <is>
          <t>0.0600</t>
        </is>
      </c>
      <c r="H15" s="12" t="inlineStr">
        <is>
          <t>30</t>
        </is>
      </c>
      <c r="I15" s="12" t="inlineStr">
        <is>
          <t>360</t>
        </is>
      </c>
      <c r="J15" s="12">
        <f>ROUND(F15*G15*H15/I15,2)</f>
        <v>573.16</v>
      </c>
      <c r="K15" s="23" t="n">
        <v>327.08</v>
      </c>
      <c r="L15" s="23" t="n">
        <v>0</v>
      </c>
      <c r="M15" s="12">
        <f>SUM(J15:L15)</f>
        <v>900.24</v>
      </c>
      <c r="N15" s="23" t="n">
        <v>114305.26</v>
      </c>
      <c r="O15" s="23" t="n">
        <v>0</v>
      </c>
      <c r="P15" s="23" t="n">
        <v>114632.34</v>
      </c>
      <c r="Q15" s="12" t="inlineStr">
        <is>
          <t>0.00500000</t>
        </is>
      </c>
      <c r="R15" s="12">
        <f>ROUND(P15*Q15,2)</f>
        <v>573.16</v>
      </c>
      <c r="S15" s="12">
        <f>MIN(MAX(R15-J15,0),O15)</f>
        <v>0.00</v>
      </c>
      <c r="T15" s="12">
        <f>O15-S15</f>
        <v>0.0</v>
      </c>
      <c r="U15" s="12">
        <f>N15-T15</f>
        <v>114305.26</v>
      </c>
      <c r="V15" s="12" t="inlineStr">
        <is>
          <t>114632.34 x 0.0600 x 30/360 = 573.16</t>
        </is>
      </c>
      <c r="W15" s="12" t="inlineStr">
        <is>
          <t>PROJECTED-Debt reference 001 002</t>
        </is>
      </c>
      <c r="X15" s="12" t="inlineStr">
        <is>
          <t>Not applicable no issuance cost</t>
        </is>
      </c>
    </row>
    <row r="16" ht="15" customHeight="1" s="13">
      <c r="A16" s="12" t="inlineStr">
        <is>
          <t>Debt reference 001</t>
        </is>
      </c>
      <c r="B16" s="12" t="inlineStr">
        <is>
          <t>15</t>
        </is>
      </c>
      <c r="C16" s="22" t="n">
        <v>46082</v>
      </c>
      <c r="D16" s="22" t="n">
        <v>46112</v>
      </c>
      <c r="E16" s="22" t="n">
        <v>46112</v>
      </c>
      <c r="F16" s="23" t="n">
        <v>114305.26</v>
      </c>
      <c r="G16" s="12" t="inlineStr">
        <is>
          <t>0.0600</t>
        </is>
      </c>
      <c r="H16" s="12" t="inlineStr">
        <is>
          <t>30</t>
        </is>
      </c>
      <c r="I16" s="12" t="inlineStr">
        <is>
          <t>360</t>
        </is>
      </c>
      <c r="J16" s="12">
        <f>ROUND(F16*G16*H16/I16,2)</f>
        <v>571.53</v>
      </c>
      <c r="K16" s="23" t="n">
        <v>328.71</v>
      </c>
      <c r="L16" s="23" t="n">
        <v>0</v>
      </c>
      <c r="M16" s="12">
        <f>SUM(J16:L16)</f>
        <v>900.24</v>
      </c>
      <c r="N16" s="23" t="n">
        <v>113976.55</v>
      </c>
      <c r="O16" s="23" t="n">
        <v>0</v>
      </c>
      <c r="P16" s="23" t="n">
        <v>114305.26</v>
      </c>
      <c r="Q16" s="12" t="inlineStr">
        <is>
          <t>0.00500000</t>
        </is>
      </c>
      <c r="R16" s="12">
        <f>ROUND(P16*Q16,2)</f>
        <v>571.53</v>
      </c>
      <c r="S16" s="12">
        <f>MIN(MAX(R16-J16,0),O16)</f>
        <v>0.00</v>
      </c>
      <c r="T16" s="12">
        <f>O16-S16</f>
        <v>0.0</v>
      </c>
      <c r="U16" s="12">
        <f>N16-T16</f>
        <v>113976.55</v>
      </c>
      <c r="V16" s="12" t="inlineStr">
        <is>
          <t>114305.26 x 0.0600 x 30/360 = 571.53</t>
        </is>
      </c>
      <c r="W16" s="12" t="inlineStr">
        <is>
          <t>PROJECTED-Debt reference 001 003</t>
        </is>
      </c>
      <c r="X16" s="12" t="inlineStr">
        <is>
          <t>Not applicable no issuance cost</t>
        </is>
      </c>
    </row>
    <row r="17" ht="15" customHeight="1" s="13">
      <c r="A17" s="12" t="inlineStr">
        <is>
          <t>Debt reference 001</t>
        </is>
      </c>
      <c r="B17" s="12" t="inlineStr">
        <is>
          <t>16</t>
        </is>
      </c>
      <c r="C17" s="22" t="n">
        <v>46113</v>
      </c>
      <c r="D17" s="22" t="n">
        <v>46142</v>
      </c>
      <c r="E17" s="22" t="n">
        <v>46142</v>
      </c>
      <c r="F17" s="23" t="n">
        <v>113976.55</v>
      </c>
      <c r="G17" s="12" t="inlineStr">
        <is>
          <t>0.0600</t>
        </is>
      </c>
      <c r="H17" s="12" t="inlineStr">
        <is>
          <t>30</t>
        </is>
      </c>
      <c r="I17" s="12" t="inlineStr">
        <is>
          <t>360</t>
        </is>
      </c>
      <c r="J17" s="12">
        <f>ROUND(F17*G17*H17/I17,2)</f>
        <v>569.88</v>
      </c>
      <c r="K17" s="23" t="n">
        <v>330.36</v>
      </c>
      <c r="L17" s="23" t="n">
        <v>0</v>
      </c>
      <c r="M17" s="12">
        <f>SUM(J17:L17)</f>
        <v>900.24</v>
      </c>
      <c r="N17" s="23" t="n">
        <v>113646.19</v>
      </c>
      <c r="O17" s="23" t="n">
        <v>0</v>
      </c>
      <c r="P17" s="23" t="n">
        <v>113976.55</v>
      </c>
      <c r="Q17" s="12" t="inlineStr">
        <is>
          <t>0.00500000</t>
        </is>
      </c>
      <c r="R17" s="12">
        <f>ROUND(P17*Q17,2)</f>
        <v>569.88</v>
      </c>
      <c r="S17" s="12">
        <f>MIN(MAX(R17-J17,0),O17)</f>
        <v>0.00</v>
      </c>
      <c r="T17" s="12">
        <f>O17-S17</f>
        <v>0.0</v>
      </c>
      <c r="U17" s="12">
        <f>N17-T17</f>
        <v>113646.19</v>
      </c>
      <c r="V17" s="12" t="inlineStr">
        <is>
          <t>113976.55 x 0.0600 x 30/360 = 569.88</t>
        </is>
      </c>
      <c r="W17" s="12" t="inlineStr">
        <is>
          <t>PROJECTED-Debt reference 001 004</t>
        </is>
      </c>
      <c r="X17" s="12" t="inlineStr">
        <is>
          <t>Not applicable no issuance cost</t>
        </is>
      </c>
    </row>
    <row r="18" ht="15" customHeight="1" s="13">
      <c r="A18" s="12" t="inlineStr">
        <is>
          <t>Debt reference 001</t>
        </is>
      </c>
      <c r="B18" s="12" t="inlineStr">
        <is>
          <t>17</t>
        </is>
      </c>
      <c r="C18" s="22" t="n">
        <v>46143</v>
      </c>
      <c r="D18" s="22" t="n">
        <v>46173</v>
      </c>
      <c r="E18" s="22" t="n">
        <v>46173</v>
      </c>
      <c r="F18" s="23" t="n">
        <v>113646.19</v>
      </c>
      <c r="G18" s="12" t="inlineStr">
        <is>
          <t>0.0600</t>
        </is>
      </c>
      <c r="H18" s="12" t="inlineStr">
        <is>
          <t>30</t>
        </is>
      </c>
      <c r="I18" s="12" t="inlineStr">
        <is>
          <t>360</t>
        </is>
      </c>
      <c r="J18" s="12">
        <f>ROUND(F18*G18*H18/I18,2)</f>
        <v>568.23</v>
      </c>
      <c r="K18" s="23" t="n">
        <v>332.01</v>
      </c>
      <c r="L18" s="23" t="n">
        <v>0</v>
      </c>
      <c r="M18" s="12">
        <f>SUM(J18:L18)</f>
        <v>900.24</v>
      </c>
      <c r="N18" s="23" t="n">
        <v>113314.18</v>
      </c>
      <c r="O18" s="23" t="n">
        <v>0</v>
      </c>
      <c r="P18" s="23" t="n">
        <v>113646.19</v>
      </c>
      <c r="Q18" s="12" t="inlineStr">
        <is>
          <t>0.00500000</t>
        </is>
      </c>
      <c r="R18" s="12">
        <f>ROUND(P18*Q18,2)</f>
        <v>568.23</v>
      </c>
      <c r="S18" s="12">
        <f>MIN(MAX(R18-J18,0),O18)</f>
        <v>0.00</v>
      </c>
      <c r="T18" s="12">
        <f>O18-S18</f>
        <v>0.0</v>
      </c>
      <c r="U18" s="12">
        <f>N18-T18</f>
        <v>113314.18</v>
      </c>
      <c r="V18" s="12" t="inlineStr">
        <is>
          <t>113646.19 x 0.0600 x 30/360 = 568.23</t>
        </is>
      </c>
      <c r="W18" s="12" t="inlineStr">
        <is>
          <t>PROJECTED-Debt reference 001 005</t>
        </is>
      </c>
      <c r="X18" s="12" t="inlineStr">
        <is>
          <t>Not applicable no issuance cost</t>
        </is>
      </c>
    </row>
    <row r="19" ht="15" customHeight="1" s="13">
      <c r="A19" s="12" t="inlineStr">
        <is>
          <t>Debt reference 001</t>
        </is>
      </c>
      <c r="B19" s="12" t="inlineStr">
        <is>
          <t>18</t>
        </is>
      </c>
      <c r="C19" s="22" t="n">
        <v>46174</v>
      </c>
      <c r="D19" s="22" t="n">
        <v>46203</v>
      </c>
      <c r="E19" s="22" t="n">
        <v>46203</v>
      </c>
      <c r="F19" s="23" t="n">
        <v>113314.18</v>
      </c>
      <c r="G19" s="12" t="inlineStr">
        <is>
          <t>0.0600</t>
        </is>
      </c>
      <c r="H19" s="12" t="inlineStr">
        <is>
          <t>30</t>
        </is>
      </c>
      <c r="I19" s="12" t="inlineStr">
        <is>
          <t>360</t>
        </is>
      </c>
      <c r="J19" s="12">
        <f>ROUND(F19*G19*H19/I19,2)</f>
        <v>566.57</v>
      </c>
      <c r="K19" s="23" t="n">
        <v>333.67</v>
      </c>
      <c r="L19" s="23" t="n">
        <v>0</v>
      </c>
      <c r="M19" s="12">
        <f>SUM(J19:L19)</f>
        <v>900.24</v>
      </c>
      <c r="N19" s="23" t="n">
        <v>112980.51</v>
      </c>
      <c r="O19" s="23" t="n">
        <v>0</v>
      </c>
      <c r="P19" s="23" t="n">
        <v>113314.18</v>
      </c>
      <c r="Q19" s="12" t="inlineStr">
        <is>
          <t>0.00500000</t>
        </is>
      </c>
      <c r="R19" s="12">
        <f>ROUND(P19*Q19,2)</f>
        <v>566.57</v>
      </c>
      <c r="S19" s="12">
        <f>MIN(MAX(R19-J19,0),O19)</f>
        <v>0.00</v>
      </c>
      <c r="T19" s="12">
        <f>O19-S19</f>
        <v>0.0</v>
      </c>
      <c r="U19" s="12">
        <f>N19-T19</f>
        <v>112980.51</v>
      </c>
      <c r="V19" s="12" t="inlineStr">
        <is>
          <t>113314.18 x 0.0600 x 30/360 = 566.57</t>
        </is>
      </c>
      <c r="W19" s="12" t="inlineStr">
        <is>
          <t>PROJECTED-Debt reference 001 006</t>
        </is>
      </c>
      <c r="X19" s="12" t="inlineStr">
        <is>
          <t>Not applicable no issuance cost</t>
        </is>
      </c>
    </row>
    <row r="20" ht="15" customHeight="1" s="13">
      <c r="A20" s="12" t="inlineStr">
        <is>
          <t>Debt reference 001</t>
        </is>
      </c>
      <c r="B20" s="12" t="inlineStr">
        <is>
          <t>19</t>
        </is>
      </c>
      <c r="C20" s="22" t="n">
        <v>46204</v>
      </c>
      <c r="D20" s="22" t="n">
        <v>46234</v>
      </c>
      <c r="E20" s="22" t="n">
        <v>46234</v>
      </c>
      <c r="F20" s="23" t="n">
        <v>112980.51</v>
      </c>
      <c r="G20" s="12" t="inlineStr">
        <is>
          <t>0.0600</t>
        </is>
      </c>
      <c r="H20" s="12" t="inlineStr">
        <is>
          <t>30</t>
        </is>
      </c>
      <c r="I20" s="12" t="inlineStr">
        <is>
          <t>360</t>
        </is>
      </c>
      <c r="J20" s="12">
        <f>ROUND(F20*G20*H20/I20,2)</f>
        <v>564.90</v>
      </c>
      <c r="K20" s="23" t="n">
        <v>335.34</v>
      </c>
      <c r="L20" s="23" t="n">
        <v>0</v>
      </c>
      <c r="M20" s="12">
        <f>SUM(J20:L20)</f>
        <v>900.24</v>
      </c>
      <c r="N20" s="23" t="n">
        <v>112645.17</v>
      </c>
      <c r="O20" s="23" t="n">
        <v>0</v>
      </c>
      <c r="P20" s="23" t="n">
        <v>112980.51</v>
      </c>
      <c r="Q20" s="12" t="inlineStr">
        <is>
          <t>0.00500000</t>
        </is>
      </c>
      <c r="R20" s="12">
        <f>ROUND(P20*Q20,2)</f>
        <v>564.90</v>
      </c>
      <c r="S20" s="12">
        <f>MIN(MAX(R20-J20,0),O20)</f>
        <v>0.0</v>
      </c>
      <c r="T20" s="12">
        <f>O20-S20</f>
        <v>0.0</v>
      </c>
      <c r="U20" s="12">
        <f>N20-T20</f>
        <v>112645.17</v>
      </c>
      <c r="V20" s="12" t="inlineStr">
        <is>
          <t>112980.51 x 0.0600 x 30/360 = 564.90</t>
        </is>
      </c>
      <c r="W20" s="12" t="inlineStr">
        <is>
          <t>PROJECTED-Debt reference 001 007</t>
        </is>
      </c>
      <c r="X20" s="12" t="inlineStr">
        <is>
          <t>Not applicable no issuance cost</t>
        </is>
      </c>
    </row>
    <row r="21" ht="15" customHeight="1" s="13">
      <c r="A21" s="12" t="inlineStr">
        <is>
          <t>Debt reference 001</t>
        </is>
      </c>
      <c r="B21" s="12" t="inlineStr">
        <is>
          <t>20</t>
        </is>
      </c>
      <c r="C21" s="22" t="n">
        <v>46235</v>
      </c>
      <c r="D21" s="22" t="n">
        <v>46265</v>
      </c>
      <c r="E21" s="22" t="n">
        <v>46265</v>
      </c>
      <c r="F21" s="23" t="n">
        <v>112645.17</v>
      </c>
      <c r="G21" s="12" t="inlineStr">
        <is>
          <t>0.0600</t>
        </is>
      </c>
      <c r="H21" s="12" t="inlineStr">
        <is>
          <t>30</t>
        </is>
      </c>
      <c r="I21" s="12" t="inlineStr">
        <is>
          <t>360</t>
        </is>
      </c>
      <c r="J21" s="12">
        <f>ROUND(F21*G21*H21/I21,2)</f>
        <v>563.23</v>
      </c>
      <c r="K21" s="23" t="n">
        <v>337.01</v>
      </c>
      <c r="L21" s="23" t="n">
        <v>0</v>
      </c>
      <c r="M21" s="12">
        <f>SUM(J21:L21)</f>
        <v>900.24</v>
      </c>
      <c r="N21" s="23" t="n">
        <v>112308.16</v>
      </c>
      <c r="O21" s="23" t="n">
        <v>0</v>
      </c>
      <c r="P21" s="23" t="n">
        <v>112645.17</v>
      </c>
      <c r="Q21" s="12" t="inlineStr">
        <is>
          <t>0.00500000</t>
        </is>
      </c>
      <c r="R21" s="12">
        <f>ROUND(P21*Q21,2)</f>
        <v>563.23</v>
      </c>
      <c r="S21" s="12">
        <f>MIN(MAX(R21-J21,0),O21)</f>
        <v>0.00</v>
      </c>
      <c r="T21" s="12">
        <f>O21-S21</f>
        <v>0.0</v>
      </c>
      <c r="U21" s="12">
        <f>N21-T21</f>
        <v>112308.16</v>
      </c>
      <c r="V21" s="12" t="inlineStr">
        <is>
          <t>112645.17 x 0.0600 x 30/360 = 563.23</t>
        </is>
      </c>
      <c r="W21" s="12" t="inlineStr">
        <is>
          <t>PROJECTED-Debt reference 001 008</t>
        </is>
      </c>
      <c r="X21" s="12" t="inlineStr">
        <is>
          <t>Not applicable no issuance cost</t>
        </is>
      </c>
    </row>
    <row r="22" ht="15" customHeight="1" s="13">
      <c r="A22" s="12" t="inlineStr">
        <is>
          <t>Debt reference 001</t>
        </is>
      </c>
      <c r="B22" s="12" t="inlineStr">
        <is>
          <t>21</t>
        </is>
      </c>
      <c r="C22" s="22" t="n">
        <v>46266</v>
      </c>
      <c r="D22" s="22" t="n">
        <v>46295</v>
      </c>
      <c r="E22" s="22" t="n">
        <v>46295</v>
      </c>
      <c r="F22" s="23" t="n">
        <v>112308.16</v>
      </c>
      <c r="G22" s="12" t="inlineStr">
        <is>
          <t>0.0600</t>
        </is>
      </c>
      <c r="H22" s="12" t="inlineStr">
        <is>
          <t>30</t>
        </is>
      </c>
      <c r="I22" s="12" t="inlineStr">
        <is>
          <t>360</t>
        </is>
      </c>
      <c r="J22" s="12">
        <f>ROUND(F22*G22*H22/I22,2)</f>
        <v>561.54</v>
      </c>
      <c r="K22" s="23" t="n">
        <v>338.7</v>
      </c>
      <c r="L22" s="23" t="n">
        <v>0</v>
      </c>
      <c r="M22" s="12">
        <f>SUM(J22:L22)</f>
        <v>900.24</v>
      </c>
      <c r="N22" s="23" t="n">
        <v>111969.46</v>
      </c>
      <c r="O22" s="23" t="n">
        <v>0</v>
      </c>
      <c r="P22" s="23" t="n">
        <v>112308.16</v>
      </c>
      <c r="Q22" s="12" t="inlineStr">
        <is>
          <t>0.00500000</t>
        </is>
      </c>
      <c r="R22" s="12">
        <f>ROUND(P22*Q22,2)</f>
        <v>561.54</v>
      </c>
      <c r="S22" s="12">
        <f>MIN(MAX(R22-J22,0),O22)</f>
        <v>0.00</v>
      </c>
      <c r="T22" s="12">
        <f>O22-S22</f>
        <v>0.0</v>
      </c>
      <c r="U22" s="12">
        <f>N22-T22</f>
        <v>111969.46</v>
      </c>
      <c r="V22" s="12" t="inlineStr">
        <is>
          <t>112308.16 x 0.0600 x 30/360 = 561.54</t>
        </is>
      </c>
      <c r="W22" s="12" t="inlineStr">
        <is>
          <t>PROJECTED-Debt reference 001 009</t>
        </is>
      </c>
      <c r="X22" s="12" t="inlineStr">
        <is>
          <t>Not applicable no issuance cost</t>
        </is>
      </c>
    </row>
    <row r="23" ht="15" customHeight="1" s="13">
      <c r="A23" s="12" t="inlineStr">
        <is>
          <t>Debt reference 001</t>
        </is>
      </c>
      <c r="B23" s="12" t="inlineStr">
        <is>
          <t>22</t>
        </is>
      </c>
      <c r="C23" s="22" t="n">
        <v>46296</v>
      </c>
      <c r="D23" s="22" t="n">
        <v>46326</v>
      </c>
      <c r="E23" s="22" t="n">
        <v>46326</v>
      </c>
      <c r="F23" s="23" t="n">
        <v>111969.46</v>
      </c>
      <c r="G23" s="12" t="inlineStr">
        <is>
          <t>0.0600</t>
        </is>
      </c>
      <c r="H23" s="12" t="inlineStr">
        <is>
          <t>30</t>
        </is>
      </c>
      <c r="I23" s="12" t="inlineStr">
        <is>
          <t>360</t>
        </is>
      </c>
      <c r="J23" s="12">
        <f>ROUND(F23*G23*H23/I23,2)</f>
        <v>559.85</v>
      </c>
      <c r="K23" s="23" t="n">
        <v>340.39</v>
      </c>
      <c r="L23" s="23" t="n">
        <v>0</v>
      </c>
      <c r="M23" s="12">
        <f>SUM(J23:L23)</f>
        <v>900.24</v>
      </c>
      <c r="N23" s="23" t="n">
        <v>111629.07</v>
      </c>
      <c r="O23" s="23" t="n">
        <v>0</v>
      </c>
      <c r="P23" s="23" t="n">
        <v>111969.46</v>
      </c>
      <c r="Q23" s="12" t="inlineStr">
        <is>
          <t>0.00500000</t>
        </is>
      </c>
      <c r="R23" s="12">
        <f>ROUND(P23*Q23,2)</f>
        <v>559.85</v>
      </c>
      <c r="S23" s="12">
        <f>MIN(MAX(R23-J23,0),O23)</f>
        <v>0.00</v>
      </c>
      <c r="T23" s="12">
        <f>O23-S23</f>
        <v>0.0</v>
      </c>
      <c r="U23" s="12">
        <f>N23-T23</f>
        <v>111629.07</v>
      </c>
      <c r="V23" s="12" t="inlineStr">
        <is>
          <t>111969.46 x 0.0600 x 30/360 = 559.85</t>
        </is>
      </c>
      <c r="W23" s="12" t="inlineStr">
        <is>
          <t>PROJECTED-Debt reference 001 010</t>
        </is>
      </c>
      <c r="X23" s="12" t="inlineStr">
        <is>
          <t>Not applicable no issuance cost</t>
        </is>
      </c>
    </row>
    <row r="24" ht="15" customHeight="1" s="13">
      <c r="A24" s="12" t="inlineStr">
        <is>
          <t>Debt reference 001</t>
        </is>
      </c>
      <c r="B24" s="12" t="inlineStr">
        <is>
          <t>23</t>
        </is>
      </c>
      <c r="C24" s="22" t="n">
        <v>46327</v>
      </c>
      <c r="D24" s="22" t="n">
        <v>46356</v>
      </c>
      <c r="E24" s="22" t="n">
        <v>46356</v>
      </c>
      <c r="F24" s="23" t="n">
        <v>111629.07</v>
      </c>
      <c r="G24" s="12" t="inlineStr">
        <is>
          <t>0.0600</t>
        </is>
      </c>
      <c r="H24" s="12" t="inlineStr">
        <is>
          <t>30</t>
        </is>
      </c>
      <c r="I24" s="12" t="inlineStr">
        <is>
          <t>360</t>
        </is>
      </c>
      <c r="J24" s="12">
        <f>ROUND(F24*G24*H24/I24,2)</f>
        <v>558.15</v>
      </c>
      <c r="K24" s="23" t="n">
        <v>342.09</v>
      </c>
      <c r="L24" s="23" t="n">
        <v>0</v>
      </c>
      <c r="M24" s="12">
        <f>SUM(J24:L24)</f>
        <v>900.24</v>
      </c>
      <c r="N24" s="23" t="n">
        <v>111286.98</v>
      </c>
      <c r="O24" s="23" t="n">
        <v>0</v>
      </c>
      <c r="P24" s="23" t="n">
        <v>111629.07</v>
      </c>
      <c r="Q24" s="12" t="inlineStr">
        <is>
          <t>0.00500000</t>
        </is>
      </c>
      <c r="R24" s="12">
        <f>ROUND(P24*Q24,2)</f>
        <v>558.15</v>
      </c>
      <c r="S24" s="12">
        <f>MIN(MAX(R24-J24,0),O24)</f>
        <v>0.00</v>
      </c>
      <c r="T24" s="12">
        <f>O24-S24</f>
        <v>0.0</v>
      </c>
      <c r="U24" s="12">
        <f>N24-T24</f>
        <v>111286.98</v>
      </c>
      <c r="V24" s="12" t="inlineStr">
        <is>
          <t>111629.07 x 0.0600 x 30/360 = 558.15</t>
        </is>
      </c>
      <c r="W24" s="12" t="inlineStr">
        <is>
          <t>PROJECTED-Debt reference 001 011</t>
        </is>
      </c>
      <c r="X24" s="12" t="inlineStr">
        <is>
          <t>Not applicable no issuance cost</t>
        </is>
      </c>
    </row>
    <row r="25" ht="15" customHeight="1" s="13">
      <c r="A25" s="12" t="inlineStr">
        <is>
          <t>Debt reference 001</t>
        </is>
      </c>
      <c r="B25" s="12" t="inlineStr">
        <is>
          <t>24</t>
        </is>
      </c>
      <c r="C25" s="22" t="n">
        <v>46357</v>
      </c>
      <c r="D25" s="22" t="n">
        <v>46387</v>
      </c>
      <c r="E25" s="22" t="n">
        <v>46387</v>
      </c>
      <c r="F25" s="23" t="n">
        <v>111286.98</v>
      </c>
      <c r="G25" s="12" t="inlineStr">
        <is>
          <t>0.0600</t>
        </is>
      </c>
      <c r="H25" s="12" t="inlineStr">
        <is>
          <t>30</t>
        </is>
      </c>
      <c r="I25" s="12" t="inlineStr">
        <is>
          <t>360</t>
        </is>
      </c>
      <c r="J25" s="12">
        <f>ROUND(F25*G25*H25/I25,2)</f>
        <v>556.43</v>
      </c>
      <c r="K25" s="23" t="n">
        <v>343.81</v>
      </c>
      <c r="L25" s="23" t="n">
        <v>0</v>
      </c>
      <c r="M25" s="12">
        <f>SUM(J25:L25)</f>
        <v>900.24</v>
      </c>
      <c r="N25" s="23" t="n">
        <v>110943.17</v>
      </c>
      <c r="O25" s="23" t="n">
        <v>0</v>
      </c>
      <c r="P25" s="23" t="n">
        <v>111286.98</v>
      </c>
      <c r="Q25" s="12" t="inlineStr">
        <is>
          <t>0.00500000</t>
        </is>
      </c>
      <c r="R25" s="12">
        <f>ROUND(P25*Q25,2)</f>
        <v>556.43</v>
      </c>
      <c r="S25" s="12">
        <f>MIN(MAX(R25-J25,0),O25)</f>
        <v>0.00</v>
      </c>
      <c r="T25" s="12">
        <f>O25-S25</f>
        <v>0.0</v>
      </c>
      <c r="U25" s="12">
        <f>N25-T25</f>
        <v>110943.17</v>
      </c>
      <c r="V25" s="12" t="inlineStr">
        <is>
          <t>111286.98 x 0.0600 x 30/360 = 556.43</t>
        </is>
      </c>
      <c r="W25" s="12" t="inlineStr">
        <is>
          <t>PROJECTED-Debt reference 001 012</t>
        </is>
      </c>
      <c r="X25" s="12" t="inlineStr">
        <is>
          <t>Not applicable no issuance cost</t>
        </is>
      </c>
    </row>
    <row r="26" ht="15" customHeight="1" s="13">
      <c r="A26" s="12" t="inlineStr">
        <is>
          <t>Debt reference 001</t>
        </is>
      </c>
      <c r="B26" s="12" t="inlineStr">
        <is>
          <t>25</t>
        </is>
      </c>
      <c r="C26" s="22" t="n">
        <v>46388</v>
      </c>
      <c r="D26" s="22" t="n">
        <v>46418</v>
      </c>
      <c r="E26" s="22" t="n">
        <v>46418</v>
      </c>
      <c r="F26" s="23" t="n">
        <v>110943.17</v>
      </c>
      <c r="G26" s="12" t="inlineStr">
        <is>
          <t>0.0600</t>
        </is>
      </c>
      <c r="H26" s="12" t="inlineStr">
        <is>
          <t>30</t>
        </is>
      </c>
      <c r="I26" s="12" t="inlineStr">
        <is>
          <t>360</t>
        </is>
      </c>
      <c r="J26" s="12">
        <f>ROUND(F26*G26*H26/I26,2)</f>
        <v>554.72</v>
      </c>
      <c r="K26" s="23" t="n">
        <v>345.52</v>
      </c>
      <c r="L26" s="23" t="n">
        <v>0</v>
      </c>
      <c r="M26" s="12">
        <f>SUM(J26:L26)</f>
        <v>900.24</v>
      </c>
      <c r="N26" s="23" t="n">
        <v>110597.65</v>
      </c>
      <c r="O26" s="23" t="n">
        <v>0</v>
      </c>
      <c r="P26" s="23" t="n">
        <v>110943.17</v>
      </c>
      <c r="Q26" s="12" t="inlineStr">
        <is>
          <t>0.00500000</t>
        </is>
      </c>
      <c r="R26" s="12">
        <f>ROUND(P26*Q26,2)</f>
        <v>554.72</v>
      </c>
      <c r="S26" s="12">
        <f>MIN(MAX(R26-J26,0),O26)</f>
        <v>0.00</v>
      </c>
      <c r="T26" s="12">
        <f>O26-S26</f>
        <v>0.0</v>
      </c>
      <c r="U26" s="12">
        <f>N26-T26</f>
        <v>110597.65</v>
      </c>
      <c r="V26" s="12" t="inlineStr">
        <is>
          <t>110943.17 x 0.0600 x 30/360 = 554.72</t>
        </is>
      </c>
      <c r="W26" s="12" t="inlineStr">
        <is>
          <t>PROJECTED-Debt reference 001 013</t>
        </is>
      </c>
      <c r="X26" s="12" t="inlineStr">
        <is>
          <t>Not applicable no issuance cost</t>
        </is>
      </c>
    </row>
    <row r="27" ht="15" customHeight="1" s="13">
      <c r="A27" s="12" t="inlineStr">
        <is>
          <t>Debt reference 001</t>
        </is>
      </c>
      <c r="B27" s="12" t="inlineStr">
        <is>
          <t>26</t>
        </is>
      </c>
      <c r="C27" s="22" t="n">
        <v>46419</v>
      </c>
      <c r="D27" s="22" t="n">
        <v>46446</v>
      </c>
      <c r="E27" s="22" t="n">
        <v>46446</v>
      </c>
      <c r="F27" s="23" t="n">
        <v>110597.65</v>
      </c>
      <c r="G27" s="12" t="inlineStr">
        <is>
          <t>0.0600</t>
        </is>
      </c>
      <c r="H27" s="12" t="inlineStr">
        <is>
          <t>30</t>
        </is>
      </c>
      <c r="I27" s="12" t="inlineStr">
        <is>
          <t>360</t>
        </is>
      </c>
      <c r="J27" s="12">
        <f>ROUND(F27*G27*H27/I27,2)</f>
        <v>552.99</v>
      </c>
      <c r="K27" s="23" t="n">
        <v>347.25</v>
      </c>
      <c r="L27" s="23" t="n">
        <v>0</v>
      </c>
      <c r="M27" s="12">
        <f>SUM(J27:L27)</f>
        <v>900.24</v>
      </c>
      <c r="N27" s="23" t="n">
        <v>110250.4</v>
      </c>
      <c r="O27" s="23" t="n">
        <v>0</v>
      </c>
      <c r="P27" s="23" t="n">
        <v>110597.65</v>
      </c>
      <c r="Q27" s="12" t="inlineStr">
        <is>
          <t>0.00500000</t>
        </is>
      </c>
      <c r="R27" s="12">
        <f>ROUND(P27*Q27,2)</f>
        <v>552.99</v>
      </c>
      <c r="S27" s="12">
        <f>MIN(MAX(R27-J27,0),O27)</f>
        <v>0.00</v>
      </c>
      <c r="T27" s="12">
        <f>O27-S27</f>
        <v>0.0</v>
      </c>
      <c r="U27" s="12">
        <f>N27-T27</f>
        <v>110250.4</v>
      </c>
      <c r="V27" s="12" t="inlineStr">
        <is>
          <t>110597.65 x 0.0600 x 30/360 = 552.99</t>
        </is>
      </c>
      <c r="W27" s="12" t="inlineStr">
        <is>
          <t>PROJECTED-Debt reference 001 014</t>
        </is>
      </c>
      <c r="X27" s="12" t="inlineStr">
        <is>
          <t>Not applicable no issuance cost</t>
        </is>
      </c>
    </row>
    <row r="28" ht="15" customHeight="1" s="13">
      <c r="A28" s="12" t="inlineStr">
        <is>
          <t>Debt reference 001</t>
        </is>
      </c>
      <c r="B28" s="12" t="inlineStr">
        <is>
          <t>27</t>
        </is>
      </c>
      <c r="C28" s="22" t="n">
        <v>46447</v>
      </c>
      <c r="D28" s="22" t="n">
        <v>46477</v>
      </c>
      <c r="E28" s="22" t="n">
        <v>46477</v>
      </c>
      <c r="F28" s="23" t="n">
        <v>110250.4</v>
      </c>
      <c r="G28" s="12" t="inlineStr">
        <is>
          <t>0.0600</t>
        </is>
      </c>
      <c r="H28" s="12" t="inlineStr">
        <is>
          <t>30</t>
        </is>
      </c>
      <c r="I28" s="12" t="inlineStr">
        <is>
          <t>360</t>
        </is>
      </c>
      <c r="J28" s="12">
        <f>ROUND(F28*G28*H28/I28,2)</f>
        <v>551.25</v>
      </c>
      <c r="K28" s="23" t="n">
        <v>348.99</v>
      </c>
      <c r="L28" s="23" t="n">
        <v>0</v>
      </c>
      <c r="M28" s="12">
        <f>SUM(J28:L28)</f>
        <v>900.24</v>
      </c>
      <c r="N28" s="23" t="n">
        <v>109901.41</v>
      </c>
      <c r="O28" s="23" t="n">
        <v>0</v>
      </c>
      <c r="P28" s="23" t="n">
        <v>110250.4</v>
      </c>
      <c r="Q28" s="12" t="inlineStr">
        <is>
          <t>0.00500000</t>
        </is>
      </c>
      <c r="R28" s="12">
        <f>ROUND(P28*Q28,2)</f>
        <v>551.25</v>
      </c>
      <c r="S28" s="12">
        <f>MIN(MAX(R28-J28,0),O28)</f>
        <v>0.00</v>
      </c>
      <c r="T28" s="12">
        <f>O28-S28</f>
        <v>0.0</v>
      </c>
      <c r="U28" s="12">
        <f>N28-T28</f>
        <v>109901.41</v>
      </c>
      <c r="V28" s="12" t="inlineStr">
        <is>
          <t>110250.40 x 0.0600 x 30/360 = 551.25</t>
        </is>
      </c>
      <c r="W28" s="12" t="inlineStr">
        <is>
          <t>PROJECTED-Debt reference 001 015</t>
        </is>
      </c>
      <c r="X28" s="12" t="inlineStr">
        <is>
          <t>Not applicable no issuance cost</t>
        </is>
      </c>
    </row>
    <row r="29" ht="15" customHeight="1" s="13">
      <c r="A29" s="12" t="inlineStr">
        <is>
          <t>Debt reference 001</t>
        </is>
      </c>
      <c r="B29" s="12" t="inlineStr">
        <is>
          <t>28</t>
        </is>
      </c>
      <c r="C29" s="22" t="n">
        <v>46478</v>
      </c>
      <c r="D29" s="22" t="n">
        <v>46507</v>
      </c>
      <c r="E29" s="22" t="n">
        <v>46507</v>
      </c>
      <c r="F29" s="23" t="n">
        <v>109901.41</v>
      </c>
      <c r="G29" s="12" t="inlineStr">
        <is>
          <t>0.0600</t>
        </is>
      </c>
      <c r="H29" s="12" t="inlineStr">
        <is>
          <t>30</t>
        </is>
      </c>
      <c r="I29" s="12" t="inlineStr">
        <is>
          <t>360</t>
        </is>
      </c>
      <c r="J29" s="12">
        <f>ROUND(F29*G29*H29/I29,2)</f>
        <v>549.51</v>
      </c>
      <c r="K29" s="23" t="n">
        <v>350.73</v>
      </c>
      <c r="L29" s="23" t="n">
        <v>0</v>
      </c>
      <c r="M29" s="12">
        <f>SUM(J29:L29)</f>
        <v>900.24</v>
      </c>
      <c r="N29" s="23" t="n">
        <v>109550.68</v>
      </c>
      <c r="O29" s="23" t="n">
        <v>0</v>
      </c>
      <c r="P29" s="23" t="n">
        <v>109901.41</v>
      </c>
      <c r="Q29" s="12" t="inlineStr">
        <is>
          <t>0.00500000</t>
        </is>
      </c>
      <c r="R29" s="12">
        <f>ROUND(P29*Q29,2)</f>
        <v>549.51</v>
      </c>
      <c r="S29" s="12">
        <f>MIN(MAX(R29-J29,0),O29)</f>
        <v>0.00</v>
      </c>
      <c r="T29" s="12">
        <f>O29-S29</f>
        <v>0.0</v>
      </c>
      <c r="U29" s="12">
        <f>N29-T29</f>
        <v>109550.68</v>
      </c>
      <c r="V29" s="12" t="inlineStr">
        <is>
          <t>109901.41 x 0.0600 x 30/360 = 549.51</t>
        </is>
      </c>
      <c r="W29" s="12" t="inlineStr">
        <is>
          <t>PROJECTED-Debt reference 001 016</t>
        </is>
      </c>
      <c r="X29" s="12" t="inlineStr">
        <is>
          <t>Not applicable no issuance cost</t>
        </is>
      </c>
    </row>
    <row r="30" ht="15" customHeight="1" s="13">
      <c r="A30" s="12" t="inlineStr">
        <is>
          <t>Debt reference 001</t>
        </is>
      </c>
      <c r="B30" s="12" t="inlineStr">
        <is>
          <t>29</t>
        </is>
      </c>
      <c r="C30" s="22" t="n">
        <v>46508</v>
      </c>
      <c r="D30" s="22" t="n">
        <v>46538</v>
      </c>
      <c r="E30" s="22" t="n">
        <v>46538</v>
      </c>
      <c r="F30" s="23" t="n">
        <v>109550.68</v>
      </c>
      <c r="G30" s="12" t="inlineStr">
        <is>
          <t>0.0600</t>
        </is>
      </c>
      <c r="H30" s="12" t="inlineStr">
        <is>
          <t>30</t>
        </is>
      </c>
      <c r="I30" s="12" t="inlineStr">
        <is>
          <t>360</t>
        </is>
      </c>
      <c r="J30" s="12">
        <f>ROUND(F30*G30*H30/I30,2)</f>
        <v>547.75</v>
      </c>
      <c r="K30" s="23" t="n">
        <v>352.49</v>
      </c>
      <c r="L30" s="23" t="n">
        <v>0</v>
      </c>
      <c r="M30" s="12">
        <f>SUM(J30:L30)</f>
        <v>900.24</v>
      </c>
      <c r="N30" s="23" t="n">
        <v>109198.19</v>
      </c>
      <c r="O30" s="23" t="n">
        <v>0</v>
      </c>
      <c r="P30" s="23" t="n">
        <v>109550.68</v>
      </c>
      <c r="Q30" s="12" t="inlineStr">
        <is>
          <t>0.00500000</t>
        </is>
      </c>
      <c r="R30" s="12">
        <f>ROUND(P30*Q30,2)</f>
        <v>547.75</v>
      </c>
      <c r="S30" s="12">
        <f>MIN(MAX(R30-J30,0),O30)</f>
        <v>0.00</v>
      </c>
      <c r="T30" s="12">
        <f>O30-S30</f>
        <v>0.0</v>
      </c>
      <c r="U30" s="12">
        <f>N30-T30</f>
        <v>109198.19</v>
      </c>
      <c r="V30" s="12" t="inlineStr">
        <is>
          <t>109550.68 x 0.0600 x 30/360 = 547.75</t>
        </is>
      </c>
      <c r="W30" s="12" t="inlineStr">
        <is>
          <t>PROJECTED-Debt reference 001 017</t>
        </is>
      </c>
      <c r="X30" s="12" t="inlineStr">
        <is>
          <t>Not applicable no issuance cost</t>
        </is>
      </c>
    </row>
    <row r="31" ht="15" customHeight="1" s="13">
      <c r="A31" s="12" t="inlineStr">
        <is>
          <t>Debt reference 001</t>
        </is>
      </c>
      <c r="B31" s="12" t="inlineStr">
        <is>
          <t>30</t>
        </is>
      </c>
      <c r="C31" s="22" t="n">
        <v>46539</v>
      </c>
      <c r="D31" s="22" t="n">
        <v>46568</v>
      </c>
      <c r="E31" s="22" t="n">
        <v>46568</v>
      </c>
      <c r="F31" s="23" t="n">
        <v>109198.19</v>
      </c>
      <c r="G31" s="12" t="inlineStr">
        <is>
          <t>0.0600</t>
        </is>
      </c>
      <c r="H31" s="12" t="inlineStr">
        <is>
          <t>30</t>
        </is>
      </c>
      <c r="I31" s="12" t="inlineStr">
        <is>
          <t>360</t>
        </is>
      </c>
      <c r="J31" s="12">
        <f>ROUND(F31*G31*H31/I31,2)</f>
        <v>545.99</v>
      </c>
      <c r="K31" s="23" t="n">
        <v>354.25</v>
      </c>
      <c r="L31" s="23" t="n">
        <v>0</v>
      </c>
      <c r="M31" s="12">
        <f>SUM(J31:L31)</f>
        <v>900.24</v>
      </c>
      <c r="N31" s="23" t="n">
        <v>108843.94</v>
      </c>
      <c r="O31" s="23" t="n">
        <v>0</v>
      </c>
      <c r="P31" s="23" t="n">
        <v>109198.19</v>
      </c>
      <c r="Q31" s="12" t="inlineStr">
        <is>
          <t>0.00500000</t>
        </is>
      </c>
      <c r="R31" s="12">
        <f>ROUND(P31*Q31,2)</f>
        <v>545.99</v>
      </c>
      <c r="S31" s="12">
        <f>MIN(MAX(R31-J31,0),O31)</f>
        <v>0.00</v>
      </c>
      <c r="T31" s="12">
        <f>O31-S31</f>
        <v>0.0</v>
      </c>
      <c r="U31" s="12">
        <f>N31-T31</f>
        <v>108843.94</v>
      </c>
      <c r="V31" s="12" t="inlineStr">
        <is>
          <t>109198.19 x 0.0600 x 30/360 = 545.99</t>
        </is>
      </c>
      <c r="W31" s="12" t="inlineStr">
        <is>
          <t>PROJECTED-Debt reference 001 018</t>
        </is>
      </c>
      <c r="X31" s="12" t="inlineStr">
        <is>
          <t>Not applicable no issuance cost</t>
        </is>
      </c>
    </row>
    <row r="32" ht="15" customHeight="1" s="13">
      <c r="A32" s="12" t="inlineStr">
        <is>
          <t>Debt reference 001</t>
        </is>
      </c>
      <c r="B32" s="12" t="inlineStr">
        <is>
          <t>31</t>
        </is>
      </c>
      <c r="C32" s="22" t="n">
        <v>46569</v>
      </c>
      <c r="D32" s="22" t="n">
        <v>46599</v>
      </c>
      <c r="E32" s="22" t="n">
        <v>46599</v>
      </c>
      <c r="F32" s="23" t="n">
        <v>108843.94</v>
      </c>
      <c r="G32" s="12" t="inlineStr">
        <is>
          <t>0.0600</t>
        </is>
      </c>
      <c r="H32" s="12" t="inlineStr">
        <is>
          <t>30</t>
        </is>
      </c>
      <c r="I32" s="12" t="inlineStr">
        <is>
          <t>360</t>
        </is>
      </c>
      <c r="J32" s="12">
        <f>ROUND(F32*G32*H32/I32,2)</f>
        <v>544.22</v>
      </c>
      <c r="K32" s="23" t="n">
        <v>356.02</v>
      </c>
      <c r="L32" s="23" t="n">
        <v>0</v>
      </c>
      <c r="M32" s="12">
        <f>SUM(J32:L32)</f>
        <v>900.24</v>
      </c>
      <c r="N32" s="23" t="n">
        <v>108487.92</v>
      </c>
      <c r="O32" s="23" t="n">
        <v>0</v>
      </c>
      <c r="P32" s="23" t="n">
        <v>108843.94</v>
      </c>
      <c r="Q32" s="12" t="inlineStr">
        <is>
          <t>0.00500000</t>
        </is>
      </c>
      <c r="R32" s="12">
        <f>ROUND(P32*Q32,2)</f>
        <v>544.22</v>
      </c>
      <c r="S32" s="12">
        <f>MIN(MAX(R32-J32,0),O32)</f>
        <v>0.00</v>
      </c>
      <c r="T32" s="12">
        <f>O32-S32</f>
        <v>0.0</v>
      </c>
      <c r="U32" s="12">
        <f>N32-T32</f>
        <v>108487.92</v>
      </c>
      <c r="V32" s="12" t="inlineStr">
        <is>
          <t>108843.94 x 0.0600 x 30/360 = 544.22</t>
        </is>
      </c>
      <c r="W32" s="12" t="inlineStr">
        <is>
          <t>PROJECTED-Debt reference 001 019</t>
        </is>
      </c>
      <c r="X32" s="12" t="inlineStr">
        <is>
          <t>Not applicable no issuance cost</t>
        </is>
      </c>
    </row>
    <row r="33" ht="15" customHeight="1" s="13">
      <c r="A33" s="12" t="inlineStr">
        <is>
          <t>Debt reference 001</t>
        </is>
      </c>
      <c r="B33" s="12" t="inlineStr">
        <is>
          <t>32</t>
        </is>
      </c>
      <c r="C33" s="22" t="n">
        <v>46600</v>
      </c>
      <c r="D33" s="22" t="n">
        <v>46630</v>
      </c>
      <c r="E33" s="22" t="n">
        <v>46630</v>
      </c>
      <c r="F33" s="23" t="n">
        <v>108487.92</v>
      </c>
      <c r="G33" s="12" t="inlineStr">
        <is>
          <t>0.0600</t>
        </is>
      </c>
      <c r="H33" s="12" t="inlineStr">
        <is>
          <t>30</t>
        </is>
      </c>
      <c r="I33" s="12" t="inlineStr">
        <is>
          <t>360</t>
        </is>
      </c>
      <c r="J33" s="12">
        <f>ROUND(F33*G33*H33/I33,2)</f>
        <v>542.44</v>
      </c>
      <c r="K33" s="23" t="n">
        <v>357.8</v>
      </c>
      <c r="L33" s="23" t="n">
        <v>0</v>
      </c>
      <c r="M33" s="12">
        <f>SUM(J33:L33)</f>
        <v>900.24</v>
      </c>
      <c r="N33" s="23" t="n">
        <v>108130.12</v>
      </c>
      <c r="O33" s="23" t="n">
        <v>0</v>
      </c>
      <c r="P33" s="23" t="n">
        <v>108487.92</v>
      </c>
      <c r="Q33" s="12" t="inlineStr">
        <is>
          <t>0.00500000</t>
        </is>
      </c>
      <c r="R33" s="12">
        <f>ROUND(P33*Q33,2)</f>
        <v>542.44</v>
      </c>
      <c r="S33" s="12">
        <f>MIN(MAX(R33-J33,0),O33)</f>
        <v>0.00</v>
      </c>
      <c r="T33" s="12">
        <f>O33-S33</f>
        <v>0.0</v>
      </c>
      <c r="U33" s="12">
        <f>N33-T33</f>
        <v>108130.12</v>
      </c>
      <c r="V33" s="12" t="inlineStr">
        <is>
          <t>108487.92 x 0.0600 x 30/360 = 542.44</t>
        </is>
      </c>
      <c r="W33" s="12" t="inlineStr">
        <is>
          <t>PROJECTED-Debt reference 001 020</t>
        </is>
      </c>
      <c r="X33" s="12" t="inlineStr">
        <is>
          <t>Not applicable no issuance cost</t>
        </is>
      </c>
    </row>
    <row r="34" ht="15" customHeight="1" s="13">
      <c r="A34" s="12" t="inlineStr">
        <is>
          <t>Debt reference 001</t>
        </is>
      </c>
      <c r="B34" s="12" t="inlineStr">
        <is>
          <t>33</t>
        </is>
      </c>
      <c r="C34" s="22" t="n">
        <v>46631</v>
      </c>
      <c r="D34" s="22" t="n">
        <v>46660</v>
      </c>
      <c r="E34" s="22" t="n">
        <v>46660</v>
      </c>
      <c r="F34" s="23" t="n">
        <v>108130.12</v>
      </c>
      <c r="G34" s="12" t="inlineStr">
        <is>
          <t>0.0600</t>
        </is>
      </c>
      <c r="H34" s="12" t="inlineStr">
        <is>
          <t>30</t>
        </is>
      </c>
      <c r="I34" s="12" t="inlineStr">
        <is>
          <t>360</t>
        </is>
      </c>
      <c r="J34" s="12">
        <f>ROUND(F34*G34*H34/I34,2)</f>
        <v>540.65</v>
      </c>
      <c r="K34" s="23" t="n">
        <v>359.59</v>
      </c>
      <c r="L34" s="23" t="n">
        <v>0</v>
      </c>
      <c r="M34" s="12">
        <f>SUM(J34:L34)</f>
        <v>900.24</v>
      </c>
      <c r="N34" s="23" t="n">
        <v>107770.53</v>
      </c>
      <c r="O34" s="23" t="n">
        <v>0</v>
      </c>
      <c r="P34" s="23" t="n">
        <v>108130.12</v>
      </c>
      <c r="Q34" s="12" t="inlineStr">
        <is>
          <t>0.00500000</t>
        </is>
      </c>
      <c r="R34" s="12">
        <f>ROUND(P34*Q34,2)</f>
        <v>540.65</v>
      </c>
      <c r="S34" s="12">
        <f>MIN(MAX(R34-J34,0),O34)</f>
        <v>0.00</v>
      </c>
      <c r="T34" s="12">
        <f>O34-S34</f>
        <v>0.0</v>
      </c>
      <c r="U34" s="12">
        <f>N34-T34</f>
        <v>107770.53</v>
      </c>
      <c r="V34" s="12" t="inlineStr">
        <is>
          <t>108130.12 x 0.0600 x 30/360 = 540.65</t>
        </is>
      </c>
      <c r="W34" s="12" t="inlineStr">
        <is>
          <t>PROJECTED-Debt reference 001 021</t>
        </is>
      </c>
      <c r="X34" s="12" t="inlineStr">
        <is>
          <t>Not applicable no issuance cost</t>
        </is>
      </c>
    </row>
    <row r="35" ht="15" customHeight="1" s="13">
      <c r="A35" s="12" t="inlineStr">
        <is>
          <t>Debt reference 001</t>
        </is>
      </c>
      <c r="B35" s="12" t="inlineStr">
        <is>
          <t>34</t>
        </is>
      </c>
      <c r="C35" s="22" t="n">
        <v>46661</v>
      </c>
      <c r="D35" s="22" t="n">
        <v>46691</v>
      </c>
      <c r="E35" s="22" t="n">
        <v>46691</v>
      </c>
      <c r="F35" s="23" t="n">
        <v>107770.53</v>
      </c>
      <c r="G35" s="12" t="inlineStr">
        <is>
          <t>0.0600</t>
        </is>
      </c>
      <c r="H35" s="12" t="inlineStr">
        <is>
          <t>30</t>
        </is>
      </c>
      <c r="I35" s="12" t="inlineStr">
        <is>
          <t>360</t>
        </is>
      </c>
      <c r="J35" s="12">
        <f>ROUND(F35*G35*H35/I35,2)</f>
        <v>538.85</v>
      </c>
      <c r="K35" s="23" t="n">
        <v>361.39</v>
      </c>
      <c r="L35" s="23" t="n">
        <v>0</v>
      </c>
      <c r="M35" s="12">
        <f>SUM(J35:L35)</f>
        <v>900.24</v>
      </c>
      <c r="N35" s="23" t="n">
        <v>107409.14</v>
      </c>
      <c r="O35" s="23" t="n">
        <v>0</v>
      </c>
      <c r="P35" s="23" t="n">
        <v>107770.53</v>
      </c>
      <c r="Q35" s="12" t="inlineStr">
        <is>
          <t>0.00500000</t>
        </is>
      </c>
      <c r="R35" s="12">
        <f>ROUND(P35*Q35,2)</f>
        <v>538.85</v>
      </c>
      <c r="S35" s="12">
        <f>MIN(MAX(R35-J35,0),O35)</f>
        <v>0.00</v>
      </c>
      <c r="T35" s="12">
        <f>O35-S35</f>
        <v>0.0</v>
      </c>
      <c r="U35" s="12">
        <f>N35-T35</f>
        <v>107409.14</v>
      </c>
      <c r="V35" s="12" t="inlineStr">
        <is>
          <t>107770.53 x 0.0600 x 30/360 = 538.85</t>
        </is>
      </c>
      <c r="W35" s="12" t="inlineStr">
        <is>
          <t>PROJECTED-Debt reference 001 022</t>
        </is>
      </c>
      <c r="X35" s="12" t="inlineStr">
        <is>
          <t>Not applicable no issuance cost</t>
        </is>
      </c>
    </row>
    <row r="36" ht="15" customHeight="1" s="13">
      <c r="A36" s="12" t="inlineStr">
        <is>
          <t>Debt reference 001</t>
        </is>
      </c>
      <c r="B36" s="12" t="inlineStr">
        <is>
          <t>35</t>
        </is>
      </c>
      <c r="C36" s="22" t="n">
        <v>46692</v>
      </c>
      <c r="D36" s="22" t="n">
        <v>46721</v>
      </c>
      <c r="E36" s="22" t="n">
        <v>46721</v>
      </c>
      <c r="F36" s="23" t="n">
        <v>107409.14</v>
      </c>
      <c r="G36" s="12" t="inlineStr">
        <is>
          <t>0.0600</t>
        </is>
      </c>
      <c r="H36" s="12" t="inlineStr">
        <is>
          <t>30</t>
        </is>
      </c>
      <c r="I36" s="12" t="inlineStr">
        <is>
          <t>360</t>
        </is>
      </c>
      <c r="J36" s="12">
        <f>ROUND(F36*G36*H36/I36,2)</f>
        <v>537.05</v>
      </c>
      <c r="K36" s="23" t="n">
        <v>363.19</v>
      </c>
      <c r="L36" s="23" t="n">
        <v>0</v>
      </c>
      <c r="M36" s="12">
        <f>SUM(J36:L36)</f>
        <v>900.24</v>
      </c>
      <c r="N36" s="23" t="n">
        <v>107045.95</v>
      </c>
      <c r="O36" s="23" t="n">
        <v>0</v>
      </c>
      <c r="P36" s="23" t="n">
        <v>107409.14</v>
      </c>
      <c r="Q36" s="12" t="inlineStr">
        <is>
          <t>0.00500000</t>
        </is>
      </c>
      <c r="R36" s="12">
        <f>ROUND(P36*Q36,2)</f>
        <v>537.05</v>
      </c>
      <c r="S36" s="12">
        <f>MIN(MAX(R36-J36,0),O36)</f>
        <v>0.00</v>
      </c>
      <c r="T36" s="12">
        <f>O36-S36</f>
        <v>0.0</v>
      </c>
      <c r="U36" s="12">
        <f>N36-T36</f>
        <v>107045.95</v>
      </c>
      <c r="V36" s="12" t="inlineStr">
        <is>
          <t>107409.14 x 0.0600 x 30/360 = 537.05</t>
        </is>
      </c>
      <c r="W36" s="12" t="inlineStr">
        <is>
          <t>PROJECTED-Debt reference 001 023</t>
        </is>
      </c>
      <c r="X36" s="12" t="inlineStr">
        <is>
          <t>Not applicable no issuance cost</t>
        </is>
      </c>
    </row>
    <row r="37" ht="15" customHeight="1" s="13">
      <c r="A37" s="12" t="inlineStr">
        <is>
          <t>Debt reference 001</t>
        </is>
      </c>
      <c r="B37" s="12" t="inlineStr">
        <is>
          <t>36</t>
        </is>
      </c>
      <c r="C37" s="22" t="n">
        <v>46722</v>
      </c>
      <c r="D37" s="22" t="n">
        <v>46752</v>
      </c>
      <c r="E37" s="22" t="n">
        <v>46752</v>
      </c>
      <c r="F37" s="23" t="n">
        <v>107045.95</v>
      </c>
      <c r="G37" s="12" t="inlineStr">
        <is>
          <t>0.0600</t>
        </is>
      </c>
      <c r="H37" s="12" t="inlineStr">
        <is>
          <t>30</t>
        </is>
      </c>
      <c r="I37" s="12" t="inlineStr">
        <is>
          <t>360</t>
        </is>
      </c>
      <c r="J37" s="12">
        <f>ROUND(F37*G37*H37/I37,2)</f>
        <v>535.23</v>
      </c>
      <c r="K37" s="23" t="n">
        <v>365.01</v>
      </c>
      <c r="L37" s="23" t="n">
        <v>0</v>
      </c>
      <c r="M37" s="12">
        <f>SUM(J37:L37)</f>
        <v>900.24</v>
      </c>
      <c r="N37" s="23" t="n">
        <v>106680.94</v>
      </c>
      <c r="O37" s="23" t="n">
        <v>0</v>
      </c>
      <c r="P37" s="23" t="n">
        <v>107045.95</v>
      </c>
      <c r="Q37" s="12" t="inlineStr">
        <is>
          <t>0.00500000</t>
        </is>
      </c>
      <c r="R37" s="12">
        <f>ROUND(P37*Q37,2)</f>
        <v>535.23</v>
      </c>
      <c r="S37" s="12">
        <f>MIN(MAX(R37-J37,0),O37)</f>
        <v>0.00</v>
      </c>
      <c r="T37" s="12">
        <f>O37-S37</f>
        <v>0.0</v>
      </c>
      <c r="U37" s="12">
        <f>N37-T37</f>
        <v>106680.94</v>
      </c>
      <c r="V37" s="12" t="inlineStr">
        <is>
          <t>107045.95 x 0.0600 x 30/360 = 535.23</t>
        </is>
      </c>
      <c r="W37" s="12" t="inlineStr">
        <is>
          <t>PROJECTED-Debt reference 001 024</t>
        </is>
      </c>
      <c r="X37" s="12" t="inlineStr">
        <is>
          <t>Not applicable no issuance cost</t>
        </is>
      </c>
    </row>
    <row r="38" ht="15" customHeight="1" s="13">
      <c r="A38" s="12" t="inlineStr">
        <is>
          <t>Debt reference 001</t>
        </is>
      </c>
      <c r="B38" s="12" t="inlineStr">
        <is>
          <t>37</t>
        </is>
      </c>
      <c r="C38" s="22" t="n">
        <v>46753</v>
      </c>
      <c r="D38" s="22" t="n">
        <v>46783</v>
      </c>
      <c r="E38" s="22" t="n">
        <v>46783</v>
      </c>
      <c r="F38" s="23" t="n">
        <v>106680.94</v>
      </c>
      <c r="G38" s="12" t="inlineStr">
        <is>
          <t>0.0600</t>
        </is>
      </c>
      <c r="H38" s="12" t="inlineStr">
        <is>
          <t>30</t>
        </is>
      </c>
      <c r="I38" s="12" t="inlineStr">
        <is>
          <t>360</t>
        </is>
      </c>
      <c r="J38" s="12">
        <f>ROUND(F38*G38*H38/I38,2)</f>
        <v>533.40</v>
      </c>
      <c r="K38" s="23" t="n">
        <v>366.84</v>
      </c>
      <c r="L38" s="23" t="n">
        <v>0</v>
      </c>
      <c r="M38" s="12">
        <f>SUM(J38:L38)</f>
        <v>900.24</v>
      </c>
      <c r="N38" s="23" t="n">
        <v>106314.1</v>
      </c>
      <c r="O38" s="23" t="n">
        <v>0</v>
      </c>
      <c r="P38" s="23" t="n">
        <v>106680.94</v>
      </c>
      <c r="Q38" s="12" t="inlineStr">
        <is>
          <t>0.00500000</t>
        </is>
      </c>
      <c r="R38" s="12">
        <f>ROUND(P38*Q38,2)</f>
        <v>533.40</v>
      </c>
      <c r="S38" s="12">
        <f>MIN(MAX(R38-J38,0),O38)</f>
        <v>0.0</v>
      </c>
      <c r="T38" s="12">
        <f>O38-S38</f>
        <v>0.0</v>
      </c>
      <c r="U38" s="12">
        <f>N38-T38</f>
        <v>106314.1</v>
      </c>
      <c r="V38" s="12" t="inlineStr">
        <is>
          <t>106680.94 x 0.0600 x 30/360 = 533.40</t>
        </is>
      </c>
      <c r="W38" s="12" t="inlineStr">
        <is>
          <t>PROJECTED-Debt reference 001 025</t>
        </is>
      </c>
      <c r="X38" s="12" t="inlineStr">
        <is>
          <t>Not applicable no issuance cost</t>
        </is>
      </c>
    </row>
    <row r="39" ht="15" customHeight="1" s="13">
      <c r="A39" s="12" t="inlineStr">
        <is>
          <t>Debt reference 001</t>
        </is>
      </c>
      <c r="B39" s="12" t="inlineStr">
        <is>
          <t>38</t>
        </is>
      </c>
      <c r="C39" s="22" t="n">
        <v>46784</v>
      </c>
      <c r="D39" s="22" t="n">
        <v>46812</v>
      </c>
      <c r="E39" s="22" t="n">
        <v>46812</v>
      </c>
      <c r="F39" s="23" t="n">
        <v>106314.1</v>
      </c>
      <c r="G39" s="12" t="inlineStr">
        <is>
          <t>0.0600</t>
        </is>
      </c>
      <c r="H39" s="12" t="inlineStr">
        <is>
          <t>30</t>
        </is>
      </c>
      <c r="I39" s="12" t="inlineStr">
        <is>
          <t>360</t>
        </is>
      </c>
      <c r="J39" s="12">
        <f>ROUND(F39*G39*H39/I39,2)</f>
        <v>531.57</v>
      </c>
      <c r="K39" s="23" t="n">
        <v>368.67</v>
      </c>
      <c r="L39" s="23" t="n">
        <v>0</v>
      </c>
      <c r="M39" s="12">
        <f>SUM(J39:L39)</f>
        <v>900.24</v>
      </c>
      <c r="N39" s="23" t="n">
        <v>105945.43</v>
      </c>
      <c r="O39" s="23" t="n">
        <v>0</v>
      </c>
      <c r="P39" s="23" t="n">
        <v>106314.1</v>
      </c>
      <c r="Q39" s="12" t="inlineStr">
        <is>
          <t>0.00500000</t>
        </is>
      </c>
      <c r="R39" s="12">
        <f>ROUND(P39*Q39,2)</f>
        <v>531.57</v>
      </c>
      <c r="S39" s="12">
        <f>MIN(MAX(R39-J39,0),O39)</f>
        <v>0.00</v>
      </c>
      <c r="T39" s="12">
        <f>O39-S39</f>
        <v>0.0</v>
      </c>
      <c r="U39" s="12">
        <f>N39-T39</f>
        <v>105945.43</v>
      </c>
      <c r="V39" s="12" t="inlineStr">
        <is>
          <t>106314.10 x 0.0600 x 30/360 = 531.57</t>
        </is>
      </c>
      <c r="W39" s="12" t="inlineStr">
        <is>
          <t>PROJECTED-Debt reference 001 026</t>
        </is>
      </c>
      <c r="X39" s="12" t="inlineStr">
        <is>
          <t>Not applicable no issuance cost</t>
        </is>
      </c>
    </row>
    <row r="40" ht="15" customHeight="1" s="13">
      <c r="A40" s="12" t="inlineStr">
        <is>
          <t>Debt reference 001</t>
        </is>
      </c>
      <c r="B40" s="12" t="inlineStr">
        <is>
          <t>39</t>
        </is>
      </c>
      <c r="C40" s="22" t="n">
        <v>46813</v>
      </c>
      <c r="D40" s="22" t="n">
        <v>46843</v>
      </c>
      <c r="E40" s="22" t="n">
        <v>46843</v>
      </c>
      <c r="F40" s="23" t="n">
        <v>105945.43</v>
      </c>
      <c r="G40" s="12" t="inlineStr">
        <is>
          <t>0.0600</t>
        </is>
      </c>
      <c r="H40" s="12" t="inlineStr">
        <is>
          <t>30</t>
        </is>
      </c>
      <c r="I40" s="12" t="inlineStr">
        <is>
          <t>360</t>
        </is>
      </c>
      <c r="J40" s="12">
        <f>ROUND(F40*G40*H40/I40,2)</f>
        <v>529.73</v>
      </c>
      <c r="K40" s="23" t="n">
        <v>370.51</v>
      </c>
      <c r="L40" s="23" t="n">
        <v>0</v>
      </c>
      <c r="M40" s="12">
        <f>SUM(J40:L40)</f>
        <v>900.24</v>
      </c>
      <c r="N40" s="23" t="n">
        <v>105574.92</v>
      </c>
      <c r="O40" s="23" t="n">
        <v>0</v>
      </c>
      <c r="P40" s="23" t="n">
        <v>105945.43</v>
      </c>
      <c r="Q40" s="12" t="inlineStr">
        <is>
          <t>0.00500000</t>
        </is>
      </c>
      <c r="R40" s="12">
        <f>ROUND(P40*Q40,2)</f>
        <v>529.73</v>
      </c>
      <c r="S40" s="12">
        <f>MIN(MAX(R40-J40,0),O40)</f>
        <v>0.00</v>
      </c>
      <c r="T40" s="12">
        <f>O40-S40</f>
        <v>0.0</v>
      </c>
      <c r="U40" s="12">
        <f>N40-T40</f>
        <v>105574.92</v>
      </c>
      <c r="V40" s="12" t="inlineStr">
        <is>
          <t>105945.43 x 0.0600 x 30/360 = 529.73</t>
        </is>
      </c>
      <c r="W40" s="12" t="inlineStr">
        <is>
          <t>PROJECTED-Debt reference 001 027</t>
        </is>
      </c>
      <c r="X40" s="12" t="inlineStr">
        <is>
          <t>Not applicable no issuance cost</t>
        </is>
      </c>
    </row>
    <row r="41" ht="15" customHeight="1" s="13">
      <c r="A41" s="12" t="inlineStr">
        <is>
          <t>Debt reference 001</t>
        </is>
      </c>
      <c r="B41" s="12" t="inlineStr">
        <is>
          <t>40</t>
        </is>
      </c>
      <c r="C41" s="22" t="n">
        <v>46844</v>
      </c>
      <c r="D41" s="22" t="n">
        <v>46873</v>
      </c>
      <c r="E41" s="22" t="n">
        <v>46873</v>
      </c>
      <c r="F41" s="23" t="n">
        <v>105574.92</v>
      </c>
      <c r="G41" s="12" t="inlineStr">
        <is>
          <t>0.0600</t>
        </is>
      </c>
      <c r="H41" s="12" t="inlineStr">
        <is>
          <t>30</t>
        </is>
      </c>
      <c r="I41" s="12" t="inlineStr">
        <is>
          <t>360</t>
        </is>
      </c>
      <c r="J41" s="12">
        <f>ROUND(F41*G41*H41/I41,2)</f>
        <v>527.87</v>
      </c>
      <c r="K41" s="23" t="n">
        <v>372.37</v>
      </c>
      <c r="L41" s="23" t="n">
        <v>0</v>
      </c>
      <c r="M41" s="12">
        <f>SUM(J41:L41)</f>
        <v>900.24</v>
      </c>
      <c r="N41" s="23" t="n">
        <v>105202.55</v>
      </c>
      <c r="O41" s="23" t="n">
        <v>0</v>
      </c>
      <c r="P41" s="23" t="n">
        <v>105574.92</v>
      </c>
      <c r="Q41" s="12" t="inlineStr">
        <is>
          <t>0.00500000</t>
        </is>
      </c>
      <c r="R41" s="12">
        <f>ROUND(P41*Q41,2)</f>
        <v>527.87</v>
      </c>
      <c r="S41" s="12">
        <f>MIN(MAX(R41-J41,0),O41)</f>
        <v>0.00</v>
      </c>
      <c r="T41" s="12">
        <f>O41-S41</f>
        <v>0.0</v>
      </c>
      <c r="U41" s="12">
        <f>N41-T41</f>
        <v>105202.55</v>
      </c>
      <c r="V41" s="12" t="inlineStr">
        <is>
          <t>105574.92 x 0.0600 x 30/360 = 527.87</t>
        </is>
      </c>
      <c r="W41" s="12" t="inlineStr">
        <is>
          <t>PROJECTED-Debt reference 001 028</t>
        </is>
      </c>
      <c r="X41" s="12" t="inlineStr">
        <is>
          <t>Not applicable no issuance cost</t>
        </is>
      </c>
    </row>
    <row r="42" ht="15" customHeight="1" s="13">
      <c r="A42" s="12" t="inlineStr">
        <is>
          <t>Debt reference 001</t>
        </is>
      </c>
      <c r="B42" s="12" t="inlineStr">
        <is>
          <t>41</t>
        </is>
      </c>
      <c r="C42" s="22" t="n">
        <v>46874</v>
      </c>
      <c r="D42" s="22" t="n">
        <v>46904</v>
      </c>
      <c r="E42" s="22" t="n">
        <v>46904</v>
      </c>
      <c r="F42" s="23" t="n">
        <v>105202.55</v>
      </c>
      <c r="G42" s="12" t="inlineStr">
        <is>
          <t>0.0600</t>
        </is>
      </c>
      <c r="H42" s="12" t="inlineStr">
        <is>
          <t>30</t>
        </is>
      </c>
      <c r="I42" s="12" t="inlineStr">
        <is>
          <t>360</t>
        </is>
      </c>
      <c r="J42" s="12">
        <f>ROUND(F42*G42*H42/I42,2)</f>
        <v>526.01</v>
      </c>
      <c r="K42" s="23" t="n">
        <v>374.23</v>
      </c>
      <c r="L42" s="23" t="n">
        <v>0</v>
      </c>
      <c r="M42" s="12">
        <f>SUM(J42:L42)</f>
        <v>900.24</v>
      </c>
      <c r="N42" s="23" t="n">
        <v>104828.32</v>
      </c>
      <c r="O42" s="23" t="n">
        <v>0</v>
      </c>
      <c r="P42" s="23" t="n">
        <v>105202.55</v>
      </c>
      <c r="Q42" s="12" t="inlineStr">
        <is>
          <t>0.00500000</t>
        </is>
      </c>
      <c r="R42" s="12">
        <f>ROUND(P42*Q42,2)</f>
        <v>526.01</v>
      </c>
      <c r="S42" s="12">
        <f>MIN(MAX(R42-J42,0),O42)</f>
        <v>0.00</v>
      </c>
      <c r="T42" s="12">
        <f>O42-S42</f>
        <v>0.0</v>
      </c>
      <c r="U42" s="12">
        <f>N42-T42</f>
        <v>104828.32</v>
      </c>
      <c r="V42" s="12" t="inlineStr">
        <is>
          <t>105202.55 x 0.0600 x 30/360 = 526.01</t>
        </is>
      </c>
      <c r="W42" s="12" t="inlineStr">
        <is>
          <t>PROJECTED-Debt reference 001 029</t>
        </is>
      </c>
      <c r="X42" s="12" t="inlineStr">
        <is>
          <t>Not applicable no issuance cost</t>
        </is>
      </c>
    </row>
    <row r="43" ht="15" customHeight="1" s="13">
      <c r="A43" s="12" t="inlineStr">
        <is>
          <t>Debt reference 001</t>
        </is>
      </c>
      <c r="B43" s="12" t="inlineStr">
        <is>
          <t>42</t>
        </is>
      </c>
      <c r="C43" s="22" t="n">
        <v>46905</v>
      </c>
      <c r="D43" s="22" t="n">
        <v>46934</v>
      </c>
      <c r="E43" s="22" t="n">
        <v>46934</v>
      </c>
      <c r="F43" s="23" t="n">
        <v>104828.32</v>
      </c>
      <c r="G43" s="12" t="inlineStr">
        <is>
          <t>0.0600</t>
        </is>
      </c>
      <c r="H43" s="12" t="inlineStr">
        <is>
          <t>30</t>
        </is>
      </c>
      <c r="I43" s="12" t="inlineStr">
        <is>
          <t>360</t>
        </is>
      </c>
      <c r="J43" s="12">
        <f>ROUND(F43*G43*H43/I43,2)</f>
        <v>524.14</v>
      </c>
      <c r="K43" s="23" t="n">
        <v>376.1</v>
      </c>
      <c r="L43" s="23" t="n">
        <v>0</v>
      </c>
      <c r="M43" s="12">
        <f>SUM(J43:L43)</f>
        <v>900.24</v>
      </c>
      <c r="N43" s="23" t="n">
        <v>104452.22</v>
      </c>
      <c r="O43" s="23" t="n">
        <v>0</v>
      </c>
      <c r="P43" s="23" t="n">
        <v>104828.32</v>
      </c>
      <c r="Q43" s="12" t="inlineStr">
        <is>
          <t>0.00500000</t>
        </is>
      </c>
      <c r="R43" s="12">
        <f>ROUND(P43*Q43,2)</f>
        <v>524.14</v>
      </c>
      <c r="S43" s="12">
        <f>MIN(MAX(R43-J43,0),O43)</f>
        <v>0.00</v>
      </c>
      <c r="T43" s="12">
        <f>O43-S43</f>
        <v>0.0</v>
      </c>
      <c r="U43" s="12">
        <f>N43-T43</f>
        <v>104452.22</v>
      </c>
      <c r="V43" s="12" t="inlineStr">
        <is>
          <t>104828.32 x 0.0600 x 30/360 = 524.14</t>
        </is>
      </c>
      <c r="W43" s="12" t="inlineStr">
        <is>
          <t>PROJECTED-Debt reference 001 030</t>
        </is>
      </c>
      <c r="X43" s="12" t="inlineStr">
        <is>
          <t>Not applicable no issuance cost</t>
        </is>
      </c>
    </row>
    <row r="44" ht="15" customHeight="1" s="13">
      <c r="A44" s="12" t="inlineStr">
        <is>
          <t>Debt reference 001</t>
        </is>
      </c>
      <c r="B44" s="12" t="inlineStr">
        <is>
          <t>43</t>
        </is>
      </c>
      <c r="C44" s="22" t="n">
        <v>46935</v>
      </c>
      <c r="D44" s="22" t="n">
        <v>46965</v>
      </c>
      <c r="E44" s="22" t="n">
        <v>46965</v>
      </c>
      <c r="F44" s="23" t="n">
        <v>104452.22</v>
      </c>
      <c r="G44" s="12" t="inlineStr">
        <is>
          <t>0.0600</t>
        </is>
      </c>
      <c r="H44" s="12" t="inlineStr">
        <is>
          <t>30</t>
        </is>
      </c>
      <c r="I44" s="12" t="inlineStr">
        <is>
          <t>360</t>
        </is>
      </c>
      <c r="J44" s="12">
        <f>ROUND(F44*G44*H44/I44,2)</f>
        <v>522.26</v>
      </c>
      <c r="K44" s="23" t="n">
        <v>377.98</v>
      </c>
      <c r="L44" s="23" t="n">
        <v>0</v>
      </c>
      <c r="M44" s="12">
        <f>SUM(J44:L44)</f>
        <v>900.24</v>
      </c>
      <c r="N44" s="23" t="n">
        <v>104074.24</v>
      </c>
      <c r="O44" s="23" t="n">
        <v>0</v>
      </c>
      <c r="P44" s="23" t="n">
        <v>104452.22</v>
      </c>
      <c r="Q44" s="12" t="inlineStr">
        <is>
          <t>0.00500000</t>
        </is>
      </c>
      <c r="R44" s="12">
        <f>ROUND(P44*Q44,2)</f>
        <v>522.26</v>
      </c>
      <c r="S44" s="12">
        <f>MIN(MAX(R44-J44,0),O44)</f>
        <v>0.00</v>
      </c>
      <c r="T44" s="12">
        <f>O44-S44</f>
        <v>0.0</v>
      </c>
      <c r="U44" s="12">
        <f>N44-T44</f>
        <v>104074.24</v>
      </c>
      <c r="V44" s="12" t="inlineStr">
        <is>
          <t>104452.22 x 0.0600 x 30/360 = 522.26</t>
        </is>
      </c>
      <c r="W44" s="12" t="inlineStr">
        <is>
          <t>PROJECTED-Debt reference 001 031</t>
        </is>
      </c>
      <c r="X44" s="12" t="inlineStr">
        <is>
          <t>Not applicable no issuance cost</t>
        </is>
      </c>
    </row>
    <row r="45" ht="15" customHeight="1" s="13">
      <c r="A45" s="12" t="inlineStr">
        <is>
          <t>Debt reference 001</t>
        </is>
      </c>
      <c r="B45" s="12" t="inlineStr">
        <is>
          <t>44</t>
        </is>
      </c>
      <c r="C45" s="22" t="n">
        <v>46966</v>
      </c>
      <c r="D45" s="22" t="n">
        <v>46996</v>
      </c>
      <c r="E45" s="22" t="n">
        <v>46996</v>
      </c>
      <c r="F45" s="23" t="n">
        <v>104074.24</v>
      </c>
      <c r="G45" s="12" t="inlineStr">
        <is>
          <t>0.0600</t>
        </is>
      </c>
      <c r="H45" s="12" t="inlineStr">
        <is>
          <t>30</t>
        </is>
      </c>
      <c r="I45" s="12" t="inlineStr">
        <is>
          <t>360</t>
        </is>
      </c>
      <c r="J45" s="12">
        <f>ROUND(F45*G45*H45/I45,2)</f>
        <v>520.37</v>
      </c>
      <c r="K45" s="23" t="n">
        <v>379.87</v>
      </c>
      <c r="L45" s="23" t="n">
        <v>0</v>
      </c>
      <c r="M45" s="12">
        <f>SUM(J45:L45)</f>
        <v>900.24</v>
      </c>
      <c r="N45" s="23" t="n">
        <v>103694.37</v>
      </c>
      <c r="O45" s="23" t="n">
        <v>0</v>
      </c>
      <c r="P45" s="23" t="n">
        <v>104074.24</v>
      </c>
      <c r="Q45" s="12" t="inlineStr">
        <is>
          <t>0.00500000</t>
        </is>
      </c>
      <c r="R45" s="12">
        <f>ROUND(P45*Q45,2)</f>
        <v>520.37</v>
      </c>
      <c r="S45" s="12">
        <f>MIN(MAX(R45-J45,0),O45)</f>
        <v>0.00</v>
      </c>
      <c r="T45" s="12">
        <f>O45-S45</f>
        <v>0.0</v>
      </c>
      <c r="U45" s="12">
        <f>N45-T45</f>
        <v>103694.37</v>
      </c>
      <c r="V45" s="12" t="inlineStr">
        <is>
          <t>104074.24 x 0.0600 x 30/360 = 520.37</t>
        </is>
      </c>
      <c r="W45" s="12" t="inlineStr">
        <is>
          <t>PROJECTED-Debt reference 001 032</t>
        </is>
      </c>
      <c r="X45" s="12" t="inlineStr">
        <is>
          <t>Not applicable no issuance cost</t>
        </is>
      </c>
    </row>
    <row r="46" ht="15" customHeight="1" s="13">
      <c r="A46" s="12" t="inlineStr">
        <is>
          <t>Debt reference 001</t>
        </is>
      </c>
      <c r="B46" s="12" t="inlineStr">
        <is>
          <t>45</t>
        </is>
      </c>
      <c r="C46" s="22" t="n">
        <v>46997</v>
      </c>
      <c r="D46" s="22" t="n">
        <v>47026</v>
      </c>
      <c r="E46" s="22" t="n">
        <v>47026</v>
      </c>
      <c r="F46" s="23" t="n">
        <v>103694.37</v>
      </c>
      <c r="G46" s="12" t="inlineStr">
        <is>
          <t>0.0600</t>
        </is>
      </c>
      <c r="H46" s="12" t="inlineStr">
        <is>
          <t>30</t>
        </is>
      </c>
      <c r="I46" s="12" t="inlineStr">
        <is>
          <t>360</t>
        </is>
      </c>
      <c r="J46" s="12">
        <f>ROUND(F46*G46*H46/I46,2)</f>
        <v>518.47</v>
      </c>
      <c r="K46" s="23" t="n">
        <v>381.77</v>
      </c>
      <c r="L46" s="23" t="n">
        <v>0</v>
      </c>
      <c r="M46" s="12">
        <f>SUM(J46:L46)</f>
        <v>900.24</v>
      </c>
      <c r="N46" s="23" t="n">
        <v>103312.6</v>
      </c>
      <c r="O46" s="23" t="n">
        <v>0</v>
      </c>
      <c r="P46" s="23" t="n">
        <v>103694.37</v>
      </c>
      <c r="Q46" s="12" t="inlineStr">
        <is>
          <t>0.00500000</t>
        </is>
      </c>
      <c r="R46" s="12">
        <f>ROUND(P46*Q46,2)</f>
        <v>518.47</v>
      </c>
      <c r="S46" s="12">
        <f>MIN(MAX(R46-J46,0),O46)</f>
        <v>0.00</v>
      </c>
      <c r="T46" s="12">
        <f>O46-S46</f>
        <v>0.0</v>
      </c>
      <c r="U46" s="12">
        <f>N46-T46</f>
        <v>103312.6</v>
      </c>
      <c r="V46" s="12" t="inlineStr">
        <is>
          <t>103694.37 x 0.0600 x 30/360 = 518.47</t>
        </is>
      </c>
      <c r="W46" s="12" t="inlineStr">
        <is>
          <t>PROJECTED-Debt reference 001 033</t>
        </is>
      </c>
      <c r="X46" s="12" t="inlineStr">
        <is>
          <t>Not applicable no issuance cost</t>
        </is>
      </c>
    </row>
    <row r="47" ht="15" customHeight="1" s="13">
      <c r="A47" s="12" t="inlineStr">
        <is>
          <t>Debt reference 001</t>
        </is>
      </c>
      <c r="B47" s="12" t="inlineStr">
        <is>
          <t>46</t>
        </is>
      </c>
      <c r="C47" s="22" t="n">
        <v>47027</v>
      </c>
      <c r="D47" s="22" t="n">
        <v>47057</v>
      </c>
      <c r="E47" s="22" t="n">
        <v>47057</v>
      </c>
      <c r="F47" s="23" t="n">
        <v>103312.6</v>
      </c>
      <c r="G47" s="12" t="inlineStr">
        <is>
          <t>0.0600</t>
        </is>
      </c>
      <c r="H47" s="12" t="inlineStr">
        <is>
          <t>30</t>
        </is>
      </c>
      <c r="I47" s="12" t="inlineStr">
        <is>
          <t>360</t>
        </is>
      </c>
      <c r="J47" s="12">
        <f>ROUND(F47*G47*H47/I47,2)</f>
        <v>516.56</v>
      </c>
      <c r="K47" s="23" t="n">
        <v>383.68</v>
      </c>
      <c r="L47" s="23" t="n">
        <v>0</v>
      </c>
      <c r="M47" s="12">
        <f>SUM(J47:L47)</f>
        <v>900.24</v>
      </c>
      <c r="N47" s="23" t="n">
        <v>102928.92</v>
      </c>
      <c r="O47" s="23" t="n">
        <v>0</v>
      </c>
      <c r="P47" s="23" t="n">
        <v>103312.6</v>
      </c>
      <c r="Q47" s="12" t="inlineStr">
        <is>
          <t>0.00500000</t>
        </is>
      </c>
      <c r="R47" s="12">
        <f>ROUND(P47*Q47,2)</f>
        <v>516.56</v>
      </c>
      <c r="S47" s="12">
        <f>MIN(MAX(R47-J47,0),O47)</f>
        <v>0.00</v>
      </c>
      <c r="T47" s="12">
        <f>O47-S47</f>
        <v>0.0</v>
      </c>
      <c r="U47" s="12">
        <f>N47-T47</f>
        <v>102928.92</v>
      </c>
      <c r="V47" s="12" t="inlineStr">
        <is>
          <t>103312.60 x 0.0600 x 30/360 = 516.56</t>
        </is>
      </c>
      <c r="W47" s="12" t="inlineStr">
        <is>
          <t>PROJECTED-Debt reference 001 034</t>
        </is>
      </c>
      <c r="X47" s="12" t="inlineStr">
        <is>
          <t>Not applicable no issuance cost</t>
        </is>
      </c>
    </row>
    <row r="48" ht="15" customHeight="1" s="13">
      <c r="A48" s="12" t="inlineStr">
        <is>
          <t>Debt reference 001</t>
        </is>
      </c>
      <c r="B48" s="12" t="inlineStr">
        <is>
          <t>47</t>
        </is>
      </c>
      <c r="C48" s="22" t="n">
        <v>47058</v>
      </c>
      <c r="D48" s="22" t="n">
        <v>47087</v>
      </c>
      <c r="E48" s="22" t="n">
        <v>47087</v>
      </c>
      <c r="F48" s="23" t="n">
        <v>102928.92</v>
      </c>
      <c r="G48" s="12" t="inlineStr">
        <is>
          <t>0.0600</t>
        </is>
      </c>
      <c r="H48" s="12" t="inlineStr">
        <is>
          <t>30</t>
        </is>
      </c>
      <c r="I48" s="12" t="inlineStr">
        <is>
          <t>360</t>
        </is>
      </c>
      <c r="J48" s="12">
        <f>ROUND(F48*G48*H48/I48,2)</f>
        <v>514.64</v>
      </c>
      <c r="K48" s="23" t="n">
        <v>385.6</v>
      </c>
      <c r="L48" s="23" t="n">
        <v>0</v>
      </c>
      <c r="M48" s="12">
        <f>SUM(J48:L48)</f>
        <v>900.24</v>
      </c>
      <c r="N48" s="23" t="n">
        <v>102543.32</v>
      </c>
      <c r="O48" s="23" t="n">
        <v>0</v>
      </c>
      <c r="P48" s="23" t="n">
        <v>102928.92</v>
      </c>
      <c r="Q48" s="12" t="inlineStr">
        <is>
          <t>0.00500000</t>
        </is>
      </c>
      <c r="R48" s="12">
        <f>ROUND(P48*Q48,2)</f>
        <v>514.64</v>
      </c>
      <c r="S48" s="12">
        <f>MIN(MAX(R48-J48,0),O48)</f>
        <v>0.00</v>
      </c>
      <c r="T48" s="12">
        <f>O48-S48</f>
        <v>0.0</v>
      </c>
      <c r="U48" s="12">
        <f>N48-T48</f>
        <v>102543.32</v>
      </c>
      <c r="V48" s="12" t="inlineStr">
        <is>
          <t>102928.92 x 0.0600 x 30/360 = 514.64</t>
        </is>
      </c>
      <c r="W48" s="12" t="inlineStr">
        <is>
          <t>PROJECTED-Debt reference 001 035</t>
        </is>
      </c>
      <c r="X48" s="12" t="inlineStr">
        <is>
          <t>Not applicable no issuance cost</t>
        </is>
      </c>
    </row>
    <row r="49" ht="15" customHeight="1" s="13">
      <c r="A49" s="12" t="inlineStr">
        <is>
          <t>Debt reference 001</t>
        </is>
      </c>
      <c r="B49" s="12" t="inlineStr">
        <is>
          <t>48</t>
        </is>
      </c>
      <c r="C49" s="22" t="n">
        <v>47088</v>
      </c>
      <c r="D49" s="22" t="n">
        <v>47118</v>
      </c>
      <c r="E49" s="22" t="n">
        <v>47118</v>
      </c>
      <c r="F49" s="23" t="n">
        <v>102543.32</v>
      </c>
      <c r="G49" s="12" t="inlineStr">
        <is>
          <t>0.0600</t>
        </is>
      </c>
      <c r="H49" s="12" t="inlineStr">
        <is>
          <t>30</t>
        </is>
      </c>
      <c r="I49" s="12" t="inlineStr">
        <is>
          <t>360</t>
        </is>
      </c>
      <c r="J49" s="12">
        <f>ROUND(F49*G49*H49/I49,2)</f>
        <v>512.72</v>
      </c>
      <c r="K49" s="23" t="n">
        <v>387.52</v>
      </c>
      <c r="L49" s="23" t="n">
        <v>0</v>
      </c>
      <c r="M49" s="12">
        <f>SUM(J49:L49)</f>
        <v>900.24</v>
      </c>
      <c r="N49" s="23" t="n">
        <v>102155.8</v>
      </c>
      <c r="O49" s="23" t="n">
        <v>0</v>
      </c>
      <c r="P49" s="23" t="n">
        <v>102543.32</v>
      </c>
      <c r="Q49" s="12" t="inlineStr">
        <is>
          <t>0.00500000</t>
        </is>
      </c>
      <c r="R49" s="12">
        <f>ROUND(P49*Q49,2)</f>
        <v>512.72</v>
      </c>
      <c r="S49" s="12">
        <f>MIN(MAX(R49-J49,0),O49)</f>
        <v>0.00</v>
      </c>
      <c r="T49" s="12">
        <f>O49-S49</f>
        <v>0.0</v>
      </c>
      <c r="U49" s="12">
        <f>N49-T49</f>
        <v>102155.8</v>
      </c>
      <c r="V49" s="12" t="inlineStr">
        <is>
          <t>102543.32 x 0.0600 x 30/360 = 512.72</t>
        </is>
      </c>
      <c r="W49" s="12" t="inlineStr">
        <is>
          <t>PROJECTED-Debt reference 001 036</t>
        </is>
      </c>
      <c r="X49" s="12" t="inlineStr">
        <is>
          <t>Not applicable no issuance cost</t>
        </is>
      </c>
    </row>
    <row r="50" ht="15" customHeight="1" s="13">
      <c r="A50" s="12" t="inlineStr">
        <is>
          <t>Debt reference 001</t>
        </is>
      </c>
      <c r="B50" s="12" t="inlineStr">
        <is>
          <t>49</t>
        </is>
      </c>
      <c r="C50" s="22" t="n">
        <v>47119</v>
      </c>
      <c r="D50" s="22" t="n">
        <v>47149</v>
      </c>
      <c r="E50" s="22" t="n">
        <v>47149</v>
      </c>
      <c r="F50" s="23" t="n">
        <v>102155.8</v>
      </c>
      <c r="G50" s="12" t="inlineStr">
        <is>
          <t>0.0600</t>
        </is>
      </c>
      <c r="H50" s="12" t="inlineStr">
        <is>
          <t>30</t>
        </is>
      </c>
      <c r="I50" s="12" t="inlineStr">
        <is>
          <t>360</t>
        </is>
      </c>
      <c r="J50" s="12">
        <f>ROUND(F50*G50*H50/I50,2)</f>
        <v>510.78</v>
      </c>
      <c r="K50" s="23" t="n">
        <v>389.46</v>
      </c>
      <c r="L50" s="23" t="n">
        <v>0</v>
      </c>
      <c r="M50" s="12">
        <f>SUM(J50:L50)</f>
        <v>900.24</v>
      </c>
      <c r="N50" s="23" t="n">
        <v>101766.34</v>
      </c>
      <c r="O50" s="23" t="n">
        <v>0</v>
      </c>
      <c r="P50" s="23" t="n">
        <v>102155.8</v>
      </c>
      <c r="Q50" s="12" t="inlineStr">
        <is>
          <t>0.00500000</t>
        </is>
      </c>
      <c r="R50" s="12">
        <f>ROUND(P50*Q50,2)</f>
        <v>510.78</v>
      </c>
      <c r="S50" s="12">
        <f>MIN(MAX(R50-J50,0),O50)</f>
        <v>0.00</v>
      </c>
      <c r="T50" s="12">
        <f>O50-S50</f>
        <v>0.0</v>
      </c>
      <c r="U50" s="12">
        <f>N50-T50</f>
        <v>101766.34</v>
      </c>
      <c r="V50" s="12" t="inlineStr">
        <is>
          <t>102155.80 x 0.0600 x 30/360 = 510.78</t>
        </is>
      </c>
      <c r="W50" s="12" t="inlineStr">
        <is>
          <t>PROJECTED-Debt reference 001 037</t>
        </is>
      </c>
      <c r="X50" s="12" t="inlineStr">
        <is>
          <t>Not applicable no issuance cost</t>
        </is>
      </c>
    </row>
    <row r="51" ht="15" customHeight="1" s="13">
      <c r="A51" s="12" t="inlineStr">
        <is>
          <t>Debt reference 001</t>
        </is>
      </c>
      <c r="B51" s="12" t="inlineStr">
        <is>
          <t>50</t>
        </is>
      </c>
      <c r="C51" s="22" t="n">
        <v>47150</v>
      </c>
      <c r="D51" s="22" t="n">
        <v>47177</v>
      </c>
      <c r="E51" s="22" t="n">
        <v>47177</v>
      </c>
      <c r="F51" s="23" t="n">
        <v>101766.34</v>
      </c>
      <c r="G51" s="12" t="inlineStr">
        <is>
          <t>0.0600</t>
        </is>
      </c>
      <c r="H51" s="12" t="inlineStr">
        <is>
          <t>30</t>
        </is>
      </c>
      <c r="I51" s="12" t="inlineStr">
        <is>
          <t>360</t>
        </is>
      </c>
      <c r="J51" s="12">
        <f>ROUND(F51*G51*H51/I51,2)</f>
        <v>508.83</v>
      </c>
      <c r="K51" s="23" t="n">
        <v>391.41</v>
      </c>
      <c r="L51" s="23" t="n">
        <v>0</v>
      </c>
      <c r="M51" s="12">
        <f>SUM(J51:L51)</f>
        <v>900.24</v>
      </c>
      <c r="N51" s="23" t="n">
        <v>101374.93</v>
      </c>
      <c r="O51" s="23" t="n">
        <v>0</v>
      </c>
      <c r="P51" s="23" t="n">
        <v>101766.34</v>
      </c>
      <c r="Q51" s="12" t="inlineStr">
        <is>
          <t>0.00500000</t>
        </is>
      </c>
      <c r="R51" s="12">
        <f>ROUND(P51*Q51,2)</f>
        <v>508.83</v>
      </c>
      <c r="S51" s="12">
        <f>MIN(MAX(R51-J51,0),O51)</f>
        <v>0.00</v>
      </c>
      <c r="T51" s="12">
        <f>O51-S51</f>
        <v>0.0</v>
      </c>
      <c r="U51" s="12">
        <f>N51-T51</f>
        <v>101374.93</v>
      </c>
      <c r="V51" s="12" t="inlineStr">
        <is>
          <t>101766.34 x 0.0600 x 30/360 = 508.83</t>
        </is>
      </c>
      <c r="W51" s="12" t="inlineStr">
        <is>
          <t>PROJECTED-Debt reference 001 038</t>
        </is>
      </c>
      <c r="X51" s="12" t="inlineStr">
        <is>
          <t>Not applicable no issuance cost</t>
        </is>
      </c>
    </row>
    <row r="52" ht="15" customHeight="1" s="13">
      <c r="A52" s="12" t="inlineStr">
        <is>
          <t>Debt reference 001</t>
        </is>
      </c>
      <c r="B52" s="12" t="inlineStr">
        <is>
          <t>51</t>
        </is>
      </c>
      <c r="C52" s="22" t="n">
        <v>47178</v>
      </c>
      <c r="D52" s="22" t="n">
        <v>47208</v>
      </c>
      <c r="E52" s="22" t="n">
        <v>47208</v>
      </c>
      <c r="F52" s="23" t="n">
        <v>101374.93</v>
      </c>
      <c r="G52" s="12" t="inlineStr">
        <is>
          <t>0.0600</t>
        </is>
      </c>
      <c r="H52" s="12" t="inlineStr">
        <is>
          <t>30</t>
        </is>
      </c>
      <c r="I52" s="12" t="inlineStr">
        <is>
          <t>360</t>
        </is>
      </c>
      <c r="J52" s="12">
        <f>ROUND(F52*G52*H52/I52,2)</f>
        <v>506.87</v>
      </c>
      <c r="K52" s="23" t="n">
        <v>393.37</v>
      </c>
      <c r="L52" s="23" t="n">
        <v>0</v>
      </c>
      <c r="M52" s="12">
        <f>SUM(J52:L52)</f>
        <v>900.24</v>
      </c>
      <c r="N52" s="23" t="n">
        <v>100981.56</v>
      </c>
      <c r="O52" s="23" t="n">
        <v>0</v>
      </c>
      <c r="P52" s="23" t="n">
        <v>101374.93</v>
      </c>
      <c r="Q52" s="12" t="inlineStr">
        <is>
          <t>0.00500000</t>
        </is>
      </c>
      <c r="R52" s="12">
        <f>ROUND(P52*Q52,2)</f>
        <v>506.87</v>
      </c>
      <c r="S52" s="12">
        <f>MIN(MAX(R52-J52,0),O52)</f>
        <v>0.00</v>
      </c>
      <c r="T52" s="12">
        <f>O52-S52</f>
        <v>0.0</v>
      </c>
      <c r="U52" s="12">
        <f>N52-T52</f>
        <v>100981.56</v>
      </c>
      <c r="V52" s="12" t="inlineStr">
        <is>
          <t>101374.93 x 0.0600 x 30/360 = 506.87</t>
        </is>
      </c>
      <c r="W52" s="12" t="inlineStr">
        <is>
          <t>PROJECTED-Debt reference 001 039</t>
        </is>
      </c>
      <c r="X52" s="12" t="inlineStr">
        <is>
          <t>Not applicable no issuance cost</t>
        </is>
      </c>
    </row>
    <row r="53" ht="15" customHeight="1" s="13">
      <c r="A53" s="12" t="inlineStr">
        <is>
          <t>Debt reference 001</t>
        </is>
      </c>
      <c r="B53" s="12" t="inlineStr">
        <is>
          <t>52</t>
        </is>
      </c>
      <c r="C53" s="22" t="n">
        <v>47209</v>
      </c>
      <c r="D53" s="22" t="n">
        <v>47238</v>
      </c>
      <c r="E53" s="22" t="n">
        <v>47238</v>
      </c>
      <c r="F53" s="23" t="n">
        <v>100981.56</v>
      </c>
      <c r="G53" s="12" t="inlineStr">
        <is>
          <t>0.0600</t>
        </is>
      </c>
      <c r="H53" s="12" t="inlineStr">
        <is>
          <t>30</t>
        </is>
      </c>
      <c r="I53" s="12" t="inlineStr">
        <is>
          <t>360</t>
        </is>
      </c>
      <c r="J53" s="12">
        <f>ROUND(F53*G53*H53/I53,2)</f>
        <v>504.91</v>
      </c>
      <c r="K53" s="23" t="n">
        <v>395.33</v>
      </c>
      <c r="L53" s="23" t="n">
        <v>0</v>
      </c>
      <c r="M53" s="12">
        <f>SUM(J53:L53)</f>
        <v>900.24</v>
      </c>
      <c r="N53" s="23" t="n">
        <v>100586.23</v>
      </c>
      <c r="O53" s="23" t="n">
        <v>0</v>
      </c>
      <c r="P53" s="23" t="n">
        <v>100981.56</v>
      </c>
      <c r="Q53" s="12" t="inlineStr">
        <is>
          <t>0.00500000</t>
        </is>
      </c>
      <c r="R53" s="12">
        <f>ROUND(P53*Q53,2)</f>
        <v>504.91</v>
      </c>
      <c r="S53" s="12">
        <f>MIN(MAX(R53-J53,0),O53)</f>
        <v>0.00</v>
      </c>
      <c r="T53" s="12">
        <f>O53-S53</f>
        <v>0.0</v>
      </c>
      <c r="U53" s="12">
        <f>N53-T53</f>
        <v>100586.23</v>
      </c>
      <c r="V53" s="12" t="inlineStr">
        <is>
          <t>100981.56 x 0.0600 x 30/360 = 504.91</t>
        </is>
      </c>
      <c r="W53" s="12" t="inlineStr">
        <is>
          <t>PROJECTED-Debt reference 001 040</t>
        </is>
      </c>
      <c r="X53" s="12" t="inlineStr">
        <is>
          <t>Not applicable no issuance cost</t>
        </is>
      </c>
    </row>
    <row r="54" ht="15" customHeight="1" s="13">
      <c r="A54" s="12" t="inlineStr">
        <is>
          <t>Debt reference 001</t>
        </is>
      </c>
      <c r="B54" s="12" t="inlineStr">
        <is>
          <t>53</t>
        </is>
      </c>
      <c r="C54" s="22" t="n">
        <v>47239</v>
      </c>
      <c r="D54" s="22" t="n">
        <v>47269</v>
      </c>
      <c r="E54" s="22" t="n">
        <v>47269</v>
      </c>
      <c r="F54" s="23" t="n">
        <v>100586.23</v>
      </c>
      <c r="G54" s="12" t="inlineStr">
        <is>
          <t>0.0600</t>
        </is>
      </c>
      <c r="H54" s="12" t="inlineStr">
        <is>
          <t>30</t>
        </is>
      </c>
      <c r="I54" s="12" t="inlineStr">
        <is>
          <t>360</t>
        </is>
      </c>
      <c r="J54" s="12">
        <f>ROUND(F54*G54*H54/I54,2)</f>
        <v>502.93</v>
      </c>
      <c r="K54" s="23" t="n">
        <v>397.31</v>
      </c>
      <c r="L54" s="23" t="n">
        <v>0</v>
      </c>
      <c r="M54" s="12">
        <f>SUM(J54:L54)</f>
        <v>900.24</v>
      </c>
      <c r="N54" s="23" t="n">
        <v>100188.92</v>
      </c>
      <c r="O54" s="23" t="n">
        <v>0</v>
      </c>
      <c r="P54" s="23" t="n">
        <v>100586.23</v>
      </c>
      <c r="Q54" s="12" t="inlineStr">
        <is>
          <t>0.00500000</t>
        </is>
      </c>
      <c r="R54" s="12">
        <f>ROUND(P54*Q54,2)</f>
        <v>502.93</v>
      </c>
      <c r="S54" s="12">
        <f>MIN(MAX(R54-J54,0),O54)</f>
        <v>0.00</v>
      </c>
      <c r="T54" s="12">
        <f>O54-S54</f>
        <v>0.0</v>
      </c>
      <c r="U54" s="12">
        <f>N54-T54</f>
        <v>100188.92</v>
      </c>
      <c r="V54" s="12" t="inlineStr">
        <is>
          <t>100586.23 x 0.0600 x 30/360 = 502.93</t>
        </is>
      </c>
      <c r="W54" s="12" t="inlineStr">
        <is>
          <t>PROJECTED-Debt reference 001 041</t>
        </is>
      </c>
      <c r="X54" s="12" t="inlineStr">
        <is>
          <t>Not applicable no issuance cost</t>
        </is>
      </c>
    </row>
    <row r="55" ht="15" customHeight="1" s="13">
      <c r="A55" s="12" t="inlineStr">
        <is>
          <t>Debt reference 001</t>
        </is>
      </c>
      <c r="B55" s="12" t="inlineStr">
        <is>
          <t>54</t>
        </is>
      </c>
      <c r="C55" s="22" t="n">
        <v>47270</v>
      </c>
      <c r="D55" s="22" t="n">
        <v>47299</v>
      </c>
      <c r="E55" s="22" t="n">
        <v>47299</v>
      </c>
      <c r="F55" s="23" t="n">
        <v>100188.92</v>
      </c>
      <c r="G55" s="12" t="inlineStr">
        <is>
          <t>0.0600</t>
        </is>
      </c>
      <c r="H55" s="12" t="inlineStr">
        <is>
          <t>30</t>
        </is>
      </c>
      <c r="I55" s="12" t="inlineStr">
        <is>
          <t>360</t>
        </is>
      </c>
      <c r="J55" s="12">
        <f>ROUND(F55*G55*H55/I55,2)</f>
        <v>500.94</v>
      </c>
      <c r="K55" s="23" t="n">
        <v>399.3</v>
      </c>
      <c r="L55" s="23" t="n">
        <v>0</v>
      </c>
      <c r="M55" s="12">
        <f>SUM(J55:L55)</f>
        <v>900.24</v>
      </c>
      <c r="N55" s="23" t="n">
        <v>99789.62</v>
      </c>
      <c r="O55" s="23" t="n">
        <v>0</v>
      </c>
      <c r="P55" s="23" t="n">
        <v>100188.92</v>
      </c>
      <c r="Q55" s="12" t="inlineStr">
        <is>
          <t>0.00500000</t>
        </is>
      </c>
      <c r="R55" s="12">
        <f>ROUND(P55*Q55,2)</f>
        <v>500.94</v>
      </c>
      <c r="S55" s="12">
        <f>MIN(MAX(R55-J55,0),O55)</f>
        <v>0.00</v>
      </c>
      <c r="T55" s="12">
        <f>O55-S55</f>
        <v>0.0</v>
      </c>
      <c r="U55" s="12">
        <f>N55-T55</f>
        <v>99789.62</v>
      </c>
      <c r="V55" s="12" t="inlineStr">
        <is>
          <t>100188.92 x 0.0600 x 30/360 = 500.94</t>
        </is>
      </c>
      <c r="W55" s="12" t="inlineStr">
        <is>
          <t>PROJECTED-Debt reference 001 042</t>
        </is>
      </c>
      <c r="X55" s="12" t="inlineStr">
        <is>
          <t>Not applicable no issuance cost</t>
        </is>
      </c>
    </row>
    <row r="56" ht="15" customHeight="1" s="13">
      <c r="A56" s="12" t="inlineStr">
        <is>
          <t>Debt reference 001</t>
        </is>
      </c>
      <c r="B56" s="12" t="inlineStr">
        <is>
          <t>55</t>
        </is>
      </c>
      <c r="C56" s="22" t="n">
        <v>47300</v>
      </c>
      <c r="D56" s="22" t="n">
        <v>47330</v>
      </c>
      <c r="E56" s="22" t="n">
        <v>47330</v>
      </c>
      <c r="F56" s="23" t="n">
        <v>99789.62</v>
      </c>
      <c r="G56" s="12" t="inlineStr">
        <is>
          <t>0.0600</t>
        </is>
      </c>
      <c r="H56" s="12" t="inlineStr">
        <is>
          <t>30</t>
        </is>
      </c>
      <c r="I56" s="12" t="inlineStr">
        <is>
          <t>360</t>
        </is>
      </c>
      <c r="J56" s="12">
        <f>ROUND(F56*G56*H56/I56,2)</f>
        <v>498.95</v>
      </c>
      <c r="K56" s="23" t="n">
        <v>401.29</v>
      </c>
      <c r="L56" s="23" t="n">
        <v>0</v>
      </c>
      <c r="M56" s="12">
        <f>SUM(J56:L56)</f>
        <v>900.24</v>
      </c>
      <c r="N56" s="23" t="n">
        <v>99388.33</v>
      </c>
      <c r="O56" s="23" t="n">
        <v>0</v>
      </c>
      <c r="P56" s="23" t="n">
        <v>99789.62</v>
      </c>
      <c r="Q56" s="12" t="inlineStr">
        <is>
          <t>0.00500000</t>
        </is>
      </c>
      <c r="R56" s="12">
        <f>ROUND(P56*Q56,2)</f>
        <v>498.95</v>
      </c>
      <c r="S56" s="12">
        <f>MIN(MAX(R56-J56,0),O56)</f>
        <v>0.00</v>
      </c>
      <c r="T56" s="12">
        <f>O56-S56</f>
        <v>0.0</v>
      </c>
      <c r="U56" s="12">
        <f>N56-T56</f>
        <v>99388.33</v>
      </c>
      <c r="V56" s="12" t="inlineStr">
        <is>
          <t>99789.62 x 0.0600 x 30/360 = 498.95</t>
        </is>
      </c>
      <c r="W56" s="12" t="inlineStr">
        <is>
          <t>PROJECTED-Debt reference 001 043</t>
        </is>
      </c>
      <c r="X56" s="12" t="inlineStr">
        <is>
          <t>Not applicable no issuance cost</t>
        </is>
      </c>
    </row>
    <row r="57" ht="15" customHeight="1" s="13">
      <c r="A57" s="12" t="inlineStr">
        <is>
          <t>Debt reference 001</t>
        </is>
      </c>
      <c r="B57" s="12" t="inlineStr">
        <is>
          <t>56</t>
        </is>
      </c>
      <c r="C57" s="22" t="n">
        <v>47331</v>
      </c>
      <c r="D57" s="22" t="n">
        <v>47361</v>
      </c>
      <c r="E57" s="22" t="n">
        <v>47361</v>
      </c>
      <c r="F57" s="23" t="n">
        <v>99388.33</v>
      </c>
      <c r="G57" s="12" t="inlineStr">
        <is>
          <t>0.0600</t>
        </is>
      </c>
      <c r="H57" s="12" t="inlineStr">
        <is>
          <t>30</t>
        </is>
      </c>
      <c r="I57" s="12" t="inlineStr">
        <is>
          <t>360</t>
        </is>
      </c>
      <c r="J57" s="12">
        <f>ROUND(F57*G57*H57/I57,2)</f>
        <v>496.94</v>
      </c>
      <c r="K57" s="23" t="n">
        <v>403.3</v>
      </c>
      <c r="L57" s="23" t="n">
        <v>0</v>
      </c>
      <c r="M57" s="12">
        <f>SUM(J57:L57)</f>
        <v>900.24</v>
      </c>
      <c r="N57" s="23" t="n">
        <v>98985.03</v>
      </c>
      <c r="O57" s="23" t="n">
        <v>0</v>
      </c>
      <c r="P57" s="23" t="n">
        <v>99388.33</v>
      </c>
      <c r="Q57" s="12" t="inlineStr">
        <is>
          <t>0.00500000</t>
        </is>
      </c>
      <c r="R57" s="12">
        <f>ROUND(P57*Q57,2)</f>
        <v>496.94</v>
      </c>
      <c r="S57" s="12">
        <f>MIN(MAX(R57-J57,0),O57)</f>
        <v>0.00</v>
      </c>
      <c r="T57" s="12">
        <f>O57-S57</f>
        <v>0.0</v>
      </c>
      <c r="U57" s="12">
        <f>N57-T57</f>
        <v>98985.03</v>
      </c>
      <c r="V57" s="12" t="inlineStr">
        <is>
          <t>99388.33 x 0.0600 x 30/360 = 496.94</t>
        </is>
      </c>
      <c r="W57" s="12" t="inlineStr">
        <is>
          <t>PROJECTED-Debt reference 001 044</t>
        </is>
      </c>
      <c r="X57" s="12" t="inlineStr">
        <is>
          <t>Not applicable no issuance cost</t>
        </is>
      </c>
    </row>
    <row r="58" ht="15" customHeight="1" s="13">
      <c r="A58" s="12" t="inlineStr">
        <is>
          <t>Debt reference 001</t>
        </is>
      </c>
      <c r="B58" s="12" t="inlineStr">
        <is>
          <t>57</t>
        </is>
      </c>
      <c r="C58" s="22" t="n">
        <v>47362</v>
      </c>
      <c r="D58" s="22" t="n">
        <v>47391</v>
      </c>
      <c r="E58" s="22" t="n">
        <v>47391</v>
      </c>
      <c r="F58" s="23" t="n">
        <v>98985.03</v>
      </c>
      <c r="G58" s="12" t="inlineStr">
        <is>
          <t>0.0600</t>
        </is>
      </c>
      <c r="H58" s="12" t="inlineStr">
        <is>
          <t>30</t>
        </is>
      </c>
      <c r="I58" s="12" t="inlineStr">
        <is>
          <t>360</t>
        </is>
      </c>
      <c r="J58" s="12">
        <f>ROUND(F58*G58*H58/I58,2)</f>
        <v>494.93</v>
      </c>
      <c r="K58" s="23" t="n">
        <v>405.31</v>
      </c>
      <c r="L58" s="23" t="n">
        <v>0</v>
      </c>
      <c r="M58" s="12">
        <f>SUM(J58:L58)</f>
        <v>900.24</v>
      </c>
      <c r="N58" s="23" t="n">
        <v>98579.72</v>
      </c>
      <c r="O58" s="23" t="n">
        <v>0</v>
      </c>
      <c r="P58" s="23" t="n">
        <v>98985.03</v>
      </c>
      <c r="Q58" s="12" t="inlineStr">
        <is>
          <t>0.00500000</t>
        </is>
      </c>
      <c r="R58" s="12">
        <f>ROUND(P58*Q58,2)</f>
        <v>494.93</v>
      </c>
      <c r="S58" s="12">
        <f>MIN(MAX(R58-J58,0),O58)</f>
        <v>0.00</v>
      </c>
      <c r="T58" s="12">
        <f>O58-S58</f>
        <v>0.0</v>
      </c>
      <c r="U58" s="12">
        <f>N58-T58</f>
        <v>98579.72</v>
      </c>
      <c r="V58" s="12" t="inlineStr">
        <is>
          <t>98985.03 x 0.0600 x 30/360 = 494.93</t>
        </is>
      </c>
      <c r="W58" s="12" t="inlineStr">
        <is>
          <t>PROJECTED-Debt reference 001 045</t>
        </is>
      </c>
      <c r="X58" s="12" t="inlineStr">
        <is>
          <t>Not applicable no issuance cost</t>
        </is>
      </c>
    </row>
    <row r="59" ht="15" customHeight="1" s="13">
      <c r="A59" s="12" t="inlineStr">
        <is>
          <t>Debt reference 001</t>
        </is>
      </c>
      <c r="B59" s="12" t="inlineStr">
        <is>
          <t>58</t>
        </is>
      </c>
      <c r="C59" s="22" t="n">
        <v>47392</v>
      </c>
      <c r="D59" s="22" t="n">
        <v>47422</v>
      </c>
      <c r="E59" s="22" t="n">
        <v>47422</v>
      </c>
      <c r="F59" s="23" t="n">
        <v>98579.72</v>
      </c>
      <c r="G59" s="12" t="inlineStr">
        <is>
          <t>0.0600</t>
        </is>
      </c>
      <c r="H59" s="12" t="inlineStr">
        <is>
          <t>30</t>
        </is>
      </c>
      <c r="I59" s="12" t="inlineStr">
        <is>
          <t>360</t>
        </is>
      </c>
      <c r="J59" s="12">
        <f>ROUND(F59*G59*H59/I59,2)</f>
        <v>492.90</v>
      </c>
      <c r="K59" s="23" t="n">
        <v>407.34</v>
      </c>
      <c r="L59" s="23" t="n">
        <v>0</v>
      </c>
      <c r="M59" s="12">
        <f>SUM(J59:L59)</f>
        <v>900.24</v>
      </c>
      <c r="N59" s="23" t="n">
        <v>98172.38</v>
      </c>
      <c r="O59" s="23" t="n">
        <v>0</v>
      </c>
      <c r="P59" s="23" t="n">
        <v>98579.72</v>
      </c>
      <c r="Q59" s="12" t="inlineStr">
        <is>
          <t>0.00500000</t>
        </is>
      </c>
      <c r="R59" s="12">
        <f>ROUND(P59*Q59,2)</f>
        <v>492.90</v>
      </c>
      <c r="S59" s="12">
        <f>MIN(MAX(R59-J59,0),O59)</f>
        <v>0.0</v>
      </c>
      <c r="T59" s="12">
        <f>O59-S59</f>
        <v>0.0</v>
      </c>
      <c r="U59" s="12">
        <f>N59-T59</f>
        <v>98172.38</v>
      </c>
      <c r="V59" s="12" t="inlineStr">
        <is>
          <t>98579.72 x 0.0600 x 30/360 = 492.90</t>
        </is>
      </c>
      <c r="W59" s="12" t="inlineStr">
        <is>
          <t>PROJECTED-Debt reference 001 046</t>
        </is>
      </c>
      <c r="X59" s="12" t="inlineStr">
        <is>
          <t>Not applicable no issuance cost</t>
        </is>
      </c>
    </row>
    <row r="60" ht="15" customHeight="1" s="13">
      <c r="A60" s="12" t="inlineStr">
        <is>
          <t>Debt reference 001</t>
        </is>
      </c>
      <c r="B60" s="12" t="inlineStr">
        <is>
          <t>59</t>
        </is>
      </c>
      <c r="C60" s="22" t="n">
        <v>47423</v>
      </c>
      <c r="D60" s="22" t="n">
        <v>47452</v>
      </c>
      <c r="E60" s="22" t="n">
        <v>47452</v>
      </c>
      <c r="F60" s="23" t="n">
        <v>98172.38</v>
      </c>
      <c r="G60" s="12" t="inlineStr">
        <is>
          <t>0.0600</t>
        </is>
      </c>
      <c r="H60" s="12" t="inlineStr">
        <is>
          <t>30</t>
        </is>
      </c>
      <c r="I60" s="12" t="inlineStr">
        <is>
          <t>360</t>
        </is>
      </c>
      <c r="J60" s="12">
        <f>ROUND(F60*G60*H60/I60,2)</f>
        <v>490.86</v>
      </c>
      <c r="K60" s="23" t="n">
        <v>409.38</v>
      </c>
      <c r="L60" s="23" t="n">
        <v>0</v>
      </c>
      <c r="M60" s="12">
        <f>SUM(J60:L60)</f>
        <v>900.24</v>
      </c>
      <c r="N60" s="23" t="n">
        <v>97763</v>
      </c>
      <c r="O60" s="23" t="n">
        <v>0</v>
      </c>
      <c r="P60" s="23" t="n">
        <v>98172.38</v>
      </c>
      <c r="Q60" s="12" t="inlineStr">
        <is>
          <t>0.00500000</t>
        </is>
      </c>
      <c r="R60" s="12">
        <f>ROUND(P60*Q60,2)</f>
        <v>490.86</v>
      </c>
      <c r="S60" s="12">
        <f>MIN(MAX(R60-J60,0),O60)</f>
        <v>0.00</v>
      </c>
      <c r="T60" s="12">
        <f>O60-S60</f>
        <v>0.0</v>
      </c>
      <c r="U60" s="12">
        <f>N60-T60</f>
        <v>97763.0</v>
      </c>
      <c r="V60" s="12" t="inlineStr">
        <is>
          <t>98172.38 x 0.0600 x 30/360 = 490.86</t>
        </is>
      </c>
      <c r="W60" s="12" t="inlineStr">
        <is>
          <t>PROJECTED-Debt reference 001 047</t>
        </is>
      </c>
      <c r="X60" s="12" t="inlineStr">
        <is>
          <t>Not applicable no issuance cost</t>
        </is>
      </c>
    </row>
    <row r="61" ht="15" customHeight="1" s="13">
      <c r="A61" s="12" t="inlineStr">
        <is>
          <t>Debt reference 001</t>
        </is>
      </c>
      <c r="B61" s="12" t="inlineStr">
        <is>
          <t>60</t>
        </is>
      </c>
      <c r="C61" s="22" t="n">
        <v>47453</v>
      </c>
      <c r="D61" s="22" t="n">
        <v>47483</v>
      </c>
      <c r="E61" s="22" t="n">
        <v>47483</v>
      </c>
      <c r="F61" s="23" t="n">
        <v>97763</v>
      </c>
      <c r="G61" s="12" t="inlineStr">
        <is>
          <t>0.0600</t>
        </is>
      </c>
      <c r="H61" s="12" t="inlineStr">
        <is>
          <t>30</t>
        </is>
      </c>
      <c r="I61" s="12" t="inlineStr">
        <is>
          <t>360</t>
        </is>
      </c>
      <c r="J61" s="12">
        <f>ROUND(F61*G61*H61/I61,2)</f>
        <v>488.82</v>
      </c>
      <c r="K61" s="23" t="n">
        <v>411.42</v>
      </c>
      <c r="L61" s="23" t="n">
        <v>0</v>
      </c>
      <c r="M61" s="12">
        <f>SUM(J61:L61)</f>
        <v>900.24</v>
      </c>
      <c r="N61" s="23" t="n">
        <v>97351.58</v>
      </c>
      <c r="O61" s="23" t="n">
        <v>0</v>
      </c>
      <c r="P61" s="23" t="n">
        <v>97763</v>
      </c>
      <c r="Q61" s="12" t="inlineStr">
        <is>
          <t>0.00500000</t>
        </is>
      </c>
      <c r="R61" s="12">
        <f>ROUND(P61*Q61,2)</f>
        <v>488.82</v>
      </c>
      <c r="S61" s="12">
        <f>MIN(MAX(R61-J61,0),O61)</f>
        <v>0.00</v>
      </c>
      <c r="T61" s="12">
        <f>O61-S61</f>
        <v>0.0</v>
      </c>
      <c r="U61" s="12">
        <f>N61-T61</f>
        <v>97351.58</v>
      </c>
      <c r="V61" s="12" t="inlineStr">
        <is>
          <t>97763.00 x 0.0600 x 30/360 = 488.82</t>
        </is>
      </c>
      <c r="W61" s="12" t="inlineStr">
        <is>
          <t>PROJECTED-Debt reference 001 048</t>
        </is>
      </c>
      <c r="X61" s="12" t="inlineStr">
        <is>
          <t>Not applicable no issuance cost</t>
        </is>
      </c>
    </row>
    <row r="62" ht="15" customHeight="1" s="13">
      <c r="A62" s="12" t="inlineStr">
        <is>
          <t>Debt reference 001</t>
        </is>
      </c>
      <c r="B62" s="12" t="inlineStr">
        <is>
          <t>61</t>
        </is>
      </c>
      <c r="C62" s="22" t="n">
        <v>47484</v>
      </c>
      <c r="D62" s="22" t="n">
        <v>47514</v>
      </c>
      <c r="E62" s="22" t="n">
        <v>47514</v>
      </c>
      <c r="F62" s="23" t="n">
        <v>97351.58</v>
      </c>
      <c r="G62" s="12" t="inlineStr">
        <is>
          <t>0.0600</t>
        </is>
      </c>
      <c r="H62" s="12" t="inlineStr">
        <is>
          <t>30</t>
        </is>
      </c>
      <c r="I62" s="12" t="inlineStr">
        <is>
          <t>360</t>
        </is>
      </c>
      <c r="J62" s="12">
        <f>ROUND(F62*G62*H62/I62,2)</f>
        <v>486.76</v>
      </c>
      <c r="K62" s="23" t="n">
        <v>413.48</v>
      </c>
      <c r="L62" s="23" t="n">
        <v>0</v>
      </c>
      <c r="M62" s="12">
        <f>SUM(J62:L62)</f>
        <v>900.24</v>
      </c>
      <c r="N62" s="23" t="n">
        <v>96938.10000000001</v>
      </c>
      <c r="O62" s="23" t="n">
        <v>0</v>
      </c>
      <c r="P62" s="23" t="n">
        <v>97351.58</v>
      </c>
      <c r="Q62" s="12" t="inlineStr">
        <is>
          <t>0.00500000</t>
        </is>
      </c>
      <c r="R62" s="12">
        <f>ROUND(P62*Q62,2)</f>
        <v>486.76</v>
      </c>
      <c r="S62" s="12">
        <f>MIN(MAX(R62-J62,0),O62)</f>
        <v>0.00</v>
      </c>
      <c r="T62" s="12">
        <f>O62-S62</f>
        <v>0.0</v>
      </c>
      <c r="U62" s="12">
        <f>N62-T62</f>
        <v>96938.1</v>
      </c>
      <c r="V62" s="12" t="inlineStr">
        <is>
          <t>97351.58 x 0.0600 x 30/360 = 486.76</t>
        </is>
      </c>
      <c r="W62" s="12" t="inlineStr">
        <is>
          <t>PROJECTED-Debt reference 001 049</t>
        </is>
      </c>
      <c r="X62" s="12" t="inlineStr">
        <is>
          <t>Not applicable no issuance cost</t>
        </is>
      </c>
    </row>
    <row r="63" ht="15" customHeight="1" s="13">
      <c r="A63" s="12" t="inlineStr">
        <is>
          <t>Debt reference 001</t>
        </is>
      </c>
      <c r="B63" s="12" t="inlineStr">
        <is>
          <t>62</t>
        </is>
      </c>
      <c r="C63" s="22" t="n">
        <v>47515</v>
      </c>
      <c r="D63" s="22" t="n">
        <v>47542</v>
      </c>
      <c r="E63" s="22" t="n">
        <v>47542</v>
      </c>
      <c r="F63" s="23" t="n">
        <v>96938.10000000001</v>
      </c>
      <c r="G63" s="12" t="inlineStr">
        <is>
          <t>0.0600</t>
        </is>
      </c>
      <c r="H63" s="12" t="inlineStr">
        <is>
          <t>30</t>
        </is>
      </c>
      <c r="I63" s="12" t="inlineStr">
        <is>
          <t>360</t>
        </is>
      </c>
      <c r="J63" s="12">
        <f>ROUND(F63*G63*H63/I63,2)</f>
        <v>484.69</v>
      </c>
      <c r="K63" s="23" t="n">
        <v>415.55</v>
      </c>
      <c r="L63" s="23" t="n">
        <v>0</v>
      </c>
      <c r="M63" s="12">
        <f>SUM(J63:L63)</f>
        <v>900.24</v>
      </c>
      <c r="N63" s="23" t="n">
        <v>96522.55</v>
      </c>
      <c r="O63" s="23" t="n">
        <v>0</v>
      </c>
      <c r="P63" s="23" t="n">
        <v>96938.10000000001</v>
      </c>
      <c r="Q63" s="12" t="inlineStr">
        <is>
          <t>0.00500000</t>
        </is>
      </c>
      <c r="R63" s="12">
        <f>ROUND(P63*Q63,2)</f>
        <v>484.69</v>
      </c>
      <c r="S63" s="12">
        <f>MIN(MAX(R63-J63,0),O63)</f>
        <v>0.00</v>
      </c>
      <c r="T63" s="12">
        <f>O63-S63</f>
        <v>0.0</v>
      </c>
      <c r="U63" s="12">
        <f>N63-T63</f>
        <v>96522.55</v>
      </c>
      <c r="V63" s="12" t="inlineStr">
        <is>
          <t>96938.10 x 0.0600 x 30/360 = 484.69</t>
        </is>
      </c>
      <c r="W63" s="12" t="inlineStr">
        <is>
          <t>PROJECTED-Debt reference 001 050</t>
        </is>
      </c>
      <c r="X63" s="12" t="inlineStr">
        <is>
          <t>Not applicable no issuance cost</t>
        </is>
      </c>
    </row>
    <row r="64" ht="15" customHeight="1" s="13">
      <c r="A64" s="12" t="inlineStr">
        <is>
          <t>Debt reference 001</t>
        </is>
      </c>
      <c r="B64" s="12" t="inlineStr">
        <is>
          <t>63</t>
        </is>
      </c>
      <c r="C64" s="22" t="n">
        <v>47543</v>
      </c>
      <c r="D64" s="22" t="n">
        <v>47573</v>
      </c>
      <c r="E64" s="22" t="n">
        <v>47573</v>
      </c>
      <c r="F64" s="23" t="n">
        <v>96522.55</v>
      </c>
      <c r="G64" s="12" t="inlineStr">
        <is>
          <t>0.0600</t>
        </is>
      </c>
      <c r="H64" s="12" t="inlineStr">
        <is>
          <t>30</t>
        </is>
      </c>
      <c r="I64" s="12" t="inlineStr">
        <is>
          <t>360</t>
        </is>
      </c>
      <c r="J64" s="12">
        <f>ROUND(F64*G64*H64/I64,2)</f>
        <v>482.61</v>
      </c>
      <c r="K64" s="23" t="n">
        <v>417.63</v>
      </c>
      <c r="L64" s="23" t="n">
        <v>0</v>
      </c>
      <c r="M64" s="12">
        <f>SUM(J64:L64)</f>
        <v>900.24</v>
      </c>
      <c r="N64" s="23" t="n">
        <v>96104.92</v>
      </c>
      <c r="O64" s="23" t="n">
        <v>0</v>
      </c>
      <c r="P64" s="23" t="n">
        <v>96522.55</v>
      </c>
      <c r="Q64" s="12" t="inlineStr">
        <is>
          <t>0.00500000</t>
        </is>
      </c>
      <c r="R64" s="12">
        <f>ROUND(P64*Q64,2)</f>
        <v>482.61</v>
      </c>
      <c r="S64" s="12">
        <f>MIN(MAX(R64-J64,0),O64)</f>
        <v>0.00</v>
      </c>
      <c r="T64" s="12">
        <f>O64-S64</f>
        <v>0.0</v>
      </c>
      <c r="U64" s="12">
        <f>N64-T64</f>
        <v>96104.92</v>
      </c>
      <c r="V64" s="12" t="inlineStr">
        <is>
          <t>96522.55 x 0.0600 x 30/360 = 482.61</t>
        </is>
      </c>
      <c r="W64" s="12" t="inlineStr">
        <is>
          <t>PROJECTED-Debt reference 001 051</t>
        </is>
      </c>
      <c r="X64" s="12" t="inlineStr">
        <is>
          <t>Not applicable no issuance cost</t>
        </is>
      </c>
    </row>
    <row r="65" ht="15" customHeight="1" s="13">
      <c r="A65" s="12" t="inlineStr">
        <is>
          <t>Debt reference 001</t>
        </is>
      </c>
      <c r="B65" s="12" t="inlineStr">
        <is>
          <t>64</t>
        </is>
      </c>
      <c r="C65" s="22" t="n">
        <v>47574</v>
      </c>
      <c r="D65" s="22" t="n">
        <v>47603</v>
      </c>
      <c r="E65" s="22" t="n">
        <v>47603</v>
      </c>
      <c r="F65" s="23" t="n">
        <v>96104.92</v>
      </c>
      <c r="G65" s="12" t="inlineStr">
        <is>
          <t>0.0600</t>
        </is>
      </c>
      <c r="H65" s="12" t="inlineStr">
        <is>
          <t>30</t>
        </is>
      </c>
      <c r="I65" s="12" t="inlineStr">
        <is>
          <t>360</t>
        </is>
      </c>
      <c r="J65" s="12">
        <f>ROUND(F65*G65*H65/I65,2)</f>
        <v>480.52</v>
      </c>
      <c r="K65" s="23" t="n">
        <v>419.72</v>
      </c>
      <c r="L65" s="23" t="n">
        <v>0</v>
      </c>
      <c r="M65" s="12">
        <f>SUM(J65:L65)</f>
        <v>900.24</v>
      </c>
      <c r="N65" s="23" t="n">
        <v>95685.2</v>
      </c>
      <c r="O65" s="23" t="n">
        <v>0</v>
      </c>
      <c r="P65" s="23" t="n">
        <v>96104.92</v>
      </c>
      <c r="Q65" s="12" t="inlineStr">
        <is>
          <t>0.00500000</t>
        </is>
      </c>
      <c r="R65" s="12">
        <f>ROUND(P65*Q65,2)</f>
        <v>480.52</v>
      </c>
      <c r="S65" s="12">
        <f>MIN(MAX(R65-J65,0),O65)</f>
        <v>0.00</v>
      </c>
      <c r="T65" s="12">
        <f>O65-S65</f>
        <v>0.0</v>
      </c>
      <c r="U65" s="12">
        <f>N65-T65</f>
        <v>95685.2</v>
      </c>
      <c r="V65" s="12" t="inlineStr">
        <is>
          <t>96104.92 x 0.0600 x 30/360 = 480.52</t>
        </is>
      </c>
      <c r="W65" s="12" t="inlineStr">
        <is>
          <t>PROJECTED-Debt reference 001 052</t>
        </is>
      </c>
      <c r="X65" s="12" t="inlineStr">
        <is>
          <t>Not applicable no issuance cost</t>
        </is>
      </c>
    </row>
    <row r="66" ht="15" customHeight="1" s="13">
      <c r="A66" s="12" t="inlineStr">
        <is>
          <t>Debt reference 001</t>
        </is>
      </c>
      <c r="B66" s="12" t="inlineStr">
        <is>
          <t>65</t>
        </is>
      </c>
      <c r="C66" s="22" t="n">
        <v>47604</v>
      </c>
      <c r="D66" s="22" t="n">
        <v>47634</v>
      </c>
      <c r="E66" s="22" t="n">
        <v>47634</v>
      </c>
      <c r="F66" s="23" t="n">
        <v>95685.2</v>
      </c>
      <c r="G66" s="12" t="inlineStr">
        <is>
          <t>0.0600</t>
        </is>
      </c>
      <c r="H66" s="12" t="inlineStr">
        <is>
          <t>30</t>
        </is>
      </c>
      <c r="I66" s="12" t="inlineStr">
        <is>
          <t>360</t>
        </is>
      </c>
      <c r="J66" s="12">
        <f>ROUND(F66*G66*H66/I66,2)</f>
        <v>478.43</v>
      </c>
      <c r="K66" s="23" t="n">
        <v>421.81</v>
      </c>
      <c r="L66" s="23" t="n">
        <v>0</v>
      </c>
      <c r="M66" s="12">
        <f>SUM(J66:L66)</f>
        <v>900.24</v>
      </c>
      <c r="N66" s="23" t="n">
        <v>95263.39</v>
      </c>
      <c r="O66" s="23" t="n">
        <v>0</v>
      </c>
      <c r="P66" s="23" t="n">
        <v>95685.2</v>
      </c>
      <c r="Q66" s="12" t="inlineStr">
        <is>
          <t>0.00500000</t>
        </is>
      </c>
      <c r="R66" s="12">
        <f>ROUND(P66*Q66,2)</f>
        <v>478.43</v>
      </c>
      <c r="S66" s="12">
        <f>MIN(MAX(R66-J66,0),O66)</f>
        <v>0.00</v>
      </c>
      <c r="T66" s="12">
        <f>O66-S66</f>
        <v>0.0</v>
      </c>
      <c r="U66" s="12">
        <f>N66-T66</f>
        <v>95263.39</v>
      </c>
      <c r="V66" s="12" t="inlineStr">
        <is>
          <t>95685.20 x 0.0600 x 30/360 = 478.43</t>
        </is>
      </c>
      <c r="W66" s="12" t="inlineStr">
        <is>
          <t>PROJECTED-Debt reference 001 053</t>
        </is>
      </c>
      <c r="X66" s="12" t="inlineStr">
        <is>
          <t>Not applicable no issuance cost</t>
        </is>
      </c>
    </row>
    <row r="67" ht="15" customHeight="1" s="13">
      <c r="A67" s="12" t="inlineStr">
        <is>
          <t>Debt reference 001</t>
        </is>
      </c>
      <c r="B67" s="12" t="inlineStr">
        <is>
          <t>66</t>
        </is>
      </c>
      <c r="C67" s="22" t="n">
        <v>47635</v>
      </c>
      <c r="D67" s="22" t="n">
        <v>47664</v>
      </c>
      <c r="E67" s="22" t="n">
        <v>47664</v>
      </c>
      <c r="F67" s="23" t="n">
        <v>95263.39</v>
      </c>
      <c r="G67" s="12" t="inlineStr">
        <is>
          <t>0.0600</t>
        </is>
      </c>
      <c r="H67" s="12" t="inlineStr">
        <is>
          <t>30</t>
        </is>
      </c>
      <c r="I67" s="12" t="inlineStr">
        <is>
          <t>360</t>
        </is>
      </c>
      <c r="J67" s="12">
        <f>ROUND(F67*G67*H67/I67,2)</f>
        <v>476.32</v>
      </c>
      <c r="K67" s="23" t="n">
        <v>423.92</v>
      </c>
      <c r="L67" s="23" t="n">
        <v>0</v>
      </c>
      <c r="M67" s="12">
        <f>SUM(J67:L67)</f>
        <v>900.24</v>
      </c>
      <c r="N67" s="23" t="n">
        <v>94839.47</v>
      </c>
      <c r="O67" s="23" t="n">
        <v>0</v>
      </c>
      <c r="P67" s="23" t="n">
        <v>95263.39</v>
      </c>
      <c r="Q67" s="12" t="inlineStr">
        <is>
          <t>0.00500000</t>
        </is>
      </c>
      <c r="R67" s="12">
        <f>ROUND(P67*Q67,2)</f>
        <v>476.32</v>
      </c>
      <c r="S67" s="12">
        <f>MIN(MAX(R67-J67,0),O67)</f>
        <v>0.00</v>
      </c>
      <c r="T67" s="12">
        <f>O67-S67</f>
        <v>0.0</v>
      </c>
      <c r="U67" s="12">
        <f>N67-T67</f>
        <v>94839.47</v>
      </c>
      <c r="V67" s="12" t="inlineStr">
        <is>
          <t>95263.39 x 0.0600 x 30/360 = 476.32</t>
        </is>
      </c>
      <c r="W67" s="12" t="inlineStr">
        <is>
          <t>PROJECTED-Debt reference 001 054</t>
        </is>
      </c>
      <c r="X67" s="12" t="inlineStr">
        <is>
          <t>Not applicable no issuance cost</t>
        </is>
      </c>
    </row>
    <row r="68" ht="15" customHeight="1" s="13">
      <c r="A68" s="12" t="inlineStr">
        <is>
          <t>Debt reference 001</t>
        </is>
      </c>
      <c r="B68" s="12" t="inlineStr">
        <is>
          <t>67</t>
        </is>
      </c>
      <c r="C68" s="22" t="n">
        <v>47665</v>
      </c>
      <c r="D68" s="22" t="n">
        <v>47695</v>
      </c>
      <c r="E68" s="22" t="n">
        <v>47695</v>
      </c>
      <c r="F68" s="23" t="n">
        <v>94839.47</v>
      </c>
      <c r="G68" s="12" t="inlineStr">
        <is>
          <t>0.0600</t>
        </is>
      </c>
      <c r="H68" s="12" t="inlineStr">
        <is>
          <t>30</t>
        </is>
      </c>
      <c r="I68" s="12" t="inlineStr">
        <is>
          <t>360</t>
        </is>
      </c>
      <c r="J68" s="12">
        <f>ROUND(F68*G68*H68/I68,2)</f>
        <v>474.20</v>
      </c>
      <c r="K68" s="23" t="n">
        <v>426.04</v>
      </c>
      <c r="L68" s="23" t="n">
        <v>0</v>
      </c>
      <c r="M68" s="12">
        <f>SUM(J68:L68)</f>
        <v>900.24</v>
      </c>
      <c r="N68" s="23" t="n">
        <v>94413.42999999999</v>
      </c>
      <c r="O68" s="23" t="n">
        <v>0</v>
      </c>
      <c r="P68" s="23" t="n">
        <v>94839.47</v>
      </c>
      <c r="Q68" s="12" t="inlineStr">
        <is>
          <t>0.00500000</t>
        </is>
      </c>
      <c r="R68" s="12">
        <f>ROUND(P68*Q68,2)</f>
        <v>474.20</v>
      </c>
      <c r="S68" s="12">
        <f>MIN(MAX(R68-J68,0),O68)</f>
        <v>0.0</v>
      </c>
      <c r="T68" s="12">
        <f>O68-S68</f>
        <v>0.0</v>
      </c>
      <c r="U68" s="12">
        <f>N68-T68</f>
        <v>94413.43</v>
      </c>
      <c r="V68" s="12" t="inlineStr">
        <is>
          <t>94839.47 x 0.0600 x 30/360 = 474.20</t>
        </is>
      </c>
      <c r="W68" s="12" t="inlineStr">
        <is>
          <t>PROJECTED-Debt reference 001 055</t>
        </is>
      </c>
      <c r="X68" s="12" t="inlineStr">
        <is>
          <t>Not applicable no issuance cost</t>
        </is>
      </c>
    </row>
    <row r="69" ht="15" customHeight="1" s="13">
      <c r="A69" s="12" t="inlineStr">
        <is>
          <t>Debt reference 001</t>
        </is>
      </c>
      <c r="B69" s="12" t="inlineStr">
        <is>
          <t>68</t>
        </is>
      </c>
      <c r="C69" s="22" t="n">
        <v>47696</v>
      </c>
      <c r="D69" s="22" t="n">
        <v>47726</v>
      </c>
      <c r="E69" s="22" t="n">
        <v>47726</v>
      </c>
      <c r="F69" s="23" t="n">
        <v>94413.42999999999</v>
      </c>
      <c r="G69" s="12" t="inlineStr">
        <is>
          <t>0.0600</t>
        </is>
      </c>
      <c r="H69" s="12" t="inlineStr">
        <is>
          <t>30</t>
        </is>
      </c>
      <c r="I69" s="12" t="inlineStr">
        <is>
          <t>360</t>
        </is>
      </c>
      <c r="J69" s="12">
        <f>ROUND(F69*G69*H69/I69,2)</f>
        <v>472.07</v>
      </c>
      <c r="K69" s="23" t="n">
        <v>428.17</v>
      </c>
      <c r="L69" s="23" t="n">
        <v>0</v>
      </c>
      <c r="M69" s="12">
        <f>SUM(J69:L69)</f>
        <v>900.24</v>
      </c>
      <c r="N69" s="23" t="n">
        <v>93985.25999999999</v>
      </c>
      <c r="O69" s="23" t="n">
        <v>0</v>
      </c>
      <c r="P69" s="23" t="n">
        <v>94413.42999999999</v>
      </c>
      <c r="Q69" s="12" t="inlineStr">
        <is>
          <t>0.00500000</t>
        </is>
      </c>
      <c r="R69" s="12">
        <f>ROUND(P69*Q69,2)</f>
        <v>472.07</v>
      </c>
      <c r="S69" s="12">
        <f>MIN(MAX(R69-J69,0),O69)</f>
        <v>0.00</v>
      </c>
      <c r="T69" s="12">
        <f>O69-S69</f>
        <v>0.0</v>
      </c>
      <c r="U69" s="12">
        <f>N69-T69</f>
        <v>93985.26</v>
      </c>
      <c r="V69" s="12" t="inlineStr">
        <is>
          <t>94413.43 x 0.0600 x 30/360 = 472.07</t>
        </is>
      </c>
      <c r="W69" s="12" t="inlineStr">
        <is>
          <t>PROJECTED-Debt reference 001 056</t>
        </is>
      </c>
      <c r="X69" s="12" t="inlineStr">
        <is>
          <t>Not applicable no issuance cost</t>
        </is>
      </c>
    </row>
    <row r="70" ht="15" customHeight="1" s="13">
      <c r="A70" s="12" t="inlineStr">
        <is>
          <t>Debt reference 001</t>
        </is>
      </c>
      <c r="B70" s="12" t="inlineStr">
        <is>
          <t>69</t>
        </is>
      </c>
      <c r="C70" s="22" t="n">
        <v>47727</v>
      </c>
      <c r="D70" s="22" t="n">
        <v>47756</v>
      </c>
      <c r="E70" s="22" t="n">
        <v>47756</v>
      </c>
      <c r="F70" s="23" t="n">
        <v>93985.25999999999</v>
      </c>
      <c r="G70" s="12" t="inlineStr">
        <is>
          <t>0.0600</t>
        </is>
      </c>
      <c r="H70" s="12" t="inlineStr">
        <is>
          <t>30</t>
        </is>
      </c>
      <c r="I70" s="12" t="inlineStr">
        <is>
          <t>360</t>
        </is>
      </c>
      <c r="J70" s="12">
        <f>ROUND(F70*G70*H70/I70,2)</f>
        <v>469.93</v>
      </c>
      <c r="K70" s="23" t="n">
        <v>430.31</v>
      </c>
      <c r="L70" s="23" t="n">
        <v>0</v>
      </c>
      <c r="M70" s="12">
        <f>SUM(J70:L70)</f>
        <v>900.24</v>
      </c>
      <c r="N70" s="23" t="n">
        <v>93554.95</v>
      </c>
      <c r="O70" s="23" t="n">
        <v>0</v>
      </c>
      <c r="P70" s="23" t="n">
        <v>93985.25999999999</v>
      </c>
      <c r="Q70" s="12" t="inlineStr">
        <is>
          <t>0.00500000</t>
        </is>
      </c>
      <c r="R70" s="12">
        <f>ROUND(P70*Q70,2)</f>
        <v>469.93</v>
      </c>
      <c r="S70" s="12">
        <f>MIN(MAX(R70-J70,0),O70)</f>
        <v>0.00</v>
      </c>
      <c r="T70" s="12">
        <f>O70-S70</f>
        <v>0.0</v>
      </c>
      <c r="U70" s="12">
        <f>N70-T70</f>
        <v>93554.95</v>
      </c>
      <c r="V70" s="12" t="inlineStr">
        <is>
          <t>93985.26 x 0.0600 x 30/360 = 469.93</t>
        </is>
      </c>
      <c r="W70" s="12" t="inlineStr">
        <is>
          <t>PROJECTED-Debt reference 001 057</t>
        </is>
      </c>
      <c r="X70" s="12" t="inlineStr">
        <is>
          <t>Not applicable no issuance cost</t>
        </is>
      </c>
    </row>
    <row r="71" ht="15" customHeight="1" s="13">
      <c r="A71" s="12" t="inlineStr">
        <is>
          <t>Debt reference 001</t>
        </is>
      </c>
      <c r="B71" s="12" t="inlineStr">
        <is>
          <t>70</t>
        </is>
      </c>
      <c r="C71" s="22" t="n">
        <v>47757</v>
      </c>
      <c r="D71" s="22" t="n">
        <v>47787</v>
      </c>
      <c r="E71" s="22" t="n">
        <v>47787</v>
      </c>
      <c r="F71" s="23" t="n">
        <v>93554.95</v>
      </c>
      <c r="G71" s="12" t="inlineStr">
        <is>
          <t>0.0600</t>
        </is>
      </c>
      <c r="H71" s="12" t="inlineStr">
        <is>
          <t>30</t>
        </is>
      </c>
      <c r="I71" s="12" t="inlineStr">
        <is>
          <t>360</t>
        </is>
      </c>
      <c r="J71" s="12">
        <f>ROUND(F71*G71*H71/I71,2)</f>
        <v>467.77</v>
      </c>
      <c r="K71" s="23" t="n">
        <v>432.47</v>
      </c>
      <c r="L71" s="23" t="n">
        <v>0</v>
      </c>
      <c r="M71" s="12">
        <f>SUM(J71:L71)</f>
        <v>900.24</v>
      </c>
      <c r="N71" s="23" t="n">
        <v>93122.48</v>
      </c>
      <c r="O71" s="23" t="n">
        <v>0</v>
      </c>
      <c r="P71" s="23" t="n">
        <v>93554.95</v>
      </c>
      <c r="Q71" s="12" t="inlineStr">
        <is>
          <t>0.00500000</t>
        </is>
      </c>
      <c r="R71" s="12">
        <f>ROUND(P71*Q71,2)</f>
        <v>467.77</v>
      </c>
      <c r="S71" s="12">
        <f>MIN(MAX(R71-J71,0),O71)</f>
        <v>0.00</v>
      </c>
      <c r="T71" s="12">
        <f>O71-S71</f>
        <v>0.0</v>
      </c>
      <c r="U71" s="12">
        <f>N71-T71</f>
        <v>93122.48</v>
      </c>
      <c r="V71" s="12" t="inlineStr">
        <is>
          <t>93554.95 x 0.0600 x 30/360 = 467.77</t>
        </is>
      </c>
      <c r="W71" s="12" t="inlineStr">
        <is>
          <t>PROJECTED-Debt reference 001 058</t>
        </is>
      </c>
      <c r="X71" s="12" t="inlineStr">
        <is>
          <t>Not applicable no issuance cost</t>
        </is>
      </c>
    </row>
    <row r="72" ht="15" customHeight="1" s="13">
      <c r="A72" s="12" t="inlineStr">
        <is>
          <t>Debt reference 001</t>
        </is>
      </c>
      <c r="B72" s="12" t="inlineStr">
        <is>
          <t>71</t>
        </is>
      </c>
      <c r="C72" s="22" t="n">
        <v>47788</v>
      </c>
      <c r="D72" s="22" t="n">
        <v>47817</v>
      </c>
      <c r="E72" s="22" t="n">
        <v>47817</v>
      </c>
      <c r="F72" s="23" t="n">
        <v>93122.48</v>
      </c>
      <c r="G72" s="12" t="inlineStr">
        <is>
          <t>0.0600</t>
        </is>
      </c>
      <c r="H72" s="12" t="inlineStr">
        <is>
          <t>30</t>
        </is>
      </c>
      <c r="I72" s="12" t="inlineStr">
        <is>
          <t>360</t>
        </is>
      </c>
      <c r="J72" s="12">
        <f>ROUND(F72*G72*H72/I72,2)</f>
        <v>465.61</v>
      </c>
      <c r="K72" s="23" t="n">
        <v>434.63</v>
      </c>
      <c r="L72" s="23" t="n">
        <v>0</v>
      </c>
      <c r="M72" s="12">
        <f>SUM(J72:L72)</f>
        <v>900.24</v>
      </c>
      <c r="N72" s="23" t="n">
        <v>92687.85000000001</v>
      </c>
      <c r="O72" s="23" t="n">
        <v>0</v>
      </c>
      <c r="P72" s="23" t="n">
        <v>93122.48</v>
      </c>
      <c r="Q72" s="12" t="inlineStr">
        <is>
          <t>0.00500000</t>
        </is>
      </c>
      <c r="R72" s="12">
        <f>ROUND(P72*Q72,2)</f>
        <v>465.61</v>
      </c>
      <c r="S72" s="12">
        <f>MIN(MAX(R72-J72,0),O72)</f>
        <v>0.00</v>
      </c>
      <c r="T72" s="12">
        <f>O72-S72</f>
        <v>0.0</v>
      </c>
      <c r="U72" s="12">
        <f>N72-T72</f>
        <v>92687.85</v>
      </c>
      <c r="V72" s="12" t="inlineStr">
        <is>
          <t>93122.48 x 0.0600 x 30/360 = 465.61</t>
        </is>
      </c>
      <c r="W72" s="12" t="inlineStr">
        <is>
          <t>PROJECTED-Debt reference 001 059</t>
        </is>
      </c>
      <c r="X72" s="12" t="inlineStr">
        <is>
          <t>Not applicable no issuance cost</t>
        </is>
      </c>
    </row>
    <row r="73" ht="15" customHeight="1" s="13">
      <c r="A73" s="12" t="inlineStr">
        <is>
          <t>Debt reference 001</t>
        </is>
      </c>
      <c r="B73" s="12" t="inlineStr">
        <is>
          <t>72</t>
        </is>
      </c>
      <c r="C73" s="22" t="n">
        <v>47818</v>
      </c>
      <c r="D73" s="22" t="n">
        <v>47848</v>
      </c>
      <c r="E73" s="22" t="n">
        <v>47848</v>
      </c>
      <c r="F73" s="23" t="n">
        <v>92687.85000000001</v>
      </c>
      <c r="G73" s="12" t="inlineStr">
        <is>
          <t>0.0600</t>
        </is>
      </c>
      <c r="H73" s="12" t="inlineStr">
        <is>
          <t>30</t>
        </is>
      </c>
      <c r="I73" s="12" t="inlineStr">
        <is>
          <t>360</t>
        </is>
      </c>
      <c r="J73" s="12">
        <f>ROUND(F73*G73*H73/I73,2)</f>
        <v>463.44</v>
      </c>
      <c r="K73" s="23" t="n">
        <v>436.8</v>
      </c>
      <c r="L73" s="23" t="n">
        <v>0</v>
      </c>
      <c r="M73" s="12">
        <f>SUM(J73:L73)</f>
        <v>900.24</v>
      </c>
      <c r="N73" s="23" t="n">
        <v>92251.05</v>
      </c>
      <c r="O73" s="23" t="n">
        <v>0</v>
      </c>
      <c r="P73" s="23" t="n">
        <v>92687.85000000001</v>
      </c>
      <c r="Q73" s="12" t="inlineStr">
        <is>
          <t>0.00500000</t>
        </is>
      </c>
      <c r="R73" s="12">
        <f>ROUND(P73*Q73,2)</f>
        <v>463.44</v>
      </c>
      <c r="S73" s="12">
        <f>MIN(MAX(R73-J73,0),O73)</f>
        <v>0.00</v>
      </c>
      <c r="T73" s="12">
        <f>O73-S73</f>
        <v>0.0</v>
      </c>
      <c r="U73" s="12">
        <f>N73-T73</f>
        <v>92251.05</v>
      </c>
      <c r="V73" s="12" t="inlineStr">
        <is>
          <t>92687.85 x 0.0600 x 30/360 = 463.44</t>
        </is>
      </c>
      <c r="W73" s="12" t="inlineStr">
        <is>
          <t>PROJECTED-Debt reference 001 060</t>
        </is>
      </c>
      <c r="X73" s="12" t="inlineStr">
        <is>
          <t>Not applicable no issuance cost</t>
        </is>
      </c>
    </row>
    <row r="74" ht="15" customHeight="1" s="13">
      <c r="A74" s="12" t="inlineStr">
        <is>
          <t>Debt reference 001</t>
        </is>
      </c>
      <c r="B74" s="12" t="inlineStr">
        <is>
          <t>73</t>
        </is>
      </c>
      <c r="C74" s="22" t="n">
        <v>47849</v>
      </c>
      <c r="D74" s="22" t="n">
        <v>47879</v>
      </c>
      <c r="E74" s="22" t="n">
        <v>47879</v>
      </c>
      <c r="F74" s="23" t="n">
        <v>92251.05</v>
      </c>
      <c r="G74" s="12" t="inlineStr">
        <is>
          <t>0.0600</t>
        </is>
      </c>
      <c r="H74" s="12" t="inlineStr">
        <is>
          <t>30</t>
        </is>
      </c>
      <c r="I74" s="12" t="inlineStr">
        <is>
          <t>360</t>
        </is>
      </c>
      <c r="J74" s="12">
        <f>ROUND(F74*G74*H74/I74,2)</f>
        <v>461.26</v>
      </c>
      <c r="K74" s="23" t="n">
        <v>438.98</v>
      </c>
      <c r="L74" s="23" t="n">
        <v>0</v>
      </c>
      <c r="M74" s="12">
        <f>SUM(J74:L74)</f>
        <v>900.24</v>
      </c>
      <c r="N74" s="23" t="n">
        <v>91812.07000000001</v>
      </c>
      <c r="O74" s="23" t="n">
        <v>0</v>
      </c>
      <c r="P74" s="23" t="n">
        <v>92251.05</v>
      </c>
      <c r="Q74" s="12" t="inlineStr">
        <is>
          <t>0.00500000</t>
        </is>
      </c>
      <c r="R74" s="12">
        <f>ROUND(P74*Q74,2)</f>
        <v>461.26</v>
      </c>
      <c r="S74" s="12">
        <f>MIN(MAX(R74-J74,0),O74)</f>
        <v>0.00</v>
      </c>
      <c r="T74" s="12">
        <f>O74-S74</f>
        <v>0.0</v>
      </c>
      <c r="U74" s="12">
        <f>N74-T74</f>
        <v>91812.07</v>
      </c>
      <c r="V74" s="12" t="inlineStr">
        <is>
          <t>92251.05 x 0.0600 x 30/360 = 461.26</t>
        </is>
      </c>
      <c r="W74" s="12" t="inlineStr">
        <is>
          <t>PROJECTED-Debt reference 001 061</t>
        </is>
      </c>
      <c r="X74" s="12" t="inlineStr">
        <is>
          <t>Not applicable no issuance cost</t>
        </is>
      </c>
    </row>
    <row r="75" ht="15" customHeight="1" s="13">
      <c r="A75" s="12" t="inlineStr">
        <is>
          <t>Debt reference 001</t>
        </is>
      </c>
      <c r="B75" s="12" t="inlineStr">
        <is>
          <t>74</t>
        </is>
      </c>
      <c r="C75" s="22" t="n">
        <v>47880</v>
      </c>
      <c r="D75" s="22" t="n">
        <v>47907</v>
      </c>
      <c r="E75" s="22" t="n">
        <v>47907</v>
      </c>
      <c r="F75" s="23" t="n">
        <v>91812.07000000001</v>
      </c>
      <c r="G75" s="12" t="inlineStr">
        <is>
          <t>0.0600</t>
        </is>
      </c>
      <c r="H75" s="12" t="inlineStr">
        <is>
          <t>30</t>
        </is>
      </c>
      <c r="I75" s="12" t="inlineStr">
        <is>
          <t>360</t>
        </is>
      </c>
      <c r="J75" s="12">
        <f>ROUND(F75*G75*H75/I75,2)</f>
        <v>459.06</v>
      </c>
      <c r="K75" s="23" t="n">
        <v>441.18</v>
      </c>
      <c r="L75" s="23" t="n">
        <v>0</v>
      </c>
      <c r="M75" s="12">
        <f>SUM(J75:L75)</f>
        <v>900.24</v>
      </c>
      <c r="N75" s="23" t="n">
        <v>91370.89</v>
      </c>
      <c r="O75" s="23" t="n">
        <v>0</v>
      </c>
      <c r="P75" s="23" t="n">
        <v>91812.07000000001</v>
      </c>
      <c r="Q75" s="12" t="inlineStr">
        <is>
          <t>0.00500000</t>
        </is>
      </c>
      <c r="R75" s="12">
        <f>ROUND(P75*Q75,2)</f>
        <v>459.06</v>
      </c>
      <c r="S75" s="12">
        <f>MIN(MAX(R75-J75,0),O75)</f>
        <v>0.00</v>
      </c>
      <c r="T75" s="12">
        <f>O75-S75</f>
        <v>0.0</v>
      </c>
      <c r="U75" s="12">
        <f>N75-T75</f>
        <v>91370.89</v>
      </c>
      <c r="V75" s="12" t="inlineStr">
        <is>
          <t>91812.07 x 0.0600 x 30/360 = 459.06</t>
        </is>
      </c>
      <c r="W75" s="12" t="inlineStr">
        <is>
          <t>PROJECTED-Debt reference 001 062</t>
        </is>
      </c>
      <c r="X75" s="12" t="inlineStr">
        <is>
          <t>Not applicable no issuance cost</t>
        </is>
      </c>
    </row>
    <row r="76" ht="15" customHeight="1" s="13">
      <c r="A76" s="12" t="inlineStr">
        <is>
          <t>Debt reference 001</t>
        </is>
      </c>
      <c r="B76" s="12" t="inlineStr">
        <is>
          <t>75</t>
        </is>
      </c>
      <c r="C76" s="22" t="n">
        <v>47908</v>
      </c>
      <c r="D76" s="22" t="n">
        <v>47938</v>
      </c>
      <c r="E76" s="22" t="n">
        <v>47938</v>
      </c>
      <c r="F76" s="23" t="n">
        <v>91370.89</v>
      </c>
      <c r="G76" s="12" t="inlineStr">
        <is>
          <t>0.0600</t>
        </is>
      </c>
      <c r="H76" s="12" t="inlineStr">
        <is>
          <t>30</t>
        </is>
      </c>
      <c r="I76" s="12" t="inlineStr">
        <is>
          <t>360</t>
        </is>
      </c>
      <c r="J76" s="12">
        <f>ROUND(F76*G76*H76/I76,2)</f>
        <v>456.85</v>
      </c>
      <c r="K76" s="23" t="n">
        <v>443.39</v>
      </c>
      <c r="L76" s="23" t="n">
        <v>0</v>
      </c>
      <c r="M76" s="12">
        <f>SUM(J76:L76)</f>
        <v>900.24</v>
      </c>
      <c r="N76" s="23" t="n">
        <v>90927.5</v>
      </c>
      <c r="O76" s="23" t="n">
        <v>0</v>
      </c>
      <c r="P76" s="23" t="n">
        <v>91370.89</v>
      </c>
      <c r="Q76" s="12" t="inlineStr">
        <is>
          <t>0.00500000</t>
        </is>
      </c>
      <c r="R76" s="12">
        <f>ROUND(P76*Q76,2)</f>
        <v>456.85</v>
      </c>
      <c r="S76" s="12">
        <f>MIN(MAX(R76-J76,0),O76)</f>
        <v>0.00</v>
      </c>
      <c r="T76" s="12">
        <f>O76-S76</f>
        <v>0.0</v>
      </c>
      <c r="U76" s="12">
        <f>N76-T76</f>
        <v>90927.5</v>
      </c>
      <c r="V76" s="12" t="inlineStr">
        <is>
          <t>91370.89 x 0.0600 x 30/360 = 456.85</t>
        </is>
      </c>
      <c r="W76" s="12" t="inlineStr">
        <is>
          <t>PROJECTED-Debt reference 001 063</t>
        </is>
      </c>
      <c r="X76" s="12" t="inlineStr">
        <is>
          <t>Not applicable no issuance cost</t>
        </is>
      </c>
    </row>
    <row r="77" ht="15" customHeight="1" s="13">
      <c r="A77" s="12" t="inlineStr">
        <is>
          <t>Debt reference 001</t>
        </is>
      </c>
      <c r="B77" s="12" t="inlineStr">
        <is>
          <t>76</t>
        </is>
      </c>
      <c r="C77" s="22" t="n">
        <v>47939</v>
      </c>
      <c r="D77" s="22" t="n">
        <v>47968</v>
      </c>
      <c r="E77" s="22" t="n">
        <v>47968</v>
      </c>
      <c r="F77" s="23" t="n">
        <v>90927.5</v>
      </c>
      <c r="G77" s="12" t="inlineStr">
        <is>
          <t>0.0600</t>
        </is>
      </c>
      <c r="H77" s="12" t="inlineStr">
        <is>
          <t>30</t>
        </is>
      </c>
      <c r="I77" s="12" t="inlineStr">
        <is>
          <t>360</t>
        </is>
      </c>
      <c r="J77" s="12">
        <f>ROUND(F77*G77*H77/I77,2)</f>
        <v>454.64</v>
      </c>
      <c r="K77" s="23" t="n">
        <v>445.6</v>
      </c>
      <c r="L77" s="23" t="n">
        <v>0</v>
      </c>
      <c r="M77" s="12">
        <f>SUM(J77:L77)</f>
        <v>900.24</v>
      </c>
      <c r="N77" s="23" t="n">
        <v>90481.89999999999</v>
      </c>
      <c r="O77" s="23" t="n">
        <v>0</v>
      </c>
      <c r="P77" s="23" t="n">
        <v>90927.5</v>
      </c>
      <c r="Q77" s="12" t="inlineStr">
        <is>
          <t>0.00500000</t>
        </is>
      </c>
      <c r="R77" s="12">
        <f>ROUND(P77*Q77,2)</f>
        <v>454.64</v>
      </c>
      <c r="S77" s="12">
        <f>MIN(MAX(R77-J77,0),O77)</f>
        <v>0.00</v>
      </c>
      <c r="T77" s="12">
        <f>O77-S77</f>
        <v>0.0</v>
      </c>
      <c r="U77" s="12">
        <f>N77-T77</f>
        <v>90481.9</v>
      </c>
      <c r="V77" s="12" t="inlineStr">
        <is>
          <t>90927.50 x 0.0600 x 30/360 = 454.64</t>
        </is>
      </c>
      <c r="W77" s="12" t="inlineStr">
        <is>
          <t>PROJECTED-Debt reference 001 064</t>
        </is>
      </c>
      <c r="X77" s="12" t="inlineStr">
        <is>
          <t>Not applicable no issuance cost</t>
        </is>
      </c>
    </row>
    <row r="78" ht="15" customHeight="1" s="13">
      <c r="A78" s="12" t="inlineStr">
        <is>
          <t>Debt reference 001</t>
        </is>
      </c>
      <c r="B78" s="12" t="inlineStr">
        <is>
          <t>77</t>
        </is>
      </c>
      <c r="C78" s="22" t="n">
        <v>47969</v>
      </c>
      <c r="D78" s="22" t="n">
        <v>47999</v>
      </c>
      <c r="E78" s="22" t="n">
        <v>47999</v>
      </c>
      <c r="F78" s="23" t="n">
        <v>90481.89999999999</v>
      </c>
      <c r="G78" s="12" t="inlineStr">
        <is>
          <t>0.0600</t>
        </is>
      </c>
      <c r="H78" s="12" t="inlineStr">
        <is>
          <t>30</t>
        </is>
      </c>
      <c r="I78" s="12" t="inlineStr">
        <is>
          <t>360</t>
        </is>
      </c>
      <c r="J78" s="12">
        <f>ROUND(F78*G78*H78/I78,2)</f>
        <v>452.41</v>
      </c>
      <c r="K78" s="23" t="n">
        <v>447.83</v>
      </c>
      <c r="L78" s="23" t="n">
        <v>0</v>
      </c>
      <c r="M78" s="12">
        <f>SUM(J78:L78)</f>
        <v>900.24</v>
      </c>
      <c r="N78" s="23" t="n">
        <v>90034.07000000001</v>
      </c>
      <c r="O78" s="23" t="n">
        <v>0</v>
      </c>
      <c r="P78" s="23" t="n">
        <v>90481.89999999999</v>
      </c>
      <c r="Q78" s="12" t="inlineStr">
        <is>
          <t>0.00500000</t>
        </is>
      </c>
      <c r="R78" s="12">
        <f>ROUND(P78*Q78,2)</f>
        <v>452.41</v>
      </c>
      <c r="S78" s="12">
        <f>MIN(MAX(R78-J78,0),O78)</f>
        <v>0.00</v>
      </c>
      <c r="T78" s="12">
        <f>O78-S78</f>
        <v>0.0</v>
      </c>
      <c r="U78" s="12">
        <f>N78-T78</f>
        <v>90034.07</v>
      </c>
      <c r="V78" s="12" t="inlineStr">
        <is>
          <t>90481.90 x 0.0600 x 30/360 = 452.41</t>
        </is>
      </c>
      <c r="W78" s="12" t="inlineStr">
        <is>
          <t>PROJECTED-Debt reference 001 065</t>
        </is>
      </c>
      <c r="X78" s="12" t="inlineStr">
        <is>
          <t>Not applicable no issuance cost</t>
        </is>
      </c>
    </row>
    <row r="79" ht="15" customHeight="1" s="13">
      <c r="A79" s="12" t="inlineStr">
        <is>
          <t>Debt reference 001</t>
        </is>
      </c>
      <c r="B79" s="12" t="inlineStr">
        <is>
          <t>78</t>
        </is>
      </c>
      <c r="C79" s="22" t="n">
        <v>48000</v>
      </c>
      <c r="D79" s="22" t="n">
        <v>48029</v>
      </c>
      <c r="E79" s="22" t="n">
        <v>48029</v>
      </c>
      <c r="F79" s="23" t="n">
        <v>90034.07000000001</v>
      </c>
      <c r="G79" s="12" t="inlineStr">
        <is>
          <t>0.0600</t>
        </is>
      </c>
      <c r="H79" s="12" t="inlineStr">
        <is>
          <t>30</t>
        </is>
      </c>
      <c r="I79" s="12" t="inlineStr">
        <is>
          <t>360</t>
        </is>
      </c>
      <c r="J79" s="12">
        <f>ROUND(F79*G79*H79/I79,2)</f>
        <v>450.17</v>
      </c>
      <c r="K79" s="23" t="n">
        <v>450.07</v>
      </c>
      <c r="L79" s="23" t="n">
        <v>0</v>
      </c>
      <c r="M79" s="12">
        <f>SUM(J79:L79)</f>
        <v>900.24</v>
      </c>
      <c r="N79" s="23" t="n">
        <v>89584</v>
      </c>
      <c r="O79" s="23" t="n">
        <v>0</v>
      </c>
      <c r="P79" s="23" t="n">
        <v>90034.07000000001</v>
      </c>
      <c r="Q79" s="12" t="inlineStr">
        <is>
          <t>0.00500000</t>
        </is>
      </c>
      <c r="R79" s="12">
        <f>ROUND(P79*Q79,2)</f>
        <v>450.17</v>
      </c>
      <c r="S79" s="12">
        <f>MIN(MAX(R79-J79,0),O79)</f>
        <v>0.00</v>
      </c>
      <c r="T79" s="12">
        <f>O79-S79</f>
        <v>0.0</v>
      </c>
      <c r="U79" s="12">
        <f>N79-T79</f>
        <v>89584.0</v>
      </c>
      <c r="V79" s="12" t="inlineStr">
        <is>
          <t>90034.07 x 0.0600 x 30/360 = 450.17</t>
        </is>
      </c>
      <c r="W79" s="12" t="inlineStr">
        <is>
          <t>PROJECTED-Debt reference 001 066</t>
        </is>
      </c>
      <c r="X79" s="12" t="inlineStr">
        <is>
          <t>Not applicable no issuance cost</t>
        </is>
      </c>
    </row>
    <row r="80" ht="15" customHeight="1" s="13">
      <c r="A80" s="12" t="inlineStr">
        <is>
          <t>Debt reference 001</t>
        </is>
      </c>
      <c r="B80" s="12" t="inlineStr">
        <is>
          <t>79</t>
        </is>
      </c>
      <c r="C80" s="22" t="n">
        <v>48030</v>
      </c>
      <c r="D80" s="22" t="n">
        <v>48060</v>
      </c>
      <c r="E80" s="22" t="n">
        <v>48060</v>
      </c>
      <c r="F80" s="23" t="n">
        <v>89584</v>
      </c>
      <c r="G80" s="12" t="inlineStr">
        <is>
          <t>0.0600</t>
        </is>
      </c>
      <c r="H80" s="12" t="inlineStr">
        <is>
          <t>30</t>
        </is>
      </c>
      <c r="I80" s="12" t="inlineStr">
        <is>
          <t>360</t>
        </is>
      </c>
      <c r="J80" s="12">
        <f>ROUND(F80*G80*H80/I80,2)</f>
        <v>447.92</v>
      </c>
      <c r="K80" s="23" t="n">
        <v>452.32</v>
      </c>
      <c r="L80" s="23" t="n">
        <v>0</v>
      </c>
      <c r="M80" s="12">
        <f>SUM(J80:L80)</f>
        <v>900.24</v>
      </c>
      <c r="N80" s="23" t="n">
        <v>89131.67999999999</v>
      </c>
      <c r="O80" s="23" t="n">
        <v>0</v>
      </c>
      <c r="P80" s="23" t="n">
        <v>89584</v>
      </c>
      <c r="Q80" s="12" t="inlineStr">
        <is>
          <t>0.00500000</t>
        </is>
      </c>
      <c r="R80" s="12">
        <f>ROUND(P80*Q80,2)</f>
        <v>447.92</v>
      </c>
      <c r="S80" s="12">
        <f>MIN(MAX(R80-J80,0),O80)</f>
        <v>0.00</v>
      </c>
      <c r="T80" s="12">
        <f>O80-S80</f>
        <v>0.0</v>
      </c>
      <c r="U80" s="12">
        <f>N80-T80</f>
        <v>89131.68</v>
      </c>
      <c r="V80" s="12" t="inlineStr">
        <is>
          <t>89584.00 x 0.0600 x 30/360 = 447.92</t>
        </is>
      </c>
      <c r="W80" s="12" t="inlineStr">
        <is>
          <t>PROJECTED-Debt reference 001 067</t>
        </is>
      </c>
      <c r="X80" s="12" t="inlineStr">
        <is>
          <t>Not applicable no issuance cost</t>
        </is>
      </c>
    </row>
    <row r="81" ht="15" customHeight="1" s="13">
      <c r="A81" s="12" t="inlineStr">
        <is>
          <t>Debt reference 001</t>
        </is>
      </c>
      <c r="B81" s="12" t="inlineStr">
        <is>
          <t>80</t>
        </is>
      </c>
      <c r="C81" s="22" t="n">
        <v>48061</v>
      </c>
      <c r="D81" s="22" t="n">
        <v>48091</v>
      </c>
      <c r="E81" s="22" t="n">
        <v>48091</v>
      </c>
      <c r="F81" s="23" t="n">
        <v>89131.67999999999</v>
      </c>
      <c r="G81" s="12" t="inlineStr">
        <is>
          <t>0.0600</t>
        </is>
      </c>
      <c r="H81" s="12" t="inlineStr">
        <is>
          <t>30</t>
        </is>
      </c>
      <c r="I81" s="12" t="inlineStr">
        <is>
          <t>360</t>
        </is>
      </c>
      <c r="J81" s="12">
        <f>ROUND(F81*G81*H81/I81,2)</f>
        <v>445.66</v>
      </c>
      <c r="K81" s="23" t="n">
        <v>454.58</v>
      </c>
      <c r="L81" s="23" t="n">
        <v>0</v>
      </c>
      <c r="M81" s="12">
        <f>SUM(J81:L81)</f>
        <v>900.24</v>
      </c>
      <c r="N81" s="23" t="n">
        <v>88677.10000000001</v>
      </c>
      <c r="O81" s="23" t="n">
        <v>0</v>
      </c>
      <c r="P81" s="23" t="n">
        <v>89131.67999999999</v>
      </c>
      <c r="Q81" s="12" t="inlineStr">
        <is>
          <t>0.00500000</t>
        </is>
      </c>
      <c r="R81" s="12">
        <f>ROUND(P81*Q81,2)</f>
        <v>445.66</v>
      </c>
      <c r="S81" s="12">
        <f>MIN(MAX(R81-J81,0),O81)</f>
        <v>0.00</v>
      </c>
      <c r="T81" s="12">
        <f>O81-S81</f>
        <v>0.0</v>
      </c>
      <c r="U81" s="12">
        <f>N81-T81</f>
        <v>88677.1</v>
      </c>
      <c r="V81" s="12" t="inlineStr">
        <is>
          <t>89131.68 x 0.0600 x 30/360 = 445.66</t>
        </is>
      </c>
      <c r="W81" s="12" t="inlineStr">
        <is>
          <t>PROJECTED-Debt reference 001 068</t>
        </is>
      </c>
      <c r="X81" s="12" t="inlineStr">
        <is>
          <t>Not applicable no issuance cost</t>
        </is>
      </c>
    </row>
    <row r="82" ht="15" customHeight="1" s="13">
      <c r="A82" s="12" t="inlineStr">
        <is>
          <t>Debt reference 001</t>
        </is>
      </c>
      <c r="B82" s="12" t="inlineStr">
        <is>
          <t>81</t>
        </is>
      </c>
      <c r="C82" s="22" t="n">
        <v>48092</v>
      </c>
      <c r="D82" s="22" t="n">
        <v>48121</v>
      </c>
      <c r="E82" s="22" t="n">
        <v>48121</v>
      </c>
      <c r="F82" s="23" t="n">
        <v>88677.10000000001</v>
      </c>
      <c r="G82" s="12" t="inlineStr">
        <is>
          <t>0.0600</t>
        </is>
      </c>
      <c r="H82" s="12" t="inlineStr">
        <is>
          <t>30</t>
        </is>
      </c>
      <c r="I82" s="12" t="inlineStr">
        <is>
          <t>360</t>
        </is>
      </c>
      <c r="J82" s="12">
        <f>ROUND(F82*G82*H82/I82,2)</f>
        <v>443.39</v>
      </c>
      <c r="K82" s="23" t="n">
        <v>456.85</v>
      </c>
      <c r="L82" s="23" t="n">
        <v>0</v>
      </c>
      <c r="M82" s="12">
        <f>SUM(J82:L82)</f>
        <v>900.24</v>
      </c>
      <c r="N82" s="23" t="n">
        <v>88220.25</v>
      </c>
      <c r="O82" s="23" t="n">
        <v>0</v>
      </c>
      <c r="P82" s="23" t="n">
        <v>88677.10000000001</v>
      </c>
      <c r="Q82" s="12" t="inlineStr">
        <is>
          <t>0.00500000</t>
        </is>
      </c>
      <c r="R82" s="12">
        <f>ROUND(P82*Q82,2)</f>
        <v>443.39</v>
      </c>
      <c r="S82" s="12">
        <f>MIN(MAX(R82-J82,0),O82)</f>
        <v>0.00</v>
      </c>
      <c r="T82" s="12">
        <f>O82-S82</f>
        <v>0.0</v>
      </c>
      <c r="U82" s="12">
        <f>N82-T82</f>
        <v>88220.25</v>
      </c>
      <c r="V82" s="12" t="inlineStr">
        <is>
          <t>88677.10 x 0.0600 x 30/360 = 443.39</t>
        </is>
      </c>
      <c r="W82" s="12" t="inlineStr">
        <is>
          <t>PROJECTED-Debt reference 001 069</t>
        </is>
      </c>
      <c r="X82" s="12" t="inlineStr">
        <is>
          <t>Not applicable no issuance cost</t>
        </is>
      </c>
    </row>
    <row r="83" ht="15" customHeight="1" s="13">
      <c r="A83" s="12" t="inlineStr">
        <is>
          <t>Debt reference 001</t>
        </is>
      </c>
      <c r="B83" s="12" t="inlineStr">
        <is>
          <t>82</t>
        </is>
      </c>
      <c r="C83" s="22" t="n">
        <v>48122</v>
      </c>
      <c r="D83" s="22" t="n">
        <v>48152</v>
      </c>
      <c r="E83" s="22" t="n">
        <v>48152</v>
      </c>
      <c r="F83" s="23" t="n">
        <v>88220.25</v>
      </c>
      <c r="G83" s="12" t="inlineStr">
        <is>
          <t>0.0600</t>
        </is>
      </c>
      <c r="H83" s="12" t="inlineStr">
        <is>
          <t>30</t>
        </is>
      </c>
      <c r="I83" s="12" t="inlineStr">
        <is>
          <t>360</t>
        </is>
      </c>
      <c r="J83" s="12">
        <f>ROUND(F83*G83*H83/I83,2)</f>
        <v>441.10</v>
      </c>
      <c r="K83" s="23" t="n">
        <v>459.14</v>
      </c>
      <c r="L83" s="23" t="n">
        <v>0</v>
      </c>
      <c r="M83" s="12">
        <f>SUM(J83:L83)</f>
        <v>900.24</v>
      </c>
      <c r="N83" s="23" t="n">
        <v>87761.11</v>
      </c>
      <c r="O83" s="23" t="n">
        <v>0</v>
      </c>
      <c r="P83" s="23" t="n">
        <v>88220.25</v>
      </c>
      <c r="Q83" s="12" t="inlineStr">
        <is>
          <t>0.00500000</t>
        </is>
      </c>
      <c r="R83" s="12">
        <f>ROUND(P83*Q83,2)</f>
        <v>441.10</v>
      </c>
      <c r="S83" s="12">
        <f>MIN(MAX(R83-J83,0),O83)</f>
        <v>0.0</v>
      </c>
      <c r="T83" s="12">
        <f>O83-S83</f>
        <v>0.0</v>
      </c>
      <c r="U83" s="12">
        <f>N83-T83</f>
        <v>87761.11</v>
      </c>
      <c r="V83" s="12" t="inlineStr">
        <is>
          <t>88220.25 x 0.0600 x 30/360 = 441.10</t>
        </is>
      </c>
      <c r="W83" s="12" t="inlineStr">
        <is>
          <t>PROJECTED-Debt reference 001 070</t>
        </is>
      </c>
      <c r="X83" s="12" t="inlineStr">
        <is>
          <t>Not applicable no issuance cost</t>
        </is>
      </c>
    </row>
    <row r="84" ht="15" customHeight="1" s="13">
      <c r="A84" s="12" t="inlineStr">
        <is>
          <t>Debt reference 001</t>
        </is>
      </c>
      <c r="B84" s="12" t="inlineStr">
        <is>
          <t>83</t>
        </is>
      </c>
      <c r="C84" s="22" t="n">
        <v>48153</v>
      </c>
      <c r="D84" s="22" t="n">
        <v>48182</v>
      </c>
      <c r="E84" s="22" t="n">
        <v>48182</v>
      </c>
      <c r="F84" s="23" t="n">
        <v>87761.11</v>
      </c>
      <c r="G84" s="12" t="inlineStr">
        <is>
          <t>0.0600</t>
        </is>
      </c>
      <c r="H84" s="12" t="inlineStr">
        <is>
          <t>30</t>
        </is>
      </c>
      <c r="I84" s="12" t="inlineStr">
        <is>
          <t>360</t>
        </is>
      </c>
      <c r="J84" s="12">
        <f>ROUND(F84*G84*H84/I84,2)</f>
        <v>438.81</v>
      </c>
      <c r="K84" s="23" t="n">
        <v>461.43</v>
      </c>
      <c r="L84" s="23" t="n">
        <v>0</v>
      </c>
      <c r="M84" s="12">
        <f>SUM(J84:L84)</f>
        <v>900.24</v>
      </c>
      <c r="N84" s="23" t="n">
        <v>87299.67999999999</v>
      </c>
      <c r="O84" s="23" t="n">
        <v>0</v>
      </c>
      <c r="P84" s="23" t="n">
        <v>87761.11</v>
      </c>
      <c r="Q84" s="12" t="inlineStr">
        <is>
          <t>0.00500000</t>
        </is>
      </c>
      <c r="R84" s="12">
        <f>ROUND(P84*Q84,2)</f>
        <v>438.81</v>
      </c>
      <c r="S84" s="12">
        <f>MIN(MAX(R84-J84,0),O84)</f>
        <v>0.00</v>
      </c>
      <c r="T84" s="12">
        <f>O84-S84</f>
        <v>0.0</v>
      </c>
      <c r="U84" s="12">
        <f>N84-T84</f>
        <v>87299.68</v>
      </c>
      <c r="V84" s="12" t="inlineStr">
        <is>
          <t>87761.11 x 0.0600 x 30/360 = 438.81</t>
        </is>
      </c>
      <c r="W84" s="12" t="inlineStr">
        <is>
          <t>PROJECTED-Debt reference 001 071</t>
        </is>
      </c>
      <c r="X84" s="12" t="inlineStr">
        <is>
          <t>Not applicable no issuance cost</t>
        </is>
      </c>
    </row>
    <row r="85" ht="15" customHeight="1" s="13">
      <c r="A85" s="12" t="inlineStr">
        <is>
          <t>Debt reference 001</t>
        </is>
      </c>
      <c r="B85" s="12" t="inlineStr">
        <is>
          <t>84</t>
        </is>
      </c>
      <c r="C85" s="22" t="n">
        <v>48183</v>
      </c>
      <c r="D85" s="22" t="n">
        <v>48213</v>
      </c>
      <c r="E85" s="22" t="n">
        <v>48213</v>
      </c>
      <c r="F85" s="23" t="n">
        <v>87299.67999999999</v>
      </c>
      <c r="G85" s="12" t="inlineStr">
        <is>
          <t>0.0600</t>
        </is>
      </c>
      <c r="H85" s="12" t="inlineStr">
        <is>
          <t>30</t>
        </is>
      </c>
      <c r="I85" s="12" t="inlineStr">
        <is>
          <t>360</t>
        </is>
      </c>
      <c r="J85" s="12">
        <f>ROUND(F85*G85*H85/I85,2)</f>
        <v>436.50</v>
      </c>
      <c r="K85" s="23" t="n">
        <v>463.74</v>
      </c>
      <c r="L85" s="23" t="n">
        <v>0</v>
      </c>
      <c r="M85" s="12">
        <f>SUM(J85:L85)</f>
        <v>900.24</v>
      </c>
      <c r="N85" s="23" t="n">
        <v>86835.94</v>
      </c>
      <c r="O85" s="23" t="n">
        <v>0</v>
      </c>
      <c r="P85" s="23" t="n">
        <v>87299.67999999999</v>
      </c>
      <c r="Q85" s="12" t="inlineStr">
        <is>
          <t>0.00500000</t>
        </is>
      </c>
      <c r="R85" s="12">
        <f>ROUND(P85*Q85,2)</f>
        <v>436.50</v>
      </c>
      <c r="S85" s="12">
        <f>MIN(MAX(R85-J85,0),O85)</f>
        <v>0.0</v>
      </c>
      <c r="T85" s="12">
        <f>O85-S85</f>
        <v>0.0</v>
      </c>
      <c r="U85" s="12">
        <f>N85-T85</f>
        <v>86835.94</v>
      </c>
      <c r="V85" s="12" t="inlineStr">
        <is>
          <t>87299.68 x 0.0600 x 30/360 = 436.50</t>
        </is>
      </c>
      <c r="W85" s="12" t="inlineStr">
        <is>
          <t>PROJECTED-Debt reference 001 072</t>
        </is>
      </c>
      <c r="X85" s="12" t="inlineStr">
        <is>
          <t>Not applicable no issuance cost</t>
        </is>
      </c>
    </row>
    <row r="86" ht="15" customHeight="1" s="13">
      <c r="A86" s="12" t="inlineStr">
        <is>
          <t>Debt reference 001</t>
        </is>
      </c>
      <c r="B86" s="12" t="inlineStr">
        <is>
          <t>85</t>
        </is>
      </c>
      <c r="C86" s="22" t="n">
        <v>48214</v>
      </c>
      <c r="D86" s="22" t="n">
        <v>48244</v>
      </c>
      <c r="E86" s="22" t="n">
        <v>48244</v>
      </c>
      <c r="F86" s="23" t="n">
        <v>86835.94</v>
      </c>
      <c r="G86" s="12" t="inlineStr">
        <is>
          <t>0.0600</t>
        </is>
      </c>
      <c r="H86" s="12" t="inlineStr">
        <is>
          <t>30</t>
        </is>
      </c>
      <c r="I86" s="12" t="inlineStr">
        <is>
          <t>360</t>
        </is>
      </c>
      <c r="J86" s="12">
        <f>ROUND(F86*G86*H86/I86,2)</f>
        <v>434.18</v>
      </c>
      <c r="K86" s="23" t="n">
        <v>466.06</v>
      </c>
      <c r="L86" s="23" t="n">
        <v>0</v>
      </c>
      <c r="M86" s="12">
        <f>SUM(J86:L86)</f>
        <v>900.24</v>
      </c>
      <c r="N86" s="23" t="n">
        <v>86369.88</v>
      </c>
      <c r="O86" s="23" t="n">
        <v>0</v>
      </c>
      <c r="P86" s="23" t="n">
        <v>86835.94</v>
      </c>
      <c r="Q86" s="12" t="inlineStr">
        <is>
          <t>0.00500000</t>
        </is>
      </c>
      <c r="R86" s="12">
        <f>ROUND(P86*Q86,2)</f>
        <v>434.18</v>
      </c>
      <c r="S86" s="12">
        <f>MIN(MAX(R86-J86,0),O86)</f>
        <v>0.00</v>
      </c>
      <c r="T86" s="12">
        <f>O86-S86</f>
        <v>0.0</v>
      </c>
      <c r="U86" s="12">
        <f>N86-T86</f>
        <v>86369.88</v>
      </c>
      <c r="V86" s="12" t="inlineStr">
        <is>
          <t>86835.94 x 0.0600 x 30/360 = 434.18</t>
        </is>
      </c>
      <c r="W86" s="12" t="inlineStr">
        <is>
          <t>PROJECTED-Debt reference 001 073</t>
        </is>
      </c>
      <c r="X86" s="12" t="inlineStr">
        <is>
          <t>Not applicable no issuance cost</t>
        </is>
      </c>
    </row>
    <row r="87" ht="15" customHeight="1" s="13">
      <c r="A87" s="12" t="inlineStr">
        <is>
          <t>Debt reference 001</t>
        </is>
      </c>
      <c r="B87" s="12" t="inlineStr">
        <is>
          <t>86</t>
        </is>
      </c>
      <c r="C87" s="22" t="n">
        <v>48245</v>
      </c>
      <c r="D87" s="22" t="n">
        <v>48273</v>
      </c>
      <c r="E87" s="22" t="n">
        <v>48273</v>
      </c>
      <c r="F87" s="23" t="n">
        <v>86369.88</v>
      </c>
      <c r="G87" s="12" t="inlineStr">
        <is>
          <t>0.0600</t>
        </is>
      </c>
      <c r="H87" s="12" t="inlineStr">
        <is>
          <t>30</t>
        </is>
      </c>
      <c r="I87" s="12" t="inlineStr">
        <is>
          <t>360</t>
        </is>
      </c>
      <c r="J87" s="12">
        <f>ROUND(F87*G87*H87/I87,2)</f>
        <v>431.85</v>
      </c>
      <c r="K87" s="23" t="n">
        <v>468.39</v>
      </c>
      <c r="L87" s="23" t="n">
        <v>0</v>
      </c>
      <c r="M87" s="12">
        <f>SUM(J87:L87)</f>
        <v>900.24</v>
      </c>
      <c r="N87" s="23" t="n">
        <v>85901.49000000001</v>
      </c>
      <c r="O87" s="23" t="n">
        <v>0</v>
      </c>
      <c r="P87" s="23" t="n">
        <v>86369.88</v>
      </c>
      <c r="Q87" s="12" t="inlineStr">
        <is>
          <t>0.00500000</t>
        </is>
      </c>
      <c r="R87" s="12">
        <f>ROUND(P87*Q87,2)</f>
        <v>431.85</v>
      </c>
      <c r="S87" s="12">
        <f>MIN(MAX(R87-J87,0),O87)</f>
        <v>0.00</v>
      </c>
      <c r="T87" s="12">
        <f>O87-S87</f>
        <v>0.0</v>
      </c>
      <c r="U87" s="12">
        <f>N87-T87</f>
        <v>85901.49</v>
      </c>
      <c r="V87" s="12" t="inlineStr">
        <is>
          <t>86369.88 x 0.0600 x 30/360 = 431.85</t>
        </is>
      </c>
      <c r="W87" s="12" t="inlineStr">
        <is>
          <t>PROJECTED-Debt reference 001 074</t>
        </is>
      </c>
      <c r="X87" s="12" t="inlineStr">
        <is>
          <t>Not applicable no issuance cost</t>
        </is>
      </c>
    </row>
    <row r="88" ht="15" customHeight="1" s="13">
      <c r="A88" s="12" t="inlineStr">
        <is>
          <t>Debt reference 001</t>
        </is>
      </c>
      <c r="B88" s="12" t="inlineStr">
        <is>
          <t>87</t>
        </is>
      </c>
      <c r="C88" s="22" t="n">
        <v>48274</v>
      </c>
      <c r="D88" s="22" t="n">
        <v>48304</v>
      </c>
      <c r="E88" s="22" t="n">
        <v>48304</v>
      </c>
      <c r="F88" s="23" t="n">
        <v>85901.49000000001</v>
      </c>
      <c r="G88" s="12" t="inlineStr">
        <is>
          <t>0.0600</t>
        </is>
      </c>
      <c r="H88" s="12" t="inlineStr">
        <is>
          <t>30</t>
        </is>
      </c>
      <c r="I88" s="12" t="inlineStr">
        <is>
          <t>360</t>
        </is>
      </c>
      <c r="J88" s="12">
        <f>ROUND(F88*G88*H88/I88,2)</f>
        <v>429.51</v>
      </c>
      <c r="K88" s="23" t="n">
        <v>470.73</v>
      </c>
      <c r="L88" s="23" t="n">
        <v>0</v>
      </c>
      <c r="M88" s="12">
        <f>SUM(J88:L88)</f>
        <v>900.24</v>
      </c>
      <c r="N88" s="23" t="n">
        <v>85430.75999999999</v>
      </c>
      <c r="O88" s="23" t="n">
        <v>0</v>
      </c>
      <c r="P88" s="23" t="n">
        <v>85901.49000000001</v>
      </c>
      <c r="Q88" s="12" t="inlineStr">
        <is>
          <t>0.00500000</t>
        </is>
      </c>
      <c r="R88" s="12">
        <f>ROUND(P88*Q88,2)</f>
        <v>429.51</v>
      </c>
      <c r="S88" s="12">
        <f>MIN(MAX(R88-J88,0),O88)</f>
        <v>0.00</v>
      </c>
      <c r="T88" s="12">
        <f>O88-S88</f>
        <v>0.0</v>
      </c>
      <c r="U88" s="12">
        <f>N88-T88</f>
        <v>85430.76</v>
      </c>
      <c r="V88" s="12" t="inlineStr">
        <is>
          <t>85901.49 x 0.0600 x 30/360 = 429.51</t>
        </is>
      </c>
      <c r="W88" s="12" t="inlineStr">
        <is>
          <t>PROJECTED-Debt reference 001 075</t>
        </is>
      </c>
      <c r="X88" s="12" t="inlineStr">
        <is>
          <t>Not applicable no issuance cost</t>
        </is>
      </c>
    </row>
    <row r="89" ht="15" customHeight="1" s="13">
      <c r="A89" s="12" t="inlineStr">
        <is>
          <t>Debt reference 001</t>
        </is>
      </c>
      <c r="B89" s="12" t="inlineStr">
        <is>
          <t>88</t>
        </is>
      </c>
      <c r="C89" s="22" t="n">
        <v>48305</v>
      </c>
      <c r="D89" s="22" t="n">
        <v>48334</v>
      </c>
      <c r="E89" s="22" t="n">
        <v>48334</v>
      </c>
      <c r="F89" s="23" t="n">
        <v>85430.75999999999</v>
      </c>
      <c r="G89" s="12" t="inlineStr">
        <is>
          <t>0.0600</t>
        </is>
      </c>
      <c r="H89" s="12" t="inlineStr">
        <is>
          <t>30</t>
        </is>
      </c>
      <c r="I89" s="12" t="inlineStr">
        <is>
          <t>360</t>
        </is>
      </c>
      <c r="J89" s="12">
        <f>ROUND(F89*G89*H89/I89,2)</f>
        <v>427.15</v>
      </c>
      <c r="K89" s="23" t="n">
        <v>473.09</v>
      </c>
      <c r="L89" s="23" t="n">
        <v>0</v>
      </c>
      <c r="M89" s="12">
        <f>SUM(J89:L89)</f>
        <v>900.24</v>
      </c>
      <c r="N89" s="23" t="n">
        <v>84957.67</v>
      </c>
      <c r="O89" s="23" t="n">
        <v>0</v>
      </c>
      <c r="P89" s="23" t="n">
        <v>85430.75999999999</v>
      </c>
      <c r="Q89" s="12" t="inlineStr">
        <is>
          <t>0.00500000</t>
        </is>
      </c>
      <c r="R89" s="12">
        <f>ROUND(P89*Q89,2)</f>
        <v>427.15</v>
      </c>
      <c r="S89" s="12">
        <f>MIN(MAX(R89-J89,0),O89)</f>
        <v>0.00</v>
      </c>
      <c r="T89" s="12">
        <f>O89-S89</f>
        <v>0.0</v>
      </c>
      <c r="U89" s="12">
        <f>N89-T89</f>
        <v>84957.67</v>
      </c>
      <c r="V89" s="12" t="inlineStr">
        <is>
          <t>85430.76 x 0.0600 x 30/360 = 427.15</t>
        </is>
      </c>
      <c r="W89" s="12" t="inlineStr">
        <is>
          <t>PROJECTED-Debt reference 001 076</t>
        </is>
      </c>
      <c r="X89" s="12" t="inlineStr">
        <is>
          <t>Not applicable no issuance cost</t>
        </is>
      </c>
    </row>
    <row r="90" ht="15" customHeight="1" s="13">
      <c r="A90" s="12" t="inlineStr">
        <is>
          <t>Debt reference 001</t>
        </is>
      </c>
      <c r="B90" s="12" t="inlineStr">
        <is>
          <t>89</t>
        </is>
      </c>
      <c r="C90" s="22" t="n">
        <v>48335</v>
      </c>
      <c r="D90" s="22" t="n">
        <v>48365</v>
      </c>
      <c r="E90" s="22" t="n">
        <v>48365</v>
      </c>
      <c r="F90" s="23" t="n">
        <v>84957.67</v>
      </c>
      <c r="G90" s="12" t="inlineStr">
        <is>
          <t>0.0600</t>
        </is>
      </c>
      <c r="H90" s="12" t="inlineStr">
        <is>
          <t>30</t>
        </is>
      </c>
      <c r="I90" s="12" t="inlineStr">
        <is>
          <t>360</t>
        </is>
      </c>
      <c r="J90" s="12">
        <f>ROUND(F90*G90*H90/I90,2)</f>
        <v>424.79</v>
      </c>
      <c r="K90" s="23" t="n">
        <v>475.45</v>
      </c>
      <c r="L90" s="23" t="n">
        <v>0</v>
      </c>
      <c r="M90" s="12">
        <f>SUM(J90:L90)</f>
        <v>900.24</v>
      </c>
      <c r="N90" s="23" t="n">
        <v>84482.22</v>
      </c>
      <c r="O90" s="23" t="n">
        <v>0</v>
      </c>
      <c r="P90" s="23" t="n">
        <v>84957.67</v>
      </c>
      <c r="Q90" s="12" t="inlineStr">
        <is>
          <t>0.00500000</t>
        </is>
      </c>
      <c r="R90" s="12">
        <f>ROUND(P90*Q90,2)</f>
        <v>424.79</v>
      </c>
      <c r="S90" s="12">
        <f>MIN(MAX(R90-J90,0),O90)</f>
        <v>0.00</v>
      </c>
      <c r="T90" s="12">
        <f>O90-S90</f>
        <v>0.0</v>
      </c>
      <c r="U90" s="12">
        <f>N90-T90</f>
        <v>84482.22</v>
      </c>
      <c r="V90" s="12" t="inlineStr">
        <is>
          <t>84957.67 x 0.0600 x 30/360 = 424.79</t>
        </is>
      </c>
      <c r="W90" s="12" t="inlineStr">
        <is>
          <t>PROJECTED-Debt reference 001 077</t>
        </is>
      </c>
      <c r="X90" s="12" t="inlineStr">
        <is>
          <t>Not applicable no issuance cost</t>
        </is>
      </c>
    </row>
    <row r="91" ht="15" customHeight="1" s="13">
      <c r="A91" s="12" t="inlineStr">
        <is>
          <t>Debt reference 001</t>
        </is>
      </c>
      <c r="B91" s="12" t="inlineStr">
        <is>
          <t>90</t>
        </is>
      </c>
      <c r="C91" s="22" t="n">
        <v>48366</v>
      </c>
      <c r="D91" s="22" t="n">
        <v>48395</v>
      </c>
      <c r="E91" s="22" t="n">
        <v>48395</v>
      </c>
      <c r="F91" s="23" t="n">
        <v>84482.22</v>
      </c>
      <c r="G91" s="12" t="inlineStr">
        <is>
          <t>0.0600</t>
        </is>
      </c>
      <c r="H91" s="12" t="inlineStr">
        <is>
          <t>30</t>
        </is>
      </c>
      <c r="I91" s="12" t="inlineStr">
        <is>
          <t>360</t>
        </is>
      </c>
      <c r="J91" s="12">
        <f>ROUND(F91*G91*H91/I91,2)</f>
        <v>422.41</v>
      </c>
      <c r="K91" s="23" t="n">
        <v>477.83</v>
      </c>
      <c r="L91" s="23" t="n">
        <v>0</v>
      </c>
      <c r="M91" s="12">
        <f>SUM(J91:L91)</f>
        <v>900.24</v>
      </c>
      <c r="N91" s="23" t="n">
        <v>84004.39</v>
      </c>
      <c r="O91" s="23" t="n">
        <v>0</v>
      </c>
      <c r="P91" s="23" t="n">
        <v>84482.22</v>
      </c>
      <c r="Q91" s="12" t="inlineStr">
        <is>
          <t>0.00500000</t>
        </is>
      </c>
      <c r="R91" s="12">
        <f>ROUND(P91*Q91,2)</f>
        <v>422.41</v>
      </c>
      <c r="S91" s="12">
        <f>MIN(MAX(R91-J91,0),O91)</f>
        <v>0.00</v>
      </c>
      <c r="T91" s="12">
        <f>O91-S91</f>
        <v>0.0</v>
      </c>
      <c r="U91" s="12">
        <f>N91-T91</f>
        <v>84004.39</v>
      </c>
      <c r="V91" s="12" t="inlineStr">
        <is>
          <t>84482.22 x 0.0600 x 30/360 = 422.41</t>
        </is>
      </c>
      <c r="W91" s="12" t="inlineStr">
        <is>
          <t>PROJECTED-Debt reference 001 078</t>
        </is>
      </c>
      <c r="X91" s="12" t="inlineStr">
        <is>
          <t>Not applicable no issuance cost</t>
        </is>
      </c>
    </row>
    <row r="92" ht="15" customHeight="1" s="13">
      <c r="A92" s="12" t="inlineStr">
        <is>
          <t>Debt reference 001</t>
        </is>
      </c>
      <c r="B92" s="12" t="inlineStr">
        <is>
          <t>91</t>
        </is>
      </c>
      <c r="C92" s="22" t="n">
        <v>48396</v>
      </c>
      <c r="D92" s="22" t="n">
        <v>48426</v>
      </c>
      <c r="E92" s="22" t="n">
        <v>48426</v>
      </c>
      <c r="F92" s="23" t="n">
        <v>84004.39</v>
      </c>
      <c r="G92" s="12" t="inlineStr">
        <is>
          <t>0.0600</t>
        </is>
      </c>
      <c r="H92" s="12" t="inlineStr">
        <is>
          <t>30</t>
        </is>
      </c>
      <c r="I92" s="12" t="inlineStr">
        <is>
          <t>360</t>
        </is>
      </c>
      <c r="J92" s="12">
        <f>ROUND(F92*G92*H92/I92,2)</f>
        <v>420.02</v>
      </c>
      <c r="K92" s="23" t="n">
        <v>480.22</v>
      </c>
      <c r="L92" s="23" t="n">
        <v>0</v>
      </c>
      <c r="M92" s="12">
        <f>SUM(J92:L92)</f>
        <v>900.24</v>
      </c>
      <c r="N92" s="23" t="n">
        <v>83524.17</v>
      </c>
      <c r="O92" s="23" t="n">
        <v>0</v>
      </c>
      <c r="P92" s="23" t="n">
        <v>84004.39</v>
      </c>
      <c r="Q92" s="12" t="inlineStr">
        <is>
          <t>0.00500000</t>
        </is>
      </c>
      <c r="R92" s="12">
        <f>ROUND(P92*Q92,2)</f>
        <v>420.02</v>
      </c>
      <c r="S92" s="12">
        <f>MIN(MAX(R92-J92,0),O92)</f>
        <v>0.00</v>
      </c>
      <c r="T92" s="12">
        <f>O92-S92</f>
        <v>0.0</v>
      </c>
      <c r="U92" s="12">
        <f>N92-T92</f>
        <v>83524.17</v>
      </c>
      <c r="V92" s="12" t="inlineStr">
        <is>
          <t>84004.39 x 0.0600 x 30/360 = 420.02</t>
        </is>
      </c>
      <c r="W92" s="12" t="inlineStr">
        <is>
          <t>PROJECTED-Debt reference 001 079</t>
        </is>
      </c>
      <c r="X92" s="12" t="inlineStr">
        <is>
          <t>Not applicable no issuance cost</t>
        </is>
      </c>
    </row>
    <row r="93" ht="15" customHeight="1" s="13">
      <c r="A93" s="12" t="inlineStr">
        <is>
          <t>Debt reference 001</t>
        </is>
      </c>
      <c r="B93" s="12" t="inlineStr">
        <is>
          <t>92</t>
        </is>
      </c>
      <c r="C93" s="22" t="n">
        <v>48427</v>
      </c>
      <c r="D93" s="22" t="n">
        <v>48457</v>
      </c>
      <c r="E93" s="22" t="n">
        <v>48457</v>
      </c>
      <c r="F93" s="23" t="n">
        <v>83524.17</v>
      </c>
      <c r="G93" s="12" t="inlineStr">
        <is>
          <t>0.0600</t>
        </is>
      </c>
      <c r="H93" s="12" t="inlineStr">
        <is>
          <t>30</t>
        </is>
      </c>
      <c r="I93" s="12" t="inlineStr">
        <is>
          <t>360</t>
        </is>
      </c>
      <c r="J93" s="12">
        <f>ROUND(F93*G93*H93/I93,2)</f>
        <v>417.62</v>
      </c>
      <c r="K93" s="23" t="n">
        <v>482.62</v>
      </c>
      <c r="L93" s="23" t="n">
        <v>0</v>
      </c>
      <c r="M93" s="12">
        <f>SUM(J93:L93)</f>
        <v>900.24</v>
      </c>
      <c r="N93" s="23" t="n">
        <v>83041.55</v>
      </c>
      <c r="O93" s="23" t="n">
        <v>0</v>
      </c>
      <c r="P93" s="23" t="n">
        <v>83524.17</v>
      </c>
      <c r="Q93" s="12" t="inlineStr">
        <is>
          <t>0.00500000</t>
        </is>
      </c>
      <c r="R93" s="12">
        <f>ROUND(P93*Q93,2)</f>
        <v>417.62</v>
      </c>
      <c r="S93" s="12">
        <f>MIN(MAX(R93-J93,0),O93)</f>
        <v>0.00</v>
      </c>
      <c r="T93" s="12">
        <f>O93-S93</f>
        <v>0.0</v>
      </c>
      <c r="U93" s="12">
        <f>N93-T93</f>
        <v>83041.55</v>
      </c>
      <c r="V93" s="12" t="inlineStr">
        <is>
          <t>83524.17 x 0.0600 x 30/360 = 417.62</t>
        </is>
      </c>
      <c r="W93" s="12" t="inlineStr">
        <is>
          <t>PROJECTED-Debt reference 001 080</t>
        </is>
      </c>
      <c r="X93" s="12" t="inlineStr">
        <is>
          <t>Not applicable no issuance cost</t>
        </is>
      </c>
    </row>
    <row r="94" ht="15" customHeight="1" s="13">
      <c r="A94" s="12" t="inlineStr">
        <is>
          <t>Debt reference 001</t>
        </is>
      </c>
      <c r="B94" s="12" t="inlineStr">
        <is>
          <t>93</t>
        </is>
      </c>
      <c r="C94" s="22" t="n">
        <v>48458</v>
      </c>
      <c r="D94" s="22" t="n">
        <v>48487</v>
      </c>
      <c r="E94" s="22" t="n">
        <v>48487</v>
      </c>
      <c r="F94" s="23" t="n">
        <v>83041.55</v>
      </c>
      <c r="G94" s="12" t="inlineStr">
        <is>
          <t>0.0600</t>
        </is>
      </c>
      <c r="H94" s="12" t="inlineStr">
        <is>
          <t>30</t>
        </is>
      </c>
      <c r="I94" s="12" t="inlineStr">
        <is>
          <t>360</t>
        </is>
      </c>
      <c r="J94" s="12">
        <f>ROUND(F94*G94*H94/I94,2)</f>
        <v>415.21</v>
      </c>
      <c r="K94" s="23" t="n">
        <v>485.03</v>
      </c>
      <c r="L94" s="23" t="n">
        <v>0</v>
      </c>
      <c r="M94" s="12">
        <f>SUM(J94:L94)</f>
        <v>900.24</v>
      </c>
      <c r="N94" s="23" t="n">
        <v>82556.52</v>
      </c>
      <c r="O94" s="23" t="n">
        <v>0</v>
      </c>
      <c r="P94" s="23" t="n">
        <v>83041.55</v>
      </c>
      <c r="Q94" s="12" t="inlineStr">
        <is>
          <t>0.00500000</t>
        </is>
      </c>
      <c r="R94" s="12">
        <f>ROUND(P94*Q94,2)</f>
        <v>415.21</v>
      </c>
      <c r="S94" s="12">
        <f>MIN(MAX(R94-J94,0),O94)</f>
        <v>0.00</v>
      </c>
      <c r="T94" s="12">
        <f>O94-S94</f>
        <v>0.0</v>
      </c>
      <c r="U94" s="12">
        <f>N94-T94</f>
        <v>82556.52</v>
      </c>
      <c r="V94" s="12" t="inlineStr">
        <is>
          <t>83041.55 x 0.0600 x 30/360 = 415.21</t>
        </is>
      </c>
      <c r="W94" s="12" t="inlineStr">
        <is>
          <t>PROJECTED-Debt reference 001 081</t>
        </is>
      </c>
      <c r="X94" s="12" t="inlineStr">
        <is>
          <t>Not applicable no issuance cost</t>
        </is>
      </c>
    </row>
    <row r="95" ht="15" customHeight="1" s="13">
      <c r="A95" s="12" t="inlineStr">
        <is>
          <t>Debt reference 001</t>
        </is>
      </c>
      <c r="B95" s="12" t="inlineStr">
        <is>
          <t>94</t>
        </is>
      </c>
      <c r="C95" s="22" t="n">
        <v>48488</v>
      </c>
      <c r="D95" s="22" t="n">
        <v>48518</v>
      </c>
      <c r="E95" s="22" t="n">
        <v>48518</v>
      </c>
      <c r="F95" s="23" t="n">
        <v>82556.52</v>
      </c>
      <c r="G95" s="12" t="inlineStr">
        <is>
          <t>0.0600</t>
        </is>
      </c>
      <c r="H95" s="12" t="inlineStr">
        <is>
          <t>30</t>
        </is>
      </c>
      <c r="I95" s="12" t="inlineStr">
        <is>
          <t>360</t>
        </is>
      </c>
      <c r="J95" s="12">
        <f>ROUND(F95*G95*H95/I95,2)</f>
        <v>412.78</v>
      </c>
      <c r="K95" s="23" t="n">
        <v>487.46</v>
      </c>
      <c r="L95" s="23" t="n">
        <v>0</v>
      </c>
      <c r="M95" s="12">
        <f>SUM(J95:L95)</f>
        <v>900.24</v>
      </c>
      <c r="N95" s="23" t="n">
        <v>82069.06</v>
      </c>
      <c r="O95" s="23" t="n">
        <v>0</v>
      </c>
      <c r="P95" s="23" t="n">
        <v>82556.52</v>
      </c>
      <c r="Q95" s="12" t="inlineStr">
        <is>
          <t>0.00500000</t>
        </is>
      </c>
      <c r="R95" s="12">
        <f>ROUND(P95*Q95,2)</f>
        <v>412.78</v>
      </c>
      <c r="S95" s="12">
        <f>MIN(MAX(R95-J95,0),O95)</f>
        <v>0.00</v>
      </c>
      <c r="T95" s="12">
        <f>O95-S95</f>
        <v>0.0</v>
      </c>
      <c r="U95" s="12">
        <f>N95-T95</f>
        <v>82069.06</v>
      </c>
      <c r="V95" s="12" t="inlineStr">
        <is>
          <t>82556.52 x 0.0600 x 30/360 = 412.78</t>
        </is>
      </c>
      <c r="W95" s="12" t="inlineStr">
        <is>
          <t>PROJECTED-Debt reference 001 082</t>
        </is>
      </c>
      <c r="X95" s="12" t="inlineStr">
        <is>
          <t>Not applicable no issuance cost</t>
        </is>
      </c>
    </row>
    <row r="96" ht="15" customHeight="1" s="13">
      <c r="A96" s="12" t="inlineStr">
        <is>
          <t>Debt reference 001</t>
        </is>
      </c>
      <c r="B96" s="12" t="inlineStr">
        <is>
          <t>95</t>
        </is>
      </c>
      <c r="C96" s="22" t="n">
        <v>48519</v>
      </c>
      <c r="D96" s="22" t="n">
        <v>48548</v>
      </c>
      <c r="E96" s="22" t="n">
        <v>48548</v>
      </c>
      <c r="F96" s="23" t="n">
        <v>82069.06</v>
      </c>
      <c r="G96" s="12" t="inlineStr">
        <is>
          <t>0.0600</t>
        </is>
      </c>
      <c r="H96" s="12" t="inlineStr">
        <is>
          <t>30</t>
        </is>
      </c>
      <c r="I96" s="12" t="inlineStr">
        <is>
          <t>360</t>
        </is>
      </c>
      <c r="J96" s="12">
        <f>ROUND(F96*G96*H96/I96,2)</f>
        <v>410.35</v>
      </c>
      <c r="K96" s="23" t="n">
        <v>489.89</v>
      </c>
      <c r="L96" s="23" t="n">
        <v>0</v>
      </c>
      <c r="M96" s="12">
        <f>SUM(J96:L96)</f>
        <v>900.24</v>
      </c>
      <c r="N96" s="23" t="n">
        <v>81579.17</v>
      </c>
      <c r="O96" s="23" t="n">
        <v>0</v>
      </c>
      <c r="P96" s="23" t="n">
        <v>82069.06</v>
      </c>
      <c r="Q96" s="12" t="inlineStr">
        <is>
          <t>0.00500000</t>
        </is>
      </c>
      <c r="R96" s="12">
        <f>ROUND(P96*Q96,2)</f>
        <v>410.35</v>
      </c>
      <c r="S96" s="12">
        <f>MIN(MAX(R96-J96,0),O96)</f>
        <v>0.00</v>
      </c>
      <c r="T96" s="12">
        <f>O96-S96</f>
        <v>0.0</v>
      </c>
      <c r="U96" s="12">
        <f>N96-T96</f>
        <v>81579.17</v>
      </c>
      <c r="V96" s="12" t="inlineStr">
        <is>
          <t>82069.06 x 0.0600 x 30/360 = 410.35</t>
        </is>
      </c>
      <c r="W96" s="12" t="inlineStr">
        <is>
          <t>PROJECTED-Debt reference 001 083</t>
        </is>
      </c>
      <c r="X96" s="12" t="inlineStr">
        <is>
          <t>Not applicable no issuance cost</t>
        </is>
      </c>
    </row>
    <row r="97" ht="15" customHeight="1" s="13">
      <c r="A97" s="12" t="inlineStr">
        <is>
          <t>Debt reference 001</t>
        </is>
      </c>
      <c r="B97" s="12" t="inlineStr">
        <is>
          <t>96</t>
        </is>
      </c>
      <c r="C97" s="22" t="n">
        <v>48549</v>
      </c>
      <c r="D97" s="22" t="n">
        <v>48579</v>
      </c>
      <c r="E97" s="22" t="n">
        <v>48579</v>
      </c>
      <c r="F97" s="23" t="n">
        <v>81579.17</v>
      </c>
      <c r="G97" s="12" t="inlineStr">
        <is>
          <t>0.0600</t>
        </is>
      </c>
      <c r="H97" s="12" t="inlineStr">
        <is>
          <t>30</t>
        </is>
      </c>
      <c r="I97" s="12" t="inlineStr">
        <is>
          <t>360</t>
        </is>
      </c>
      <c r="J97" s="12">
        <f>ROUND(F97*G97*H97/I97,2)</f>
        <v>407.90</v>
      </c>
      <c r="K97" s="23" t="n">
        <v>492.34</v>
      </c>
      <c r="L97" s="23" t="n">
        <v>0</v>
      </c>
      <c r="M97" s="12">
        <f>SUM(J97:L97)</f>
        <v>900.24</v>
      </c>
      <c r="N97" s="23" t="n">
        <v>81086.83</v>
      </c>
      <c r="O97" s="23" t="n">
        <v>0</v>
      </c>
      <c r="P97" s="23" t="n">
        <v>81579.17</v>
      </c>
      <c r="Q97" s="12" t="inlineStr">
        <is>
          <t>0.00500000</t>
        </is>
      </c>
      <c r="R97" s="12">
        <f>ROUND(P97*Q97,2)</f>
        <v>407.90</v>
      </c>
      <c r="S97" s="12">
        <f>MIN(MAX(R97-J97,0),O97)</f>
        <v>0.0</v>
      </c>
      <c r="T97" s="12">
        <f>O97-S97</f>
        <v>0.0</v>
      </c>
      <c r="U97" s="12">
        <f>N97-T97</f>
        <v>81086.83</v>
      </c>
      <c r="V97" s="12" t="inlineStr">
        <is>
          <t>81579.17 x 0.0600 x 30/360 = 407.90</t>
        </is>
      </c>
      <c r="W97" s="12" t="inlineStr">
        <is>
          <t>PROJECTED-Debt reference 001 084</t>
        </is>
      </c>
      <c r="X97" s="12" t="inlineStr">
        <is>
          <t>Not applicable no issuance cost</t>
        </is>
      </c>
    </row>
    <row r="98" ht="15" customHeight="1" s="13">
      <c r="A98" s="12" t="inlineStr">
        <is>
          <t>Debt reference 001</t>
        </is>
      </c>
      <c r="B98" s="12" t="inlineStr">
        <is>
          <t>97</t>
        </is>
      </c>
      <c r="C98" s="22" t="n">
        <v>48580</v>
      </c>
      <c r="D98" s="22" t="n">
        <v>48610</v>
      </c>
      <c r="E98" s="22" t="n">
        <v>48610</v>
      </c>
      <c r="F98" s="23" t="n">
        <v>81086.83</v>
      </c>
      <c r="G98" s="12" t="inlineStr">
        <is>
          <t>0.0600</t>
        </is>
      </c>
      <c r="H98" s="12" t="inlineStr">
        <is>
          <t>30</t>
        </is>
      </c>
      <c r="I98" s="12" t="inlineStr">
        <is>
          <t>360</t>
        </is>
      </c>
      <c r="J98" s="12">
        <f>ROUND(F98*G98*H98/I98,2)</f>
        <v>405.43</v>
      </c>
      <c r="K98" s="23" t="n">
        <v>494.81</v>
      </c>
      <c r="L98" s="23" t="n">
        <v>0</v>
      </c>
      <c r="M98" s="12">
        <f>SUM(J98:L98)</f>
        <v>900.24</v>
      </c>
      <c r="N98" s="23" t="n">
        <v>80592.02</v>
      </c>
      <c r="O98" s="23" t="n">
        <v>0</v>
      </c>
      <c r="P98" s="23" t="n">
        <v>81086.83</v>
      </c>
      <c r="Q98" s="12" t="inlineStr">
        <is>
          <t>0.00500000</t>
        </is>
      </c>
      <c r="R98" s="12">
        <f>ROUND(P98*Q98,2)</f>
        <v>405.43</v>
      </c>
      <c r="S98" s="12">
        <f>MIN(MAX(R98-J98,0),O98)</f>
        <v>0.00</v>
      </c>
      <c r="T98" s="12">
        <f>O98-S98</f>
        <v>0.0</v>
      </c>
      <c r="U98" s="12">
        <f>N98-T98</f>
        <v>80592.02</v>
      </c>
      <c r="V98" s="12" t="inlineStr">
        <is>
          <t>81086.83 x 0.0600 x 30/360 = 405.43</t>
        </is>
      </c>
      <c r="W98" s="12" t="inlineStr">
        <is>
          <t>PROJECTED-Debt reference 001 085</t>
        </is>
      </c>
      <c r="X98" s="12" t="inlineStr">
        <is>
          <t>Not applicable no issuance cost</t>
        </is>
      </c>
    </row>
    <row r="99" ht="15" customHeight="1" s="13">
      <c r="A99" s="12" t="inlineStr">
        <is>
          <t>Debt reference 001</t>
        </is>
      </c>
      <c r="B99" s="12" t="inlineStr">
        <is>
          <t>98</t>
        </is>
      </c>
      <c r="C99" s="22" t="n">
        <v>48611</v>
      </c>
      <c r="D99" s="22" t="n">
        <v>48638</v>
      </c>
      <c r="E99" s="22" t="n">
        <v>48638</v>
      </c>
      <c r="F99" s="23" t="n">
        <v>80592.02</v>
      </c>
      <c r="G99" s="12" t="inlineStr">
        <is>
          <t>0.0600</t>
        </is>
      </c>
      <c r="H99" s="12" t="inlineStr">
        <is>
          <t>30</t>
        </is>
      </c>
      <c r="I99" s="12" t="inlineStr">
        <is>
          <t>360</t>
        </is>
      </c>
      <c r="J99" s="12">
        <f>ROUND(F99*G99*H99/I99,2)</f>
        <v>402.96</v>
      </c>
      <c r="K99" s="23" t="n">
        <v>497.28</v>
      </c>
      <c r="L99" s="23" t="n">
        <v>0</v>
      </c>
      <c r="M99" s="12">
        <f>SUM(J99:L99)</f>
        <v>900.24</v>
      </c>
      <c r="N99" s="23" t="n">
        <v>80094.74000000001</v>
      </c>
      <c r="O99" s="23" t="n">
        <v>0</v>
      </c>
      <c r="P99" s="23" t="n">
        <v>80592.02</v>
      </c>
      <c r="Q99" s="12" t="inlineStr">
        <is>
          <t>0.00500000</t>
        </is>
      </c>
      <c r="R99" s="12">
        <f>ROUND(P99*Q99,2)</f>
        <v>402.96</v>
      </c>
      <c r="S99" s="12">
        <f>MIN(MAX(R99-J99,0),O99)</f>
        <v>0.00</v>
      </c>
      <c r="T99" s="12">
        <f>O99-S99</f>
        <v>0.0</v>
      </c>
      <c r="U99" s="12">
        <f>N99-T99</f>
        <v>80094.74</v>
      </c>
      <c r="V99" s="12" t="inlineStr">
        <is>
          <t>80592.02 x 0.0600 x 30/360 = 402.96</t>
        </is>
      </c>
      <c r="W99" s="12" t="inlineStr">
        <is>
          <t>PROJECTED-Debt reference 001 086</t>
        </is>
      </c>
      <c r="X99" s="12" t="inlineStr">
        <is>
          <t>Not applicable no issuance cost</t>
        </is>
      </c>
    </row>
    <row r="100" ht="15" customHeight="1" s="13">
      <c r="A100" s="12" t="inlineStr">
        <is>
          <t>Debt reference 001</t>
        </is>
      </c>
      <c r="B100" s="12" t="inlineStr">
        <is>
          <t>99</t>
        </is>
      </c>
      <c r="C100" s="22" t="n">
        <v>48639</v>
      </c>
      <c r="D100" s="22" t="n">
        <v>48669</v>
      </c>
      <c r="E100" s="22" t="n">
        <v>48669</v>
      </c>
      <c r="F100" s="23" t="n">
        <v>80094.74000000001</v>
      </c>
      <c r="G100" s="12" t="inlineStr">
        <is>
          <t>0.0600</t>
        </is>
      </c>
      <c r="H100" s="12" t="inlineStr">
        <is>
          <t>30</t>
        </is>
      </c>
      <c r="I100" s="12" t="inlineStr">
        <is>
          <t>360</t>
        </is>
      </c>
      <c r="J100" s="12">
        <f>ROUND(F100*G100*H100/I100,2)</f>
        <v>400.47</v>
      </c>
      <c r="K100" s="23" t="n">
        <v>499.77</v>
      </c>
      <c r="L100" s="23" t="n">
        <v>0</v>
      </c>
      <c r="M100" s="12">
        <f>SUM(J100:L100)</f>
        <v>900.24</v>
      </c>
      <c r="N100" s="23" t="n">
        <v>79594.97</v>
      </c>
      <c r="O100" s="23" t="n">
        <v>0</v>
      </c>
      <c r="P100" s="23" t="n">
        <v>80094.74000000001</v>
      </c>
      <c r="Q100" s="12" t="inlineStr">
        <is>
          <t>0.00500000</t>
        </is>
      </c>
      <c r="R100" s="12">
        <f>ROUND(P100*Q100,2)</f>
        <v>400.47</v>
      </c>
      <c r="S100" s="12">
        <f>MIN(MAX(R100-J100,0),O100)</f>
        <v>0.00</v>
      </c>
      <c r="T100" s="12">
        <f>O100-S100</f>
        <v>0.0</v>
      </c>
      <c r="U100" s="12">
        <f>N100-T100</f>
        <v>79594.97</v>
      </c>
      <c r="V100" s="12" t="inlineStr">
        <is>
          <t>80094.74 x 0.0600 x 30/360 = 400.47</t>
        </is>
      </c>
      <c r="W100" s="12" t="inlineStr">
        <is>
          <t>PROJECTED-Debt reference 001 087</t>
        </is>
      </c>
      <c r="X100" s="12" t="inlineStr">
        <is>
          <t>Not applicable no issuance cost</t>
        </is>
      </c>
    </row>
    <row r="101" ht="15" customHeight="1" s="13">
      <c r="A101" s="12" t="inlineStr">
        <is>
          <t>Debt reference 001</t>
        </is>
      </c>
      <c r="B101" s="12" t="inlineStr">
        <is>
          <t>100</t>
        </is>
      </c>
      <c r="C101" s="22" t="n">
        <v>48670</v>
      </c>
      <c r="D101" s="22" t="n">
        <v>48699</v>
      </c>
      <c r="E101" s="22" t="n">
        <v>48699</v>
      </c>
      <c r="F101" s="23" t="n">
        <v>79594.97</v>
      </c>
      <c r="G101" s="12" t="inlineStr">
        <is>
          <t>0.0600</t>
        </is>
      </c>
      <c r="H101" s="12" t="inlineStr">
        <is>
          <t>30</t>
        </is>
      </c>
      <c r="I101" s="12" t="inlineStr">
        <is>
          <t>360</t>
        </is>
      </c>
      <c r="J101" s="12">
        <f>ROUND(F101*G101*H101/I101,2)</f>
        <v>397.97</v>
      </c>
      <c r="K101" s="23" t="n">
        <v>502.27</v>
      </c>
      <c r="L101" s="23" t="n">
        <v>0</v>
      </c>
      <c r="M101" s="12">
        <f>SUM(J101:L101)</f>
        <v>900.24</v>
      </c>
      <c r="N101" s="23" t="n">
        <v>79092.7</v>
      </c>
      <c r="O101" s="23" t="n">
        <v>0</v>
      </c>
      <c r="P101" s="23" t="n">
        <v>79594.97</v>
      </c>
      <c r="Q101" s="12" t="inlineStr">
        <is>
          <t>0.00500000</t>
        </is>
      </c>
      <c r="R101" s="12">
        <f>ROUND(P101*Q101,2)</f>
        <v>397.97</v>
      </c>
      <c r="S101" s="12">
        <f>MIN(MAX(R101-J101,0),O101)</f>
        <v>0.00</v>
      </c>
      <c r="T101" s="12">
        <f>O101-S101</f>
        <v>0.0</v>
      </c>
      <c r="U101" s="12">
        <f>N101-T101</f>
        <v>79092.7</v>
      </c>
      <c r="V101" s="12" t="inlineStr">
        <is>
          <t>79594.97 x 0.0600 x 30/360 = 397.97</t>
        </is>
      </c>
      <c r="W101" s="12" t="inlineStr">
        <is>
          <t>PROJECTED-Debt reference 001 088</t>
        </is>
      </c>
      <c r="X101" s="12" t="inlineStr">
        <is>
          <t>Not applicable no issuance cost</t>
        </is>
      </c>
    </row>
    <row r="102" ht="15" customHeight="1" s="13">
      <c r="A102" s="12" t="inlineStr">
        <is>
          <t>Debt reference 001</t>
        </is>
      </c>
      <c r="B102" s="12" t="inlineStr">
        <is>
          <t>101</t>
        </is>
      </c>
      <c r="C102" s="22" t="n">
        <v>48700</v>
      </c>
      <c r="D102" s="22" t="n">
        <v>48730</v>
      </c>
      <c r="E102" s="22" t="n">
        <v>48730</v>
      </c>
      <c r="F102" s="23" t="n">
        <v>79092.7</v>
      </c>
      <c r="G102" s="12" t="inlineStr">
        <is>
          <t>0.0600</t>
        </is>
      </c>
      <c r="H102" s="12" t="inlineStr">
        <is>
          <t>30</t>
        </is>
      </c>
      <c r="I102" s="12" t="inlineStr">
        <is>
          <t>360</t>
        </is>
      </c>
      <c r="J102" s="12">
        <f>ROUND(F102*G102*H102/I102,2)</f>
        <v>395.46</v>
      </c>
      <c r="K102" s="23" t="n">
        <v>504.78</v>
      </c>
      <c r="L102" s="23" t="n">
        <v>0</v>
      </c>
      <c r="M102" s="12">
        <f>SUM(J102:L102)</f>
        <v>900.24</v>
      </c>
      <c r="N102" s="23" t="n">
        <v>78587.92</v>
      </c>
      <c r="O102" s="23" t="n">
        <v>0</v>
      </c>
      <c r="P102" s="23" t="n">
        <v>79092.7</v>
      </c>
      <c r="Q102" s="12" t="inlineStr">
        <is>
          <t>0.00500000</t>
        </is>
      </c>
      <c r="R102" s="12">
        <f>ROUND(P102*Q102,2)</f>
        <v>395.46</v>
      </c>
      <c r="S102" s="12">
        <f>MIN(MAX(R102-J102,0),O102)</f>
        <v>0.00</v>
      </c>
      <c r="T102" s="12">
        <f>O102-S102</f>
        <v>0.0</v>
      </c>
      <c r="U102" s="12">
        <f>N102-T102</f>
        <v>78587.92</v>
      </c>
      <c r="V102" s="12" t="inlineStr">
        <is>
          <t>79092.70 x 0.0600 x 30/360 = 395.46</t>
        </is>
      </c>
      <c r="W102" s="12" t="inlineStr">
        <is>
          <t>PROJECTED-Debt reference 001 089</t>
        </is>
      </c>
      <c r="X102" s="12" t="inlineStr">
        <is>
          <t>Not applicable no issuance cost</t>
        </is>
      </c>
    </row>
    <row r="103" ht="15" customHeight="1" s="13">
      <c r="A103" s="12" t="inlineStr">
        <is>
          <t>Debt reference 001</t>
        </is>
      </c>
      <c r="B103" s="12" t="inlineStr">
        <is>
          <t>102</t>
        </is>
      </c>
      <c r="C103" s="22" t="n">
        <v>48731</v>
      </c>
      <c r="D103" s="22" t="n">
        <v>48760</v>
      </c>
      <c r="E103" s="22" t="n">
        <v>48760</v>
      </c>
      <c r="F103" s="23" t="n">
        <v>78587.92</v>
      </c>
      <c r="G103" s="12" t="inlineStr">
        <is>
          <t>0.0600</t>
        </is>
      </c>
      <c r="H103" s="12" t="inlineStr">
        <is>
          <t>30</t>
        </is>
      </c>
      <c r="I103" s="12" t="inlineStr">
        <is>
          <t>360</t>
        </is>
      </c>
      <c r="J103" s="12">
        <f>ROUND(F103*G103*H103/I103,2)</f>
        <v>392.94</v>
      </c>
      <c r="K103" s="23" t="n">
        <v>507.3</v>
      </c>
      <c r="L103" s="23" t="n">
        <v>0</v>
      </c>
      <c r="M103" s="12">
        <f>SUM(J103:L103)</f>
        <v>900.24</v>
      </c>
      <c r="N103" s="23" t="n">
        <v>78080.62</v>
      </c>
      <c r="O103" s="23" t="n">
        <v>0</v>
      </c>
      <c r="P103" s="23" t="n">
        <v>78587.92</v>
      </c>
      <c r="Q103" s="12" t="inlineStr">
        <is>
          <t>0.00500000</t>
        </is>
      </c>
      <c r="R103" s="12">
        <f>ROUND(P103*Q103,2)</f>
        <v>392.94</v>
      </c>
      <c r="S103" s="12">
        <f>MIN(MAX(R103-J103,0),O103)</f>
        <v>0.00</v>
      </c>
      <c r="T103" s="12">
        <f>O103-S103</f>
        <v>0.0</v>
      </c>
      <c r="U103" s="12">
        <f>N103-T103</f>
        <v>78080.62</v>
      </c>
      <c r="V103" s="12" t="inlineStr">
        <is>
          <t>78587.92 x 0.0600 x 30/360 = 392.94</t>
        </is>
      </c>
      <c r="W103" s="12" t="inlineStr">
        <is>
          <t>PROJECTED-Debt reference 001 090</t>
        </is>
      </c>
      <c r="X103" s="12" t="inlineStr">
        <is>
          <t>Not applicable no issuance cost</t>
        </is>
      </c>
    </row>
    <row r="104" ht="15" customHeight="1" s="13">
      <c r="A104" s="12" t="inlineStr">
        <is>
          <t>Debt reference 001</t>
        </is>
      </c>
      <c r="B104" s="12" t="inlineStr">
        <is>
          <t>103</t>
        </is>
      </c>
      <c r="C104" s="22" t="n">
        <v>48761</v>
      </c>
      <c r="D104" s="22" t="n">
        <v>48791</v>
      </c>
      <c r="E104" s="22" t="n">
        <v>48791</v>
      </c>
      <c r="F104" s="23" t="n">
        <v>78080.62</v>
      </c>
      <c r="G104" s="12" t="inlineStr">
        <is>
          <t>0.0600</t>
        </is>
      </c>
      <c r="H104" s="12" t="inlineStr">
        <is>
          <t>30</t>
        </is>
      </c>
      <c r="I104" s="12" t="inlineStr">
        <is>
          <t>360</t>
        </is>
      </c>
      <c r="J104" s="12">
        <f>ROUND(F104*G104*H104/I104,2)</f>
        <v>390.40</v>
      </c>
      <c r="K104" s="23" t="n">
        <v>509.84</v>
      </c>
      <c r="L104" s="23" t="n">
        <v>0</v>
      </c>
      <c r="M104" s="12">
        <f>SUM(J104:L104)</f>
        <v>900.24</v>
      </c>
      <c r="N104" s="23" t="n">
        <v>77570.78</v>
      </c>
      <c r="O104" s="23" t="n">
        <v>0</v>
      </c>
      <c r="P104" s="23" t="n">
        <v>78080.62</v>
      </c>
      <c r="Q104" s="12" t="inlineStr">
        <is>
          <t>0.00500000</t>
        </is>
      </c>
      <c r="R104" s="12">
        <f>ROUND(P104*Q104,2)</f>
        <v>390.40</v>
      </c>
      <c r="S104" s="12">
        <f>MIN(MAX(R104-J104,0),O104)</f>
        <v>0.0</v>
      </c>
      <c r="T104" s="12">
        <f>O104-S104</f>
        <v>0.0</v>
      </c>
      <c r="U104" s="12">
        <f>N104-T104</f>
        <v>77570.78</v>
      </c>
      <c r="V104" s="12" t="inlineStr">
        <is>
          <t>78080.62 x 0.0600 x 30/360 = 390.40</t>
        </is>
      </c>
      <c r="W104" s="12" t="inlineStr">
        <is>
          <t>PROJECTED-Debt reference 001 091</t>
        </is>
      </c>
      <c r="X104" s="12" t="inlineStr">
        <is>
          <t>Not applicable no issuance cost</t>
        </is>
      </c>
    </row>
    <row r="105" ht="15" customHeight="1" s="13">
      <c r="A105" s="12" t="inlineStr">
        <is>
          <t>Debt reference 001</t>
        </is>
      </c>
      <c r="B105" s="12" t="inlineStr">
        <is>
          <t>104</t>
        </is>
      </c>
      <c r="C105" s="22" t="n">
        <v>48792</v>
      </c>
      <c r="D105" s="22" t="n">
        <v>48822</v>
      </c>
      <c r="E105" s="22" t="n">
        <v>48822</v>
      </c>
      <c r="F105" s="23" t="n">
        <v>77570.78</v>
      </c>
      <c r="G105" s="12" t="inlineStr">
        <is>
          <t>0.0600</t>
        </is>
      </c>
      <c r="H105" s="12" t="inlineStr">
        <is>
          <t>30</t>
        </is>
      </c>
      <c r="I105" s="12" t="inlineStr">
        <is>
          <t>360</t>
        </is>
      </c>
      <c r="J105" s="12">
        <f>ROUND(F105*G105*H105/I105,2)</f>
        <v>387.85</v>
      </c>
      <c r="K105" s="23" t="n">
        <v>512.39</v>
      </c>
      <c r="L105" s="23" t="n">
        <v>0</v>
      </c>
      <c r="M105" s="12">
        <f>SUM(J105:L105)</f>
        <v>900.24</v>
      </c>
      <c r="N105" s="23" t="n">
        <v>77058.39</v>
      </c>
      <c r="O105" s="23" t="n">
        <v>0</v>
      </c>
      <c r="P105" s="23" t="n">
        <v>77570.78</v>
      </c>
      <c r="Q105" s="12" t="inlineStr">
        <is>
          <t>0.00500000</t>
        </is>
      </c>
      <c r="R105" s="12">
        <f>ROUND(P105*Q105,2)</f>
        <v>387.85</v>
      </c>
      <c r="S105" s="12">
        <f>MIN(MAX(R105-J105,0),O105)</f>
        <v>0.00</v>
      </c>
      <c r="T105" s="12">
        <f>O105-S105</f>
        <v>0.0</v>
      </c>
      <c r="U105" s="12">
        <f>N105-T105</f>
        <v>77058.39</v>
      </c>
      <c r="V105" s="12" t="inlineStr">
        <is>
          <t>77570.78 x 0.0600 x 30/360 = 387.85</t>
        </is>
      </c>
      <c r="W105" s="12" t="inlineStr">
        <is>
          <t>PROJECTED-Debt reference 001 092</t>
        </is>
      </c>
      <c r="X105" s="12" t="inlineStr">
        <is>
          <t>Not applicable no issuance cost</t>
        </is>
      </c>
    </row>
    <row r="106" ht="15" customHeight="1" s="13">
      <c r="A106" s="12" t="inlineStr">
        <is>
          <t>Debt reference 001</t>
        </is>
      </c>
      <c r="B106" s="12" t="inlineStr">
        <is>
          <t>105</t>
        </is>
      </c>
      <c r="C106" s="22" t="n">
        <v>48823</v>
      </c>
      <c r="D106" s="22" t="n">
        <v>48852</v>
      </c>
      <c r="E106" s="22" t="n">
        <v>48852</v>
      </c>
      <c r="F106" s="23" t="n">
        <v>77058.39</v>
      </c>
      <c r="G106" s="12" t="inlineStr">
        <is>
          <t>0.0600</t>
        </is>
      </c>
      <c r="H106" s="12" t="inlineStr">
        <is>
          <t>30</t>
        </is>
      </c>
      <c r="I106" s="12" t="inlineStr">
        <is>
          <t>360</t>
        </is>
      </c>
      <c r="J106" s="12">
        <f>ROUND(F106*G106*H106/I106,2)</f>
        <v>385.29</v>
      </c>
      <c r="K106" s="23" t="n">
        <v>514.95</v>
      </c>
      <c r="L106" s="23" t="n">
        <v>0</v>
      </c>
      <c r="M106" s="12">
        <f>SUM(J106:L106)</f>
        <v>900.24</v>
      </c>
      <c r="N106" s="23" t="n">
        <v>76543.44</v>
      </c>
      <c r="O106" s="23" t="n">
        <v>0</v>
      </c>
      <c r="P106" s="23" t="n">
        <v>77058.39</v>
      </c>
      <c r="Q106" s="12" t="inlineStr">
        <is>
          <t>0.00500000</t>
        </is>
      </c>
      <c r="R106" s="12">
        <f>ROUND(P106*Q106,2)</f>
        <v>385.29</v>
      </c>
      <c r="S106" s="12">
        <f>MIN(MAX(R106-J106,0),O106)</f>
        <v>0.00</v>
      </c>
      <c r="T106" s="12">
        <f>O106-S106</f>
        <v>0.0</v>
      </c>
      <c r="U106" s="12">
        <f>N106-T106</f>
        <v>76543.44</v>
      </c>
      <c r="V106" s="12" t="inlineStr">
        <is>
          <t>77058.39 x 0.0600 x 30/360 = 385.29</t>
        </is>
      </c>
      <c r="W106" s="12" t="inlineStr">
        <is>
          <t>PROJECTED-Debt reference 001 093</t>
        </is>
      </c>
      <c r="X106" s="12" t="inlineStr">
        <is>
          <t>Not applicable no issuance cost</t>
        </is>
      </c>
    </row>
    <row r="107" ht="15" customHeight="1" s="13">
      <c r="A107" s="12" t="inlineStr">
        <is>
          <t>Debt reference 001</t>
        </is>
      </c>
      <c r="B107" s="12" t="inlineStr">
        <is>
          <t>106</t>
        </is>
      </c>
      <c r="C107" s="22" t="n">
        <v>48853</v>
      </c>
      <c r="D107" s="22" t="n">
        <v>48883</v>
      </c>
      <c r="E107" s="22" t="n">
        <v>48883</v>
      </c>
      <c r="F107" s="23" t="n">
        <v>76543.44</v>
      </c>
      <c r="G107" s="12" t="inlineStr">
        <is>
          <t>0.0600</t>
        </is>
      </c>
      <c r="H107" s="12" t="inlineStr">
        <is>
          <t>30</t>
        </is>
      </c>
      <c r="I107" s="12" t="inlineStr">
        <is>
          <t>360</t>
        </is>
      </c>
      <c r="J107" s="12">
        <f>ROUND(F107*G107*H107/I107,2)</f>
        <v>382.72</v>
      </c>
      <c r="K107" s="23" t="n">
        <v>517.52</v>
      </c>
      <c r="L107" s="23" t="n">
        <v>0</v>
      </c>
      <c r="M107" s="12">
        <f>SUM(J107:L107)</f>
        <v>900.24</v>
      </c>
      <c r="N107" s="23" t="n">
        <v>76025.92</v>
      </c>
      <c r="O107" s="23" t="n">
        <v>0</v>
      </c>
      <c r="P107" s="23" t="n">
        <v>76543.44</v>
      </c>
      <c r="Q107" s="12" t="inlineStr">
        <is>
          <t>0.00500000</t>
        </is>
      </c>
      <c r="R107" s="12">
        <f>ROUND(P107*Q107,2)</f>
        <v>382.72</v>
      </c>
      <c r="S107" s="12">
        <f>MIN(MAX(R107-J107,0),O107)</f>
        <v>0.00</v>
      </c>
      <c r="T107" s="12">
        <f>O107-S107</f>
        <v>0.0</v>
      </c>
      <c r="U107" s="12">
        <f>N107-T107</f>
        <v>76025.92</v>
      </c>
      <c r="V107" s="12" t="inlineStr">
        <is>
          <t>76543.44 x 0.0600 x 30/360 = 382.72</t>
        </is>
      </c>
      <c r="W107" s="12" t="inlineStr">
        <is>
          <t>PROJECTED-Debt reference 001 094</t>
        </is>
      </c>
      <c r="X107" s="12" t="inlineStr">
        <is>
          <t>Not applicable no issuance cost</t>
        </is>
      </c>
    </row>
    <row r="108" ht="15" customHeight="1" s="13">
      <c r="A108" s="12" t="inlineStr">
        <is>
          <t>Debt reference 001</t>
        </is>
      </c>
      <c r="B108" s="12" t="inlineStr">
        <is>
          <t>107</t>
        </is>
      </c>
      <c r="C108" s="22" t="n">
        <v>48884</v>
      </c>
      <c r="D108" s="22" t="n">
        <v>48913</v>
      </c>
      <c r="E108" s="22" t="n">
        <v>48913</v>
      </c>
      <c r="F108" s="23" t="n">
        <v>76025.92</v>
      </c>
      <c r="G108" s="12" t="inlineStr">
        <is>
          <t>0.0600</t>
        </is>
      </c>
      <c r="H108" s="12" t="inlineStr">
        <is>
          <t>30</t>
        </is>
      </c>
      <c r="I108" s="12" t="inlineStr">
        <is>
          <t>360</t>
        </is>
      </c>
      <c r="J108" s="12">
        <f>ROUND(F108*G108*H108/I108,2)</f>
        <v>380.13</v>
      </c>
      <c r="K108" s="23" t="n">
        <v>520.11</v>
      </c>
      <c r="L108" s="23" t="n">
        <v>0</v>
      </c>
      <c r="M108" s="12">
        <f>SUM(J108:L108)</f>
        <v>900.24</v>
      </c>
      <c r="N108" s="23" t="n">
        <v>75505.81</v>
      </c>
      <c r="O108" s="23" t="n">
        <v>0</v>
      </c>
      <c r="P108" s="23" t="n">
        <v>76025.92</v>
      </c>
      <c r="Q108" s="12" t="inlineStr">
        <is>
          <t>0.00500000</t>
        </is>
      </c>
      <c r="R108" s="12">
        <f>ROUND(P108*Q108,2)</f>
        <v>380.13</v>
      </c>
      <c r="S108" s="12">
        <f>MIN(MAX(R108-J108,0),O108)</f>
        <v>0.00</v>
      </c>
      <c r="T108" s="12">
        <f>O108-S108</f>
        <v>0.0</v>
      </c>
      <c r="U108" s="12">
        <f>N108-T108</f>
        <v>75505.81</v>
      </c>
      <c r="V108" s="12" t="inlineStr">
        <is>
          <t>76025.92 x 0.0600 x 30/360 = 380.13</t>
        </is>
      </c>
      <c r="W108" s="12" t="inlineStr">
        <is>
          <t>PROJECTED-Debt reference 001 095</t>
        </is>
      </c>
      <c r="X108" s="12" t="inlineStr">
        <is>
          <t>Not applicable no issuance cost</t>
        </is>
      </c>
    </row>
    <row r="109" ht="15" customHeight="1" s="13">
      <c r="A109" s="12" t="inlineStr">
        <is>
          <t>Debt reference 001</t>
        </is>
      </c>
      <c r="B109" s="12" t="inlineStr">
        <is>
          <t>108</t>
        </is>
      </c>
      <c r="C109" s="22" t="n">
        <v>48914</v>
      </c>
      <c r="D109" s="22" t="n">
        <v>48944</v>
      </c>
      <c r="E109" s="22" t="n">
        <v>48944</v>
      </c>
      <c r="F109" s="23" t="n">
        <v>75505.81</v>
      </c>
      <c r="G109" s="12" t="inlineStr">
        <is>
          <t>0.0600</t>
        </is>
      </c>
      <c r="H109" s="12" t="inlineStr">
        <is>
          <t>30</t>
        </is>
      </c>
      <c r="I109" s="12" t="inlineStr">
        <is>
          <t>360</t>
        </is>
      </c>
      <c r="J109" s="12">
        <f>ROUND(F109*G109*H109/I109,2)</f>
        <v>377.53</v>
      </c>
      <c r="K109" s="23" t="n">
        <v>522.71</v>
      </c>
      <c r="L109" s="23" t="n">
        <v>0</v>
      </c>
      <c r="M109" s="12">
        <f>SUM(J109:L109)</f>
        <v>900.24</v>
      </c>
      <c r="N109" s="23" t="n">
        <v>74983.10000000001</v>
      </c>
      <c r="O109" s="23" t="n">
        <v>0</v>
      </c>
      <c r="P109" s="23" t="n">
        <v>75505.81</v>
      </c>
      <c r="Q109" s="12" t="inlineStr">
        <is>
          <t>0.00500000</t>
        </is>
      </c>
      <c r="R109" s="12">
        <f>ROUND(P109*Q109,2)</f>
        <v>377.53</v>
      </c>
      <c r="S109" s="12">
        <f>MIN(MAX(R109-J109,0),O109)</f>
        <v>0.00</v>
      </c>
      <c r="T109" s="12">
        <f>O109-S109</f>
        <v>0.0</v>
      </c>
      <c r="U109" s="12">
        <f>N109-T109</f>
        <v>74983.1</v>
      </c>
      <c r="V109" s="12" t="inlineStr">
        <is>
          <t>75505.81 x 0.0600 x 30/360 = 377.53</t>
        </is>
      </c>
      <c r="W109" s="12" t="inlineStr">
        <is>
          <t>PROJECTED-Debt reference 001 096</t>
        </is>
      </c>
      <c r="X109" s="12" t="inlineStr">
        <is>
          <t>Not applicable no issuance cost</t>
        </is>
      </c>
    </row>
    <row r="110" ht="15" customHeight="1" s="13">
      <c r="A110" s="12" t="inlineStr">
        <is>
          <t>Debt reference 001</t>
        </is>
      </c>
      <c r="B110" s="12" t="inlineStr">
        <is>
          <t>109</t>
        </is>
      </c>
      <c r="C110" s="22" t="n">
        <v>48945</v>
      </c>
      <c r="D110" s="22" t="n">
        <v>48975</v>
      </c>
      <c r="E110" s="22" t="n">
        <v>48975</v>
      </c>
      <c r="F110" s="23" t="n">
        <v>74983.10000000001</v>
      </c>
      <c r="G110" s="12" t="inlineStr">
        <is>
          <t>0.0600</t>
        </is>
      </c>
      <c r="H110" s="12" t="inlineStr">
        <is>
          <t>30</t>
        </is>
      </c>
      <c r="I110" s="12" t="inlineStr">
        <is>
          <t>360</t>
        </is>
      </c>
      <c r="J110" s="12">
        <f>ROUND(F110*G110*H110/I110,2)</f>
        <v>374.92</v>
      </c>
      <c r="K110" s="23" t="n">
        <v>525.3200000000001</v>
      </c>
      <c r="L110" s="23" t="n">
        <v>0</v>
      </c>
      <c r="M110" s="12">
        <f>SUM(J110:L110)</f>
        <v>900.24</v>
      </c>
      <c r="N110" s="23" t="n">
        <v>74457.78</v>
      </c>
      <c r="O110" s="23" t="n">
        <v>0</v>
      </c>
      <c r="P110" s="23" t="n">
        <v>74983.10000000001</v>
      </c>
      <c r="Q110" s="12" t="inlineStr">
        <is>
          <t>0.00500000</t>
        </is>
      </c>
      <c r="R110" s="12">
        <f>ROUND(P110*Q110,2)</f>
        <v>374.92</v>
      </c>
      <c r="S110" s="12">
        <f>MIN(MAX(R110-J110,0),O110)</f>
        <v>0.00</v>
      </c>
      <c r="T110" s="12">
        <f>O110-S110</f>
        <v>0.0</v>
      </c>
      <c r="U110" s="12">
        <f>N110-T110</f>
        <v>74457.78</v>
      </c>
      <c r="V110" s="12" t="inlineStr">
        <is>
          <t>74983.10 x 0.0600 x 30/360 = 374.92</t>
        </is>
      </c>
      <c r="W110" s="12" t="inlineStr">
        <is>
          <t>PROJECTED-Debt reference 001 097</t>
        </is>
      </c>
      <c r="X110" s="12" t="inlineStr">
        <is>
          <t>Not applicable no issuance cost</t>
        </is>
      </c>
    </row>
    <row r="111" ht="15" customHeight="1" s="13">
      <c r="A111" s="12" t="inlineStr">
        <is>
          <t>Debt reference 001</t>
        </is>
      </c>
      <c r="B111" s="12" t="inlineStr">
        <is>
          <t>110</t>
        </is>
      </c>
      <c r="C111" s="22" t="n">
        <v>48976</v>
      </c>
      <c r="D111" s="22" t="n">
        <v>49003</v>
      </c>
      <c r="E111" s="22" t="n">
        <v>49003</v>
      </c>
      <c r="F111" s="23" t="n">
        <v>74457.78</v>
      </c>
      <c r="G111" s="12" t="inlineStr">
        <is>
          <t>0.0600</t>
        </is>
      </c>
      <c r="H111" s="12" t="inlineStr">
        <is>
          <t>30</t>
        </is>
      </c>
      <c r="I111" s="12" t="inlineStr">
        <is>
          <t>360</t>
        </is>
      </c>
      <c r="J111" s="12">
        <f>ROUND(F111*G111*H111/I111,2)</f>
        <v>372.29</v>
      </c>
      <c r="K111" s="23" t="n">
        <v>527.95</v>
      </c>
      <c r="L111" s="23" t="n">
        <v>0</v>
      </c>
      <c r="M111" s="12">
        <f>SUM(J111:L111)</f>
        <v>900.24</v>
      </c>
      <c r="N111" s="23" t="n">
        <v>73929.83</v>
      </c>
      <c r="O111" s="23" t="n">
        <v>0</v>
      </c>
      <c r="P111" s="23" t="n">
        <v>74457.78</v>
      </c>
      <c r="Q111" s="12" t="inlineStr">
        <is>
          <t>0.00500000</t>
        </is>
      </c>
      <c r="R111" s="12">
        <f>ROUND(P111*Q111,2)</f>
        <v>372.29</v>
      </c>
      <c r="S111" s="12">
        <f>MIN(MAX(R111-J111,0),O111)</f>
        <v>0.00</v>
      </c>
      <c r="T111" s="12">
        <f>O111-S111</f>
        <v>0.0</v>
      </c>
      <c r="U111" s="12">
        <f>N111-T111</f>
        <v>73929.83</v>
      </c>
      <c r="V111" s="12" t="inlineStr">
        <is>
          <t>74457.78 x 0.0600 x 30/360 = 372.29</t>
        </is>
      </c>
      <c r="W111" s="12" t="inlineStr">
        <is>
          <t>PROJECTED-Debt reference 001 098</t>
        </is>
      </c>
      <c r="X111" s="12" t="inlineStr">
        <is>
          <t>Not applicable no issuance cost</t>
        </is>
      </c>
    </row>
    <row r="112" ht="15" customHeight="1" s="13">
      <c r="A112" s="12" t="inlineStr">
        <is>
          <t>Debt reference 001</t>
        </is>
      </c>
      <c r="B112" s="12" t="inlineStr">
        <is>
          <t>111</t>
        </is>
      </c>
      <c r="C112" s="22" t="n">
        <v>49004</v>
      </c>
      <c r="D112" s="22" t="n">
        <v>49034</v>
      </c>
      <c r="E112" s="22" t="n">
        <v>49034</v>
      </c>
      <c r="F112" s="23" t="n">
        <v>73929.83</v>
      </c>
      <c r="G112" s="12" t="inlineStr">
        <is>
          <t>0.0600</t>
        </is>
      </c>
      <c r="H112" s="12" t="inlineStr">
        <is>
          <t>30</t>
        </is>
      </c>
      <c r="I112" s="12" t="inlineStr">
        <is>
          <t>360</t>
        </is>
      </c>
      <c r="J112" s="12">
        <f>ROUND(F112*G112*H112/I112,2)</f>
        <v>369.65</v>
      </c>
      <c r="K112" s="23" t="n">
        <v>530.59</v>
      </c>
      <c r="L112" s="23" t="n">
        <v>0</v>
      </c>
      <c r="M112" s="12">
        <f>SUM(J112:L112)</f>
        <v>900.24</v>
      </c>
      <c r="N112" s="23" t="n">
        <v>73399.24000000001</v>
      </c>
      <c r="O112" s="23" t="n">
        <v>0</v>
      </c>
      <c r="P112" s="23" t="n">
        <v>73929.83</v>
      </c>
      <c r="Q112" s="12" t="inlineStr">
        <is>
          <t>0.00500000</t>
        </is>
      </c>
      <c r="R112" s="12">
        <f>ROUND(P112*Q112,2)</f>
        <v>369.65</v>
      </c>
      <c r="S112" s="12">
        <f>MIN(MAX(R112-J112,0),O112)</f>
        <v>0.00</v>
      </c>
      <c r="T112" s="12">
        <f>O112-S112</f>
        <v>0.0</v>
      </c>
      <c r="U112" s="12">
        <f>N112-T112</f>
        <v>73399.24</v>
      </c>
      <c r="V112" s="12" t="inlineStr">
        <is>
          <t>73929.83 x 0.0600 x 30/360 = 369.65</t>
        </is>
      </c>
      <c r="W112" s="12" t="inlineStr">
        <is>
          <t>PROJECTED-Debt reference 001 099</t>
        </is>
      </c>
      <c r="X112" s="12" t="inlineStr">
        <is>
          <t>Not applicable no issuance cost</t>
        </is>
      </c>
    </row>
    <row r="113" ht="15" customHeight="1" s="13">
      <c r="A113" s="12" t="inlineStr">
        <is>
          <t>Debt reference 001</t>
        </is>
      </c>
      <c r="B113" s="12" t="inlineStr">
        <is>
          <t>112</t>
        </is>
      </c>
      <c r="C113" s="22" t="n">
        <v>49035</v>
      </c>
      <c r="D113" s="22" t="n">
        <v>49064</v>
      </c>
      <c r="E113" s="22" t="n">
        <v>49064</v>
      </c>
      <c r="F113" s="23" t="n">
        <v>73399.24000000001</v>
      </c>
      <c r="G113" s="12" t="inlineStr">
        <is>
          <t>0.0600</t>
        </is>
      </c>
      <c r="H113" s="12" t="inlineStr">
        <is>
          <t>30</t>
        </is>
      </c>
      <c r="I113" s="12" t="inlineStr">
        <is>
          <t>360</t>
        </is>
      </c>
      <c r="J113" s="12">
        <f>ROUND(F113*G113*H113/I113,2)</f>
        <v>367.00</v>
      </c>
      <c r="K113" s="23" t="n">
        <v>533.24</v>
      </c>
      <c r="L113" s="23" t="n">
        <v>0</v>
      </c>
      <c r="M113" s="12">
        <f>SUM(J113:L113)</f>
        <v>900.24</v>
      </c>
      <c r="N113" s="23" t="n">
        <v>72866</v>
      </c>
      <c r="O113" s="23" t="n">
        <v>0</v>
      </c>
      <c r="P113" s="23" t="n">
        <v>73399.24000000001</v>
      </c>
      <c r="Q113" s="12" t="inlineStr">
        <is>
          <t>0.00500000</t>
        </is>
      </c>
      <c r="R113" s="12">
        <f>ROUND(P113*Q113,2)</f>
        <v>367.00</v>
      </c>
      <c r="S113" s="12">
        <f>MIN(MAX(R113-J113,0),O113)</f>
        <v>0.0</v>
      </c>
      <c r="T113" s="12">
        <f>O113-S113</f>
        <v>0.0</v>
      </c>
      <c r="U113" s="12">
        <f>N113-T113</f>
        <v>72866.0</v>
      </c>
      <c r="V113" s="12" t="inlineStr">
        <is>
          <t>73399.24 x 0.0600 x 30/360 = 367.00</t>
        </is>
      </c>
      <c r="W113" s="12" t="inlineStr">
        <is>
          <t>PROJECTED-Debt reference 001 100</t>
        </is>
      </c>
      <c r="X113" s="12" t="inlineStr">
        <is>
          <t>Not applicable no issuance cost</t>
        </is>
      </c>
    </row>
    <row r="114" ht="15" customHeight="1" s="13">
      <c r="A114" s="12" t="inlineStr">
        <is>
          <t>Debt reference 001</t>
        </is>
      </c>
      <c r="B114" s="12" t="inlineStr">
        <is>
          <t>113</t>
        </is>
      </c>
      <c r="C114" s="22" t="n">
        <v>49065</v>
      </c>
      <c r="D114" s="22" t="n">
        <v>49095</v>
      </c>
      <c r="E114" s="22" t="n">
        <v>49095</v>
      </c>
      <c r="F114" s="23" t="n">
        <v>72866</v>
      </c>
      <c r="G114" s="12" t="inlineStr">
        <is>
          <t>0.0600</t>
        </is>
      </c>
      <c r="H114" s="12" t="inlineStr">
        <is>
          <t>30</t>
        </is>
      </c>
      <c r="I114" s="12" t="inlineStr">
        <is>
          <t>360</t>
        </is>
      </c>
      <c r="J114" s="12">
        <f>ROUND(F114*G114*H114/I114,2)</f>
        <v>364.33</v>
      </c>
      <c r="K114" s="23" t="n">
        <v>535.91</v>
      </c>
      <c r="L114" s="23" t="n">
        <v>0</v>
      </c>
      <c r="M114" s="12">
        <f>SUM(J114:L114)</f>
        <v>900.24</v>
      </c>
      <c r="N114" s="23" t="n">
        <v>72330.09</v>
      </c>
      <c r="O114" s="23" t="n">
        <v>0</v>
      </c>
      <c r="P114" s="23" t="n">
        <v>72866</v>
      </c>
      <c r="Q114" s="12" t="inlineStr">
        <is>
          <t>0.00500000</t>
        </is>
      </c>
      <c r="R114" s="12">
        <f>ROUND(P114*Q114,2)</f>
        <v>364.33</v>
      </c>
      <c r="S114" s="12">
        <f>MIN(MAX(R114-J114,0),O114)</f>
        <v>0.00</v>
      </c>
      <c r="T114" s="12">
        <f>O114-S114</f>
        <v>0.0</v>
      </c>
      <c r="U114" s="12">
        <f>N114-T114</f>
        <v>72330.09</v>
      </c>
      <c r="V114" s="12" t="inlineStr">
        <is>
          <t>72866.00 x 0.0600 x 30/360 = 364.33</t>
        </is>
      </c>
      <c r="W114" s="12" t="inlineStr">
        <is>
          <t>PROJECTED-Debt reference 001 101</t>
        </is>
      </c>
      <c r="X114" s="12" t="inlineStr">
        <is>
          <t>Not applicable no issuance cost</t>
        </is>
      </c>
    </row>
    <row r="115" ht="15" customHeight="1" s="13">
      <c r="A115" s="12" t="inlineStr">
        <is>
          <t>Debt reference 001</t>
        </is>
      </c>
      <c r="B115" s="12" t="inlineStr">
        <is>
          <t>114</t>
        </is>
      </c>
      <c r="C115" s="22" t="n">
        <v>49096</v>
      </c>
      <c r="D115" s="22" t="n">
        <v>49125</v>
      </c>
      <c r="E115" s="22" t="n">
        <v>49125</v>
      </c>
      <c r="F115" s="23" t="n">
        <v>72330.09</v>
      </c>
      <c r="G115" s="12" t="inlineStr">
        <is>
          <t>0.0600</t>
        </is>
      </c>
      <c r="H115" s="12" t="inlineStr">
        <is>
          <t>30</t>
        </is>
      </c>
      <c r="I115" s="12" t="inlineStr">
        <is>
          <t>360</t>
        </is>
      </c>
      <c r="J115" s="12">
        <f>ROUND(F115*G115*H115/I115,2)</f>
        <v>361.65</v>
      </c>
      <c r="K115" s="23" t="n">
        <v>538.59</v>
      </c>
      <c r="L115" s="23" t="n">
        <v>0</v>
      </c>
      <c r="M115" s="12">
        <f>SUM(J115:L115)</f>
        <v>900.24</v>
      </c>
      <c r="N115" s="23" t="n">
        <v>71791.5</v>
      </c>
      <c r="O115" s="23" t="n">
        <v>0</v>
      </c>
      <c r="P115" s="23" t="n">
        <v>72330.09</v>
      </c>
      <c r="Q115" s="12" t="inlineStr">
        <is>
          <t>0.00500000</t>
        </is>
      </c>
      <c r="R115" s="12">
        <f>ROUND(P115*Q115,2)</f>
        <v>361.65</v>
      </c>
      <c r="S115" s="12">
        <f>MIN(MAX(R115-J115,0),O115)</f>
        <v>0.00</v>
      </c>
      <c r="T115" s="12">
        <f>O115-S115</f>
        <v>0.0</v>
      </c>
      <c r="U115" s="12">
        <f>N115-T115</f>
        <v>71791.5</v>
      </c>
      <c r="V115" s="12" t="inlineStr">
        <is>
          <t>72330.09 x 0.0600 x 30/360 = 361.65</t>
        </is>
      </c>
      <c r="W115" s="12" t="inlineStr">
        <is>
          <t>PROJECTED-Debt reference 001 102</t>
        </is>
      </c>
      <c r="X115" s="12" t="inlineStr">
        <is>
          <t>Not applicable no issuance cost</t>
        </is>
      </c>
    </row>
    <row r="116" ht="15" customHeight="1" s="13">
      <c r="A116" s="12" t="inlineStr">
        <is>
          <t>Debt reference 001</t>
        </is>
      </c>
      <c r="B116" s="12" t="inlineStr">
        <is>
          <t>115</t>
        </is>
      </c>
      <c r="C116" s="22" t="n">
        <v>49126</v>
      </c>
      <c r="D116" s="22" t="n">
        <v>49156</v>
      </c>
      <c r="E116" s="22" t="n">
        <v>49156</v>
      </c>
      <c r="F116" s="23" t="n">
        <v>71791.5</v>
      </c>
      <c r="G116" s="12" t="inlineStr">
        <is>
          <t>0.0600</t>
        </is>
      </c>
      <c r="H116" s="12" t="inlineStr">
        <is>
          <t>30</t>
        </is>
      </c>
      <c r="I116" s="12" t="inlineStr">
        <is>
          <t>360</t>
        </is>
      </c>
      <c r="J116" s="12">
        <f>ROUND(F116*G116*H116/I116,2)</f>
        <v>358.96</v>
      </c>
      <c r="K116" s="23" t="n">
        <v>541.28</v>
      </c>
      <c r="L116" s="23" t="n">
        <v>0</v>
      </c>
      <c r="M116" s="12">
        <f>SUM(J116:L116)</f>
        <v>900.24</v>
      </c>
      <c r="N116" s="23" t="n">
        <v>71250.22</v>
      </c>
      <c r="O116" s="23" t="n">
        <v>0</v>
      </c>
      <c r="P116" s="23" t="n">
        <v>71791.5</v>
      </c>
      <c r="Q116" s="12" t="inlineStr">
        <is>
          <t>0.00500000</t>
        </is>
      </c>
      <c r="R116" s="12">
        <f>ROUND(P116*Q116,2)</f>
        <v>358.96</v>
      </c>
      <c r="S116" s="12">
        <f>MIN(MAX(R116-J116,0),O116)</f>
        <v>0.00</v>
      </c>
      <c r="T116" s="12">
        <f>O116-S116</f>
        <v>0.0</v>
      </c>
      <c r="U116" s="12">
        <f>N116-T116</f>
        <v>71250.22</v>
      </c>
      <c r="V116" s="12" t="inlineStr">
        <is>
          <t>71791.50 x 0.0600 x 30/360 = 358.96</t>
        </is>
      </c>
      <c r="W116" s="12" t="inlineStr">
        <is>
          <t>PROJECTED-Debt reference 001 103</t>
        </is>
      </c>
      <c r="X116" s="12" t="inlineStr">
        <is>
          <t>Not applicable no issuance cost</t>
        </is>
      </c>
    </row>
    <row r="117" ht="15" customHeight="1" s="13">
      <c r="A117" s="12" t="inlineStr">
        <is>
          <t>Debt reference 001</t>
        </is>
      </c>
      <c r="B117" s="12" t="inlineStr">
        <is>
          <t>116</t>
        </is>
      </c>
      <c r="C117" s="22" t="n">
        <v>49157</v>
      </c>
      <c r="D117" s="22" t="n">
        <v>49187</v>
      </c>
      <c r="E117" s="22" t="n">
        <v>49187</v>
      </c>
      <c r="F117" s="23" t="n">
        <v>71250.22</v>
      </c>
      <c r="G117" s="12" t="inlineStr">
        <is>
          <t>0.0600</t>
        </is>
      </c>
      <c r="H117" s="12" t="inlineStr">
        <is>
          <t>30</t>
        </is>
      </c>
      <c r="I117" s="12" t="inlineStr">
        <is>
          <t>360</t>
        </is>
      </c>
      <c r="J117" s="12">
        <f>ROUND(F117*G117*H117/I117,2)</f>
        <v>356.25</v>
      </c>
      <c r="K117" s="23" t="n">
        <v>543.99</v>
      </c>
      <c r="L117" s="23" t="n">
        <v>0</v>
      </c>
      <c r="M117" s="12">
        <f>SUM(J117:L117)</f>
        <v>900.24</v>
      </c>
      <c r="N117" s="23" t="n">
        <v>70706.23</v>
      </c>
      <c r="O117" s="23" t="n">
        <v>0</v>
      </c>
      <c r="P117" s="23" t="n">
        <v>71250.22</v>
      </c>
      <c r="Q117" s="12" t="inlineStr">
        <is>
          <t>0.00500000</t>
        </is>
      </c>
      <c r="R117" s="12">
        <f>ROUND(P117*Q117,2)</f>
        <v>356.25</v>
      </c>
      <c r="S117" s="12">
        <f>MIN(MAX(R117-J117,0),O117)</f>
        <v>0.00</v>
      </c>
      <c r="T117" s="12">
        <f>O117-S117</f>
        <v>0.0</v>
      </c>
      <c r="U117" s="12">
        <f>N117-T117</f>
        <v>70706.23</v>
      </c>
      <c r="V117" s="12" t="inlineStr">
        <is>
          <t>71250.22 x 0.0600 x 30/360 = 356.25</t>
        </is>
      </c>
      <c r="W117" s="12" t="inlineStr">
        <is>
          <t>PROJECTED-Debt reference 001 104</t>
        </is>
      </c>
      <c r="X117" s="12" t="inlineStr">
        <is>
          <t>Not applicable no issuance cost</t>
        </is>
      </c>
    </row>
    <row r="118" ht="15" customHeight="1" s="13">
      <c r="A118" s="12" t="inlineStr">
        <is>
          <t>Debt reference 001</t>
        </is>
      </c>
      <c r="B118" s="12" t="inlineStr">
        <is>
          <t>117</t>
        </is>
      </c>
      <c r="C118" s="22" t="n">
        <v>49188</v>
      </c>
      <c r="D118" s="22" t="n">
        <v>49217</v>
      </c>
      <c r="E118" s="22" t="n">
        <v>49217</v>
      </c>
      <c r="F118" s="23" t="n">
        <v>70706.23</v>
      </c>
      <c r="G118" s="12" t="inlineStr">
        <is>
          <t>0.0600</t>
        </is>
      </c>
      <c r="H118" s="12" t="inlineStr">
        <is>
          <t>30</t>
        </is>
      </c>
      <c r="I118" s="12" t="inlineStr">
        <is>
          <t>360</t>
        </is>
      </c>
      <c r="J118" s="12">
        <f>ROUND(F118*G118*H118/I118,2)</f>
        <v>353.53</v>
      </c>
      <c r="K118" s="23" t="n">
        <v>546.71</v>
      </c>
      <c r="L118" s="23" t="n">
        <v>0</v>
      </c>
      <c r="M118" s="12">
        <f>SUM(J118:L118)</f>
        <v>900.24</v>
      </c>
      <c r="N118" s="23" t="n">
        <v>70159.52</v>
      </c>
      <c r="O118" s="23" t="n">
        <v>0</v>
      </c>
      <c r="P118" s="23" t="n">
        <v>70706.23</v>
      </c>
      <c r="Q118" s="12" t="inlineStr">
        <is>
          <t>0.00500000</t>
        </is>
      </c>
      <c r="R118" s="12">
        <f>ROUND(P118*Q118,2)</f>
        <v>353.53</v>
      </c>
      <c r="S118" s="12">
        <f>MIN(MAX(R118-J118,0),O118)</f>
        <v>0.00</v>
      </c>
      <c r="T118" s="12">
        <f>O118-S118</f>
        <v>0.0</v>
      </c>
      <c r="U118" s="12">
        <f>N118-T118</f>
        <v>70159.52</v>
      </c>
      <c r="V118" s="12" t="inlineStr">
        <is>
          <t>70706.23 x 0.0600 x 30/360 = 353.53</t>
        </is>
      </c>
      <c r="W118" s="12" t="inlineStr">
        <is>
          <t>PROJECTED-Debt reference 001 105</t>
        </is>
      </c>
      <c r="X118" s="12" t="inlineStr">
        <is>
          <t>Not applicable no issuance cost</t>
        </is>
      </c>
    </row>
    <row r="119" ht="15" customHeight="1" s="13">
      <c r="A119" s="12" t="inlineStr">
        <is>
          <t>Debt reference 001</t>
        </is>
      </c>
      <c r="B119" s="12" t="inlineStr">
        <is>
          <t>118</t>
        </is>
      </c>
      <c r="C119" s="22" t="n">
        <v>49218</v>
      </c>
      <c r="D119" s="22" t="n">
        <v>49248</v>
      </c>
      <c r="E119" s="22" t="n">
        <v>49248</v>
      </c>
      <c r="F119" s="23" t="n">
        <v>70159.52</v>
      </c>
      <c r="G119" s="12" t="inlineStr">
        <is>
          <t>0.0600</t>
        </is>
      </c>
      <c r="H119" s="12" t="inlineStr">
        <is>
          <t>30</t>
        </is>
      </c>
      <c r="I119" s="12" t="inlineStr">
        <is>
          <t>360</t>
        </is>
      </c>
      <c r="J119" s="12">
        <f>ROUND(F119*G119*H119/I119,2)</f>
        <v>350.80</v>
      </c>
      <c r="K119" s="23" t="n">
        <v>549.4400000000001</v>
      </c>
      <c r="L119" s="23" t="n">
        <v>0</v>
      </c>
      <c r="M119" s="12">
        <f>SUM(J119:L119)</f>
        <v>900.24</v>
      </c>
      <c r="N119" s="23" t="n">
        <v>69610.08</v>
      </c>
      <c r="O119" s="23" t="n">
        <v>0</v>
      </c>
      <c r="P119" s="23" t="n">
        <v>70159.52</v>
      </c>
      <c r="Q119" s="12" t="inlineStr">
        <is>
          <t>0.00500000</t>
        </is>
      </c>
      <c r="R119" s="12">
        <f>ROUND(P119*Q119,2)</f>
        <v>350.80</v>
      </c>
      <c r="S119" s="12">
        <f>MIN(MAX(R119-J119,0),O119)</f>
        <v>0.0</v>
      </c>
      <c r="T119" s="12">
        <f>O119-S119</f>
        <v>0.0</v>
      </c>
      <c r="U119" s="12">
        <f>N119-T119</f>
        <v>69610.08</v>
      </c>
      <c r="V119" s="12" t="inlineStr">
        <is>
          <t>70159.52 x 0.0600 x 30/360 = 350.80</t>
        </is>
      </c>
      <c r="W119" s="12" t="inlineStr">
        <is>
          <t>PROJECTED-Debt reference 001 106</t>
        </is>
      </c>
      <c r="X119" s="12" t="inlineStr">
        <is>
          <t>Not applicable no issuance cost</t>
        </is>
      </c>
    </row>
    <row r="120" ht="15" customHeight="1" s="13">
      <c r="A120" s="12" t="inlineStr">
        <is>
          <t>Debt reference 001</t>
        </is>
      </c>
      <c r="B120" s="12" t="inlineStr">
        <is>
          <t>119</t>
        </is>
      </c>
      <c r="C120" s="22" t="n">
        <v>49249</v>
      </c>
      <c r="D120" s="22" t="n">
        <v>49278</v>
      </c>
      <c r="E120" s="22" t="n">
        <v>49278</v>
      </c>
      <c r="F120" s="23" t="n">
        <v>69610.08</v>
      </c>
      <c r="G120" s="12" t="inlineStr">
        <is>
          <t>0.0600</t>
        </is>
      </c>
      <c r="H120" s="12" t="inlineStr">
        <is>
          <t>30</t>
        </is>
      </c>
      <c r="I120" s="12" t="inlineStr">
        <is>
          <t>360</t>
        </is>
      </c>
      <c r="J120" s="12">
        <f>ROUND(F120*G120*H120/I120,2)</f>
        <v>348.05</v>
      </c>
      <c r="K120" s="23" t="n">
        <v>552.1900000000001</v>
      </c>
      <c r="L120" s="23" t="n">
        <v>0</v>
      </c>
      <c r="M120" s="12">
        <f>SUM(J120:L120)</f>
        <v>900.24</v>
      </c>
      <c r="N120" s="23" t="n">
        <v>69057.89</v>
      </c>
      <c r="O120" s="23" t="n">
        <v>0</v>
      </c>
      <c r="P120" s="23" t="n">
        <v>69610.08</v>
      </c>
      <c r="Q120" s="12" t="inlineStr">
        <is>
          <t>0.00500000</t>
        </is>
      </c>
      <c r="R120" s="12">
        <f>ROUND(P120*Q120,2)</f>
        <v>348.05</v>
      </c>
      <c r="S120" s="12">
        <f>MIN(MAX(R120-J120,0),O120)</f>
        <v>0.00</v>
      </c>
      <c r="T120" s="12">
        <f>O120-S120</f>
        <v>0.0</v>
      </c>
      <c r="U120" s="12">
        <f>N120-T120</f>
        <v>69057.89</v>
      </c>
      <c r="V120" s="12" t="inlineStr">
        <is>
          <t>69610.08 x 0.0600 x 30/360 = 348.05</t>
        </is>
      </c>
      <c r="W120" s="12" t="inlineStr">
        <is>
          <t>PROJECTED-Debt reference 001 107</t>
        </is>
      </c>
      <c r="X120" s="12" t="inlineStr">
        <is>
          <t>Not applicable no issuance cost</t>
        </is>
      </c>
    </row>
    <row r="121" ht="15" customHeight="1" s="13">
      <c r="A121" s="12" t="inlineStr">
        <is>
          <t>Debt reference 001</t>
        </is>
      </c>
      <c r="B121" s="12" t="inlineStr">
        <is>
          <t>120</t>
        </is>
      </c>
      <c r="C121" s="22" t="n">
        <v>49279</v>
      </c>
      <c r="D121" s="22" t="n">
        <v>49309</v>
      </c>
      <c r="E121" s="22" t="n">
        <v>49309</v>
      </c>
      <c r="F121" s="23" t="n">
        <v>69057.89</v>
      </c>
      <c r="G121" s="12" t="inlineStr">
        <is>
          <t>0.0600</t>
        </is>
      </c>
      <c r="H121" s="12" t="inlineStr">
        <is>
          <t>30</t>
        </is>
      </c>
      <c r="I121" s="12" t="inlineStr">
        <is>
          <t>360</t>
        </is>
      </c>
      <c r="J121" s="12">
        <f>ROUND(F121*G121*H121/I121,2)</f>
        <v>345.29</v>
      </c>
      <c r="K121" s="23" t="n">
        <v>554.95</v>
      </c>
      <c r="L121" s="23" t="n">
        <v>0</v>
      </c>
      <c r="M121" s="12">
        <f>SUM(J121:L121)</f>
        <v>900.24</v>
      </c>
      <c r="N121" s="23" t="n">
        <v>68502.94</v>
      </c>
      <c r="O121" s="23" t="n">
        <v>0</v>
      </c>
      <c r="P121" s="23" t="n">
        <v>69057.89</v>
      </c>
      <c r="Q121" s="12" t="inlineStr">
        <is>
          <t>0.00500000</t>
        </is>
      </c>
      <c r="R121" s="12">
        <f>ROUND(P121*Q121,2)</f>
        <v>345.29</v>
      </c>
      <c r="S121" s="12">
        <f>MIN(MAX(R121-J121,0),O121)</f>
        <v>0.00</v>
      </c>
      <c r="T121" s="12">
        <f>O121-S121</f>
        <v>0.0</v>
      </c>
      <c r="U121" s="12">
        <f>N121-T121</f>
        <v>68502.94</v>
      </c>
      <c r="V121" s="12" t="inlineStr">
        <is>
          <t>69057.89 x 0.0600 x 30/360 = 345.29</t>
        </is>
      </c>
      <c r="W121" s="12" t="inlineStr">
        <is>
          <t>PROJECTED-Debt reference 001 108</t>
        </is>
      </c>
      <c r="X121" s="12" t="inlineStr">
        <is>
          <t>Not applicable no issuance cost</t>
        </is>
      </c>
    </row>
    <row r="122" ht="15" customHeight="1" s="13">
      <c r="A122" s="12" t="inlineStr">
        <is>
          <t>Debt reference 001</t>
        </is>
      </c>
      <c r="B122" s="12" t="inlineStr">
        <is>
          <t>121</t>
        </is>
      </c>
      <c r="C122" s="22" t="n">
        <v>49310</v>
      </c>
      <c r="D122" s="22" t="n">
        <v>49340</v>
      </c>
      <c r="E122" s="22" t="n">
        <v>49340</v>
      </c>
      <c r="F122" s="23" t="n">
        <v>68502.94</v>
      </c>
      <c r="G122" s="12" t="inlineStr">
        <is>
          <t>0.0600</t>
        </is>
      </c>
      <c r="H122" s="12" t="inlineStr">
        <is>
          <t>30</t>
        </is>
      </c>
      <c r="I122" s="12" t="inlineStr">
        <is>
          <t>360</t>
        </is>
      </c>
      <c r="J122" s="12">
        <f>ROUND(F122*G122*H122/I122,2)</f>
        <v>342.51</v>
      </c>
      <c r="K122" s="23" t="n">
        <v>557.73</v>
      </c>
      <c r="L122" s="23" t="n">
        <v>0</v>
      </c>
      <c r="M122" s="12">
        <f>SUM(J122:L122)</f>
        <v>900.24</v>
      </c>
      <c r="N122" s="23" t="n">
        <v>67945.21000000001</v>
      </c>
      <c r="O122" s="23" t="n">
        <v>0</v>
      </c>
      <c r="P122" s="23" t="n">
        <v>68502.94</v>
      </c>
      <c r="Q122" s="12" t="inlineStr">
        <is>
          <t>0.00500000</t>
        </is>
      </c>
      <c r="R122" s="12">
        <f>ROUND(P122*Q122,2)</f>
        <v>342.51</v>
      </c>
      <c r="S122" s="12">
        <f>MIN(MAX(R122-J122,0),O122)</f>
        <v>0.00</v>
      </c>
      <c r="T122" s="12">
        <f>O122-S122</f>
        <v>0.0</v>
      </c>
      <c r="U122" s="12">
        <f>N122-T122</f>
        <v>67945.21</v>
      </c>
      <c r="V122" s="12" t="inlineStr">
        <is>
          <t>68502.94 x 0.0600 x 30/360 = 342.51</t>
        </is>
      </c>
      <c r="W122" s="12" t="inlineStr">
        <is>
          <t>PROJECTED-Debt reference 001 109</t>
        </is>
      </c>
      <c r="X122" s="12" t="inlineStr">
        <is>
          <t>Not applicable no issuance cost</t>
        </is>
      </c>
    </row>
    <row r="123" ht="15" customHeight="1" s="13">
      <c r="A123" s="12" t="inlineStr">
        <is>
          <t>Debt reference 001</t>
        </is>
      </c>
      <c r="B123" s="12" t="inlineStr">
        <is>
          <t>122</t>
        </is>
      </c>
      <c r="C123" s="22" t="n">
        <v>49341</v>
      </c>
      <c r="D123" s="22" t="n">
        <v>49368</v>
      </c>
      <c r="E123" s="22" t="n">
        <v>49368</v>
      </c>
      <c r="F123" s="23" t="n">
        <v>67945.21000000001</v>
      </c>
      <c r="G123" s="12" t="inlineStr">
        <is>
          <t>0.0600</t>
        </is>
      </c>
      <c r="H123" s="12" t="inlineStr">
        <is>
          <t>30</t>
        </is>
      </c>
      <c r="I123" s="12" t="inlineStr">
        <is>
          <t>360</t>
        </is>
      </c>
      <c r="J123" s="12">
        <f>ROUND(F123*G123*H123/I123,2)</f>
        <v>339.73</v>
      </c>
      <c r="K123" s="23" t="n">
        <v>560.51</v>
      </c>
      <c r="L123" s="23" t="n">
        <v>0</v>
      </c>
      <c r="M123" s="12">
        <f>SUM(J123:L123)</f>
        <v>900.24</v>
      </c>
      <c r="N123" s="23" t="n">
        <v>67384.7</v>
      </c>
      <c r="O123" s="23" t="n">
        <v>0</v>
      </c>
      <c r="P123" s="23" t="n">
        <v>67945.21000000001</v>
      </c>
      <c r="Q123" s="12" t="inlineStr">
        <is>
          <t>0.00500000</t>
        </is>
      </c>
      <c r="R123" s="12">
        <f>ROUND(P123*Q123,2)</f>
        <v>339.73</v>
      </c>
      <c r="S123" s="12">
        <f>MIN(MAX(R123-J123,0),O123)</f>
        <v>0.00</v>
      </c>
      <c r="T123" s="12">
        <f>O123-S123</f>
        <v>0.0</v>
      </c>
      <c r="U123" s="12">
        <f>N123-T123</f>
        <v>67384.7</v>
      </c>
      <c r="V123" s="12" t="inlineStr">
        <is>
          <t>67945.21 x 0.0600 x 30/360 = 339.73</t>
        </is>
      </c>
      <c r="W123" s="12" t="inlineStr">
        <is>
          <t>PROJECTED-Debt reference 001 110</t>
        </is>
      </c>
      <c r="X123" s="12" t="inlineStr">
        <is>
          <t>Not applicable no issuance cost</t>
        </is>
      </c>
    </row>
    <row r="124" ht="15" customHeight="1" s="13">
      <c r="A124" s="12" t="inlineStr">
        <is>
          <t>Debt reference 001</t>
        </is>
      </c>
      <c r="B124" s="12" t="inlineStr">
        <is>
          <t>123</t>
        </is>
      </c>
      <c r="C124" s="22" t="n">
        <v>49369</v>
      </c>
      <c r="D124" s="22" t="n">
        <v>49399</v>
      </c>
      <c r="E124" s="22" t="n">
        <v>49399</v>
      </c>
      <c r="F124" s="23" t="n">
        <v>67384.7</v>
      </c>
      <c r="G124" s="12" t="inlineStr">
        <is>
          <t>0.0600</t>
        </is>
      </c>
      <c r="H124" s="12" t="inlineStr">
        <is>
          <t>30</t>
        </is>
      </c>
      <c r="I124" s="12" t="inlineStr">
        <is>
          <t>360</t>
        </is>
      </c>
      <c r="J124" s="12">
        <f>ROUND(F124*G124*H124/I124,2)</f>
        <v>336.92</v>
      </c>
      <c r="K124" s="23" t="n">
        <v>563.3200000000001</v>
      </c>
      <c r="L124" s="23" t="n">
        <v>0</v>
      </c>
      <c r="M124" s="12">
        <f>SUM(J124:L124)</f>
        <v>900.24</v>
      </c>
      <c r="N124" s="23" t="n">
        <v>66821.38</v>
      </c>
      <c r="O124" s="23" t="n">
        <v>0</v>
      </c>
      <c r="P124" s="23" t="n">
        <v>67384.7</v>
      </c>
      <c r="Q124" s="12" t="inlineStr">
        <is>
          <t>0.00500000</t>
        </is>
      </c>
      <c r="R124" s="12">
        <f>ROUND(P124*Q124,2)</f>
        <v>336.92</v>
      </c>
      <c r="S124" s="12">
        <f>MIN(MAX(R124-J124,0),O124)</f>
        <v>0.00</v>
      </c>
      <c r="T124" s="12">
        <f>O124-S124</f>
        <v>0.0</v>
      </c>
      <c r="U124" s="12">
        <f>N124-T124</f>
        <v>66821.38</v>
      </c>
      <c r="V124" s="12" t="inlineStr">
        <is>
          <t>67384.70 x 0.0600 x 30/360 = 336.92</t>
        </is>
      </c>
      <c r="W124" s="12" t="inlineStr">
        <is>
          <t>PROJECTED-Debt reference 001 111</t>
        </is>
      </c>
      <c r="X124" s="12" t="inlineStr">
        <is>
          <t>Not applicable no issuance cost</t>
        </is>
      </c>
    </row>
    <row r="125" ht="15" customHeight="1" s="13">
      <c r="A125" s="12" t="inlineStr">
        <is>
          <t>Debt reference 001</t>
        </is>
      </c>
      <c r="B125" s="12" t="inlineStr">
        <is>
          <t>124</t>
        </is>
      </c>
      <c r="C125" s="22" t="n">
        <v>49400</v>
      </c>
      <c r="D125" s="22" t="n">
        <v>49429</v>
      </c>
      <c r="E125" s="22" t="n">
        <v>49429</v>
      </c>
      <c r="F125" s="23" t="n">
        <v>66821.38</v>
      </c>
      <c r="G125" s="12" t="inlineStr">
        <is>
          <t>0.0600</t>
        </is>
      </c>
      <c r="H125" s="12" t="inlineStr">
        <is>
          <t>30</t>
        </is>
      </c>
      <c r="I125" s="12" t="inlineStr">
        <is>
          <t>360</t>
        </is>
      </c>
      <c r="J125" s="12">
        <f>ROUND(F125*G125*H125/I125,2)</f>
        <v>334.11</v>
      </c>
      <c r="K125" s="23" t="n">
        <v>566.13</v>
      </c>
      <c r="L125" s="23" t="n">
        <v>0</v>
      </c>
      <c r="M125" s="12">
        <f>SUM(J125:L125)</f>
        <v>900.24</v>
      </c>
      <c r="N125" s="23" t="n">
        <v>66255.25</v>
      </c>
      <c r="O125" s="23" t="n">
        <v>0</v>
      </c>
      <c r="P125" s="23" t="n">
        <v>66821.38</v>
      </c>
      <c r="Q125" s="12" t="inlineStr">
        <is>
          <t>0.00500000</t>
        </is>
      </c>
      <c r="R125" s="12">
        <f>ROUND(P125*Q125,2)</f>
        <v>334.11</v>
      </c>
      <c r="S125" s="12">
        <f>MIN(MAX(R125-J125,0),O125)</f>
        <v>0.00</v>
      </c>
      <c r="T125" s="12">
        <f>O125-S125</f>
        <v>0.0</v>
      </c>
      <c r="U125" s="12">
        <f>N125-T125</f>
        <v>66255.25</v>
      </c>
      <c r="V125" s="12" t="inlineStr">
        <is>
          <t>66821.38 x 0.0600 x 30/360 = 334.11</t>
        </is>
      </c>
      <c r="W125" s="12" t="inlineStr">
        <is>
          <t>PROJECTED-Debt reference 001 112</t>
        </is>
      </c>
      <c r="X125" s="12" t="inlineStr">
        <is>
          <t>Not applicable no issuance cost</t>
        </is>
      </c>
    </row>
    <row r="126" ht="15" customHeight="1" s="13">
      <c r="A126" s="12" t="inlineStr">
        <is>
          <t>Debt reference 001</t>
        </is>
      </c>
      <c r="B126" s="12" t="inlineStr">
        <is>
          <t>125</t>
        </is>
      </c>
      <c r="C126" s="22" t="n">
        <v>49430</v>
      </c>
      <c r="D126" s="22" t="n">
        <v>49460</v>
      </c>
      <c r="E126" s="22" t="n">
        <v>49460</v>
      </c>
      <c r="F126" s="23" t="n">
        <v>66255.25</v>
      </c>
      <c r="G126" s="12" t="inlineStr">
        <is>
          <t>0.0600</t>
        </is>
      </c>
      <c r="H126" s="12" t="inlineStr">
        <is>
          <t>30</t>
        </is>
      </c>
      <c r="I126" s="12" t="inlineStr">
        <is>
          <t>360</t>
        </is>
      </c>
      <c r="J126" s="12">
        <f>ROUND(F126*G126*H126/I126,2)</f>
        <v>331.28</v>
      </c>
      <c r="K126" s="23" t="n">
        <v>568.96</v>
      </c>
      <c r="L126" s="23" t="n">
        <v>0</v>
      </c>
      <c r="M126" s="12">
        <f>SUM(J126:L126)</f>
        <v>900.24</v>
      </c>
      <c r="N126" s="23" t="n">
        <v>65686.28999999999</v>
      </c>
      <c r="O126" s="23" t="n">
        <v>0</v>
      </c>
      <c r="P126" s="23" t="n">
        <v>66255.25</v>
      </c>
      <c r="Q126" s="12" t="inlineStr">
        <is>
          <t>0.00500000</t>
        </is>
      </c>
      <c r="R126" s="12">
        <f>ROUND(P126*Q126,2)</f>
        <v>331.28</v>
      </c>
      <c r="S126" s="12">
        <f>MIN(MAX(R126-J126,0),O126)</f>
        <v>0.00</v>
      </c>
      <c r="T126" s="12">
        <f>O126-S126</f>
        <v>0.0</v>
      </c>
      <c r="U126" s="12">
        <f>N126-T126</f>
        <v>65686.29</v>
      </c>
      <c r="V126" s="12" t="inlineStr">
        <is>
          <t>66255.25 x 0.0600 x 30/360 = 331.28</t>
        </is>
      </c>
      <c r="W126" s="12" t="inlineStr">
        <is>
          <t>PROJECTED-Debt reference 001 113</t>
        </is>
      </c>
      <c r="X126" s="12" t="inlineStr">
        <is>
          <t>Not applicable no issuance cost</t>
        </is>
      </c>
    </row>
    <row r="127" ht="15" customHeight="1" s="13">
      <c r="A127" s="12" t="inlineStr">
        <is>
          <t>Debt reference 001</t>
        </is>
      </c>
      <c r="B127" s="12" t="inlineStr">
        <is>
          <t>126</t>
        </is>
      </c>
      <c r="C127" s="22" t="n">
        <v>49461</v>
      </c>
      <c r="D127" s="22" t="n">
        <v>49490</v>
      </c>
      <c r="E127" s="22" t="n">
        <v>49490</v>
      </c>
      <c r="F127" s="23" t="n">
        <v>65686.28999999999</v>
      </c>
      <c r="G127" s="12" t="inlineStr">
        <is>
          <t>0.0600</t>
        </is>
      </c>
      <c r="H127" s="12" t="inlineStr">
        <is>
          <t>30</t>
        </is>
      </c>
      <c r="I127" s="12" t="inlineStr">
        <is>
          <t>360</t>
        </is>
      </c>
      <c r="J127" s="12">
        <f>ROUND(F127*G127*H127/I127,2)</f>
        <v>328.43</v>
      </c>
      <c r="K127" s="23" t="n">
        <v>571.8099999999999</v>
      </c>
      <c r="L127" s="23" t="n">
        <v>0</v>
      </c>
      <c r="M127" s="12">
        <f>SUM(J127:L127)</f>
        <v>900.24</v>
      </c>
      <c r="N127" s="23" t="n">
        <v>65114.48</v>
      </c>
      <c r="O127" s="23" t="n">
        <v>0</v>
      </c>
      <c r="P127" s="23" t="n">
        <v>65686.28999999999</v>
      </c>
      <c r="Q127" s="12" t="inlineStr">
        <is>
          <t>0.00500000</t>
        </is>
      </c>
      <c r="R127" s="12">
        <f>ROUND(P127*Q127,2)</f>
        <v>328.43</v>
      </c>
      <c r="S127" s="12">
        <f>MIN(MAX(R127-J127,0),O127)</f>
        <v>0.00</v>
      </c>
      <c r="T127" s="12">
        <f>O127-S127</f>
        <v>0.0</v>
      </c>
      <c r="U127" s="12">
        <f>N127-T127</f>
        <v>65114.48</v>
      </c>
      <c r="V127" s="12" t="inlineStr">
        <is>
          <t>65686.29 x 0.0600 x 30/360 = 328.43</t>
        </is>
      </c>
      <c r="W127" s="12" t="inlineStr">
        <is>
          <t>PROJECTED-Debt reference 001 114</t>
        </is>
      </c>
      <c r="X127" s="12" t="inlineStr">
        <is>
          <t>Not applicable no issuance cost</t>
        </is>
      </c>
    </row>
    <row r="128" ht="15" customHeight="1" s="13">
      <c r="A128" s="12" t="inlineStr">
        <is>
          <t>Debt reference 001</t>
        </is>
      </c>
      <c r="B128" s="12" t="inlineStr">
        <is>
          <t>127</t>
        </is>
      </c>
      <c r="C128" s="22" t="n">
        <v>49491</v>
      </c>
      <c r="D128" s="22" t="n">
        <v>49521</v>
      </c>
      <c r="E128" s="22" t="n">
        <v>49521</v>
      </c>
      <c r="F128" s="23" t="n">
        <v>65114.48</v>
      </c>
      <c r="G128" s="12" t="inlineStr">
        <is>
          <t>0.0600</t>
        </is>
      </c>
      <c r="H128" s="12" t="inlineStr">
        <is>
          <t>30</t>
        </is>
      </c>
      <c r="I128" s="12" t="inlineStr">
        <is>
          <t>360</t>
        </is>
      </c>
      <c r="J128" s="12">
        <f>ROUND(F128*G128*H128/I128,2)</f>
        <v>325.57</v>
      </c>
      <c r="K128" s="23" t="n">
        <v>574.67</v>
      </c>
      <c r="L128" s="23" t="n">
        <v>0</v>
      </c>
      <c r="M128" s="12">
        <f>SUM(J128:L128)</f>
        <v>900.24</v>
      </c>
      <c r="N128" s="23" t="n">
        <v>64539.81</v>
      </c>
      <c r="O128" s="23" t="n">
        <v>0</v>
      </c>
      <c r="P128" s="23" t="n">
        <v>65114.48</v>
      </c>
      <c r="Q128" s="12" t="inlineStr">
        <is>
          <t>0.00500000</t>
        </is>
      </c>
      <c r="R128" s="12">
        <f>ROUND(P128*Q128,2)</f>
        <v>325.57</v>
      </c>
      <c r="S128" s="12">
        <f>MIN(MAX(R128-J128,0),O128)</f>
        <v>0.00</v>
      </c>
      <c r="T128" s="12">
        <f>O128-S128</f>
        <v>0.0</v>
      </c>
      <c r="U128" s="12">
        <f>N128-T128</f>
        <v>64539.81</v>
      </c>
      <c r="V128" s="12" t="inlineStr">
        <is>
          <t>65114.48 x 0.0600 x 30/360 = 325.57</t>
        </is>
      </c>
      <c r="W128" s="12" t="inlineStr">
        <is>
          <t>PROJECTED-Debt reference 001 115</t>
        </is>
      </c>
      <c r="X128" s="12" t="inlineStr">
        <is>
          <t>Not applicable no issuance cost</t>
        </is>
      </c>
    </row>
    <row r="129" ht="15" customHeight="1" s="13">
      <c r="A129" s="12" t="inlineStr">
        <is>
          <t>Debt reference 001</t>
        </is>
      </c>
      <c r="B129" s="12" t="inlineStr">
        <is>
          <t>128</t>
        </is>
      </c>
      <c r="C129" s="22" t="n">
        <v>49522</v>
      </c>
      <c r="D129" s="22" t="n">
        <v>49552</v>
      </c>
      <c r="E129" s="22" t="n">
        <v>49552</v>
      </c>
      <c r="F129" s="23" t="n">
        <v>64539.81</v>
      </c>
      <c r="G129" s="12" t="inlineStr">
        <is>
          <t>0.0600</t>
        </is>
      </c>
      <c r="H129" s="12" t="inlineStr">
        <is>
          <t>30</t>
        </is>
      </c>
      <c r="I129" s="12" t="inlineStr">
        <is>
          <t>360</t>
        </is>
      </c>
      <c r="J129" s="12">
        <f>ROUND(F129*G129*H129/I129,2)</f>
        <v>322.70</v>
      </c>
      <c r="K129" s="23" t="n">
        <v>577.54</v>
      </c>
      <c r="L129" s="23" t="n">
        <v>0</v>
      </c>
      <c r="M129" s="12">
        <f>SUM(J129:L129)</f>
        <v>900.24</v>
      </c>
      <c r="N129" s="23" t="n">
        <v>63962.27</v>
      </c>
      <c r="O129" s="23" t="n">
        <v>0</v>
      </c>
      <c r="P129" s="23" t="n">
        <v>64539.81</v>
      </c>
      <c r="Q129" s="12" t="inlineStr">
        <is>
          <t>0.00500000</t>
        </is>
      </c>
      <c r="R129" s="12">
        <f>ROUND(P129*Q129,2)</f>
        <v>322.70</v>
      </c>
      <c r="S129" s="12">
        <f>MIN(MAX(R129-J129,0),O129)</f>
        <v>0.0</v>
      </c>
      <c r="T129" s="12">
        <f>O129-S129</f>
        <v>0.0</v>
      </c>
      <c r="U129" s="12">
        <f>N129-T129</f>
        <v>63962.27</v>
      </c>
      <c r="V129" s="12" t="inlineStr">
        <is>
          <t>64539.81 x 0.0600 x 30/360 = 322.70</t>
        </is>
      </c>
      <c r="W129" s="12" t="inlineStr">
        <is>
          <t>PROJECTED-Debt reference 001 116</t>
        </is>
      </c>
      <c r="X129" s="12" t="inlineStr">
        <is>
          <t>Not applicable no issuance cost</t>
        </is>
      </c>
    </row>
    <row r="130" ht="15" customHeight="1" s="13">
      <c r="A130" s="12" t="inlineStr">
        <is>
          <t>Debt reference 001</t>
        </is>
      </c>
      <c r="B130" s="12" t="inlineStr">
        <is>
          <t>129</t>
        </is>
      </c>
      <c r="C130" s="22" t="n">
        <v>49553</v>
      </c>
      <c r="D130" s="22" t="n">
        <v>49582</v>
      </c>
      <c r="E130" s="22" t="n">
        <v>49582</v>
      </c>
      <c r="F130" s="23" t="n">
        <v>63962.27</v>
      </c>
      <c r="G130" s="12" t="inlineStr">
        <is>
          <t>0.0600</t>
        </is>
      </c>
      <c r="H130" s="12" t="inlineStr">
        <is>
          <t>30</t>
        </is>
      </c>
      <c r="I130" s="12" t="inlineStr">
        <is>
          <t>360</t>
        </is>
      </c>
      <c r="J130" s="12">
        <f>ROUND(F130*G130*H130/I130,2)</f>
        <v>319.81</v>
      </c>
      <c r="K130" s="23" t="n">
        <v>580.4299999999999</v>
      </c>
      <c r="L130" s="23" t="n">
        <v>0</v>
      </c>
      <c r="M130" s="12">
        <f>SUM(J130:L130)</f>
        <v>900.24</v>
      </c>
      <c r="N130" s="23" t="n">
        <v>63381.84</v>
      </c>
      <c r="O130" s="23" t="n">
        <v>0</v>
      </c>
      <c r="P130" s="23" t="n">
        <v>63962.27</v>
      </c>
      <c r="Q130" s="12" t="inlineStr">
        <is>
          <t>0.00500000</t>
        </is>
      </c>
      <c r="R130" s="12">
        <f>ROUND(P130*Q130,2)</f>
        <v>319.81</v>
      </c>
      <c r="S130" s="12">
        <f>MIN(MAX(R130-J130,0),O130)</f>
        <v>0.00</v>
      </c>
      <c r="T130" s="12">
        <f>O130-S130</f>
        <v>0.0</v>
      </c>
      <c r="U130" s="12">
        <f>N130-T130</f>
        <v>63381.84</v>
      </c>
      <c r="V130" s="12" t="inlineStr">
        <is>
          <t>63962.27 x 0.0600 x 30/360 = 319.81</t>
        </is>
      </c>
      <c r="W130" s="12" t="inlineStr">
        <is>
          <t>PROJECTED-Debt reference 001 117</t>
        </is>
      </c>
      <c r="X130" s="12" t="inlineStr">
        <is>
          <t>Not applicable no issuance cost</t>
        </is>
      </c>
    </row>
    <row r="131" ht="15" customHeight="1" s="13">
      <c r="A131" s="12" t="inlineStr">
        <is>
          <t>Debt reference 001</t>
        </is>
      </c>
      <c r="B131" s="12" t="inlineStr">
        <is>
          <t>130</t>
        </is>
      </c>
      <c r="C131" s="22" t="n">
        <v>49583</v>
      </c>
      <c r="D131" s="22" t="n">
        <v>49613</v>
      </c>
      <c r="E131" s="22" t="n">
        <v>49613</v>
      </c>
      <c r="F131" s="23" t="n">
        <v>63381.84</v>
      </c>
      <c r="G131" s="12" t="inlineStr">
        <is>
          <t>0.0600</t>
        </is>
      </c>
      <c r="H131" s="12" t="inlineStr">
        <is>
          <t>30</t>
        </is>
      </c>
      <c r="I131" s="12" t="inlineStr">
        <is>
          <t>360</t>
        </is>
      </c>
      <c r="J131" s="12">
        <f>ROUND(F131*G131*H131/I131,2)</f>
        <v>316.91</v>
      </c>
      <c r="K131" s="23" t="n">
        <v>583.33</v>
      </c>
      <c r="L131" s="23" t="n">
        <v>0</v>
      </c>
      <c r="M131" s="12">
        <f>SUM(J131:L131)</f>
        <v>900.24</v>
      </c>
      <c r="N131" s="23" t="n">
        <v>62798.51</v>
      </c>
      <c r="O131" s="23" t="n">
        <v>0</v>
      </c>
      <c r="P131" s="23" t="n">
        <v>63381.84</v>
      </c>
      <c r="Q131" s="12" t="inlineStr">
        <is>
          <t>0.00500000</t>
        </is>
      </c>
      <c r="R131" s="12">
        <f>ROUND(P131*Q131,2)</f>
        <v>316.91</v>
      </c>
      <c r="S131" s="12">
        <f>MIN(MAX(R131-J131,0),O131)</f>
        <v>0.00</v>
      </c>
      <c r="T131" s="12">
        <f>O131-S131</f>
        <v>0.0</v>
      </c>
      <c r="U131" s="12">
        <f>N131-T131</f>
        <v>62798.51</v>
      </c>
      <c r="V131" s="12" t="inlineStr">
        <is>
          <t>63381.84 x 0.0600 x 30/360 = 316.91</t>
        </is>
      </c>
      <c r="W131" s="12" t="inlineStr">
        <is>
          <t>PROJECTED-Debt reference 001 118</t>
        </is>
      </c>
      <c r="X131" s="12" t="inlineStr">
        <is>
          <t>Not applicable no issuance cost</t>
        </is>
      </c>
    </row>
    <row r="132" ht="15" customHeight="1" s="13">
      <c r="A132" s="12" t="inlineStr">
        <is>
          <t>Debt reference 001</t>
        </is>
      </c>
      <c r="B132" s="12" t="inlineStr">
        <is>
          <t>131</t>
        </is>
      </c>
      <c r="C132" s="22" t="n">
        <v>49614</v>
      </c>
      <c r="D132" s="22" t="n">
        <v>49643</v>
      </c>
      <c r="E132" s="22" t="n">
        <v>49643</v>
      </c>
      <c r="F132" s="23" t="n">
        <v>62798.51</v>
      </c>
      <c r="G132" s="12" t="inlineStr">
        <is>
          <t>0.0600</t>
        </is>
      </c>
      <c r="H132" s="12" t="inlineStr">
        <is>
          <t>30</t>
        </is>
      </c>
      <c r="I132" s="12" t="inlineStr">
        <is>
          <t>360</t>
        </is>
      </c>
      <c r="J132" s="12">
        <f>ROUND(F132*G132*H132/I132,2)</f>
        <v>313.99</v>
      </c>
      <c r="K132" s="23" t="n">
        <v>586.25</v>
      </c>
      <c r="L132" s="23" t="n">
        <v>0</v>
      </c>
      <c r="M132" s="12">
        <f>SUM(J132:L132)</f>
        <v>900.24</v>
      </c>
      <c r="N132" s="23" t="n">
        <v>62212.26</v>
      </c>
      <c r="O132" s="23" t="n">
        <v>0</v>
      </c>
      <c r="P132" s="23" t="n">
        <v>62798.51</v>
      </c>
      <c r="Q132" s="12" t="inlineStr">
        <is>
          <t>0.00500000</t>
        </is>
      </c>
      <c r="R132" s="12">
        <f>ROUND(P132*Q132,2)</f>
        <v>313.99</v>
      </c>
      <c r="S132" s="12">
        <f>MIN(MAX(R132-J132,0),O132)</f>
        <v>0.00</v>
      </c>
      <c r="T132" s="12">
        <f>O132-S132</f>
        <v>0.0</v>
      </c>
      <c r="U132" s="12">
        <f>N132-T132</f>
        <v>62212.26</v>
      </c>
      <c r="V132" s="12" t="inlineStr">
        <is>
          <t>62798.51 x 0.0600 x 30/360 = 313.99</t>
        </is>
      </c>
      <c r="W132" s="12" t="inlineStr">
        <is>
          <t>PROJECTED-Debt reference 001 119</t>
        </is>
      </c>
      <c r="X132" s="12" t="inlineStr">
        <is>
          <t>Not applicable no issuance cost</t>
        </is>
      </c>
    </row>
    <row r="133" ht="15" customHeight="1" s="13">
      <c r="A133" s="12" t="inlineStr">
        <is>
          <t>Debt reference 001</t>
        </is>
      </c>
      <c r="B133" s="12" t="inlineStr">
        <is>
          <t>132</t>
        </is>
      </c>
      <c r="C133" s="22" t="n">
        <v>49644</v>
      </c>
      <c r="D133" s="22" t="n">
        <v>49674</v>
      </c>
      <c r="E133" s="22" t="n">
        <v>49674</v>
      </c>
      <c r="F133" s="23" t="n">
        <v>62212.26</v>
      </c>
      <c r="G133" s="12" t="inlineStr">
        <is>
          <t>0.0600</t>
        </is>
      </c>
      <c r="H133" s="12" t="inlineStr">
        <is>
          <t>30</t>
        </is>
      </c>
      <c r="I133" s="12" t="inlineStr">
        <is>
          <t>360</t>
        </is>
      </c>
      <c r="J133" s="12">
        <f>ROUND(F133*G133*H133/I133,2)</f>
        <v>311.06</v>
      </c>
      <c r="K133" s="23" t="n">
        <v>589.1799999999999</v>
      </c>
      <c r="L133" s="23" t="n">
        <v>0</v>
      </c>
      <c r="M133" s="12">
        <f>SUM(J133:L133)</f>
        <v>900.24</v>
      </c>
      <c r="N133" s="23" t="n">
        <v>61623.08</v>
      </c>
      <c r="O133" s="23" t="n">
        <v>0</v>
      </c>
      <c r="P133" s="23" t="n">
        <v>62212.26</v>
      </c>
      <c r="Q133" s="12" t="inlineStr">
        <is>
          <t>0.00500000</t>
        </is>
      </c>
      <c r="R133" s="12">
        <f>ROUND(P133*Q133,2)</f>
        <v>311.06</v>
      </c>
      <c r="S133" s="12">
        <f>MIN(MAX(R133-J133,0),O133)</f>
        <v>0.00</v>
      </c>
      <c r="T133" s="12">
        <f>O133-S133</f>
        <v>0.0</v>
      </c>
      <c r="U133" s="12">
        <f>N133-T133</f>
        <v>61623.08</v>
      </c>
      <c r="V133" s="12" t="inlineStr">
        <is>
          <t>62212.26 x 0.0600 x 30/360 = 311.06</t>
        </is>
      </c>
      <c r="W133" s="12" t="inlineStr">
        <is>
          <t>PROJECTED-Debt reference 001 120</t>
        </is>
      </c>
      <c r="X133" s="12" t="inlineStr">
        <is>
          <t>Not applicable no issuance cost</t>
        </is>
      </c>
    </row>
    <row r="134" ht="15" customHeight="1" s="13">
      <c r="A134" s="12" t="inlineStr">
        <is>
          <t>Debt reference 001</t>
        </is>
      </c>
      <c r="B134" s="12" t="inlineStr">
        <is>
          <t>133</t>
        </is>
      </c>
      <c r="C134" s="22" t="n">
        <v>49675</v>
      </c>
      <c r="D134" s="22" t="n">
        <v>49705</v>
      </c>
      <c r="E134" s="22" t="n">
        <v>49705</v>
      </c>
      <c r="F134" s="23" t="n">
        <v>61623.08</v>
      </c>
      <c r="G134" s="12" t="inlineStr">
        <is>
          <t>0.0600</t>
        </is>
      </c>
      <c r="H134" s="12" t="inlineStr">
        <is>
          <t>30</t>
        </is>
      </c>
      <c r="I134" s="12" t="inlineStr">
        <is>
          <t>360</t>
        </is>
      </c>
      <c r="J134" s="12">
        <f>ROUND(F134*G134*H134/I134,2)</f>
        <v>308.12</v>
      </c>
      <c r="K134" s="23" t="n">
        <v>592.12</v>
      </c>
      <c r="L134" s="23" t="n">
        <v>0</v>
      </c>
      <c r="M134" s="12">
        <f>SUM(J134:L134)</f>
        <v>900.24</v>
      </c>
      <c r="N134" s="23" t="n">
        <v>61030.96</v>
      </c>
      <c r="O134" s="23" t="n">
        <v>0</v>
      </c>
      <c r="P134" s="23" t="n">
        <v>61623.08</v>
      </c>
      <c r="Q134" s="12" t="inlineStr">
        <is>
          <t>0.00500000</t>
        </is>
      </c>
      <c r="R134" s="12">
        <f>ROUND(P134*Q134,2)</f>
        <v>308.12</v>
      </c>
      <c r="S134" s="12">
        <f>MIN(MAX(R134-J134,0),O134)</f>
        <v>0.00</v>
      </c>
      <c r="T134" s="12">
        <f>O134-S134</f>
        <v>0.0</v>
      </c>
      <c r="U134" s="12">
        <f>N134-T134</f>
        <v>61030.96</v>
      </c>
      <c r="V134" s="12" t="inlineStr">
        <is>
          <t>61623.08 x 0.0600 x 30/360 = 308.12</t>
        </is>
      </c>
      <c r="W134" s="12" t="inlineStr">
        <is>
          <t>PROJECTED-Debt reference 001 121</t>
        </is>
      </c>
      <c r="X134" s="12" t="inlineStr">
        <is>
          <t>Not applicable no issuance cost</t>
        </is>
      </c>
    </row>
    <row r="135" ht="15" customHeight="1" s="13">
      <c r="A135" s="12" t="inlineStr">
        <is>
          <t>Debt reference 001</t>
        </is>
      </c>
      <c r="B135" s="12" t="inlineStr">
        <is>
          <t>134</t>
        </is>
      </c>
      <c r="C135" s="22" t="n">
        <v>49706</v>
      </c>
      <c r="D135" s="22" t="n">
        <v>49734</v>
      </c>
      <c r="E135" s="22" t="n">
        <v>49734</v>
      </c>
      <c r="F135" s="23" t="n">
        <v>61030.96</v>
      </c>
      <c r="G135" s="12" t="inlineStr">
        <is>
          <t>0.0600</t>
        </is>
      </c>
      <c r="H135" s="12" t="inlineStr">
        <is>
          <t>30</t>
        </is>
      </c>
      <c r="I135" s="12" t="inlineStr">
        <is>
          <t>360</t>
        </is>
      </c>
      <c r="J135" s="12">
        <f>ROUND(F135*G135*H135/I135,2)</f>
        <v>305.15</v>
      </c>
      <c r="K135" s="23" t="n">
        <v>595.09</v>
      </c>
      <c r="L135" s="23" t="n">
        <v>0</v>
      </c>
      <c r="M135" s="12">
        <f>SUM(J135:L135)</f>
        <v>900.24</v>
      </c>
      <c r="N135" s="23" t="n">
        <v>60435.87</v>
      </c>
      <c r="O135" s="23" t="n">
        <v>0</v>
      </c>
      <c r="P135" s="23" t="n">
        <v>61030.96</v>
      </c>
      <c r="Q135" s="12" t="inlineStr">
        <is>
          <t>0.00500000</t>
        </is>
      </c>
      <c r="R135" s="12">
        <f>ROUND(P135*Q135,2)</f>
        <v>305.15</v>
      </c>
      <c r="S135" s="12">
        <f>MIN(MAX(R135-J135,0),O135)</f>
        <v>0.00</v>
      </c>
      <c r="T135" s="12">
        <f>O135-S135</f>
        <v>0.0</v>
      </c>
      <c r="U135" s="12">
        <f>N135-T135</f>
        <v>60435.87</v>
      </c>
      <c r="V135" s="12" t="inlineStr">
        <is>
          <t>61030.96 x 0.0600 x 30/360 = 305.15</t>
        </is>
      </c>
      <c r="W135" s="12" t="inlineStr">
        <is>
          <t>PROJECTED-Debt reference 001 122</t>
        </is>
      </c>
      <c r="X135" s="12" t="inlineStr">
        <is>
          <t>Not applicable no issuance cost</t>
        </is>
      </c>
    </row>
    <row r="136" ht="15" customHeight="1" s="13">
      <c r="A136" s="12" t="inlineStr">
        <is>
          <t>Debt reference 001</t>
        </is>
      </c>
      <c r="B136" s="12" t="inlineStr">
        <is>
          <t>135</t>
        </is>
      </c>
      <c r="C136" s="22" t="n">
        <v>49735</v>
      </c>
      <c r="D136" s="22" t="n">
        <v>49765</v>
      </c>
      <c r="E136" s="22" t="n">
        <v>49765</v>
      </c>
      <c r="F136" s="23" t="n">
        <v>60435.87</v>
      </c>
      <c r="G136" s="12" t="inlineStr">
        <is>
          <t>0.0600</t>
        </is>
      </c>
      <c r="H136" s="12" t="inlineStr">
        <is>
          <t>30</t>
        </is>
      </c>
      <c r="I136" s="12" t="inlineStr">
        <is>
          <t>360</t>
        </is>
      </c>
      <c r="J136" s="12">
        <f>ROUND(F136*G136*H136/I136,2)</f>
        <v>302.18</v>
      </c>
      <c r="K136" s="23" t="n">
        <v>598.0599999999999</v>
      </c>
      <c r="L136" s="23" t="n">
        <v>0</v>
      </c>
      <c r="M136" s="12">
        <f>SUM(J136:L136)</f>
        <v>900.24</v>
      </c>
      <c r="N136" s="23" t="n">
        <v>59837.81</v>
      </c>
      <c r="O136" s="23" t="n">
        <v>0</v>
      </c>
      <c r="P136" s="23" t="n">
        <v>60435.87</v>
      </c>
      <c r="Q136" s="12" t="inlineStr">
        <is>
          <t>0.00500000</t>
        </is>
      </c>
      <c r="R136" s="12">
        <f>ROUND(P136*Q136,2)</f>
        <v>302.18</v>
      </c>
      <c r="S136" s="12">
        <f>MIN(MAX(R136-J136,0),O136)</f>
        <v>0.00</v>
      </c>
      <c r="T136" s="12">
        <f>O136-S136</f>
        <v>0.0</v>
      </c>
      <c r="U136" s="12">
        <f>N136-T136</f>
        <v>59837.81</v>
      </c>
      <c r="V136" s="12" t="inlineStr">
        <is>
          <t>60435.87 x 0.0600 x 30/360 = 302.18</t>
        </is>
      </c>
      <c r="W136" s="12" t="inlineStr">
        <is>
          <t>PROJECTED-Debt reference 001 123</t>
        </is>
      </c>
      <c r="X136" s="12" t="inlineStr">
        <is>
          <t>Not applicable no issuance cost</t>
        </is>
      </c>
    </row>
    <row r="137" ht="15" customHeight="1" s="13">
      <c r="A137" s="12" t="inlineStr">
        <is>
          <t>Debt reference 001</t>
        </is>
      </c>
      <c r="B137" s="12" t="inlineStr">
        <is>
          <t>136</t>
        </is>
      </c>
      <c r="C137" s="22" t="n">
        <v>49766</v>
      </c>
      <c r="D137" s="22" t="n">
        <v>49795</v>
      </c>
      <c r="E137" s="22" t="n">
        <v>49795</v>
      </c>
      <c r="F137" s="23" t="n">
        <v>59837.81</v>
      </c>
      <c r="G137" s="12" t="inlineStr">
        <is>
          <t>0.0600</t>
        </is>
      </c>
      <c r="H137" s="12" t="inlineStr">
        <is>
          <t>30</t>
        </is>
      </c>
      <c r="I137" s="12" t="inlineStr">
        <is>
          <t>360</t>
        </is>
      </c>
      <c r="J137" s="12">
        <f>ROUND(F137*G137*H137/I137,2)</f>
        <v>299.19</v>
      </c>
      <c r="K137" s="23" t="n">
        <v>601.05</v>
      </c>
      <c r="L137" s="23" t="n">
        <v>0</v>
      </c>
      <c r="M137" s="12">
        <f>SUM(J137:L137)</f>
        <v>900.24</v>
      </c>
      <c r="N137" s="23" t="n">
        <v>59236.76</v>
      </c>
      <c r="O137" s="23" t="n">
        <v>0</v>
      </c>
      <c r="P137" s="23" t="n">
        <v>59837.81</v>
      </c>
      <c r="Q137" s="12" t="inlineStr">
        <is>
          <t>0.00500000</t>
        </is>
      </c>
      <c r="R137" s="12">
        <f>ROUND(P137*Q137,2)</f>
        <v>299.19</v>
      </c>
      <c r="S137" s="12">
        <f>MIN(MAX(R137-J137,0),O137)</f>
        <v>0.00</v>
      </c>
      <c r="T137" s="12">
        <f>O137-S137</f>
        <v>0.0</v>
      </c>
      <c r="U137" s="12">
        <f>N137-T137</f>
        <v>59236.76</v>
      </c>
      <c r="V137" s="12" t="inlineStr">
        <is>
          <t>59837.81 x 0.0600 x 30/360 = 299.19</t>
        </is>
      </c>
      <c r="W137" s="12" t="inlineStr">
        <is>
          <t>PROJECTED-Debt reference 001 124</t>
        </is>
      </c>
      <c r="X137" s="12" t="inlineStr">
        <is>
          <t>Not applicable no issuance cost</t>
        </is>
      </c>
    </row>
    <row r="138" ht="15" customHeight="1" s="13">
      <c r="A138" s="12" t="inlineStr">
        <is>
          <t>Debt reference 001</t>
        </is>
      </c>
      <c r="B138" s="12" t="inlineStr">
        <is>
          <t>137</t>
        </is>
      </c>
      <c r="C138" s="22" t="n">
        <v>49796</v>
      </c>
      <c r="D138" s="22" t="n">
        <v>49826</v>
      </c>
      <c r="E138" s="22" t="n">
        <v>49826</v>
      </c>
      <c r="F138" s="23" t="n">
        <v>59236.76</v>
      </c>
      <c r="G138" s="12" t="inlineStr">
        <is>
          <t>0.0600</t>
        </is>
      </c>
      <c r="H138" s="12" t="inlineStr">
        <is>
          <t>30</t>
        </is>
      </c>
      <c r="I138" s="12" t="inlineStr">
        <is>
          <t>360</t>
        </is>
      </c>
      <c r="J138" s="12">
        <f>ROUND(F138*G138*H138/I138,2)</f>
        <v>296.18</v>
      </c>
      <c r="K138" s="23" t="n">
        <v>604.0599999999999</v>
      </c>
      <c r="L138" s="23" t="n">
        <v>0</v>
      </c>
      <c r="M138" s="12">
        <f>SUM(J138:L138)</f>
        <v>900.24</v>
      </c>
      <c r="N138" s="23" t="n">
        <v>58632.7</v>
      </c>
      <c r="O138" s="23" t="n">
        <v>0</v>
      </c>
      <c r="P138" s="23" t="n">
        <v>59236.76</v>
      </c>
      <c r="Q138" s="12" t="inlineStr">
        <is>
          <t>0.00500000</t>
        </is>
      </c>
      <c r="R138" s="12">
        <f>ROUND(P138*Q138,2)</f>
        <v>296.18</v>
      </c>
      <c r="S138" s="12">
        <f>MIN(MAX(R138-J138,0),O138)</f>
        <v>0.00</v>
      </c>
      <c r="T138" s="12">
        <f>O138-S138</f>
        <v>0.0</v>
      </c>
      <c r="U138" s="12">
        <f>N138-T138</f>
        <v>58632.7</v>
      </c>
      <c r="V138" s="12" t="inlineStr">
        <is>
          <t>59236.76 x 0.0600 x 30/360 = 296.18</t>
        </is>
      </c>
      <c r="W138" s="12" t="inlineStr">
        <is>
          <t>PROJECTED-Debt reference 001 125</t>
        </is>
      </c>
      <c r="X138" s="12" t="inlineStr">
        <is>
          <t>Not applicable no issuance cost</t>
        </is>
      </c>
    </row>
    <row r="139" ht="15" customHeight="1" s="13">
      <c r="A139" s="12" t="inlineStr">
        <is>
          <t>Debt reference 001</t>
        </is>
      </c>
      <c r="B139" s="12" t="inlineStr">
        <is>
          <t>138</t>
        </is>
      </c>
      <c r="C139" s="22" t="n">
        <v>49827</v>
      </c>
      <c r="D139" s="22" t="n">
        <v>49856</v>
      </c>
      <c r="E139" s="22" t="n">
        <v>49856</v>
      </c>
      <c r="F139" s="23" t="n">
        <v>58632.7</v>
      </c>
      <c r="G139" s="12" t="inlineStr">
        <is>
          <t>0.0600</t>
        </is>
      </c>
      <c r="H139" s="12" t="inlineStr">
        <is>
          <t>30</t>
        </is>
      </c>
      <c r="I139" s="12" t="inlineStr">
        <is>
          <t>360</t>
        </is>
      </c>
      <c r="J139" s="12">
        <f>ROUND(F139*G139*H139/I139,2)</f>
        <v>293.16</v>
      </c>
      <c r="K139" s="23" t="n">
        <v>607.08</v>
      </c>
      <c r="L139" s="23" t="n">
        <v>0</v>
      </c>
      <c r="M139" s="12">
        <f>SUM(J139:L139)</f>
        <v>900.24</v>
      </c>
      <c r="N139" s="23" t="n">
        <v>58025.62</v>
      </c>
      <c r="O139" s="23" t="n">
        <v>0</v>
      </c>
      <c r="P139" s="23" t="n">
        <v>58632.7</v>
      </c>
      <c r="Q139" s="12" t="inlineStr">
        <is>
          <t>0.00500000</t>
        </is>
      </c>
      <c r="R139" s="12">
        <f>ROUND(P139*Q139,2)</f>
        <v>293.16</v>
      </c>
      <c r="S139" s="12">
        <f>MIN(MAX(R139-J139,0),O139)</f>
        <v>0.00</v>
      </c>
      <c r="T139" s="12">
        <f>O139-S139</f>
        <v>0.0</v>
      </c>
      <c r="U139" s="12">
        <f>N139-T139</f>
        <v>58025.62</v>
      </c>
      <c r="V139" s="12" t="inlineStr">
        <is>
          <t>58632.70 x 0.0600 x 30/360 = 293.16</t>
        </is>
      </c>
      <c r="W139" s="12" t="inlineStr">
        <is>
          <t>PROJECTED-Debt reference 001 126</t>
        </is>
      </c>
      <c r="X139" s="12" t="inlineStr">
        <is>
          <t>Not applicable no issuance cost</t>
        </is>
      </c>
    </row>
    <row r="140" ht="15" customHeight="1" s="13">
      <c r="A140" s="12" t="inlineStr">
        <is>
          <t>Debt reference 001</t>
        </is>
      </c>
      <c r="B140" s="12" t="inlineStr">
        <is>
          <t>139</t>
        </is>
      </c>
      <c r="C140" s="22" t="n">
        <v>49857</v>
      </c>
      <c r="D140" s="22" t="n">
        <v>49887</v>
      </c>
      <c r="E140" s="22" t="n">
        <v>49887</v>
      </c>
      <c r="F140" s="23" t="n">
        <v>58025.62</v>
      </c>
      <c r="G140" s="12" t="inlineStr">
        <is>
          <t>0.0600</t>
        </is>
      </c>
      <c r="H140" s="12" t="inlineStr">
        <is>
          <t>30</t>
        </is>
      </c>
      <c r="I140" s="12" t="inlineStr">
        <is>
          <t>360</t>
        </is>
      </c>
      <c r="J140" s="12">
        <f>ROUND(F140*G140*H140/I140,2)</f>
        <v>290.13</v>
      </c>
      <c r="K140" s="23" t="n">
        <v>610.11</v>
      </c>
      <c r="L140" s="23" t="n">
        <v>0</v>
      </c>
      <c r="M140" s="12">
        <f>SUM(J140:L140)</f>
        <v>900.24</v>
      </c>
      <c r="N140" s="23" t="n">
        <v>57415.51</v>
      </c>
      <c r="O140" s="23" t="n">
        <v>0</v>
      </c>
      <c r="P140" s="23" t="n">
        <v>58025.62</v>
      </c>
      <c r="Q140" s="12" t="inlineStr">
        <is>
          <t>0.00500000</t>
        </is>
      </c>
      <c r="R140" s="12">
        <f>ROUND(P140*Q140,2)</f>
        <v>290.13</v>
      </c>
      <c r="S140" s="12">
        <f>MIN(MAX(R140-J140,0),O140)</f>
        <v>0.00</v>
      </c>
      <c r="T140" s="12">
        <f>O140-S140</f>
        <v>0.0</v>
      </c>
      <c r="U140" s="12">
        <f>N140-T140</f>
        <v>57415.51</v>
      </c>
      <c r="V140" s="12" t="inlineStr">
        <is>
          <t>58025.62 x 0.0600 x 30/360 = 290.13</t>
        </is>
      </c>
      <c r="W140" s="12" t="inlineStr">
        <is>
          <t>PROJECTED-Debt reference 001 127</t>
        </is>
      </c>
      <c r="X140" s="12" t="inlineStr">
        <is>
          <t>Not applicable no issuance cost</t>
        </is>
      </c>
    </row>
    <row r="141" ht="15" customHeight="1" s="13">
      <c r="A141" s="12" t="inlineStr">
        <is>
          <t>Debt reference 001</t>
        </is>
      </c>
      <c r="B141" s="12" t="inlineStr">
        <is>
          <t>140</t>
        </is>
      </c>
      <c r="C141" s="22" t="n">
        <v>49888</v>
      </c>
      <c r="D141" s="22" t="n">
        <v>49918</v>
      </c>
      <c r="E141" s="22" t="n">
        <v>49918</v>
      </c>
      <c r="F141" s="23" t="n">
        <v>57415.51</v>
      </c>
      <c r="G141" s="12" t="inlineStr">
        <is>
          <t>0.0600</t>
        </is>
      </c>
      <c r="H141" s="12" t="inlineStr">
        <is>
          <t>30</t>
        </is>
      </c>
      <c r="I141" s="12" t="inlineStr">
        <is>
          <t>360</t>
        </is>
      </c>
      <c r="J141" s="12">
        <f>ROUND(F141*G141*H141/I141,2)</f>
        <v>287.08</v>
      </c>
      <c r="K141" s="23" t="n">
        <v>613.16</v>
      </c>
      <c r="L141" s="23" t="n">
        <v>0</v>
      </c>
      <c r="M141" s="12">
        <f>SUM(J141:L141)</f>
        <v>900.24</v>
      </c>
      <c r="N141" s="23" t="n">
        <v>56802.35</v>
      </c>
      <c r="O141" s="23" t="n">
        <v>0</v>
      </c>
      <c r="P141" s="23" t="n">
        <v>57415.51</v>
      </c>
      <c r="Q141" s="12" t="inlineStr">
        <is>
          <t>0.00500000</t>
        </is>
      </c>
      <c r="R141" s="12">
        <f>ROUND(P141*Q141,2)</f>
        <v>287.08</v>
      </c>
      <c r="S141" s="12">
        <f>MIN(MAX(R141-J141,0),O141)</f>
        <v>0.00</v>
      </c>
      <c r="T141" s="12">
        <f>O141-S141</f>
        <v>0.0</v>
      </c>
      <c r="U141" s="12">
        <f>N141-T141</f>
        <v>56802.35</v>
      </c>
      <c r="V141" s="12" t="inlineStr">
        <is>
          <t>57415.51 x 0.0600 x 30/360 = 287.08</t>
        </is>
      </c>
      <c r="W141" s="12" t="inlineStr">
        <is>
          <t>PROJECTED-Debt reference 001 128</t>
        </is>
      </c>
      <c r="X141" s="12" t="inlineStr">
        <is>
          <t>Not applicable no issuance cost</t>
        </is>
      </c>
    </row>
    <row r="142" ht="15" customHeight="1" s="13">
      <c r="A142" s="12" t="inlineStr">
        <is>
          <t>Debt reference 001</t>
        </is>
      </c>
      <c r="B142" s="12" t="inlineStr">
        <is>
          <t>141</t>
        </is>
      </c>
      <c r="C142" s="22" t="n">
        <v>49919</v>
      </c>
      <c r="D142" s="22" t="n">
        <v>49948</v>
      </c>
      <c r="E142" s="22" t="n">
        <v>49948</v>
      </c>
      <c r="F142" s="23" t="n">
        <v>56802.35</v>
      </c>
      <c r="G142" s="12" t="inlineStr">
        <is>
          <t>0.0600</t>
        </is>
      </c>
      <c r="H142" s="12" t="inlineStr">
        <is>
          <t>30</t>
        </is>
      </c>
      <c r="I142" s="12" t="inlineStr">
        <is>
          <t>360</t>
        </is>
      </c>
      <c r="J142" s="12">
        <f>ROUND(F142*G142*H142/I142,2)</f>
        <v>284.01</v>
      </c>
      <c r="K142" s="23" t="n">
        <v>616.23</v>
      </c>
      <c r="L142" s="23" t="n">
        <v>0</v>
      </c>
      <c r="M142" s="12">
        <f>SUM(J142:L142)</f>
        <v>900.24</v>
      </c>
      <c r="N142" s="23" t="n">
        <v>56186.12</v>
      </c>
      <c r="O142" s="23" t="n">
        <v>0</v>
      </c>
      <c r="P142" s="23" t="n">
        <v>56802.35</v>
      </c>
      <c r="Q142" s="12" t="inlineStr">
        <is>
          <t>0.00500000</t>
        </is>
      </c>
      <c r="R142" s="12">
        <f>ROUND(P142*Q142,2)</f>
        <v>284.01</v>
      </c>
      <c r="S142" s="12">
        <f>MIN(MAX(R142-J142,0),O142)</f>
        <v>0.00</v>
      </c>
      <c r="T142" s="12">
        <f>O142-S142</f>
        <v>0.0</v>
      </c>
      <c r="U142" s="12">
        <f>N142-T142</f>
        <v>56186.12</v>
      </c>
      <c r="V142" s="12" t="inlineStr">
        <is>
          <t>56802.35 x 0.0600 x 30/360 = 284.01</t>
        </is>
      </c>
      <c r="W142" s="12" t="inlineStr">
        <is>
          <t>PROJECTED-Debt reference 001 129</t>
        </is>
      </c>
      <c r="X142" s="12" t="inlineStr">
        <is>
          <t>Not applicable no issuance cost</t>
        </is>
      </c>
    </row>
    <row r="143" ht="15" customHeight="1" s="13">
      <c r="A143" s="12" t="inlineStr">
        <is>
          <t>Debt reference 001</t>
        </is>
      </c>
      <c r="B143" s="12" t="inlineStr">
        <is>
          <t>142</t>
        </is>
      </c>
      <c r="C143" s="22" t="n">
        <v>49949</v>
      </c>
      <c r="D143" s="22" t="n">
        <v>49979</v>
      </c>
      <c r="E143" s="22" t="n">
        <v>49979</v>
      </c>
      <c r="F143" s="23" t="n">
        <v>56186.12</v>
      </c>
      <c r="G143" s="12" t="inlineStr">
        <is>
          <t>0.0600</t>
        </is>
      </c>
      <c r="H143" s="12" t="inlineStr">
        <is>
          <t>30</t>
        </is>
      </c>
      <c r="I143" s="12" t="inlineStr">
        <is>
          <t>360</t>
        </is>
      </c>
      <c r="J143" s="12">
        <f>ROUND(F143*G143*H143/I143,2)</f>
        <v>280.93</v>
      </c>
      <c r="K143" s="23" t="n">
        <v>619.3099999999999</v>
      </c>
      <c r="L143" s="23" t="n">
        <v>0</v>
      </c>
      <c r="M143" s="12">
        <f>SUM(J143:L143)</f>
        <v>900.24</v>
      </c>
      <c r="N143" s="23" t="n">
        <v>55566.81</v>
      </c>
      <c r="O143" s="23" t="n">
        <v>0</v>
      </c>
      <c r="P143" s="23" t="n">
        <v>56186.12</v>
      </c>
      <c r="Q143" s="12" t="inlineStr">
        <is>
          <t>0.00500000</t>
        </is>
      </c>
      <c r="R143" s="12">
        <f>ROUND(P143*Q143,2)</f>
        <v>280.93</v>
      </c>
      <c r="S143" s="12">
        <f>MIN(MAX(R143-J143,0),O143)</f>
        <v>0.00</v>
      </c>
      <c r="T143" s="12">
        <f>O143-S143</f>
        <v>0.0</v>
      </c>
      <c r="U143" s="12">
        <f>N143-T143</f>
        <v>55566.81</v>
      </c>
      <c r="V143" s="12" t="inlineStr">
        <is>
          <t>56186.12 x 0.0600 x 30/360 = 280.93</t>
        </is>
      </c>
      <c r="W143" s="12" t="inlineStr">
        <is>
          <t>PROJECTED-Debt reference 001 130</t>
        </is>
      </c>
      <c r="X143" s="12" t="inlineStr">
        <is>
          <t>Not applicable no issuance cost</t>
        </is>
      </c>
    </row>
    <row r="144" ht="15" customHeight="1" s="13">
      <c r="A144" s="12" t="inlineStr">
        <is>
          <t>Debt reference 001</t>
        </is>
      </c>
      <c r="B144" s="12" t="inlineStr">
        <is>
          <t>143</t>
        </is>
      </c>
      <c r="C144" s="22" t="n">
        <v>49980</v>
      </c>
      <c r="D144" s="22" t="n">
        <v>50009</v>
      </c>
      <c r="E144" s="22" t="n">
        <v>50009</v>
      </c>
      <c r="F144" s="23" t="n">
        <v>55566.81</v>
      </c>
      <c r="G144" s="12" t="inlineStr">
        <is>
          <t>0.0600</t>
        </is>
      </c>
      <c r="H144" s="12" t="inlineStr">
        <is>
          <t>30</t>
        </is>
      </c>
      <c r="I144" s="12" t="inlineStr">
        <is>
          <t>360</t>
        </is>
      </c>
      <c r="J144" s="12">
        <f>ROUND(F144*G144*H144/I144,2)</f>
        <v>277.83</v>
      </c>
      <c r="K144" s="23" t="n">
        <v>622.41</v>
      </c>
      <c r="L144" s="23" t="n">
        <v>0</v>
      </c>
      <c r="M144" s="12">
        <f>SUM(J144:L144)</f>
        <v>900.24</v>
      </c>
      <c r="N144" s="23" t="n">
        <v>54944.4</v>
      </c>
      <c r="O144" s="23" t="n">
        <v>0</v>
      </c>
      <c r="P144" s="23" t="n">
        <v>55566.81</v>
      </c>
      <c r="Q144" s="12" t="inlineStr">
        <is>
          <t>0.00500000</t>
        </is>
      </c>
      <c r="R144" s="12">
        <f>ROUND(P144*Q144,2)</f>
        <v>277.83</v>
      </c>
      <c r="S144" s="12">
        <f>MIN(MAX(R144-J144,0),O144)</f>
        <v>0.00</v>
      </c>
      <c r="T144" s="12">
        <f>O144-S144</f>
        <v>0.0</v>
      </c>
      <c r="U144" s="12">
        <f>N144-T144</f>
        <v>54944.4</v>
      </c>
      <c r="V144" s="12" t="inlineStr">
        <is>
          <t>55566.81 x 0.0600 x 30/360 = 277.83</t>
        </is>
      </c>
      <c r="W144" s="12" t="inlineStr">
        <is>
          <t>PROJECTED-Debt reference 001 131</t>
        </is>
      </c>
      <c r="X144" s="12" t="inlineStr">
        <is>
          <t>Not applicable no issuance cost</t>
        </is>
      </c>
    </row>
    <row r="145" ht="15" customHeight="1" s="13">
      <c r="A145" s="12" t="inlineStr">
        <is>
          <t>Debt reference 001</t>
        </is>
      </c>
      <c r="B145" s="12" t="inlineStr">
        <is>
          <t>144</t>
        </is>
      </c>
      <c r="C145" s="22" t="n">
        <v>50010</v>
      </c>
      <c r="D145" s="22" t="n">
        <v>50040</v>
      </c>
      <c r="E145" s="22" t="n">
        <v>50040</v>
      </c>
      <c r="F145" s="23" t="n">
        <v>54944.4</v>
      </c>
      <c r="G145" s="12" t="inlineStr">
        <is>
          <t>0.0600</t>
        </is>
      </c>
      <c r="H145" s="12" t="inlineStr">
        <is>
          <t>30</t>
        </is>
      </c>
      <c r="I145" s="12" t="inlineStr">
        <is>
          <t>360</t>
        </is>
      </c>
      <c r="J145" s="12">
        <f>ROUND(F145*G145*H145/I145,2)</f>
        <v>274.72</v>
      </c>
      <c r="K145" s="23" t="n">
        <v>625.52</v>
      </c>
      <c r="L145" s="23" t="n">
        <v>0</v>
      </c>
      <c r="M145" s="12">
        <f>SUM(J145:L145)</f>
        <v>900.24</v>
      </c>
      <c r="N145" s="23" t="n">
        <v>54318.88</v>
      </c>
      <c r="O145" s="23" t="n">
        <v>0</v>
      </c>
      <c r="P145" s="23" t="n">
        <v>54944.4</v>
      </c>
      <c r="Q145" s="12" t="inlineStr">
        <is>
          <t>0.00500000</t>
        </is>
      </c>
      <c r="R145" s="12">
        <f>ROUND(P145*Q145,2)</f>
        <v>274.72</v>
      </c>
      <c r="S145" s="12">
        <f>MIN(MAX(R145-J145,0),O145)</f>
        <v>0.00</v>
      </c>
      <c r="T145" s="12">
        <f>O145-S145</f>
        <v>0.0</v>
      </c>
      <c r="U145" s="12">
        <f>N145-T145</f>
        <v>54318.88</v>
      </c>
      <c r="V145" s="12" t="inlineStr">
        <is>
          <t>54944.40 x 0.0600 x 30/360 = 274.72</t>
        </is>
      </c>
      <c r="W145" s="12" t="inlineStr">
        <is>
          <t>PROJECTED-Debt reference 001 132</t>
        </is>
      </c>
      <c r="X145" s="12" t="inlineStr">
        <is>
          <t>Not applicable no issuance cost</t>
        </is>
      </c>
    </row>
    <row r="146" ht="15" customHeight="1" s="13">
      <c r="A146" s="12" t="inlineStr">
        <is>
          <t>Debt reference 001</t>
        </is>
      </c>
      <c r="B146" s="12" t="inlineStr">
        <is>
          <t>145</t>
        </is>
      </c>
      <c r="C146" s="22" t="n">
        <v>50041</v>
      </c>
      <c r="D146" s="22" t="n">
        <v>50071</v>
      </c>
      <c r="E146" s="22" t="n">
        <v>50071</v>
      </c>
      <c r="F146" s="23" t="n">
        <v>54318.88</v>
      </c>
      <c r="G146" s="12" t="inlineStr">
        <is>
          <t>0.0600</t>
        </is>
      </c>
      <c r="H146" s="12" t="inlineStr">
        <is>
          <t>30</t>
        </is>
      </c>
      <c r="I146" s="12" t="inlineStr">
        <is>
          <t>360</t>
        </is>
      </c>
      <c r="J146" s="12">
        <f>ROUND(F146*G146*H146/I146,2)</f>
        <v>271.59</v>
      </c>
      <c r="K146" s="23" t="n">
        <v>628.65</v>
      </c>
      <c r="L146" s="23" t="n">
        <v>0</v>
      </c>
      <c r="M146" s="12">
        <f>SUM(J146:L146)</f>
        <v>900.24</v>
      </c>
      <c r="N146" s="23" t="n">
        <v>53690.23</v>
      </c>
      <c r="O146" s="23" t="n">
        <v>0</v>
      </c>
      <c r="P146" s="23" t="n">
        <v>54318.88</v>
      </c>
      <c r="Q146" s="12" t="inlineStr">
        <is>
          <t>0.00500000</t>
        </is>
      </c>
      <c r="R146" s="12">
        <f>ROUND(P146*Q146,2)</f>
        <v>271.59</v>
      </c>
      <c r="S146" s="12">
        <f>MIN(MAX(R146-J146,0),O146)</f>
        <v>0.00</v>
      </c>
      <c r="T146" s="12">
        <f>O146-S146</f>
        <v>0.0</v>
      </c>
      <c r="U146" s="12">
        <f>N146-T146</f>
        <v>53690.23</v>
      </c>
      <c r="V146" s="12" t="inlineStr">
        <is>
          <t>54318.88 x 0.0600 x 30/360 = 271.59</t>
        </is>
      </c>
      <c r="W146" s="12" t="inlineStr">
        <is>
          <t>PROJECTED-Debt reference 001 133</t>
        </is>
      </c>
      <c r="X146" s="12" t="inlineStr">
        <is>
          <t>Not applicable no issuance cost</t>
        </is>
      </c>
    </row>
    <row r="147" ht="15" customHeight="1" s="13">
      <c r="A147" s="12" t="inlineStr">
        <is>
          <t>Debt reference 001</t>
        </is>
      </c>
      <c r="B147" s="12" t="inlineStr">
        <is>
          <t>146</t>
        </is>
      </c>
      <c r="C147" s="22" t="n">
        <v>50072</v>
      </c>
      <c r="D147" s="22" t="n">
        <v>50099</v>
      </c>
      <c r="E147" s="22" t="n">
        <v>50099</v>
      </c>
      <c r="F147" s="23" t="n">
        <v>53690.23</v>
      </c>
      <c r="G147" s="12" t="inlineStr">
        <is>
          <t>0.0600</t>
        </is>
      </c>
      <c r="H147" s="12" t="inlineStr">
        <is>
          <t>30</t>
        </is>
      </c>
      <c r="I147" s="12" t="inlineStr">
        <is>
          <t>360</t>
        </is>
      </c>
      <c r="J147" s="12">
        <f>ROUND(F147*G147*H147/I147,2)</f>
        <v>268.45</v>
      </c>
      <c r="K147" s="23" t="n">
        <v>631.79</v>
      </c>
      <c r="L147" s="23" t="n">
        <v>0</v>
      </c>
      <c r="M147" s="12">
        <f>SUM(J147:L147)</f>
        <v>900.24</v>
      </c>
      <c r="N147" s="23" t="n">
        <v>53058.44</v>
      </c>
      <c r="O147" s="23" t="n">
        <v>0</v>
      </c>
      <c r="P147" s="23" t="n">
        <v>53690.23</v>
      </c>
      <c r="Q147" s="12" t="inlineStr">
        <is>
          <t>0.00500000</t>
        </is>
      </c>
      <c r="R147" s="12">
        <f>ROUND(P147*Q147,2)</f>
        <v>268.45</v>
      </c>
      <c r="S147" s="12">
        <f>MIN(MAX(R147-J147,0),O147)</f>
        <v>0.00</v>
      </c>
      <c r="T147" s="12">
        <f>O147-S147</f>
        <v>0.0</v>
      </c>
      <c r="U147" s="12">
        <f>N147-T147</f>
        <v>53058.44</v>
      </c>
      <c r="V147" s="12" t="inlineStr">
        <is>
          <t>53690.23 x 0.0600 x 30/360 = 268.45</t>
        </is>
      </c>
      <c r="W147" s="12" t="inlineStr">
        <is>
          <t>PROJECTED-Debt reference 001 134</t>
        </is>
      </c>
      <c r="X147" s="12" t="inlineStr">
        <is>
          <t>Not applicable no issuance cost</t>
        </is>
      </c>
    </row>
    <row r="148" ht="15" customHeight="1" s="13">
      <c r="A148" s="12" t="inlineStr">
        <is>
          <t>Debt reference 001</t>
        </is>
      </c>
      <c r="B148" s="12" t="inlineStr">
        <is>
          <t>147</t>
        </is>
      </c>
      <c r="C148" s="22" t="n">
        <v>50100</v>
      </c>
      <c r="D148" s="22" t="n">
        <v>50130</v>
      </c>
      <c r="E148" s="22" t="n">
        <v>50130</v>
      </c>
      <c r="F148" s="23" t="n">
        <v>53058.44</v>
      </c>
      <c r="G148" s="12" t="inlineStr">
        <is>
          <t>0.0600</t>
        </is>
      </c>
      <c r="H148" s="12" t="inlineStr">
        <is>
          <t>30</t>
        </is>
      </c>
      <c r="I148" s="12" t="inlineStr">
        <is>
          <t>360</t>
        </is>
      </c>
      <c r="J148" s="12">
        <f>ROUND(F148*G148*H148/I148,2)</f>
        <v>265.29</v>
      </c>
      <c r="K148" s="23" t="n">
        <v>634.95</v>
      </c>
      <c r="L148" s="23" t="n">
        <v>0</v>
      </c>
      <c r="M148" s="12">
        <f>SUM(J148:L148)</f>
        <v>900.24</v>
      </c>
      <c r="N148" s="23" t="n">
        <v>52423.49</v>
      </c>
      <c r="O148" s="23" t="n">
        <v>0</v>
      </c>
      <c r="P148" s="23" t="n">
        <v>53058.44</v>
      </c>
      <c r="Q148" s="12" t="inlineStr">
        <is>
          <t>0.00500000</t>
        </is>
      </c>
      <c r="R148" s="12">
        <f>ROUND(P148*Q148,2)</f>
        <v>265.29</v>
      </c>
      <c r="S148" s="12">
        <f>MIN(MAX(R148-J148,0),O148)</f>
        <v>0.00</v>
      </c>
      <c r="T148" s="12">
        <f>O148-S148</f>
        <v>0.0</v>
      </c>
      <c r="U148" s="12">
        <f>N148-T148</f>
        <v>52423.49</v>
      </c>
      <c r="V148" s="12" t="inlineStr">
        <is>
          <t>53058.44 x 0.0600 x 30/360 = 265.29</t>
        </is>
      </c>
      <c r="W148" s="12" t="inlineStr">
        <is>
          <t>PROJECTED-Debt reference 001 135</t>
        </is>
      </c>
      <c r="X148" s="12" t="inlineStr">
        <is>
          <t>Not applicable no issuance cost</t>
        </is>
      </c>
    </row>
    <row r="149" ht="15" customHeight="1" s="13">
      <c r="A149" s="12" t="inlineStr">
        <is>
          <t>Debt reference 001</t>
        </is>
      </c>
      <c r="B149" s="12" t="inlineStr">
        <is>
          <t>148</t>
        </is>
      </c>
      <c r="C149" s="22" t="n">
        <v>50131</v>
      </c>
      <c r="D149" s="22" t="n">
        <v>50160</v>
      </c>
      <c r="E149" s="22" t="n">
        <v>50160</v>
      </c>
      <c r="F149" s="23" t="n">
        <v>52423.49</v>
      </c>
      <c r="G149" s="12" t="inlineStr">
        <is>
          <t>0.0600</t>
        </is>
      </c>
      <c r="H149" s="12" t="inlineStr">
        <is>
          <t>30</t>
        </is>
      </c>
      <c r="I149" s="12" t="inlineStr">
        <is>
          <t>360</t>
        </is>
      </c>
      <c r="J149" s="12">
        <f>ROUND(F149*G149*H149/I149,2)</f>
        <v>262.12</v>
      </c>
      <c r="K149" s="23" t="n">
        <v>638.12</v>
      </c>
      <c r="L149" s="23" t="n">
        <v>0</v>
      </c>
      <c r="M149" s="12">
        <f>SUM(J149:L149)</f>
        <v>900.24</v>
      </c>
      <c r="N149" s="23" t="n">
        <v>51785.37</v>
      </c>
      <c r="O149" s="23" t="n">
        <v>0</v>
      </c>
      <c r="P149" s="23" t="n">
        <v>52423.49</v>
      </c>
      <c r="Q149" s="12" t="inlineStr">
        <is>
          <t>0.00500000</t>
        </is>
      </c>
      <c r="R149" s="12">
        <f>ROUND(P149*Q149,2)</f>
        <v>262.12</v>
      </c>
      <c r="S149" s="12">
        <f>MIN(MAX(R149-J149,0),O149)</f>
        <v>0.00</v>
      </c>
      <c r="T149" s="12">
        <f>O149-S149</f>
        <v>0.0</v>
      </c>
      <c r="U149" s="12">
        <f>N149-T149</f>
        <v>51785.37</v>
      </c>
      <c r="V149" s="12" t="inlineStr">
        <is>
          <t>52423.49 x 0.0600 x 30/360 = 262.12</t>
        </is>
      </c>
      <c r="W149" s="12" t="inlineStr">
        <is>
          <t>PROJECTED-Debt reference 001 136</t>
        </is>
      </c>
      <c r="X149" s="12" t="inlineStr">
        <is>
          <t>Not applicable no issuance cost</t>
        </is>
      </c>
    </row>
    <row r="150" ht="15" customHeight="1" s="13">
      <c r="A150" s="12" t="inlineStr">
        <is>
          <t>Debt reference 001</t>
        </is>
      </c>
      <c r="B150" s="12" t="inlineStr">
        <is>
          <t>149</t>
        </is>
      </c>
      <c r="C150" s="22" t="n">
        <v>50161</v>
      </c>
      <c r="D150" s="22" t="n">
        <v>50191</v>
      </c>
      <c r="E150" s="22" t="n">
        <v>50191</v>
      </c>
      <c r="F150" s="23" t="n">
        <v>51785.37</v>
      </c>
      <c r="G150" s="12" t="inlineStr">
        <is>
          <t>0.0600</t>
        </is>
      </c>
      <c r="H150" s="12" t="inlineStr">
        <is>
          <t>30</t>
        </is>
      </c>
      <c r="I150" s="12" t="inlineStr">
        <is>
          <t>360</t>
        </is>
      </c>
      <c r="J150" s="12">
        <f>ROUND(F150*G150*H150/I150,2)</f>
        <v>258.93</v>
      </c>
      <c r="K150" s="23" t="n">
        <v>641.3099999999999</v>
      </c>
      <c r="L150" s="23" t="n">
        <v>0</v>
      </c>
      <c r="M150" s="12">
        <f>SUM(J150:L150)</f>
        <v>900.24</v>
      </c>
      <c r="N150" s="23" t="n">
        <v>51144.06</v>
      </c>
      <c r="O150" s="23" t="n">
        <v>0</v>
      </c>
      <c r="P150" s="23" t="n">
        <v>51785.37</v>
      </c>
      <c r="Q150" s="12" t="inlineStr">
        <is>
          <t>0.00500000</t>
        </is>
      </c>
      <c r="R150" s="12">
        <f>ROUND(P150*Q150,2)</f>
        <v>258.93</v>
      </c>
      <c r="S150" s="12">
        <f>MIN(MAX(R150-J150,0),O150)</f>
        <v>0.00</v>
      </c>
      <c r="T150" s="12">
        <f>O150-S150</f>
        <v>0.0</v>
      </c>
      <c r="U150" s="12">
        <f>N150-T150</f>
        <v>51144.06</v>
      </c>
      <c r="V150" s="12" t="inlineStr">
        <is>
          <t>51785.37 x 0.0600 x 30/360 = 258.93</t>
        </is>
      </c>
      <c r="W150" s="12" t="inlineStr">
        <is>
          <t>PROJECTED-Debt reference 001 137</t>
        </is>
      </c>
      <c r="X150" s="12" t="inlineStr">
        <is>
          <t>Not applicable no issuance cost</t>
        </is>
      </c>
    </row>
    <row r="151" ht="15" customHeight="1" s="13">
      <c r="A151" s="12" t="inlineStr">
        <is>
          <t>Debt reference 001</t>
        </is>
      </c>
      <c r="B151" s="12" t="inlineStr">
        <is>
          <t>150</t>
        </is>
      </c>
      <c r="C151" s="22" t="n">
        <v>50192</v>
      </c>
      <c r="D151" s="22" t="n">
        <v>50221</v>
      </c>
      <c r="E151" s="22" t="n">
        <v>50221</v>
      </c>
      <c r="F151" s="23" t="n">
        <v>51144.06</v>
      </c>
      <c r="G151" s="12" t="inlineStr">
        <is>
          <t>0.0600</t>
        </is>
      </c>
      <c r="H151" s="12" t="inlineStr">
        <is>
          <t>30</t>
        </is>
      </c>
      <c r="I151" s="12" t="inlineStr">
        <is>
          <t>360</t>
        </is>
      </c>
      <c r="J151" s="12">
        <f>ROUND(F151*G151*H151/I151,2)</f>
        <v>255.72</v>
      </c>
      <c r="K151" s="23" t="n">
        <v>644.52</v>
      </c>
      <c r="L151" s="23" t="n">
        <v>0</v>
      </c>
      <c r="M151" s="12">
        <f>SUM(J151:L151)</f>
        <v>900.24</v>
      </c>
      <c r="N151" s="23" t="n">
        <v>50499.54</v>
      </c>
      <c r="O151" s="23" t="n">
        <v>0</v>
      </c>
      <c r="P151" s="23" t="n">
        <v>51144.06</v>
      </c>
      <c r="Q151" s="12" t="inlineStr">
        <is>
          <t>0.00500000</t>
        </is>
      </c>
      <c r="R151" s="12">
        <f>ROUND(P151*Q151,2)</f>
        <v>255.72</v>
      </c>
      <c r="S151" s="12">
        <f>MIN(MAX(R151-J151,0),O151)</f>
        <v>0.00</v>
      </c>
      <c r="T151" s="12">
        <f>O151-S151</f>
        <v>0.0</v>
      </c>
      <c r="U151" s="12">
        <f>N151-T151</f>
        <v>50499.54</v>
      </c>
      <c r="V151" s="12" t="inlineStr">
        <is>
          <t>51144.06 x 0.0600 x 30/360 = 255.72</t>
        </is>
      </c>
      <c r="W151" s="12" t="inlineStr">
        <is>
          <t>PROJECTED-Debt reference 001 138</t>
        </is>
      </c>
      <c r="X151" s="12" t="inlineStr">
        <is>
          <t>Not applicable no issuance cost</t>
        </is>
      </c>
    </row>
    <row r="152" ht="15" customHeight="1" s="13">
      <c r="A152" s="12" t="inlineStr">
        <is>
          <t>Debt reference 001</t>
        </is>
      </c>
      <c r="B152" s="12" t="inlineStr">
        <is>
          <t>151</t>
        </is>
      </c>
      <c r="C152" s="22" t="n">
        <v>50222</v>
      </c>
      <c r="D152" s="22" t="n">
        <v>50252</v>
      </c>
      <c r="E152" s="22" t="n">
        <v>50252</v>
      </c>
      <c r="F152" s="23" t="n">
        <v>50499.54</v>
      </c>
      <c r="G152" s="12" t="inlineStr">
        <is>
          <t>0.0600</t>
        </is>
      </c>
      <c r="H152" s="12" t="inlineStr">
        <is>
          <t>30</t>
        </is>
      </c>
      <c r="I152" s="12" t="inlineStr">
        <is>
          <t>360</t>
        </is>
      </c>
      <c r="J152" s="12">
        <f>ROUND(F152*G152*H152/I152,2)</f>
        <v>252.50</v>
      </c>
      <c r="K152" s="23" t="n">
        <v>647.74</v>
      </c>
      <c r="L152" s="23" t="n">
        <v>0</v>
      </c>
      <c r="M152" s="12">
        <f>SUM(J152:L152)</f>
        <v>900.24</v>
      </c>
      <c r="N152" s="23" t="n">
        <v>49851.8</v>
      </c>
      <c r="O152" s="23" t="n">
        <v>0</v>
      </c>
      <c r="P152" s="23" t="n">
        <v>50499.54</v>
      </c>
      <c r="Q152" s="12" t="inlineStr">
        <is>
          <t>0.00500000</t>
        </is>
      </c>
      <c r="R152" s="12">
        <f>ROUND(P152*Q152,2)</f>
        <v>252.50</v>
      </c>
      <c r="S152" s="12">
        <f>MIN(MAX(R152-J152,0),O152)</f>
        <v>0.0</v>
      </c>
      <c r="T152" s="12">
        <f>O152-S152</f>
        <v>0.0</v>
      </c>
      <c r="U152" s="12">
        <f>N152-T152</f>
        <v>49851.8</v>
      </c>
      <c r="V152" s="12" t="inlineStr">
        <is>
          <t>50499.54 x 0.0600 x 30/360 = 252.50</t>
        </is>
      </c>
      <c r="W152" s="12" t="inlineStr">
        <is>
          <t>PROJECTED-Debt reference 001 139</t>
        </is>
      </c>
      <c r="X152" s="12" t="inlineStr">
        <is>
          <t>Not applicable no issuance cost</t>
        </is>
      </c>
    </row>
    <row r="153" ht="15" customHeight="1" s="13">
      <c r="A153" s="12" t="inlineStr">
        <is>
          <t>Debt reference 001</t>
        </is>
      </c>
      <c r="B153" s="12" t="inlineStr">
        <is>
          <t>152</t>
        </is>
      </c>
      <c r="C153" s="22" t="n">
        <v>50253</v>
      </c>
      <c r="D153" s="22" t="n">
        <v>50283</v>
      </c>
      <c r="E153" s="22" t="n">
        <v>50283</v>
      </c>
      <c r="F153" s="23" t="n">
        <v>49851.8</v>
      </c>
      <c r="G153" s="12" t="inlineStr">
        <is>
          <t>0.0600</t>
        </is>
      </c>
      <c r="H153" s="12" t="inlineStr">
        <is>
          <t>30</t>
        </is>
      </c>
      <c r="I153" s="12" t="inlineStr">
        <is>
          <t>360</t>
        </is>
      </c>
      <c r="J153" s="12">
        <f>ROUND(F153*G153*H153/I153,2)</f>
        <v>249.26</v>
      </c>
      <c r="K153" s="23" t="n">
        <v>650.98</v>
      </c>
      <c r="L153" s="23" t="n">
        <v>0</v>
      </c>
      <c r="M153" s="12">
        <f>SUM(J153:L153)</f>
        <v>900.24</v>
      </c>
      <c r="N153" s="23" t="n">
        <v>49200.82</v>
      </c>
      <c r="O153" s="23" t="n">
        <v>0</v>
      </c>
      <c r="P153" s="23" t="n">
        <v>49851.8</v>
      </c>
      <c r="Q153" s="12" t="inlineStr">
        <is>
          <t>0.00500000</t>
        </is>
      </c>
      <c r="R153" s="12">
        <f>ROUND(P153*Q153,2)</f>
        <v>249.26</v>
      </c>
      <c r="S153" s="12">
        <f>MIN(MAX(R153-J153,0),O153)</f>
        <v>0.00</v>
      </c>
      <c r="T153" s="12">
        <f>O153-S153</f>
        <v>0.0</v>
      </c>
      <c r="U153" s="12">
        <f>N153-T153</f>
        <v>49200.82</v>
      </c>
      <c r="V153" s="12" t="inlineStr">
        <is>
          <t>49851.80 x 0.0600 x 30/360 = 249.26</t>
        </is>
      </c>
      <c r="W153" s="12" t="inlineStr">
        <is>
          <t>PROJECTED-Debt reference 001 140</t>
        </is>
      </c>
      <c r="X153" s="12" t="inlineStr">
        <is>
          <t>Not applicable no issuance cost</t>
        </is>
      </c>
    </row>
    <row r="154" ht="15" customHeight="1" s="13">
      <c r="A154" s="12" t="inlineStr">
        <is>
          <t>Debt reference 001</t>
        </is>
      </c>
      <c r="B154" s="12" t="inlineStr">
        <is>
          <t>153</t>
        </is>
      </c>
      <c r="C154" s="22" t="n">
        <v>50284</v>
      </c>
      <c r="D154" s="22" t="n">
        <v>50313</v>
      </c>
      <c r="E154" s="22" t="n">
        <v>50313</v>
      </c>
      <c r="F154" s="23" t="n">
        <v>49200.82</v>
      </c>
      <c r="G154" s="12" t="inlineStr">
        <is>
          <t>0.0600</t>
        </is>
      </c>
      <c r="H154" s="12" t="inlineStr">
        <is>
          <t>30</t>
        </is>
      </c>
      <c r="I154" s="12" t="inlineStr">
        <is>
          <t>360</t>
        </is>
      </c>
      <c r="J154" s="12">
        <f>ROUND(F154*G154*H154/I154,2)</f>
        <v>246.00</v>
      </c>
      <c r="K154" s="23" t="n">
        <v>654.24</v>
      </c>
      <c r="L154" s="23" t="n">
        <v>0</v>
      </c>
      <c r="M154" s="12">
        <f>SUM(J154:L154)</f>
        <v>900.24</v>
      </c>
      <c r="N154" s="23" t="n">
        <v>48546.58</v>
      </c>
      <c r="O154" s="23" t="n">
        <v>0</v>
      </c>
      <c r="P154" s="23" t="n">
        <v>49200.82</v>
      </c>
      <c r="Q154" s="12" t="inlineStr">
        <is>
          <t>0.00500000</t>
        </is>
      </c>
      <c r="R154" s="12">
        <f>ROUND(P154*Q154,2)</f>
        <v>246.00</v>
      </c>
      <c r="S154" s="12">
        <f>MIN(MAX(R154-J154,0),O154)</f>
        <v>0.0</v>
      </c>
      <c r="T154" s="12">
        <f>O154-S154</f>
        <v>0.0</v>
      </c>
      <c r="U154" s="12">
        <f>N154-T154</f>
        <v>48546.58</v>
      </c>
      <c r="V154" s="12" t="inlineStr">
        <is>
          <t>49200.82 x 0.0600 x 30/360 = 246.00</t>
        </is>
      </c>
      <c r="W154" s="12" t="inlineStr">
        <is>
          <t>PROJECTED-Debt reference 001 141</t>
        </is>
      </c>
      <c r="X154" s="12" t="inlineStr">
        <is>
          <t>Not applicable no issuance cost</t>
        </is>
      </c>
    </row>
    <row r="155" ht="15" customHeight="1" s="13">
      <c r="A155" s="12" t="inlineStr">
        <is>
          <t>Debt reference 001</t>
        </is>
      </c>
      <c r="B155" s="12" t="inlineStr">
        <is>
          <t>154</t>
        </is>
      </c>
      <c r="C155" s="22" t="n">
        <v>50314</v>
      </c>
      <c r="D155" s="22" t="n">
        <v>50344</v>
      </c>
      <c r="E155" s="22" t="n">
        <v>50344</v>
      </c>
      <c r="F155" s="23" t="n">
        <v>48546.58</v>
      </c>
      <c r="G155" s="12" t="inlineStr">
        <is>
          <t>0.0600</t>
        </is>
      </c>
      <c r="H155" s="12" t="inlineStr">
        <is>
          <t>30</t>
        </is>
      </c>
      <c r="I155" s="12" t="inlineStr">
        <is>
          <t>360</t>
        </is>
      </c>
      <c r="J155" s="12">
        <f>ROUND(F155*G155*H155/I155,2)</f>
        <v>242.73</v>
      </c>
      <c r="K155" s="23" t="n">
        <v>657.51</v>
      </c>
      <c r="L155" s="23" t="n">
        <v>0</v>
      </c>
      <c r="M155" s="12">
        <f>SUM(J155:L155)</f>
        <v>900.24</v>
      </c>
      <c r="N155" s="23" t="n">
        <v>47889.07</v>
      </c>
      <c r="O155" s="23" t="n">
        <v>0</v>
      </c>
      <c r="P155" s="23" t="n">
        <v>48546.58</v>
      </c>
      <c r="Q155" s="12" t="inlineStr">
        <is>
          <t>0.00500000</t>
        </is>
      </c>
      <c r="R155" s="12">
        <f>ROUND(P155*Q155,2)</f>
        <v>242.73</v>
      </c>
      <c r="S155" s="12">
        <f>MIN(MAX(R155-J155,0),O155)</f>
        <v>0.00</v>
      </c>
      <c r="T155" s="12">
        <f>O155-S155</f>
        <v>0.0</v>
      </c>
      <c r="U155" s="12">
        <f>N155-T155</f>
        <v>47889.07</v>
      </c>
      <c r="V155" s="12" t="inlineStr">
        <is>
          <t>48546.58 x 0.0600 x 30/360 = 242.73</t>
        </is>
      </c>
      <c r="W155" s="12" t="inlineStr">
        <is>
          <t>PROJECTED-Debt reference 001 142</t>
        </is>
      </c>
      <c r="X155" s="12" t="inlineStr">
        <is>
          <t>Not applicable no issuance cost</t>
        </is>
      </c>
    </row>
    <row r="156" ht="15" customHeight="1" s="13">
      <c r="A156" s="12" t="inlineStr">
        <is>
          <t>Debt reference 001</t>
        </is>
      </c>
      <c r="B156" s="12" t="inlineStr">
        <is>
          <t>155</t>
        </is>
      </c>
      <c r="C156" s="22" t="n">
        <v>50345</v>
      </c>
      <c r="D156" s="22" t="n">
        <v>50374</v>
      </c>
      <c r="E156" s="22" t="n">
        <v>50374</v>
      </c>
      <c r="F156" s="23" t="n">
        <v>47889.07</v>
      </c>
      <c r="G156" s="12" t="inlineStr">
        <is>
          <t>0.0600</t>
        </is>
      </c>
      <c r="H156" s="12" t="inlineStr">
        <is>
          <t>30</t>
        </is>
      </c>
      <c r="I156" s="12" t="inlineStr">
        <is>
          <t>360</t>
        </is>
      </c>
      <c r="J156" s="12">
        <f>ROUND(F156*G156*H156/I156,2)</f>
        <v>239.45</v>
      </c>
      <c r="K156" s="23" t="n">
        <v>660.79</v>
      </c>
      <c r="L156" s="23" t="n">
        <v>0</v>
      </c>
      <c r="M156" s="12">
        <f>SUM(J156:L156)</f>
        <v>900.24</v>
      </c>
      <c r="N156" s="23" t="n">
        <v>47228.28</v>
      </c>
      <c r="O156" s="23" t="n">
        <v>0</v>
      </c>
      <c r="P156" s="23" t="n">
        <v>47889.07</v>
      </c>
      <c r="Q156" s="12" t="inlineStr">
        <is>
          <t>0.00500000</t>
        </is>
      </c>
      <c r="R156" s="12">
        <f>ROUND(P156*Q156,2)</f>
        <v>239.45</v>
      </c>
      <c r="S156" s="12">
        <f>MIN(MAX(R156-J156,0),O156)</f>
        <v>0.00</v>
      </c>
      <c r="T156" s="12">
        <f>O156-S156</f>
        <v>0.0</v>
      </c>
      <c r="U156" s="12">
        <f>N156-T156</f>
        <v>47228.28</v>
      </c>
      <c r="V156" s="12" t="inlineStr">
        <is>
          <t>47889.07 x 0.0600 x 30/360 = 239.45</t>
        </is>
      </c>
      <c r="W156" s="12" t="inlineStr">
        <is>
          <t>PROJECTED-Debt reference 001 143</t>
        </is>
      </c>
      <c r="X156" s="12" t="inlineStr">
        <is>
          <t>Not applicable no issuance cost</t>
        </is>
      </c>
    </row>
    <row r="157" ht="15" customHeight="1" s="13">
      <c r="A157" s="12" t="inlineStr">
        <is>
          <t>Debt reference 001</t>
        </is>
      </c>
      <c r="B157" s="12" t="inlineStr">
        <is>
          <t>156</t>
        </is>
      </c>
      <c r="C157" s="22" t="n">
        <v>50375</v>
      </c>
      <c r="D157" s="22" t="n">
        <v>50405</v>
      </c>
      <c r="E157" s="22" t="n">
        <v>50405</v>
      </c>
      <c r="F157" s="23" t="n">
        <v>47228.28</v>
      </c>
      <c r="G157" s="12" t="inlineStr">
        <is>
          <t>0.0600</t>
        </is>
      </c>
      <c r="H157" s="12" t="inlineStr">
        <is>
          <t>30</t>
        </is>
      </c>
      <c r="I157" s="12" t="inlineStr">
        <is>
          <t>360</t>
        </is>
      </c>
      <c r="J157" s="12">
        <f>ROUND(F157*G157*H157/I157,2)</f>
        <v>236.14</v>
      </c>
      <c r="K157" s="23" t="n">
        <v>664.1</v>
      </c>
      <c r="L157" s="23" t="n">
        <v>0</v>
      </c>
      <c r="M157" s="12">
        <f>SUM(J157:L157)</f>
        <v>900.24</v>
      </c>
      <c r="N157" s="23" t="n">
        <v>46564.18</v>
      </c>
      <c r="O157" s="23" t="n">
        <v>0</v>
      </c>
      <c r="P157" s="23" t="n">
        <v>47228.28</v>
      </c>
      <c r="Q157" s="12" t="inlineStr">
        <is>
          <t>0.00500000</t>
        </is>
      </c>
      <c r="R157" s="12">
        <f>ROUND(P157*Q157,2)</f>
        <v>236.14</v>
      </c>
      <c r="S157" s="12">
        <f>MIN(MAX(R157-J157,0),O157)</f>
        <v>0.00</v>
      </c>
      <c r="T157" s="12">
        <f>O157-S157</f>
        <v>0.0</v>
      </c>
      <c r="U157" s="12">
        <f>N157-T157</f>
        <v>46564.18</v>
      </c>
      <c r="V157" s="12" t="inlineStr">
        <is>
          <t>47228.28 x 0.0600 x 30/360 = 236.14</t>
        </is>
      </c>
      <c r="W157" s="12" t="inlineStr">
        <is>
          <t>PROJECTED-Debt reference 001 144</t>
        </is>
      </c>
      <c r="X157" s="12" t="inlineStr">
        <is>
          <t>Not applicable no issuance cost</t>
        </is>
      </c>
    </row>
    <row r="158" ht="15" customHeight="1" s="13">
      <c r="A158" s="12" t="inlineStr">
        <is>
          <t>Debt reference 001</t>
        </is>
      </c>
      <c r="B158" s="12" t="inlineStr">
        <is>
          <t>157</t>
        </is>
      </c>
      <c r="C158" s="22" t="n">
        <v>50406</v>
      </c>
      <c r="D158" s="22" t="n">
        <v>50436</v>
      </c>
      <c r="E158" s="22" t="n">
        <v>50436</v>
      </c>
      <c r="F158" s="23" t="n">
        <v>46564.18</v>
      </c>
      <c r="G158" s="12" t="inlineStr">
        <is>
          <t>0.0600</t>
        </is>
      </c>
      <c r="H158" s="12" t="inlineStr">
        <is>
          <t>30</t>
        </is>
      </c>
      <c r="I158" s="12" t="inlineStr">
        <is>
          <t>360</t>
        </is>
      </c>
      <c r="J158" s="12">
        <f>ROUND(F158*G158*H158/I158,2)</f>
        <v>232.82</v>
      </c>
      <c r="K158" s="23" t="n">
        <v>667.42</v>
      </c>
      <c r="L158" s="23" t="n">
        <v>0</v>
      </c>
      <c r="M158" s="12">
        <f>SUM(J158:L158)</f>
        <v>900.24</v>
      </c>
      <c r="N158" s="23" t="n">
        <v>45896.76</v>
      </c>
      <c r="O158" s="23" t="n">
        <v>0</v>
      </c>
      <c r="P158" s="23" t="n">
        <v>46564.18</v>
      </c>
      <c r="Q158" s="12" t="inlineStr">
        <is>
          <t>0.00500000</t>
        </is>
      </c>
      <c r="R158" s="12">
        <f>ROUND(P158*Q158,2)</f>
        <v>232.82</v>
      </c>
      <c r="S158" s="12">
        <f>MIN(MAX(R158-J158,0),O158)</f>
        <v>0.00</v>
      </c>
      <c r="T158" s="12">
        <f>O158-S158</f>
        <v>0.0</v>
      </c>
      <c r="U158" s="12">
        <f>N158-T158</f>
        <v>45896.76</v>
      </c>
      <c r="V158" s="12" t="inlineStr">
        <is>
          <t>46564.18 x 0.0600 x 30/360 = 232.82</t>
        </is>
      </c>
      <c r="W158" s="12" t="inlineStr">
        <is>
          <t>PROJECTED-Debt reference 001 145</t>
        </is>
      </c>
      <c r="X158" s="12" t="inlineStr">
        <is>
          <t>Not applicable no issuance cost</t>
        </is>
      </c>
    </row>
    <row r="159" ht="15" customHeight="1" s="13">
      <c r="A159" s="12" t="inlineStr">
        <is>
          <t>Debt reference 001</t>
        </is>
      </c>
      <c r="B159" s="12" t="inlineStr">
        <is>
          <t>158</t>
        </is>
      </c>
      <c r="C159" s="22" t="n">
        <v>50437</v>
      </c>
      <c r="D159" s="22" t="n">
        <v>50464</v>
      </c>
      <c r="E159" s="22" t="n">
        <v>50464</v>
      </c>
      <c r="F159" s="23" t="n">
        <v>45896.76</v>
      </c>
      <c r="G159" s="12" t="inlineStr">
        <is>
          <t>0.0600</t>
        </is>
      </c>
      <c r="H159" s="12" t="inlineStr">
        <is>
          <t>30</t>
        </is>
      </c>
      <c r="I159" s="12" t="inlineStr">
        <is>
          <t>360</t>
        </is>
      </c>
      <c r="J159" s="12">
        <f>ROUND(F159*G159*H159/I159,2)</f>
        <v>229.48</v>
      </c>
      <c r="K159" s="23" t="n">
        <v>670.76</v>
      </c>
      <c r="L159" s="23" t="n">
        <v>0</v>
      </c>
      <c r="M159" s="12">
        <f>SUM(J159:L159)</f>
        <v>900.24</v>
      </c>
      <c r="N159" s="23" t="n">
        <v>45226</v>
      </c>
      <c r="O159" s="23" t="n">
        <v>0</v>
      </c>
      <c r="P159" s="23" t="n">
        <v>45896.76</v>
      </c>
      <c r="Q159" s="12" t="inlineStr">
        <is>
          <t>0.00500000</t>
        </is>
      </c>
      <c r="R159" s="12">
        <f>ROUND(P159*Q159,2)</f>
        <v>229.48</v>
      </c>
      <c r="S159" s="12">
        <f>MIN(MAX(R159-J159,0),O159)</f>
        <v>0.00</v>
      </c>
      <c r="T159" s="12">
        <f>O159-S159</f>
        <v>0.0</v>
      </c>
      <c r="U159" s="12">
        <f>N159-T159</f>
        <v>45226.0</v>
      </c>
      <c r="V159" s="12" t="inlineStr">
        <is>
          <t>45896.76 x 0.0600 x 30/360 = 229.48</t>
        </is>
      </c>
      <c r="W159" s="12" t="inlineStr">
        <is>
          <t>PROJECTED-Debt reference 001 146</t>
        </is>
      </c>
      <c r="X159" s="12" t="inlineStr">
        <is>
          <t>Not applicable no issuance cost</t>
        </is>
      </c>
    </row>
    <row r="160" ht="15" customHeight="1" s="13">
      <c r="A160" s="12" t="inlineStr">
        <is>
          <t>Debt reference 001</t>
        </is>
      </c>
      <c r="B160" s="12" t="inlineStr">
        <is>
          <t>159</t>
        </is>
      </c>
      <c r="C160" s="22" t="n">
        <v>50465</v>
      </c>
      <c r="D160" s="22" t="n">
        <v>50495</v>
      </c>
      <c r="E160" s="22" t="n">
        <v>50495</v>
      </c>
      <c r="F160" s="23" t="n">
        <v>45226</v>
      </c>
      <c r="G160" s="12" t="inlineStr">
        <is>
          <t>0.0600</t>
        </is>
      </c>
      <c r="H160" s="12" t="inlineStr">
        <is>
          <t>30</t>
        </is>
      </c>
      <c r="I160" s="12" t="inlineStr">
        <is>
          <t>360</t>
        </is>
      </c>
      <c r="J160" s="12">
        <f>ROUND(F160*G160*H160/I160,2)</f>
        <v>226.13</v>
      </c>
      <c r="K160" s="23" t="n">
        <v>674.11</v>
      </c>
      <c r="L160" s="23" t="n">
        <v>0</v>
      </c>
      <c r="M160" s="12">
        <f>SUM(J160:L160)</f>
        <v>900.24</v>
      </c>
      <c r="N160" s="23" t="n">
        <v>44551.89</v>
      </c>
      <c r="O160" s="23" t="n">
        <v>0</v>
      </c>
      <c r="P160" s="23" t="n">
        <v>45226</v>
      </c>
      <c r="Q160" s="12" t="inlineStr">
        <is>
          <t>0.00500000</t>
        </is>
      </c>
      <c r="R160" s="12">
        <f>ROUND(P160*Q160,2)</f>
        <v>226.13</v>
      </c>
      <c r="S160" s="12">
        <f>MIN(MAX(R160-J160,0),O160)</f>
        <v>0.00</v>
      </c>
      <c r="T160" s="12">
        <f>O160-S160</f>
        <v>0.0</v>
      </c>
      <c r="U160" s="12">
        <f>N160-T160</f>
        <v>44551.89</v>
      </c>
      <c r="V160" s="12" t="inlineStr">
        <is>
          <t>45226.00 x 0.0600 x 30/360 = 226.13</t>
        </is>
      </c>
      <c r="W160" s="12" t="inlineStr">
        <is>
          <t>PROJECTED-Debt reference 001 147</t>
        </is>
      </c>
      <c r="X160" s="12" t="inlineStr">
        <is>
          <t>Not applicable no issuance cost</t>
        </is>
      </c>
    </row>
    <row r="161" ht="15" customHeight="1" s="13">
      <c r="A161" s="12" t="inlineStr">
        <is>
          <t>Debt reference 001</t>
        </is>
      </c>
      <c r="B161" s="12" t="inlineStr">
        <is>
          <t>160</t>
        </is>
      </c>
      <c r="C161" s="22" t="n">
        <v>50496</v>
      </c>
      <c r="D161" s="22" t="n">
        <v>50525</v>
      </c>
      <c r="E161" s="22" t="n">
        <v>50525</v>
      </c>
      <c r="F161" s="23" t="n">
        <v>44551.89</v>
      </c>
      <c r="G161" s="12" t="inlineStr">
        <is>
          <t>0.0600</t>
        </is>
      </c>
      <c r="H161" s="12" t="inlineStr">
        <is>
          <t>30</t>
        </is>
      </c>
      <c r="I161" s="12" t="inlineStr">
        <is>
          <t>360</t>
        </is>
      </c>
      <c r="J161" s="12">
        <f>ROUND(F161*G161*H161/I161,2)</f>
        <v>222.76</v>
      </c>
      <c r="K161" s="23" t="n">
        <v>677.48</v>
      </c>
      <c r="L161" s="23" t="n">
        <v>0</v>
      </c>
      <c r="M161" s="12">
        <f>SUM(J161:L161)</f>
        <v>900.24</v>
      </c>
      <c r="N161" s="23" t="n">
        <v>43874.41</v>
      </c>
      <c r="O161" s="23" t="n">
        <v>0</v>
      </c>
      <c r="P161" s="23" t="n">
        <v>44551.89</v>
      </c>
      <c r="Q161" s="12" t="inlineStr">
        <is>
          <t>0.00500000</t>
        </is>
      </c>
      <c r="R161" s="12">
        <f>ROUND(P161*Q161,2)</f>
        <v>222.76</v>
      </c>
      <c r="S161" s="12">
        <f>MIN(MAX(R161-J161,0),O161)</f>
        <v>0.00</v>
      </c>
      <c r="T161" s="12">
        <f>O161-S161</f>
        <v>0.0</v>
      </c>
      <c r="U161" s="12">
        <f>N161-T161</f>
        <v>43874.41</v>
      </c>
      <c r="V161" s="12" t="inlineStr">
        <is>
          <t>44551.89 x 0.0600 x 30/360 = 222.76</t>
        </is>
      </c>
      <c r="W161" s="12" t="inlineStr">
        <is>
          <t>PROJECTED-Debt reference 001 148</t>
        </is>
      </c>
      <c r="X161" s="12" t="inlineStr">
        <is>
          <t>Not applicable no issuance cost</t>
        </is>
      </c>
    </row>
    <row r="162" ht="15" customHeight="1" s="13">
      <c r="A162" s="12" t="inlineStr">
        <is>
          <t>Debt reference 001</t>
        </is>
      </c>
      <c r="B162" s="12" t="inlineStr">
        <is>
          <t>161</t>
        </is>
      </c>
      <c r="C162" s="22" t="n">
        <v>50526</v>
      </c>
      <c r="D162" s="22" t="n">
        <v>50556</v>
      </c>
      <c r="E162" s="22" t="n">
        <v>50556</v>
      </c>
      <c r="F162" s="23" t="n">
        <v>43874.41</v>
      </c>
      <c r="G162" s="12" t="inlineStr">
        <is>
          <t>0.0600</t>
        </is>
      </c>
      <c r="H162" s="12" t="inlineStr">
        <is>
          <t>30</t>
        </is>
      </c>
      <c r="I162" s="12" t="inlineStr">
        <is>
          <t>360</t>
        </is>
      </c>
      <c r="J162" s="12">
        <f>ROUND(F162*G162*H162/I162,2)</f>
        <v>219.37</v>
      </c>
      <c r="K162" s="23" t="n">
        <v>680.87</v>
      </c>
      <c r="L162" s="23" t="n">
        <v>0</v>
      </c>
      <c r="M162" s="12">
        <f>SUM(J162:L162)</f>
        <v>900.24</v>
      </c>
      <c r="N162" s="23" t="n">
        <v>43193.54</v>
      </c>
      <c r="O162" s="23" t="n">
        <v>0</v>
      </c>
      <c r="P162" s="23" t="n">
        <v>43874.41</v>
      </c>
      <c r="Q162" s="12" t="inlineStr">
        <is>
          <t>0.00500000</t>
        </is>
      </c>
      <c r="R162" s="12">
        <f>ROUND(P162*Q162,2)</f>
        <v>219.37</v>
      </c>
      <c r="S162" s="12">
        <f>MIN(MAX(R162-J162,0),O162)</f>
        <v>0.00</v>
      </c>
      <c r="T162" s="12">
        <f>O162-S162</f>
        <v>0.0</v>
      </c>
      <c r="U162" s="12">
        <f>N162-T162</f>
        <v>43193.54</v>
      </c>
      <c r="V162" s="12" t="inlineStr">
        <is>
          <t>43874.41 x 0.0600 x 30/360 = 219.37</t>
        </is>
      </c>
      <c r="W162" s="12" t="inlineStr">
        <is>
          <t>PROJECTED-Debt reference 001 149</t>
        </is>
      </c>
      <c r="X162" s="12" t="inlineStr">
        <is>
          <t>Not applicable no issuance cost</t>
        </is>
      </c>
    </row>
    <row r="163" ht="15" customHeight="1" s="13">
      <c r="A163" s="12" t="inlineStr">
        <is>
          <t>Debt reference 001</t>
        </is>
      </c>
      <c r="B163" s="12" t="inlineStr">
        <is>
          <t>162</t>
        </is>
      </c>
      <c r="C163" s="22" t="n">
        <v>50557</v>
      </c>
      <c r="D163" s="22" t="n">
        <v>50586</v>
      </c>
      <c r="E163" s="22" t="n">
        <v>50586</v>
      </c>
      <c r="F163" s="23" t="n">
        <v>43193.54</v>
      </c>
      <c r="G163" s="12" t="inlineStr">
        <is>
          <t>0.0600</t>
        </is>
      </c>
      <c r="H163" s="12" t="inlineStr">
        <is>
          <t>30</t>
        </is>
      </c>
      <c r="I163" s="12" t="inlineStr">
        <is>
          <t>360</t>
        </is>
      </c>
      <c r="J163" s="12">
        <f>ROUND(F163*G163*H163/I163,2)</f>
        <v>215.97</v>
      </c>
      <c r="K163" s="23" t="n">
        <v>684.27</v>
      </c>
      <c r="L163" s="23" t="n">
        <v>0</v>
      </c>
      <c r="M163" s="12">
        <f>SUM(J163:L163)</f>
        <v>900.24</v>
      </c>
      <c r="N163" s="23" t="n">
        <v>42509.27</v>
      </c>
      <c r="O163" s="23" t="n">
        <v>0</v>
      </c>
      <c r="P163" s="23" t="n">
        <v>43193.54</v>
      </c>
      <c r="Q163" s="12" t="inlineStr">
        <is>
          <t>0.00500000</t>
        </is>
      </c>
      <c r="R163" s="12">
        <f>ROUND(P163*Q163,2)</f>
        <v>215.97</v>
      </c>
      <c r="S163" s="12">
        <f>MIN(MAX(R163-J163,0),O163)</f>
        <v>0.00</v>
      </c>
      <c r="T163" s="12">
        <f>O163-S163</f>
        <v>0.0</v>
      </c>
      <c r="U163" s="12">
        <f>N163-T163</f>
        <v>42509.27</v>
      </c>
      <c r="V163" s="12" t="inlineStr">
        <is>
          <t>43193.54 x 0.0600 x 30/360 = 215.97</t>
        </is>
      </c>
      <c r="W163" s="12" t="inlineStr">
        <is>
          <t>PROJECTED-Debt reference 001 150</t>
        </is>
      </c>
      <c r="X163" s="12" t="inlineStr">
        <is>
          <t>Not applicable no issuance cost</t>
        </is>
      </c>
    </row>
    <row r="164" ht="15" customHeight="1" s="13">
      <c r="A164" s="12" t="inlineStr">
        <is>
          <t>Debt reference 001</t>
        </is>
      </c>
      <c r="B164" s="12" t="inlineStr">
        <is>
          <t>163</t>
        </is>
      </c>
      <c r="C164" s="22" t="n">
        <v>50587</v>
      </c>
      <c r="D164" s="22" t="n">
        <v>50617</v>
      </c>
      <c r="E164" s="22" t="n">
        <v>50617</v>
      </c>
      <c r="F164" s="23" t="n">
        <v>42509.27</v>
      </c>
      <c r="G164" s="12" t="inlineStr">
        <is>
          <t>0.0600</t>
        </is>
      </c>
      <c r="H164" s="12" t="inlineStr">
        <is>
          <t>30</t>
        </is>
      </c>
      <c r="I164" s="12" t="inlineStr">
        <is>
          <t>360</t>
        </is>
      </c>
      <c r="J164" s="12">
        <f>ROUND(F164*G164*H164/I164,2)</f>
        <v>212.55</v>
      </c>
      <c r="K164" s="23" t="n">
        <v>687.6900000000001</v>
      </c>
      <c r="L164" s="23" t="n">
        <v>0</v>
      </c>
      <c r="M164" s="12">
        <f>SUM(J164:L164)</f>
        <v>900.24</v>
      </c>
      <c r="N164" s="23" t="n">
        <v>41821.58</v>
      </c>
      <c r="O164" s="23" t="n">
        <v>0</v>
      </c>
      <c r="P164" s="23" t="n">
        <v>42509.27</v>
      </c>
      <c r="Q164" s="12" t="inlineStr">
        <is>
          <t>0.00500000</t>
        </is>
      </c>
      <c r="R164" s="12">
        <f>ROUND(P164*Q164,2)</f>
        <v>212.55</v>
      </c>
      <c r="S164" s="12">
        <f>MIN(MAX(R164-J164,0),O164)</f>
        <v>0.00</v>
      </c>
      <c r="T164" s="12">
        <f>O164-S164</f>
        <v>0.0</v>
      </c>
      <c r="U164" s="12">
        <f>N164-T164</f>
        <v>41821.58</v>
      </c>
      <c r="V164" s="12" t="inlineStr">
        <is>
          <t>42509.27 x 0.0600 x 30/360 = 212.55</t>
        </is>
      </c>
      <c r="W164" s="12" t="inlineStr">
        <is>
          <t>PROJECTED-Debt reference 001 151</t>
        </is>
      </c>
      <c r="X164" s="12" t="inlineStr">
        <is>
          <t>Not applicable no issuance cost</t>
        </is>
      </c>
    </row>
    <row r="165" ht="15" customHeight="1" s="13">
      <c r="A165" s="12" t="inlineStr">
        <is>
          <t>Debt reference 001</t>
        </is>
      </c>
      <c r="B165" s="12" t="inlineStr">
        <is>
          <t>164</t>
        </is>
      </c>
      <c r="C165" s="22" t="n">
        <v>50618</v>
      </c>
      <c r="D165" s="22" t="n">
        <v>50648</v>
      </c>
      <c r="E165" s="22" t="n">
        <v>50648</v>
      </c>
      <c r="F165" s="23" t="n">
        <v>41821.58</v>
      </c>
      <c r="G165" s="12" t="inlineStr">
        <is>
          <t>0.0600</t>
        </is>
      </c>
      <c r="H165" s="12" t="inlineStr">
        <is>
          <t>30</t>
        </is>
      </c>
      <c r="I165" s="12" t="inlineStr">
        <is>
          <t>360</t>
        </is>
      </c>
      <c r="J165" s="12">
        <f>ROUND(F165*G165*H165/I165,2)</f>
        <v>209.11</v>
      </c>
      <c r="K165" s="23" t="n">
        <v>691.13</v>
      </c>
      <c r="L165" s="23" t="n">
        <v>0</v>
      </c>
      <c r="M165" s="12">
        <f>SUM(J165:L165)</f>
        <v>900.24</v>
      </c>
      <c r="N165" s="23" t="n">
        <v>41130.45</v>
      </c>
      <c r="O165" s="23" t="n">
        <v>0</v>
      </c>
      <c r="P165" s="23" t="n">
        <v>41821.58</v>
      </c>
      <c r="Q165" s="12" t="inlineStr">
        <is>
          <t>0.00500000</t>
        </is>
      </c>
      <c r="R165" s="12">
        <f>ROUND(P165*Q165,2)</f>
        <v>209.11</v>
      </c>
      <c r="S165" s="12">
        <f>MIN(MAX(R165-J165,0),O165)</f>
        <v>0.00</v>
      </c>
      <c r="T165" s="12">
        <f>O165-S165</f>
        <v>0.0</v>
      </c>
      <c r="U165" s="12">
        <f>N165-T165</f>
        <v>41130.45</v>
      </c>
      <c r="V165" s="12" t="inlineStr">
        <is>
          <t>41821.58 x 0.0600 x 30/360 = 209.11</t>
        </is>
      </c>
      <c r="W165" s="12" t="inlineStr">
        <is>
          <t>PROJECTED-Debt reference 001 152</t>
        </is>
      </c>
      <c r="X165" s="12" t="inlineStr">
        <is>
          <t>Not applicable no issuance cost</t>
        </is>
      </c>
    </row>
    <row r="166" ht="15" customHeight="1" s="13">
      <c r="A166" s="12" t="inlineStr">
        <is>
          <t>Debt reference 001</t>
        </is>
      </c>
      <c r="B166" s="12" t="inlineStr">
        <is>
          <t>165</t>
        </is>
      </c>
      <c r="C166" s="22" t="n">
        <v>50649</v>
      </c>
      <c r="D166" s="22" t="n">
        <v>50678</v>
      </c>
      <c r="E166" s="22" t="n">
        <v>50678</v>
      </c>
      <c r="F166" s="23" t="n">
        <v>41130.45</v>
      </c>
      <c r="G166" s="12" t="inlineStr">
        <is>
          <t>0.0600</t>
        </is>
      </c>
      <c r="H166" s="12" t="inlineStr">
        <is>
          <t>30</t>
        </is>
      </c>
      <c r="I166" s="12" t="inlineStr">
        <is>
          <t>360</t>
        </is>
      </c>
      <c r="J166" s="12">
        <f>ROUND(F166*G166*H166/I166,2)</f>
        <v>205.65</v>
      </c>
      <c r="K166" s="23" t="n">
        <v>694.59</v>
      </c>
      <c r="L166" s="23" t="n">
        <v>0</v>
      </c>
      <c r="M166" s="12">
        <f>SUM(J166:L166)</f>
        <v>900.24</v>
      </c>
      <c r="N166" s="23" t="n">
        <v>40435.86</v>
      </c>
      <c r="O166" s="23" t="n">
        <v>0</v>
      </c>
      <c r="P166" s="23" t="n">
        <v>41130.45</v>
      </c>
      <c r="Q166" s="12" t="inlineStr">
        <is>
          <t>0.00500000</t>
        </is>
      </c>
      <c r="R166" s="12">
        <f>ROUND(P166*Q166,2)</f>
        <v>205.65</v>
      </c>
      <c r="S166" s="12">
        <f>MIN(MAX(R166-J166,0),O166)</f>
        <v>0.00</v>
      </c>
      <c r="T166" s="12">
        <f>O166-S166</f>
        <v>0.0</v>
      </c>
      <c r="U166" s="12">
        <f>N166-T166</f>
        <v>40435.86</v>
      </c>
      <c r="V166" s="12" t="inlineStr">
        <is>
          <t>41130.45 x 0.0600 x 30/360 = 205.65</t>
        </is>
      </c>
      <c r="W166" s="12" t="inlineStr">
        <is>
          <t>PROJECTED-Debt reference 001 153</t>
        </is>
      </c>
      <c r="X166" s="12" t="inlineStr">
        <is>
          <t>Not applicable no issuance cost</t>
        </is>
      </c>
    </row>
    <row r="167" ht="15" customHeight="1" s="13">
      <c r="A167" s="12" t="inlineStr">
        <is>
          <t>Debt reference 001</t>
        </is>
      </c>
      <c r="B167" s="12" t="inlineStr">
        <is>
          <t>166</t>
        </is>
      </c>
      <c r="C167" s="22" t="n">
        <v>50679</v>
      </c>
      <c r="D167" s="22" t="n">
        <v>50709</v>
      </c>
      <c r="E167" s="22" t="n">
        <v>50709</v>
      </c>
      <c r="F167" s="23" t="n">
        <v>40435.86</v>
      </c>
      <c r="G167" s="12" t="inlineStr">
        <is>
          <t>0.0600</t>
        </is>
      </c>
      <c r="H167" s="12" t="inlineStr">
        <is>
          <t>30</t>
        </is>
      </c>
      <c r="I167" s="12" t="inlineStr">
        <is>
          <t>360</t>
        </is>
      </c>
      <c r="J167" s="12">
        <f>ROUND(F167*G167*H167/I167,2)</f>
        <v>202.18</v>
      </c>
      <c r="K167" s="23" t="n">
        <v>698.0599999999999</v>
      </c>
      <c r="L167" s="23" t="n">
        <v>0</v>
      </c>
      <c r="M167" s="12">
        <f>SUM(J167:L167)</f>
        <v>900.24</v>
      </c>
      <c r="N167" s="23" t="n">
        <v>39737.8</v>
      </c>
      <c r="O167" s="23" t="n">
        <v>0</v>
      </c>
      <c r="P167" s="23" t="n">
        <v>40435.86</v>
      </c>
      <c r="Q167" s="12" t="inlineStr">
        <is>
          <t>0.00500000</t>
        </is>
      </c>
      <c r="R167" s="12">
        <f>ROUND(P167*Q167,2)</f>
        <v>202.18</v>
      </c>
      <c r="S167" s="12">
        <f>MIN(MAX(R167-J167,0),O167)</f>
        <v>0.00</v>
      </c>
      <c r="T167" s="12">
        <f>O167-S167</f>
        <v>0.0</v>
      </c>
      <c r="U167" s="12">
        <f>N167-T167</f>
        <v>39737.8</v>
      </c>
      <c r="V167" s="12" t="inlineStr">
        <is>
          <t>40435.86 x 0.0600 x 30/360 = 202.18</t>
        </is>
      </c>
      <c r="W167" s="12" t="inlineStr">
        <is>
          <t>PROJECTED-Debt reference 001 154</t>
        </is>
      </c>
      <c r="X167" s="12" t="inlineStr">
        <is>
          <t>Not applicable no issuance cost</t>
        </is>
      </c>
    </row>
    <row r="168" ht="15" customHeight="1" s="13">
      <c r="A168" s="12" t="inlineStr">
        <is>
          <t>Debt reference 001</t>
        </is>
      </c>
      <c r="B168" s="12" t="inlineStr">
        <is>
          <t>167</t>
        </is>
      </c>
      <c r="C168" s="22" t="n">
        <v>50710</v>
      </c>
      <c r="D168" s="22" t="n">
        <v>50739</v>
      </c>
      <c r="E168" s="22" t="n">
        <v>50739</v>
      </c>
      <c r="F168" s="23" t="n">
        <v>39737.8</v>
      </c>
      <c r="G168" s="12" t="inlineStr">
        <is>
          <t>0.0600</t>
        </is>
      </c>
      <c r="H168" s="12" t="inlineStr">
        <is>
          <t>30</t>
        </is>
      </c>
      <c r="I168" s="12" t="inlineStr">
        <is>
          <t>360</t>
        </is>
      </c>
      <c r="J168" s="12">
        <f>ROUND(F168*G168*H168/I168,2)</f>
        <v>198.69</v>
      </c>
      <c r="K168" s="23" t="n">
        <v>701.55</v>
      </c>
      <c r="L168" s="23" t="n">
        <v>0</v>
      </c>
      <c r="M168" s="12">
        <f>SUM(J168:L168)</f>
        <v>900.24</v>
      </c>
      <c r="N168" s="23" t="n">
        <v>39036.25</v>
      </c>
      <c r="O168" s="23" t="n">
        <v>0</v>
      </c>
      <c r="P168" s="23" t="n">
        <v>39737.8</v>
      </c>
      <c r="Q168" s="12" t="inlineStr">
        <is>
          <t>0.00500000</t>
        </is>
      </c>
      <c r="R168" s="12">
        <f>ROUND(P168*Q168,2)</f>
        <v>198.69</v>
      </c>
      <c r="S168" s="12">
        <f>MIN(MAX(R168-J168,0),O168)</f>
        <v>0.00</v>
      </c>
      <c r="T168" s="12">
        <f>O168-S168</f>
        <v>0.0</v>
      </c>
      <c r="U168" s="12">
        <f>N168-T168</f>
        <v>39036.25</v>
      </c>
      <c r="V168" s="12" t="inlineStr">
        <is>
          <t>39737.80 x 0.0600 x 30/360 = 198.69</t>
        </is>
      </c>
      <c r="W168" s="12" t="inlineStr">
        <is>
          <t>PROJECTED-Debt reference 001 155</t>
        </is>
      </c>
      <c r="X168" s="12" t="inlineStr">
        <is>
          <t>Not applicable no issuance cost</t>
        </is>
      </c>
    </row>
    <row r="169" ht="15" customHeight="1" s="13">
      <c r="A169" s="12" t="inlineStr">
        <is>
          <t>Debt reference 001</t>
        </is>
      </c>
      <c r="B169" s="12" t="inlineStr">
        <is>
          <t>168</t>
        </is>
      </c>
      <c r="C169" s="22" t="n">
        <v>50740</v>
      </c>
      <c r="D169" s="22" t="n">
        <v>50770</v>
      </c>
      <c r="E169" s="22" t="n">
        <v>50770</v>
      </c>
      <c r="F169" s="23" t="n">
        <v>39036.25</v>
      </c>
      <c r="G169" s="12" t="inlineStr">
        <is>
          <t>0.0600</t>
        </is>
      </c>
      <c r="H169" s="12" t="inlineStr">
        <is>
          <t>30</t>
        </is>
      </c>
      <c r="I169" s="12" t="inlineStr">
        <is>
          <t>360</t>
        </is>
      </c>
      <c r="J169" s="12">
        <f>ROUND(F169*G169*H169/I169,2)</f>
        <v>195.18</v>
      </c>
      <c r="K169" s="23" t="n">
        <v>705.0599999999999</v>
      </c>
      <c r="L169" s="23" t="n">
        <v>0</v>
      </c>
      <c r="M169" s="12">
        <f>SUM(J169:L169)</f>
        <v>900.24</v>
      </c>
      <c r="N169" s="23" t="n">
        <v>38331.19</v>
      </c>
      <c r="O169" s="23" t="n">
        <v>0</v>
      </c>
      <c r="P169" s="23" t="n">
        <v>39036.25</v>
      </c>
      <c r="Q169" s="12" t="inlineStr">
        <is>
          <t>0.00500000</t>
        </is>
      </c>
      <c r="R169" s="12">
        <f>ROUND(P169*Q169,2)</f>
        <v>195.18</v>
      </c>
      <c r="S169" s="12">
        <f>MIN(MAX(R169-J169,0),O169)</f>
        <v>0.00</v>
      </c>
      <c r="T169" s="12">
        <f>O169-S169</f>
        <v>0.0</v>
      </c>
      <c r="U169" s="12">
        <f>N169-T169</f>
        <v>38331.19</v>
      </c>
      <c r="V169" s="12" t="inlineStr">
        <is>
          <t>39036.25 x 0.0600 x 30/360 = 195.18</t>
        </is>
      </c>
      <c r="W169" s="12" t="inlineStr">
        <is>
          <t>PROJECTED-Debt reference 001 156</t>
        </is>
      </c>
      <c r="X169" s="12" t="inlineStr">
        <is>
          <t>Not applicable no issuance cost</t>
        </is>
      </c>
    </row>
    <row r="170" ht="15" customHeight="1" s="13">
      <c r="A170" s="12" t="inlineStr">
        <is>
          <t>Debt reference 001</t>
        </is>
      </c>
      <c r="B170" s="12" t="inlineStr">
        <is>
          <t>169</t>
        </is>
      </c>
      <c r="C170" s="22" t="n">
        <v>50771</v>
      </c>
      <c r="D170" s="22" t="n">
        <v>50801</v>
      </c>
      <c r="E170" s="22" t="n">
        <v>50801</v>
      </c>
      <c r="F170" s="23" t="n">
        <v>38331.19</v>
      </c>
      <c r="G170" s="12" t="inlineStr">
        <is>
          <t>0.0600</t>
        </is>
      </c>
      <c r="H170" s="12" t="inlineStr">
        <is>
          <t>30</t>
        </is>
      </c>
      <c r="I170" s="12" t="inlineStr">
        <is>
          <t>360</t>
        </is>
      </c>
      <c r="J170" s="12">
        <f>ROUND(F170*G170*H170/I170,2)</f>
        <v>191.66</v>
      </c>
      <c r="K170" s="23" t="n">
        <v>708.58</v>
      </c>
      <c r="L170" s="23" t="n">
        <v>0</v>
      </c>
      <c r="M170" s="12">
        <f>SUM(J170:L170)</f>
        <v>900.24</v>
      </c>
      <c r="N170" s="23" t="n">
        <v>37622.61</v>
      </c>
      <c r="O170" s="23" t="n">
        <v>0</v>
      </c>
      <c r="P170" s="23" t="n">
        <v>38331.19</v>
      </c>
      <c r="Q170" s="12" t="inlineStr">
        <is>
          <t>0.00500000</t>
        </is>
      </c>
      <c r="R170" s="12">
        <f>ROUND(P170*Q170,2)</f>
        <v>191.66</v>
      </c>
      <c r="S170" s="12">
        <f>MIN(MAX(R170-J170,0),O170)</f>
        <v>0.00</v>
      </c>
      <c r="T170" s="12">
        <f>O170-S170</f>
        <v>0.0</v>
      </c>
      <c r="U170" s="12">
        <f>N170-T170</f>
        <v>37622.61</v>
      </c>
      <c r="V170" s="12" t="inlineStr">
        <is>
          <t>38331.19 x 0.0600 x 30/360 = 191.66</t>
        </is>
      </c>
      <c r="W170" s="12" t="inlineStr">
        <is>
          <t>PROJECTED-Debt reference 001 157</t>
        </is>
      </c>
      <c r="X170" s="12" t="inlineStr">
        <is>
          <t>Not applicable no issuance cost</t>
        </is>
      </c>
    </row>
    <row r="171" ht="15" customHeight="1" s="13">
      <c r="A171" s="12" t="inlineStr">
        <is>
          <t>Debt reference 001</t>
        </is>
      </c>
      <c r="B171" s="12" t="inlineStr">
        <is>
          <t>170</t>
        </is>
      </c>
      <c r="C171" s="22" t="n">
        <v>50802</v>
      </c>
      <c r="D171" s="22" t="n">
        <v>50829</v>
      </c>
      <c r="E171" s="22" t="n">
        <v>50829</v>
      </c>
      <c r="F171" s="23" t="n">
        <v>37622.61</v>
      </c>
      <c r="G171" s="12" t="inlineStr">
        <is>
          <t>0.0600</t>
        </is>
      </c>
      <c r="H171" s="12" t="inlineStr">
        <is>
          <t>30</t>
        </is>
      </c>
      <c r="I171" s="12" t="inlineStr">
        <is>
          <t>360</t>
        </is>
      </c>
      <c r="J171" s="12">
        <f>ROUND(F171*G171*H171/I171,2)</f>
        <v>188.11</v>
      </c>
      <c r="K171" s="23" t="n">
        <v>712.13</v>
      </c>
      <c r="L171" s="23" t="n">
        <v>0</v>
      </c>
      <c r="M171" s="12">
        <f>SUM(J171:L171)</f>
        <v>900.24</v>
      </c>
      <c r="N171" s="23" t="n">
        <v>36910.48</v>
      </c>
      <c r="O171" s="23" t="n">
        <v>0</v>
      </c>
      <c r="P171" s="23" t="n">
        <v>37622.61</v>
      </c>
      <c r="Q171" s="12" t="inlineStr">
        <is>
          <t>0.00500000</t>
        </is>
      </c>
      <c r="R171" s="12">
        <f>ROUND(P171*Q171,2)</f>
        <v>188.11</v>
      </c>
      <c r="S171" s="12">
        <f>MIN(MAX(R171-J171,0),O171)</f>
        <v>0.00</v>
      </c>
      <c r="T171" s="12">
        <f>O171-S171</f>
        <v>0.0</v>
      </c>
      <c r="U171" s="12">
        <f>N171-T171</f>
        <v>36910.48</v>
      </c>
      <c r="V171" s="12" t="inlineStr">
        <is>
          <t>37622.61 x 0.0600 x 30/360 = 188.11</t>
        </is>
      </c>
      <c r="W171" s="12" t="inlineStr">
        <is>
          <t>PROJECTED-Debt reference 001 158</t>
        </is>
      </c>
      <c r="X171" s="12" t="inlineStr">
        <is>
          <t>Not applicable no issuance cost</t>
        </is>
      </c>
    </row>
    <row r="172" ht="15" customHeight="1" s="13">
      <c r="A172" s="12" t="inlineStr">
        <is>
          <t>Debt reference 001</t>
        </is>
      </c>
      <c r="B172" s="12" t="inlineStr">
        <is>
          <t>171</t>
        </is>
      </c>
      <c r="C172" s="22" t="n">
        <v>50830</v>
      </c>
      <c r="D172" s="22" t="n">
        <v>50860</v>
      </c>
      <c r="E172" s="22" t="n">
        <v>50860</v>
      </c>
      <c r="F172" s="23" t="n">
        <v>36910.48</v>
      </c>
      <c r="G172" s="12" t="inlineStr">
        <is>
          <t>0.0600</t>
        </is>
      </c>
      <c r="H172" s="12" t="inlineStr">
        <is>
          <t>30</t>
        </is>
      </c>
      <c r="I172" s="12" t="inlineStr">
        <is>
          <t>360</t>
        </is>
      </c>
      <c r="J172" s="12">
        <f>ROUND(F172*G172*H172/I172,2)</f>
        <v>184.55</v>
      </c>
      <c r="K172" s="23" t="n">
        <v>715.6900000000001</v>
      </c>
      <c r="L172" s="23" t="n">
        <v>0</v>
      </c>
      <c r="M172" s="12">
        <f>SUM(J172:L172)</f>
        <v>900.24</v>
      </c>
      <c r="N172" s="23" t="n">
        <v>36194.79</v>
      </c>
      <c r="O172" s="23" t="n">
        <v>0</v>
      </c>
      <c r="P172" s="23" t="n">
        <v>36910.48</v>
      </c>
      <c r="Q172" s="12" t="inlineStr">
        <is>
          <t>0.00500000</t>
        </is>
      </c>
      <c r="R172" s="12">
        <f>ROUND(P172*Q172,2)</f>
        <v>184.55</v>
      </c>
      <c r="S172" s="12">
        <f>MIN(MAX(R172-J172,0),O172)</f>
        <v>0.00</v>
      </c>
      <c r="T172" s="12">
        <f>O172-S172</f>
        <v>0.0</v>
      </c>
      <c r="U172" s="12">
        <f>N172-T172</f>
        <v>36194.79</v>
      </c>
      <c r="V172" s="12" t="inlineStr">
        <is>
          <t>36910.48 x 0.0600 x 30/360 = 184.55</t>
        </is>
      </c>
      <c r="W172" s="12" t="inlineStr">
        <is>
          <t>PROJECTED-Debt reference 001 159</t>
        </is>
      </c>
      <c r="X172" s="12" t="inlineStr">
        <is>
          <t>Not applicable no issuance cost</t>
        </is>
      </c>
    </row>
    <row r="173" ht="15" customHeight="1" s="13">
      <c r="A173" s="12" t="inlineStr">
        <is>
          <t>Debt reference 001</t>
        </is>
      </c>
      <c r="B173" s="12" t="inlineStr">
        <is>
          <t>172</t>
        </is>
      </c>
      <c r="C173" s="22" t="n">
        <v>50861</v>
      </c>
      <c r="D173" s="22" t="n">
        <v>50890</v>
      </c>
      <c r="E173" s="22" t="n">
        <v>50890</v>
      </c>
      <c r="F173" s="23" t="n">
        <v>36194.79</v>
      </c>
      <c r="G173" s="12" t="inlineStr">
        <is>
          <t>0.0600</t>
        </is>
      </c>
      <c r="H173" s="12" t="inlineStr">
        <is>
          <t>30</t>
        </is>
      </c>
      <c r="I173" s="12" t="inlineStr">
        <is>
          <t>360</t>
        </is>
      </c>
      <c r="J173" s="12">
        <f>ROUND(F173*G173*H173/I173,2)</f>
        <v>180.97</v>
      </c>
      <c r="K173" s="23" t="n">
        <v>719.27</v>
      </c>
      <c r="L173" s="23" t="n">
        <v>0</v>
      </c>
      <c r="M173" s="12">
        <f>SUM(J173:L173)</f>
        <v>900.24</v>
      </c>
      <c r="N173" s="23" t="n">
        <v>35475.52</v>
      </c>
      <c r="O173" s="23" t="n">
        <v>0</v>
      </c>
      <c r="P173" s="23" t="n">
        <v>36194.79</v>
      </c>
      <c r="Q173" s="12" t="inlineStr">
        <is>
          <t>0.00500000</t>
        </is>
      </c>
      <c r="R173" s="12">
        <f>ROUND(P173*Q173,2)</f>
        <v>180.97</v>
      </c>
      <c r="S173" s="12">
        <f>MIN(MAX(R173-J173,0),O173)</f>
        <v>0.00</v>
      </c>
      <c r="T173" s="12">
        <f>O173-S173</f>
        <v>0.0</v>
      </c>
      <c r="U173" s="12">
        <f>N173-T173</f>
        <v>35475.52</v>
      </c>
      <c r="V173" s="12" t="inlineStr">
        <is>
          <t>36194.79 x 0.0600 x 30/360 = 180.97</t>
        </is>
      </c>
      <c r="W173" s="12" t="inlineStr">
        <is>
          <t>PROJECTED-Debt reference 001 160</t>
        </is>
      </c>
      <c r="X173" s="12" t="inlineStr">
        <is>
          <t>Not applicable no issuance cost</t>
        </is>
      </c>
    </row>
    <row r="174" ht="15" customHeight="1" s="13">
      <c r="A174" s="12" t="inlineStr">
        <is>
          <t>Debt reference 001</t>
        </is>
      </c>
      <c r="B174" s="12" t="inlineStr">
        <is>
          <t>173</t>
        </is>
      </c>
      <c r="C174" s="22" t="n">
        <v>50891</v>
      </c>
      <c r="D174" s="22" t="n">
        <v>50921</v>
      </c>
      <c r="E174" s="22" t="n">
        <v>50921</v>
      </c>
      <c r="F174" s="23" t="n">
        <v>35475.52</v>
      </c>
      <c r="G174" s="12" t="inlineStr">
        <is>
          <t>0.0600</t>
        </is>
      </c>
      <c r="H174" s="12" t="inlineStr">
        <is>
          <t>30</t>
        </is>
      </c>
      <c r="I174" s="12" t="inlineStr">
        <is>
          <t>360</t>
        </is>
      </c>
      <c r="J174" s="12">
        <f>ROUND(F174*G174*H174/I174,2)</f>
        <v>177.38</v>
      </c>
      <c r="K174" s="23" t="n">
        <v>722.86</v>
      </c>
      <c r="L174" s="23" t="n">
        <v>0</v>
      </c>
      <c r="M174" s="12">
        <f>SUM(J174:L174)</f>
        <v>900.24</v>
      </c>
      <c r="N174" s="23" t="n">
        <v>34752.66</v>
      </c>
      <c r="O174" s="23" t="n">
        <v>0</v>
      </c>
      <c r="P174" s="23" t="n">
        <v>35475.52</v>
      </c>
      <c r="Q174" s="12" t="inlineStr">
        <is>
          <t>0.00500000</t>
        </is>
      </c>
      <c r="R174" s="12">
        <f>ROUND(P174*Q174,2)</f>
        <v>177.38</v>
      </c>
      <c r="S174" s="12">
        <f>MIN(MAX(R174-J174,0),O174)</f>
        <v>0.00</v>
      </c>
      <c r="T174" s="12">
        <f>O174-S174</f>
        <v>0.0</v>
      </c>
      <c r="U174" s="12">
        <f>N174-T174</f>
        <v>34752.66</v>
      </c>
      <c r="V174" s="12" t="inlineStr">
        <is>
          <t>35475.52 x 0.0600 x 30/360 = 177.38</t>
        </is>
      </c>
      <c r="W174" s="12" t="inlineStr">
        <is>
          <t>PROJECTED-Debt reference 001 161</t>
        </is>
      </c>
      <c r="X174" s="12" t="inlineStr">
        <is>
          <t>Not applicable no issuance cost</t>
        </is>
      </c>
    </row>
    <row r="175" ht="15" customHeight="1" s="13">
      <c r="A175" s="12" t="inlineStr">
        <is>
          <t>Debt reference 001</t>
        </is>
      </c>
      <c r="B175" s="12" t="inlineStr">
        <is>
          <t>174</t>
        </is>
      </c>
      <c r="C175" s="22" t="n">
        <v>50922</v>
      </c>
      <c r="D175" s="22" t="n">
        <v>50951</v>
      </c>
      <c r="E175" s="22" t="n">
        <v>50951</v>
      </c>
      <c r="F175" s="23" t="n">
        <v>34752.66</v>
      </c>
      <c r="G175" s="12" t="inlineStr">
        <is>
          <t>0.0600</t>
        </is>
      </c>
      <c r="H175" s="12" t="inlineStr">
        <is>
          <t>30</t>
        </is>
      </c>
      <c r="I175" s="12" t="inlineStr">
        <is>
          <t>360</t>
        </is>
      </c>
      <c r="J175" s="12">
        <f>ROUND(F175*G175*H175/I175,2)</f>
        <v>173.76</v>
      </c>
      <c r="K175" s="23" t="n">
        <v>726.48</v>
      </c>
      <c r="L175" s="23" t="n">
        <v>0</v>
      </c>
      <c r="M175" s="12">
        <f>SUM(J175:L175)</f>
        <v>900.24</v>
      </c>
      <c r="N175" s="23" t="n">
        <v>34026.18</v>
      </c>
      <c r="O175" s="23" t="n">
        <v>0</v>
      </c>
      <c r="P175" s="23" t="n">
        <v>34752.66</v>
      </c>
      <c r="Q175" s="12" t="inlineStr">
        <is>
          <t>0.00500000</t>
        </is>
      </c>
      <c r="R175" s="12">
        <f>ROUND(P175*Q175,2)</f>
        <v>173.76</v>
      </c>
      <c r="S175" s="12">
        <f>MIN(MAX(R175-J175,0),O175)</f>
        <v>0.00</v>
      </c>
      <c r="T175" s="12">
        <f>O175-S175</f>
        <v>0.0</v>
      </c>
      <c r="U175" s="12">
        <f>N175-T175</f>
        <v>34026.18</v>
      </c>
      <c r="V175" s="12" t="inlineStr">
        <is>
          <t>34752.66 x 0.0600 x 30/360 = 173.76</t>
        </is>
      </c>
      <c r="W175" s="12" t="inlineStr">
        <is>
          <t>PROJECTED-Debt reference 001 162</t>
        </is>
      </c>
      <c r="X175" s="12" t="inlineStr">
        <is>
          <t>Not applicable no issuance cost</t>
        </is>
      </c>
    </row>
    <row r="176" ht="15" customHeight="1" s="13">
      <c r="A176" s="12" t="inlineStr">
        <is>
          <t>Debt reference 001</t>
        </is>
      </c>
      <c r="B176" s="12" t="inlineStr">
        <is>
          <t>175</t>
        </is>
      </c>
      <c r="C176" s="22" t="n">
        <v>50952</v>
      </c>
      <c r="D176" s="22" t="n">
        <v>50982</v>
      </c>
      <c r="E176" s="22" t="n">
        <v>50982</v>
      </c>
      <c r="F176" s="23" t="n">
        <v>34026.18</v>
      </c>
      <c r="G176" s="12" t="inlineStr">
        <is>
          <t>0.0600</t>
        </is>
      </c>
      <c r="H176" s="12" t="inlineStr">
        <is>
          <t>30</t>
        </is>
      </c>
      <c r="I176" s="12" t="inlineStr">
        <is>
          <t>360</t>
        </is>
      </c>
      <c r="J176" s="12">
        <f>ROUND(F176*G176*H176/I176,2)</f>
        <v>170.13</v>
      </c>
      <c r="K176" s="23" t="n">
        <v>730.11</v>
      </c>
      <c r="L176" s="23" t="n">
        <v>0</v>
      </c>
      <c r="M176" s="12">
        <f>SUM(J176:L176)</f>
        <v>900.24</v>
      </c>
      <c r="N176" s="23" t="n">
        <v>33296.07</v>
      </c>
      <c r="O176" s="23" t="n">
        <v>0</v>
      </c>
      <c r="P176" s="23" t="n">
        <v>34026.18</v>
      </c>
      <c r="Q176" s="12" t="inlineStr">
        <is>
          <t>0.00500000</t>
        </is>
      </c>
      <c r="R176" s="12">
        <f>ROUND(P176*Q176,2)</f>
        <v>170.13</v>
      </c>
      <c r="S176" s="12">
        <f>MIN(MAX(R176-J176,0),O176)</f>
        <v>0.00</v>
      </c>
      <c r="T176" s="12">
        <f>O176-S176</f>
        <v>0.0</v>
      </c>
      <c r="U176" s="12">
        <f>N176-T176</f>
        <v>33296.07</v>
      </c>
      <c r="V176" s="12" t="inlineStr">
        <is>
          <t>34026.18 x 0.0600 x 30/360 = 170.13</t>
        </is>
      </c>
      <c r="W176" s="12" t="inlineStr">
        <is>
          <t>PROJECTED-Debt reference 001 163</t>
        </is>
      </c>
      <c r="X176" s="12" t="inlineStr">
        <is>
          <t>Not applicable no issuance cost</t>
        </is>
      </c>
    </row>
    <row r="177" ht="15" customHeight="1" s="13">
      <c r="A177" s="12" t="inlineStr">
        <is>
          <t>Debt reference 001</t>
        </is>
      </c>
      <c r="B177" s="12" t="inlineStr">
        <is>
          <t>176</t>
        </is>
      </c>
      <c r="C177" s="22" t="n">
        <v>50983</v>
      </c>
      <c r="D177" s="22" t="n">
        <v>51013</v>
      </c>
      <c r="E177" s="22" t="n">
        <v>51013</v>
      </c>
      <c r="F177" s="23" t="n">
        <v>33296.07</v>
      </c>
      <c r="G177" s="12" t="inlineStr">
        <is>
          <t>0.0600</t>
        </is>
      </c>
      <c r="H177" s="12" t="inlineStr">
        <is>
          <t>30</t>
        </is>
      </c>
      <c r="I177" s="12" t="inlineStr">
        <is>
          <t>360</t>
        </is>
      </c>
      <c r="J177" s="12">
        <f>ROUND(F177*G177*H177/I177,2)</f>
        <v>166.48</v>
      </c>
      <c r="K177" s="23" t="n">
        <v>733.76</v>
      </c>
      <c r="L177" s="23" t="n">
        <v>0</v>
      </c>
      <c r="M177" s="12">
        <f>SUM(J177:L177)</f>
        <v>900.24</v>
      </c>
      <c r="N177" s="23" t="n">
        <v>32562.31</v>
      </c>
      <c r="O177" s="23" t="n">
        <v>0</v>
      </c>
      <c r="P177" s="23" t="n">
        <v>33296.07</v>
      </c>
      <c r="Q177" s="12" t="inlineStr">
        <is>
          <t>0.00500000</t>
        </is>
      </c>
      <c r="R177" s="12">
        <f>ROUND(P177*Q177,2)</f>
        <v>166.48</v>
      </c>
      <c r="S177" s="12">
        <f>MIN(MAX(R177-J177,0),O177)</f>
        <v>0.00</v>
      </c>
      <c r="T177" s="12">
        <f>O177-S177</f>
        <v>0.0</v>
      </c>
      <c r="U177" s="12">
        <f>N177-T177</f>
        <v>32562.31</v>
      </c>
      <c r="V177" s="12" t="inlineStr">
        <is>
          <t>33296.07 x 0.0600 x 30/360 = 166.48</t>
        </is>
      </c>
      <c r="W177" s="12" t="inlineStr">
        <is>
          <t>PROJECTED-Debt reference 001 164</t>
        </is>
      </c>
      <c r="X177" s="12" t="inlineStr">
        <is>
          <t>Not applicable no issuance cost</t>
        </is>
      </c>
    </row>
    <row r="178" ht="15" customHeight="1" s="13">
      <c r="A178" s="12" t="inlineStr">
        <is>
          <t>Debt reference 001</t>
        </is>
      </c>
      <c r="B178" s="12" t="inlineStr">
        <is>
          <t>177</t>
        </is>
      </c>
      <c r="C178" s="22" t="n">
        <v>51014</v>
      </c>
      <c r="D178" s="22" t="n">
        <v>51043</v>
      </c>
      <c r="E178" s="22" t="n">
        <v>51043</v>
      </c>
      <c r="F178" s="23" t="n">
        <v>32562.31</v>
      </c>
      <c r="G178" s="12" t="inlineStr">
        <is>
          <t>0.0600</t>
        </is>
      </c>
      <c r="H178" s="12" t="inlineStr">
        <is>
          <t>30</t>
        </is>
      </c>
      <c r="I178" s="12" t="inlineStr">
        <is>
          <t>360</t>
        </is>
      </c>
      <c r="J178" s="12">
        <f>ROUND(F178*G178*H178/I178,2)</f>
        <v>162.81</v>
      </c>
      <c r="K178" s="23" t="n">
        <v>737.4299999999999</v>
      </c>
      <c r="L178" s="23" t="n">
        <v>0</v>
      </c>
      <c r="M178" s="12">
        <f>SUM(J178:L178)</f>
        <v>900.24</v>
      </c>
      <c r="N178" s="23" t="n">
        <v>31824.88</v>
      </c>
      <c r="O178" s="23" t="n">
        <v>0</v>
      </c>
      <c r="P178" s="23" t="n">
        <v>32562.31</v>
      </c>
      <c r="Q178" s="12" t="inlineStr">
        <is>
          <t>0.00500000</t>
        </is>
      </c>
      <c r="R178" s="12">
        <f>ROUND(P178*Q178,2)</f>
        <v>162.81</v>
      </c>
      <c r="S178" s="12">
        <f>MIN(MAX(R178-J178,0),O178)</f>
        <v>0.00</v>
      </c>
      <c r="T178" s="12">
        <f>O178-S178</f>
        <v>0.0</v>
      </c>
      <c r="U178" s="12">
        <f>N178-T178</f>
        <v>31824.88</v>
      </c>
      <c r="V178" s="12" t="inlineStr">
        <is>
          <t>32562.31 x 0.0600 x 30/360 = 162.81</t>
        </is>
      </c>
      <c r="W178" s="12" t="inlineStr">
        <is>
          <t>PROJECTED-Debt reference 001 165</t>
        </is>
      </c>
      <c r="X178" s="12" t="inlineStr">
        <is>
          <t>Not applicable no issuance cost</t>
        </is>
      </c>
    </row>
    <row r="179" ht="15" customHeight="1" s="13">
      <c r="A179" s="12" t="inlineStr">
        <is>
          <t>Debt reference 001</t>
        </is>
      </c>
      <c r="B179" s="12" t="inlineStr">
        <is>
          <t>178</t>
        </is>
      </c>
      <c r="C179" s="22" t="n">
        <v>51044</v>
      </c>
      <c r="D179" s="22" t="n">
        <v>51074</v>
      </c>
      <c r="E179" s="22" t="n">
        <v>51074</v>
      </c>
      <c r="F179" s="23" t="n">
        <v>31824.88</v>
      </c>
      <c r="G179" s="12" t="inlineStr">
        <is>
          <t>0.0600</t>
        </is>
      </c>
      <c r="H179" s="12" t="inlineStr">
        <is>
          <t>30</t>
        </is>
      </c>
      <c r="I179" s="12" t="inlineStr">
        <is>
          <t>360</t>
        </is>
      </c>
      <c r="J179" s="12">
        <f>ROUND(F179*G179*H179/I179,2)</f>
        <v>159.12</v>
      </c>
      <c r="K179" s="23" t="n">
        <v>741.12</v>
      </c>
      <c r="L179" s="23" t="n">
        <v>0</v>
      </c>
      <c r="M179" s="12">
        <f>SUM(J179:L179)</f>
        <v>900.24</v>
      </c>
      <c r="N179" s="23" t="n">
        <v>31083.76</v>
      </c>
      <c r="O179" s="23" t="n">
        <v>0</v>
      </c>
      <c r="P179" s="23" t="n">
        <v>31824.88</v>
      </c>
      <c r="Q179" s="12" t="inlineStr">
        <is>
          <t>0.00500000</t>
        </is>
      </c>
      <c r="R179" s="12">
        <f>ROUND(P179*Q179,2)</f>
        <v>159.12</v>
      </c>
      <c r="S179" s="12">
        <f>MIN(MAX(R179-J179,0),O179)</f>
        <v>0.00</v>
      </c>
      <c r="T179" s="12">
        <f>O179-S179</f>
        <v>0.0</v>
      </c>
      <c r="U179" s="12">
        <f>N179-T179</f>
        <v>31083.76</v>
      </c>
      <c r="V179" s="12" t="inlineStr">
        <is>
          <t>31824.88 x 0.0600 x 30/360 = 159.12</t>
        </is>
      </c>
      <c r="W179" s="12" t="inlineStr">
        <is>
          <t>PROJECTED-Debt reference 001 166</t>
        </is>
      </c>
      <c r="X179" s="12" t="inlineStr">
        <is>
          <t>Not applicable no issuance cost</t>
        </is>
      </c>
    </row>
    <row r="180" ht="15" customHeight="1" s="13">
      <c r="A180" s="12" t="inlineStr">
        <is>
          <t>Debt reference 001</t>
        </is>
      </c>
      <c r="B180" s="12" t="inlineStr">
        <is>
          <t>179</t>
        </is>
      </c>
      <c r="C180" s="22" t="n">
        <v>51075</v>
      </c>
      <c r="D180" s="22" t="n">
        <v>51104</v>
      </c>
      <c r="E180" s="22" t="n">
        <v>51104</v>
      </c>
      <c r="F180" s="23" t="n">
        <v>31083.76</v>
      </c>
      <c r="G180" s="12" t="inlineStr">
        <is>
          <t>0.0600</t>
        </is>
      </c>
      <c r="H180" s="12" t="inlineStr">
        <is>
          <t>30</t>
        </is>
      </c>
      <c r="I180" s="12" t="inlineStr">
        <is>
          <t>360</t>
        </is>
      </c>
      <c r="J180" s="12">
        <f>ROUND(F180*G180*H180/I180,2)</f>
        <v>155.42</v>
      </c>
      <c r="K180" s="23" t="n">
        <v>744.8200000000001</v>
      </c>
      <c r="L180" s="23" t="n">
        <v>0</v>
      </c>
      <c r="M180" s="12">
        <f>SUM(J180:L180)</f>
        <v>900.24</v>
      </c>
      <c r="N180" s="23" t="n">
        <v>30338.94</v>
      </c>
      <c r="O180" s="23" t="n">
        <v>0</v>
      </c>
      <c r="P180" s="23" t="n">
        <v>31083.76</v>
      </c>
      <c r="Q180" s="12" t="inlineStr">
        <is>
          <t>0.00500000</t>
        </is>
      </c>
      <c r="R180" s="12">
        <f>ROUND(P180*Q180,2)</f>
        <v>155.42</v>
      </c>
      <c r="S180" s="12">
        <f>MIN(MAX(R180-J180,0),O180)</f>
        <v>0.00</v>
      </c>
      <c r="T180" s="12">
        <f>O180-S180</f>
        <v>0.0</v>
      </c>
      <c r="U180" s="12">
        <f>N180-T180</f>
        <v>30338.94</v>
      </c>
      <c r="V180" s="12" t="inlineStr">
        <is>
          <t>31083.76 x 0.0600 x 30/360 = 155.42</t>
        </is>
      </c>
      <c r="W180" s="12" t="inlineStr">
        <is>
          <t>PROJECTED-Debt reference 001 167</t>
        </is>
      </c>
      <c r="X180" s="12" t="inlineStr">
        <is>
          <t>Not applicable no issuance cost</t>
        </is>
      </c>
    </row>
    <row r="181" ht="15" customHeight="1" s="13">
      <c r="A181" s="12" t="inlineStr">
        <is>
          <t>Debt reference 001</t>
        </is>
      </c>
      <c r="B181" s="12" t="inlineStr">
        <is>
          <t>180</t>
        </is>
      </c>
      <c r="C181" s="22" t="n">
        <v>51105</v>
      </c>
      <c r="D181" s="22" t="n">
        <v>51135</v>
      </c>
      <c r="E181" s="22" t="n">
        <v>51135</v>
      </c>
      <c r="F181" s="23" t="n">
        <v>30338.94</v>
      </c>
      <c r="G181" s="12" t="inlineStr">
        <is>
          <t>0.0600</t>
        </is>
      </c>
      <c r="H181" s="12" t="inlineStr">
        <is>
          <t>30</t>
        </is>
      </c>
      <c r="I181" s="12" t="inlineStr">
        <is>
          <t>360</t>
        </is>
      </c>
      <c r="J181" s="12">
        <f>ROUND(F181*G181*H181/I181,2)</f>
        <v>151.69</v>
      </c>
      <c r="K181" s="23" t="n">
        <v>748.55</v>
      </c>
      <c r="L181" s="23" t="n">
        <v>0</v>
      </c>
      <c r="M181" s="12">
        <f>SUM(J181:L181)</f>
        <v>900.24</v>
      </c>
      <c r="N181" s="23" t="n">
        <v>29590.39</v>
      </c>
      <c r="O181" s="23" t="n">
        <v>0</v>
      </c>
      <c r="P181" s="23" t="n">
        <v>30338.94</v>
      </c>
      <c r="Q181" s="12" t="inlineStr">
        <is>
          <t>0.00500000</t>
        </is>
      </c>
      <c r="R181" s="12">
        <f>ROUND(P181*Q181,2)</f>
        <v>151.69</v>
      </c>
      <c r="S181" s="12">
        <f>MIN(MAX(R181-J181,0),O181)</f>
        <v>0.00</v>
      </c>
      <c r="T181" s="12">
        <f>O181-S181</f>
        <v>0.0</v>
      </c>
      <c r="U181" s="12">
        <f>N181-T181</f>
        <v>29590.39</v>
      </c>
      <c r="V181" s="12" t="inlineStr">
        <is>
          <t>30338.94 x 0.0600 x 30/360 = 151.69</t>
        </is>
      </c>
      <c r="W181" s="12" t="inlineStr">
        <is>
          <t>PROJECTED-Debt reference 001 168</t>
        </is>
      </c>
      <c r="X181" s="12" t="inlineStr">
        <is>
          <t>Not applicable no issuance cost</t>
        </is>
      </c>
    </row>
    <row r="182" ht="15" customHeight="1" s="13">
      <c r="A182" s="12" t="inlineStr">
        <is>
          <t>Debt reference 001</t>
        </is>
      </c>
      <c r="B182" s="12" t="inlineStr">
        <is>
          <t>181</t>
        </is>
      </c>
      <c r="C182" s="22" t="n">
        <v>51136</v>
      </c>
      <c r="D182" s="22" t="n">
        <v>51166</v>
      </c>
      <c r="E182" s="22" t="n">
        <v>51166</v>
      </c>
      <c r="F182" s="23" t="n">
        <v>29590.39</v>
      </c>
      <c r="G182" s="12" t="inlineStr">
        <is>
          <t>0.0600</t>
        </is>
      </c>
      <c r="H182" s="12" t="inlineStr">
        <is>
          <t>30</t>
        </is>
      </c>
      <c r="I182" s="12" t="inlineStr">
        <is>
          <t>360</t>
        </is>
      </c>
      <c r="J182" s="12">
        <f>ROUND(F182*G182*H182/I182,2)</f>
        <v>147.95</v>
      </c>
      <c r="K182" s="23" t="n">
        <v>752.29</v>
      </c>
      <c r="L182" s="23" t="n">
        <v>0</v>
      </c>
      <c r="M182" s="12">
        <f>SUM(J182:L182)</f>
        <v>900.24</v>
      </c>
      <c r="N182" s="23" t="n">
        <v>28838.1</v>
      </c>
      <c r="O182" s="23" t="n">
        <v>0</v>
      </c>
      <c r="P182" s="23" t="n">
        <v>29590.39</v>
      </c>
      <c r="Q182" s="12" t="inlineStr">
        <is>
          <t>0.00500000</t>
        </is>
      </c>
      <c r="R182" s="12">
        <f>ROUND(P182*Q182,2)</f>
        <v>147.95</v>
      </c>
      <c r="S182" s="12">
        <f>MIN(MAX(R182-J182,0),O182)</f>
        <v>0.00</v>
      </c>
      <c r="T182" s="12">
        <f>O182-S182</f>
        <v>0.0</v>
      </c>
      <c r="U182" s="12">
        <f>N182-T182</f>
        <v>28838.1</v>
      </c>
      <c r="V182" s="12" t="inlineStr">
        <is>
          <t>29590.39 x 0.0600 x 30/360 = 147.95</t>
        </is>
      </c>
      <c r="W182" s="12" t="inlineStr">
        <is>
          <t>PROJECTED-Debt reference 001 169</t>
        </is>
      </c>
      <c r="X182" s="12" t="inlineStr">
        <is>
          <t>Not applicable no issuance cost</t>
        </is>
      </c>
    </row>
    <row r="183" ht="15" customHeight="1" s="13">
      <c r="A183" s="12" t="inlineStr">
        <is>
          <t>Debt reference 001</t>
        </is>
      </c>
      <c r="B183" s="12" t="inlineStr">
        <is>
          <t>182</t>
        </is>
      </c>
      <c r="C183" s="22" t="n">
        <v>51167</v>
      </c>
      <c r="D183" s="22" t="n">
        <v>51195</v>
      </c>
      <c r="E183" s="22" t="n">
        <v>51195</v>
      </c>
      <c r="F183" s="23" t="n">
        <v>28838.1</v>
      </c>
      <c r="G183" s="12" t="inlineStr">
        <is>
          <t>0.0600</t>
        </is>
      </c>
      <c r="H183" s="12" t="inlineStr">
        <is>
          <t>30</t>
        </is>
      </c>
      <c r="I183" s="12" t="inlineStr">
        <is>
          <t>360</t>
        </is>
      </c>
      <c r="J183" s="12">
        <f>ROUND(F183*G183*H183/I183,2)</f>
        <v>144.19</v>
      </c>
      <c r="K183" s="23" t="n">
        <v>756.05</v>
      </c>
      <c r="L183" s="23" t="n">
        <v>0</v>
      </c>
      <c r="M183" s="12">
        <f>SUM(J183:L183)</f>
        <v>900.24</v>
      </c>
      <c r="N183" s="23" t="n">
        <v>28082.05</v>
      </c>
      <c r="O183" s="23" t="n">
        <v>0</v>
      </c>
      <c r="P183" s="23" t="n">
        <v>28838.1</v>
      </c>
      <c r="Q183" s="12" t="inlineStr">
        <is>
          <t>0.00500000</t>
        </is>
      </c>
      <c r="R183" s="12">
        <f>ROUND(P183*Q183,2)</f>
        <v>144.19</v>
      </c>
      <c r="S183" s="12">
        <f>MIN(MAX(R183-J183,0),O183)</f>
        <v>0.00</v>
      </c>
      <c r="T183" s="12">
        <f>O183-S183</f>
        <v>0.0</v>
      </c>
      <c r="U183" s="12">
        <f>N183-T183</f>
        <v>28082.05</v>
      </c>
      <c r="V183" s="12" t="inlineStr">
        <is>
          <t>28838.10 x 0.0600 x 30/360 = 144.19</t>
        </is>
      </c>
      <c r="W183" s="12" t="inlineStr">
        <is>
          <t>PROJECTED-Debt reference 001 170</t>
        </is>
      </c>
      <c r="X183" s="12" t="inlineStr">
        <is>
          <t>Not applicable no issuance cost</t>
        </is>
      </c>
    </row>
    <row r="184" ht="15" customHeight="1" s="13">
      <c r="A184" s="12" t="inlineStr">
        <is>
          <t>Debt reference 001</t>
        </is>
      </c>
      <c r="B184" s="12" t="inlineStr">
        <is>
          <t>183</t>
        </is>
      </c>
      <c r="C184" s="22" t="n">
        <v>51196</v>
      </c>
      <c r="D184" s="22" t="n">
        <v>51226</v>
      </c>
      <c r="E184" s="22" t="n">
        <v>51226</v>
      </c>
      <c r="F184" s="23" t="n">
        <v>28082.05</v>
      </c>
      <c r="G184" s="12" t="inlineStr">
        <is>
          <t>0.0600</t>
        </is>
      </c>
      <c r="H184" s="12" t="inlineStr">
        <is>
          <t>30</t>
        </is>
      </c>
      <c r="I184" s="12" t="inlineStr">
        <is>
          <t>360</t>
        </is>
      </c>
      <c r="J184" s="12">
        <f>ROUND(F184*G184*H184/I184,2)</f>
        <v>140.41</v>
      </c>
      <c r="K184" s="23" t="n">
        <v>759.83</v>
      </c>
      <c r="L184" s="23" t="n">
        <v>0</v>
      </c>
      <c r="M184" s="12">
        <f>SUM(J184:L184)</f>
        <v>900.24</v>
      </c>
      <c r="N184" s="23" t="n">
        <v>27322.22</v>
      </c>
      <c r="O184" s="23" t="n">
        <v>0</v>
      </c>
      <c r="P184" s="23" t="n">
        <v>28082.05</v>
      </c>
      <c r="Q184" s="12" t="inlineStr">
        <is>
          <t>0.00500000</t>
        </is>
      </c>
      <c r="R184" s="12">
        <f>ROUND(P184*Q184,2)</f>
        <v>140.41</v>
      </c>
      <c r="S184" s="12">
        <f>MIN(MAX(R184-J184,0),O184)</f>
        <v>0.00</v>
      </c>
      <c r="T184" s="12">
        <f>O184-S184</f>
        <v>0.0</v>
      </c>
      <c r="U184" s="12">
        <f>N184-T184</f>
        <v>27322.22</v>
      </c>
      <c r="V184" s="12" t="inlineStr">
        <is>
          <t>28082.05 x 0.0600 x 30/360 = 140.41</t>
        </is>
      </c>
      <c r="W184" s="12" t="inlineStr">
        <is>
          <t>PROJECTED-Debt reference 001 171</t>
        </is>
      </c>
      <c r="X184" s="12" t="inlineStr">
        <is>
          <t>Not applicable no issuance cost</t>
        </is>
      </c>
    </row>
    <row r="185" ht="15" customHeight="1" s="13">
      <c r="A185" s="12" t="inlineStr">
        <is>
          <t>Debt reference 001</t>
        </is>
      </c>
      <c r="B185" s="12" t="inlineStr">
        <is>
          <t>184</t>
        </is>
      </c>
      <c r="C185" s="22" t="n">
        <v>51227</v>
      </c>
      <c r="D185" s="22" t="n">
        <v>51256</v>
      </c>
      <c r="E185" s="22" t="n">
        <v>51256</v>
      </c>
      <c r="F185" s="23" t="n">
        <v>27322.22</v>
      </c>
      <c r="G185" s="12" t="inlineStr">
        <is>
          <t>0.0600</t>
        </is>
      </c>
      <c r="H185" s="12" t="inlineStr">
        <is>
          <t>30</t>
        </is>
      </c>
      <c r="I185" s="12" t="inlineStr">
        <is>
          <t>360</t>
        </is>
      </c>
      <c r="J185" s="12">
        <f>ROUND(F185*G185*H185/I185,2)</f>
        <v>136.61</v>
      </c>
      <c r="K185" s="23" t="n">
        <v>763.63</v>
      </c>
      <c r="L185" s="23" t="n">
        <v>0</v>
      </c>
      <c r="M185" s="12">
        <f>SUM(J185:L185)</f>
        <v>900.24</v>
      </c>
      <c r="N185" s="23" t="n">
        <v>26558.59</v>
      </c>
      <c r="O185" s="23" t="n">
        <v>0</v>
      </c>
      <c r="P185" s="23" t="n">
        <v>27322.22</v>
      </c>
      <c r="Q185" s="12" t="inlineStr">
        <is>
          <t>0.00500000</t>
        </is>
      </c>
      <c r="R185" s="12">
        <f>ROUND(P185*Q185,2)</f>
        <v>136.61</v>
      </c>
      <c r="S185" s="12">
        <f>MIN(MAX(R185-J185,0),O185)</f>
        <v>0.00</v>
      </c>
      <c r="T185" s="12">
        <f>O185-S185</f>
        <v>0.0</v>
      </c>
      <c r="U185" s="12">
        <f>N185-T185</f>
        <v>26558.59</v>
      </c>
      <c r="V185" s="12" t="inlineStr">
        <is>
          <t>27322.22 x 0.0600 x 30/360 = 136.61</t>
        </is>
      </c>
      <c r="W185" s="12" t="inlineStr">
        <is>
          <t>PROJECTED-Debt reference 001 172</t>
        </is>
      </c>
      <c r="X185" s="12" t="inlineStr">
        <is>
          <t>Not applicable no issuance cost</t>
        </is>
      </c>
    </row>
    <row r="186" ht="15" customHeight="1" s="13">
      <c r="A186" s="12" t="inlineStr">
        <is>
          <t>Debt reference 001</t>
        </is>
      </c>
      <c r="B186" s="12" t="inlineStr">
        <is>
          <t>185</t>
        </is>
      </c>
      <c r="C186" s="22" t="n">
        <v>51257</v>
      </c>
      <c r="D186" s="22" t="n">
        <v>51287</v>
      </c>
      <c r="E186" s="22" t="n">
        <v>51287</v>
      </c>
      <c r="F186" s="23" t="n">
        <v>26558.59</v>
      </c>
      <c r="G186" s="12" t="inlineStr">
        <is>
          <t>0.0600</t>
        </is>
      </c>
      <c r="H186" s="12" t="inlineStr">
        <is>
          <t>30</t>
        </is>
      </c>
      <c r="I186" s="12" t="inlineStr">
        <is>
          <t>360</t>
        </is>
      </c>
      <c r="J186" s="12">
        <f>ROUND(F186*G186*H186/I186,2)</f>
        <v>132.79</v>
      </c>
      <c r="K186" s="23" t="n">
        <v>767.45</v>
      </c>
      <c r="L186" s="23" t="n">
        <v>0</v>
      </c>
      <c r="M186" s="12">
        <f>SUM(J186:L186)</f>
        <v>900.24</v>
      </c>
      <c r="N186" s="23" t="n">
        <v>25791.14</v>
      </c>
      <c r="O186" s="23" t="n">
        <v>0</v>
      </c>
      <c r="P186" s="23" t="n">
        <v>26558.59</v>
      </c>
      <c r="Q186" s="12" t="inlineStr">
        <is>
          <t>0.00500000</t>
        </is>
      </c>
      <c r="R186" s="12">
        <f>ROUND(P186*Q186,2)</f>
        <v>132.79</v>
      </c>
      <c r="S186" s="12">
        <f>MIN(MAX(R186-J186,0),O186)</f>
        <v>0.00</v>
      </c>
      <c r="T186" s="12">
        <f>O186-S186</f>
        <v>0.0</v>
      </c>
      <c r="U186" s="12">
        <f>N186-T186</f>
        <v>25791.14</v>
      </c>
      <c r="V186" s="12" t="inlineStr">
        <is>
          <t>26558.59 x 0.0600 x 30/360 = 132.79</t>
        </is>
      </c>
      <c r="W186" s="12" t="inlineStr">
        <is>
          <t>PROJECTED-Debt reference 001 173</t>
        </is>
      </c>
      <c r="X186" s="12" t="inlineStr">
        <is>
          <t>Not applicable no issuance cost</t>
        </is>
      </c>
    </row>
    <row r="187" ht="15" customHeight="1" s="13">
      <c r="A187" s="12" t="inlineStr">
        <is>
          <t>Debt reference 001</t>
        </is>
      </c>
      <c r="B187" s="12" t="inlineStr">
        <is>
          <t>186</t>
        </is>
      </c>
      <c r="C187" s="22" t="n">
        <v>51288</v>
      </c>
      <c r="D187" s="22" t="n">
        <v>51317</v>
      </c>
      <c r="E187" s="22" t="n">
        <v>51317</v>
      </c>
      <c r="F187" s="23" t="n">
        <v>25791.14</v>
      </c>
      <c r="G187" s="12" t="inlineStr">
        <is>
          <t>0.0600</t>
        </is>
      </c>
      <c r="H187" s="12" t="inlineStr">
        <is>
          <t>30</t>
        </is>
      </c>
      <c r="I187" s="12" t="inlineStr">
        <is>
          <t>360</t>
        </is>
      </c>
      <c r="J187" s="12">
        <f>ROUND(F187*G187*H187/I187,2)</f>
        <v>128.96</v>
      </c>
      <c r="K187" s="23" t="n">
        <v>771.28</v>
      </c>
      <c r="L187" s="23" t="n">
        <v>0</v>
      </c>
      <c r="M187" s="12">
        <f>SUM(J187:L187)</f>
        <v>900.24</v>
      </c>
      <c r="N187" s="23" t="n">
        <v>25019.86</v>
      </c>
      <c r="O187" s="23" t="n">
        <v>0</v>
      </c>
      <c r="P187" s="23" t="n">
        <v>25791.14</v>
      </c>
      <c r="Q187" s="12" t="inlineStr">
        <is>
          <t>0.00500000</t>
        </is>
      </c>
      <c r="R187" s="12">
        <f>ROUND(P187*Q187,2)</f>
        <v>128.96</v>
      </c>
      <c r="S187" s="12">
        <f>MIN(MAX(R187-J187,0),O187)</f>
        <v>0.00</v>
      </c>
      <c r="T187" s="12">
        <f>O187-S187</f>
        <v>0.0</v>
      </c>
      <c r="U187" s="12">
        <f>N187-T187</f>
        <v>25019.86</v>
      </c>
      <c r="V187" s="12" t="inlineStr">
        <is>
          <t>25791.14 x 0.0600 x 30/360 = 128.96</t>
        </is>
      </c>
      <c r="W187" s="12" t="inlineStr">
        <is>
          <t>PROJECTED-Debt reference 001 174</t>
        </is>
      </c>
      <c r="X187" s="12" t="inlineStr">
        <is>
          <t>Not applicable no issuance cost</t>
        </is>
      </c>
    </row>
    <row r="188" ht="15" customHeight="1" s="13">
      <c r="A188" s="12" t="inlineStr">
        <is>
          <t>Debt reference 001</t>
        </is>
      </c>
      <c r="B188" s="12" t="inlineStr">
        <is>
          <t>187</t>
        </is>
      </c>
      <c r="C188" s="22" t="n">
        <v>51318</v>
      </c>
      <c r="D188" s="22" t="n">
        <v>51348</v>
      </c>
      <c r="E188" s="22" t="n">
        <v>51348</v>
      </c>
      <c r="F188" s="23" t="n">
        <v>25019.86</v>
      </c>
      <c r="G188" s="12" t="inlineStr">
        <is>
          <t>0.0600</t>
        </is>
      </c>
      <c r="H188" s="12" t="inlineStr">
        <is>
          <t>30</t>
        </is>
      </c>
      <c r="I188" s="12" t="inlineStr">
        <is>
          <t>360</t>
        </is>
      </c>
      <c r="J188" s="12">
        <f>ROUND(F188*G188*H188/I188,2)</f>
        <v>125.10</v>
      </c>
      <c r="K188" s="23" t="n">
        <v>775.14</v>
      </c>
      <c r="L188" s="23" t="n">
        <v>0</v>
      </c>
      <c r="M188" s="12">
        <f>SUM(J188:L188)</f>
        <v>900.24</v>
      </c>
      <c r="N188" s="23" t="n">
        <v>24244.72</v>
      </c>
      <c r="O188" s="23" t="n">
        <v>0</v>
      </c>
      <c r="P188" s="23" t="n">
        <v>25019.86</v>
      </c>
      <c r="Q188" s="12" t="inlineStr">
        <is>
          <t>0.00500000</t>
        </is>
      </c>
      <c r="R188" s="12">
        <f>ROUND(P188*Q188,2)</f>
        <v>125.10</v>
      </c>
      <c r="S188" s="12">
        <f>MIN(MAX(R188-J188,0),O188)</f>
        <v>0.0</v>
      </c>
      <c r="T188" s="12">
        <f>O188-S188</f>
        <v>0.0</v>
      </c>
      <c r="U188" s="12">
        <f>N188-T188</f>
        <v>24244.72</v>
      </c>
      <c r="V188" s="12" t="inlineStr">
        <is>
          <t>25019.86 x 0.0600 x 30/360 = 125.10</t>
        </is>
      </c>
      <c r="W188" s="12" t="inlineStr">
        <is>
          <t>PROJECTED-Debt reference 001 175</t>
        </is>
      </c>
      <c r="X188" s="12" t="inlineStr">
        <is>
          <t>Not applicable no issuance cost</t>
        </is>
      </c>
    </row>
    <row r="189" ht="15" customHeight="1" s="13">
      <c r="A189" s="12" t="inlineStr">
        <is>
          <t>Debt reference 001</t>
        </is>
      </c>
      <c r="B189" s="12" t="inlineStr">
        <is>
          <t>188</t>
        </is>
      </c>
      <c r="C189" s="22" t="n">
        <v>51349</v>
      </c>
      <c r="D189" s="22" t="n">
        <v>51379</v>
      </c>
      <c r="E189" s="22" t="n">
        <v>51379</v>
      </c>
      <c r="F189" s="23" t="n">
        <v>24244.72</v>
      </c>
      <c r="G189" s="12" t="inlineStr">
        <is>
          <t>0.0600</t>
        </is>
      </c>
      <c r="H189" s="12" t="inlineStr">
        <is>
          <t>30</t>
        </is>
      </c>
      <c r="I189" s="12" t="inlineStr">
        <is>
          <t>360</t>
        </is>
      </c>
      <c r="J189" s="12">
        <f>ROUND(F189*G189*H189/I189,2)</f>
        <v>121.22</v>
      </c>
      <c r="K189" s="23" t="n">
        <v>779.02</v>
      </c>
      <c r="L189" s="23" t="n">
        <v>0</v>
      </c>
      <c r="M189" s="12">
        <f>SUM(J189:L189)</f>
        <v>900.24</v>
      </c>
      <c r="N189" s="23" t="n">
        <v>23465.7</v>
      </c>
      <c r="O189" s="23" t="n">
        <v>0</v>
      </c>
      <c r="P189" s="23" t="n">
        <v>24244.72</v>
      </c>
      <c r="Q189" s="12" t="inlineStr">
        <is>
          <t>0.00500000</t>
        </is>
      </c>
      <c r="R189" s="12">
        <f>ROUND(P189*Q189,2)</f>
        <v>121.22</v>
      </c>
      <c r="S189" s="12">
        <f>MIN(MAX(R189-J189,0),O189)</f>
        <v>0.00</v>
      </c>
      <c r="T189" s="12">
        <f>O189-S189</f>
        <v>0.0</v>
      </c>
      <c r="U189" s="12">
        <f>N189-T189</f>
        <v>23465.7</v>
      </c>
      <c r="V189" s="12" t="inlineStr">
        <is>
          <t>24244.72 x 0.0600 x 30/360 = 121.22</t>
        </is>
      </c>
      <c r="W189" s="12" t="inlineStr">
        <is>
          <t>PROJECTED-Debt reference 001 176</t>
        </is>
      </c>
      <c r="X189" s="12" t="inlineStr">
        <is>
          <t>Not applicable no issuance cost</t>
        </is>
      </c>
    </row>
    <row r="190" ht="15" customHeight="1" s="13">
      <c r="A190" s="12" t="inlineStr">
        <is>
          <t>Debt reference 001</t>
        </is>
      </c>
      <c r="B190" s="12" t="inlineStr">
        <is>
          <t>189</t>
        </is>
      </c>
      <c r="C190" s="22" t="n">
        <v>51380</v>
      </c>
      <c r="D190" s="22" t="n">
        <v>51409</v>
      </c>
      <c r="E190" s="22" t="n">
        <v>51409</v>
      </c>
      <c r="F190" s="23" t="n">
        <v>23465.7</v>
      </c>
      <c r="G190" s="12" t="inlineStr">
        <is>
          <t>0.0600</t>
        </is>
      </c>
      <c r="H190" s="12" t="inlineStr">
        <is>
          <t>30</t>
        </is>
      </c>
      <c r="I190" s="12" t="inlineStr">
        <is>
          <t>360</t>
        </is>
      </c>
      <c r="J190" s="12">
        <f>ROUND(F190*G190*H190/I190,2)</f>
        <v>117.33</v>
      </c>
      <c r="K190" s="23" t="n">
        <v>782.91</v>
      </c>
      <c r="L190" s="23" t="n">
        <v>0</v>
      </c>
      <c r="M190" s="12">
        <f>SUM(J190:L190)</f>
        <v>900.24</v>
      </c>
      <c r="N190" s="23" t="n">
        <v>22682.79</v>
      </c>
      <c r="O190" s="23" t="n">
        <v>0</v>
      </c>
      <c r="P190" s="23" t="n">
        <v>23465.7</v>
      </c>
      <c r="Q190" s="12" t="inlineStr">
        <is>
          <t>0.00500000</t>
        </is>
      </c>
      <c r="R190" s="12">
        <f>ROUND(P190*Q190,2)</f>
        <v>117.33</v>
      </c>
      <c r="S190" s="12">
        <f>MIN(MAX(R190-J190,0),O190)</f>
        <v>0.00</v>
      </c>
      <c r="T190" s="12">
        <f>O190-S190</f>
        <v>0.0</v>
      </c>
      <c r="U190" s="12">
        <f>N190-T190</f>
        <v>22682.79</v>
      </c>
      <c r="V190" s="12" t="inlineStr">
        <is>
          <t>23465.70 x 0.0600 x 30/360 = 117.33</t>
        </is>
      </c>
      <c r="W190" s="12" t="inlineStr">
        <is>
          <t>PROJECTED-Debt reference 001 177</t>
        </is>
      </c>
      <c r="X190" s="12" t="inlineStr">
        <is>
          <t>Not applicable no issuance cost</t>
        </is>
      </c>
    </row>
    <row r="191" ht="15" customHeight="1" s="13">
      <c r="A191" s="12" t="inlineStr">
        <is>
          <t>Debt reference 001</t>
        </is>
      </c>
      <c r="B191" s="12" t="inlineStr">
        <is>
          <t>190</t>
        </is>
      </c>
      <c r="C191" s="22" t="n">
        <v>51410</v>
      </c>
      <c r="D191" s="22" t="n">
        <v>51440</v>
      </c>
      <c r="E191" s="22" t="n">
        <v>51440</v>
      </c>
      <c r="F191" s="23" t="n">
        <v>22682.79</v>
      </c>
      <c r="G191" s="12" t="inlineStr">
        <is>
          <t>0.0600</t>
        </is>
      </c>
      <c r="H191" s="12" t="inlineStr">
        <is>
          <t>30</t>
        </is>
      </c>
      <c r="I191" s="12" t="inlineStr">
        <is>
          <t>360</t>
        </is>
      </c>
      <c r="J191" s="12">
        <f>ROUND(F191*G191*H191/I191,2)</f>
        <v>113.41</v>
      </c>
      <c r="K191" s="23" t="n">
        <v>786.83</v>
      </c>
      <c r="L191" s="23" t="n">
        <v>0</v>
      </c>
      <c r="M191" s="12">
        <f>SUM(J191:L191)</f>
        <v>900.24</v>
      </c>
      <c r="N191" s="23" t="n">
        <v>21895.96</v>
      </c>
      <c r="O191" s="23" t="n">
        <v>0</v>
      </c>
      <c r="P191" s="23" t="n">
        <v>22682.79</v>
      </c>
      <c r="Q191" s="12" t="inlineStr">
        <is>
          <t>0.00500000</t>
        </is>
      </c>
      <c r="R191" s="12">
        <f>ROUND(P191*Q191,2)</f>
        <v>113.41</v>
      </c>
      <c r="S191" s="12">
        <f>MIN(MAX(R191-J191,0),O191)</f>
        <v>0.00</v>
      </c>
      <c r="T191" s="12">
        <f>O191-S191</f>
        <v>0.0</v>
      </c>
      <c r="U191" s="12">
        <f>N191-T191</f>
        <v>21895.96</v>
      </c>
      <c r="V191" s="12" t="inlineStr">
        <is>
          <t>22682.79 x 0.0600 x 30/360 = 113.41</t>
        </is>
      </c>
      <c r="W191" s="12" t="inlineStr">
        <is>
          <t>PROJECTED-Debt reference 001 178</t>
        </is>
      </c>
      <c r="X191" s="12" t="inlineStr">
        <is>
          <t>Not applicable no issuance cost</t>
        </is>
      </c>
    </row>
    <row r="192" ht="15" customHeight="1" s="13">
      <c r="A192" s="12" t="inlineStr">
        <is>
          <t>Debt reference 001</t>
        </is>
      </c>
      <c r="B192" s="12" t="inlineStr">
        <is>
          <t>191</t>
        </is>
      </c>
      <c r="C192" s="22" t="n">
        <v>51441</v>
      </c>
      <c r="D192" s="22" t="n">
        <v>51470</v>
      </c>
      <c r="E192" s="22" t="n">
        <v>51470</v>
      </c>
      <c r="F192" s="23" t="n">
        <v>21895.96</v>
      </c>
      <c r="G192" s="12" t="inlineStr">
        <is>
          <t>0.0600</t>
        </is>
      </c>
      <c r="H192" s="12" t="inlineStr">
        <is>
          <t>30</t>
        </is>
      </c>
      <c r="I192" s="12" t="inlineStr">
        <is>
          <t>360</t>
        </is>
      </c>
      <c r="J192" s="12">
        <f>ROUND(F192*G192*H192/I192,2)</f>
        <v>109.48</v>
      </c>
      <c r="K192" s="23" t="n">
        <v>790.76</v>
      </c>
      <c r="L192" s="23" t="n">
        <v>0</v>
      </c>
      <c r="M192" s="12">
        <f>SUM(J192:L192)</f>
        <v>900.24</v>
      </c>
      <c r="N192" s="23" t="n">
        <v>21105.2</v>
      </c>
      <c r="O192" s="23" t="n">
        <v>0</v>
      </c>
      <c r="P192" s="23" t="n">
        <v>21895.96</v>
      </c>
      <c r="Q192" s="12" t="inlineStr">
        <is>
          <t>0.00500000</t>
        </is>
      </c>
      <c r="R192" s="12">
        <f>ROUND(P192*Q192,2)</f>
        <v>109.48</v>
      </c>
      <c r="S192" s="12">
        <f>MIN(MAX(R192-J192,0),O192)</f>
        <v>0.00</v>
      </c>
      <c r="T192" s="12">
        <f>O192-S192</f>
        <v>0.0</v>
      </c>
      <c r="U192" s="12">
        <f>N192-T192</f>
        <v>21105.2</v>
      </c>
      <c r="V192" s="12" t="inlineStr">
        <is>
          <t>21895.96 x 0.0600 x 30/360 = 109.48</t>
        </is>
      </c>
      <c r="W192" s="12" t="inlineStr">
        <is>
          <t>PROJECTED-Debt reference 001 179</t>
        </is>
      </c>
      <c r="X192" s="12" t="inlineStr">
        <is>
          <t>Not applicable no issuance cost</t>
        </is>
      </c>
    </row>
    <row r="193" ht="15" customHeight="1" s="13">
      <c r="A193" s="12" t="inlineStr">
        <is>
          <t>Debt reference 001</t>
        </is>
      </c>
      <c r="B193" s="12" t="inlineStr">
        <is>
          <t>192</t>
        </is>
      </c>
      <c r="C193" s="22" t="n">
        <v>51471</v>
      </c>
      <c r="D193" s="22" t="n">
        <v>51501</v>
      </c>
      <c r="E193" s="22" t="n">
        <v>51501</v>
      </c>
      <c r="F193" s="23" t="n">
        <v>21105.2</v>
      </c>
      <c r="G193" s="12" t="inlineStr">
        <is>
          <t>0.0600</t>
        </is>
      </c>
      <c r="H193" s="12" t="inlineStr">
        <is>
          <t>30</t>
        </is>
      </c>
      <c r="I193" s="12" t="inlineStr">
        <is>
          <t>360</t>
        </is>
      </c>
      <c r="J193" s="12">
        <f>ROUND(F193*G193*H193/I193,2)</f>
        <v>105.53</v>
      </c>
      <c r="K193" s="23" t="n">
        <v>794.71</v>
      </c>
      <c r="L193" s="23" t="n">
        <v>0</v>
      </c>
      <c r="M193" s="12">
        <f>SUM(J193:L193)</f>
        <v>900.24</v>
      </c>
      <c r="N193" s="23" t="n">
        <v>20310.49</v>
      </c>
      <c r="O193" s="23" t="n">
        <v>0</v>
      </c>
      <c r="P193" s="23" t="n">
        <v>21105.2</v>
      </c>
      <c r="Q193" s="12" t="inlineStr">
        <is>
          <t>0.00500000</t>
        </is>
      </c>
      <c r="R193" s="12">
        <f>ROUND(P193*Q193,2)</f>
        <v>105.53</v>
      </c>
      <c r="S193" s="12">
        <f>MIN(MAX(R193-J193,0),O193)</f>
        <v>0.00</v>
      </c>
      <c r="T193" s="12">
        <f>O193-S193</f>
        <v>0.0</v>
      </c>
      <c r="U193" s="12">
        <f>N193-T193</f>
        <v>20310.49</v>
      </c>
      <c r="V193" s="12" t="inlineStr">
        <is>
          <t>21105.20 x 0.0600 x 30/360 = 105.53</t>
        </is>
      </c>
      <c r="W193" s="12" t="inlineStr">
        <is>
          <t>PROJECTED-Debt reference 001 180</t>
        </is>
      </c>
      <c r="X193" s="12" t="inlineStr">
        <is>
          <t>Not applicable no issuance cost</t>
        </is>
      </c>
    </row>
    <row r="194" ht="15" customHeight="1" s="13">
      <c r="A194" s="12" t="inlineStr">
        <is>
          <t>Debt reference 001</t>
        </is>
      </c>
      <c r="B194" s="12" t="inlineStr">
        <is>
          <t>193</t>
        </is>
      </c>
      <c r="C194" s="22" t="n">
        <v>51502</v>
      </c>
      <c r="D194" s="22" t="n">
        <v>51532</v>
      </c>
      <c r="E194" s="22" t="n">
        <v>51532</v>
      </c>
      <c r="F194" s="23" t="n">
        <v>20310.49</v>
      </c>
      <c r="G194" s="12" t="inlineStr">
        <is>
          <t>0.0600</t>
        </is>
      </c>
      <c r="H194" s="12" t="inlineStr">
        <is>
          <t>30</t>
        </is>
      </c>
      <c r="I194" s="12" t="inlineStr">
        <is>
          <t>360</t>
        </is>
      </c>
      <c r="J194" s="12">
        <f>ROUND(F194*G194*H194/I194,2)</f>
        <v>101.55</v>
      </c>
      <c r="K194" s="23" t="n">
        <v>798.6900000000001</v>
      </c>
      <c r="L194" s="23" t="n">
        <v>0</v>
      </c>
      <c r="M194" s="12">
        <f>SUM(J194:L194)</f>
        <v>900.24</v>
      </c>
      <c r="N194" s="23" t="n">
        <v>19511.8</v>
      </c>
      <c r="O194" s="23" t="n">
        <v>0</v>
      </c>
      <c r="P194" s="23" t="n">
        <v>20310.49</v>
      </c>
      <c r="Q194" s="12" t="inlineStr">
        <is>
          <t>0.00500000</t>
        </is>
      </c>
      <c r="R194" s="12">
        <f>ROUND(P194*Q194,2)</f>
        <v>101.55</v>
      </c>
      <c r="S194" s="12">
        <f>MIN(MAX(R194-J194,0),O194)</f>
        <v>0.00</v>
      </c>
      <c r="T194" s="12">
        <f>O194-S194</f>
        <v>0.0</v>
      </c>
      <c r="U194" s="12">
        <f>N194-T194</f>
        <v>19511.8</v>
      </c>
      <c r="V194" s="12" t="inlineStr">
        <is>
          <t>20310.49 x 0.0600 x 30/360 = 101.55</t>
        </is>
      </c>
      <c r="W194" s="12" t="inlineStr">
        <is>
          <t>PROJECTED-Debt reference 001 181</t>
        </is>
      </c>
      <c r="X194" s="12" t="inlineStr">
        <is>
          <t>Not applicable no issuance cost</t>
        </is>
      </c>
    </row>
    <row r="195" ht="15" customHeight="1" s="13">
      <c r="A195" s="12" t="inlineStr">
        <is>
          <t>Debt reference 001</t>
        </is>
      </c>
      <c r="B195" s="12" t="inlineStr">
        <is>
          <t>194</t>
        </is>
      </c>
      <c r="C195" s="22" t="n">
        <v>51533</v>
      </c>
      <c r="D195" s="22" t="n">
        <v>51560</v>
      </c>
      <c r="E195" s="22" t="n">
        <v>51560</v>
      </c>
      <c r="F195" s="23" t="n">
        <v>19511.8</v>
      </c>
      <c r="G195" s="12" t="inlineStr">
        <is>
          <t>0.0600</t>
        </is>
      </c>
      <c r="H195" s="12" t="inlineStr">
        <is>
          <t>30</t>
        </is>
      </c>
      <c r="I195" s="12" t="inlineStr">
        <is>
          <t>360</t>
        </is>
      </c>
      <c r="J195" s="12">
        <f>ROUND(F195*G195*H195/I195,2)</f>
        <v>97.56</v>
      </c>
      <c r="K195" s="23" t="n">
        <v>802.6799999999999</v>
      </c>
      <c r="L195" s="23" t="n">
        <v>0</v>
      </c>
      <c r="M195" s="12">
        <f>SUM(J195:L195)</f>
        <v>900.24</v>
      </c>
      <c r="N195" s="23" t="n">
        <v>18709.12</v>
      </c>
      <c r="O195" s="23" t="n">
        <v>0</v>
      </c>
      <c r="P195" s="23" t="n">
        <v>19511.8</v>
      </c>
      <c r="Q195" s="12" t="inlineStr">
        <is>
          <t>0.00500000</t>
        </is>
      </c>
      <c r="R195" s="12">
        <f>ROUND(P195*Q195,2)</f>
        <v>97.56</v>
      </c>
      <c r="S195" s="12">
        <f>MIN(MAX(R195-J195,0),O195)</f>
        <v>0.00</v>
      </c>
      <c r="T195" s="12">
        <f>O195-S195</f>
        <v>0.0</v>
      </c>
      <c r="U195" s="12">
        <f>N195-T195</f>
        <v>18709.12</v>
      </c>
      <c r="V195" s="12" t="inlineStr">
        <is>
          <t>19511.80 x 0.0600 x 30/360 = 97.56</t>
        </is>
      </c>
      <c r="W195" s="12" t="inlineStr">
        <is>
          <t>PROJECTED-Debt reference 001 182</t>
        </is>
      </c>
      <c r="X195" s="12" t="inlineStr">
        <is>
          <t>Not applicable no issuance cost</t>
        </is>
      </c>
    </row>
    <row r="196" ht="15" customHeight="1" s="13">
      <c r="A196" s="12" t="inlineStr">
        <is>
          <t>Debt reference 001</t>
        </is>
      </c>
      <c r="B196" s="12" t="inlineStr">
        <is>
          <t>195</t>
        </is>
      </c>
      <c r="C196" s="22" t="n">
        <v>51561</v>
      </c>
      <c r="D196" s="22" t="n">
        <v>51591</v>
      </c>
      <c r="E196" s="22" t="n">
        <v>51591</v>
      </c>
      <c r="F196" s="23" t="n">
        <v>18709.12</v>
      </c>
      <c r="G196" s="12" t="inlineStr">
        <is>
          <t>0.0600</t>
        </is>
      </c>
      <c r="H196" s="12" t="inlineStr">
        <is>
          <t>30</t>
        </is>
      </c>
      <c r="I196" s="12" t="inlineStr">
        <is>
          <t>360</t>
        </is>
      </c>
      <c r="J196" s="12">
        <f>ROUND(F196*G196*H196/I196,2)</f>
        <v>93.55</v>
      </c>
      <c r="K196" s="23" t="n">
        <v>806.6900000000001</v>
      </c>
      <c r="L196" s="23" t="n">
        <v>0</v>
      </c>
      <c r="M196" s="12">
        <f>SUM(J196:L196)</f>
        <v>900.24</v>
      </c>
      <c r="N196" s="23" t="n">
        <v>17902.43</v>
      </c>
      <c r="O196" s="23" t="n">
        <v>0</v>
      </c>
      <c r="P196" s="23" t="n">
        <v>18709.12</v>
      </c>
      <c r="Q196" s="12" t="inlineStr">
        <is>
          <t>0.00500000</t>
        </is>
      </c>
      <c r="R196" s="12">
        <f>ROUND(P196*Q196,2)</f>
        <v>93.55</v>
      </c>
      <c r="S196" s="12">
        <f>MIN(MAX(R196-J196,0),O196)</f>
        <v>0.00</v>
      </c>
      <c r="T196" s="12">
        <f>O196-S196</f>
        <v>0.0</v>
      </c>
      <c r="U196" s="12">
        <f>N196-T196</f>
        <v>17902.43</v>
      </c>
      <c r="V196" s="12" t="inlineStr">
        <is>
          <t>18709.12 x 0.0600 x 30/360 = 93.55</t>
        </is>
      </c>
      <c r="W196" s="12" t="inlineStr">
        <is>
          <t>PROJECTED-Debt reference 001 183</t>
        </is>
      </c>
      <c r="X196" s="12" t="inlineStr">
        <is>
          <t>Not applicable no issuance cost</t>
        </is>
      </c>
    </row>
    <row r="197" ht="15" customHeight="1" s="13">
      <c r="A197" s="12" t="inlineStr">
        <is>
          <t>Debt reference 001</t>
        </is>
      </c>
      <c r="B197" s="12" t="inlineStr">
        <is>
          <t>196</t>
        </is>
      </c>
      <c r="C197" s="22" t="n">
        <v>51592</v>
      </c>
      <c r="D197" s="22" t="n">
        <v>51621</v>
      </c>
      <c r="E197" s="22" t="n">
        <v>51621</v>
      </c>
      <c r="F197" s="23" t="n">
        <v>17902.43</v>
      </c>
      <c r="G197" s="12" t="inlineStr">
        <is>
          <t>0.0600</t>
        </is>
      </c>
      <c r="H197" s="12" t="inlineStr">
        <is>
          <t>30</t>
        </is>
      </c>
      <c r="I197" s="12" t="inlineStr">
        <is>
          <t>360</t>
        </is>
      </c>
      <c r="J197" s="12">
        <f>ROUND(F197*G197*H197/I197,2)</f>
        <v>89.51</v>
      </c>
      <c r="K197" s="23" t="n">
        <v>810.73</v>
      </c>
      <c r="L197" s="23" t="n">
        <v>0</v>
      </c>
      <c r="M197" s="12">
        <f>SUM(J197:L197)</f>
        <v>900.24</v>
      </c>
      <c r="N197" s="23" t="n">
        <v>17091.7</v>
      </c>
      <c r="O197" s="23" t="n">
        <v>0</v>
      </c>
      <c r="P197" s="23" t="n">
        <v>17902.43</v>
      </c>
      <c r="Q197" s="12" t="inlineStr">
        <is>
          <t>0.00500000</t>
        </is>
      </c>
      <c r="R197" s="12">
        <f>ROUND(P197*Q197,2)</f>
        <v>89.51</v>
      </c>
      <c r="S197" s="12">
        <f>MIN(MAX(R197-J197,0),O197)</f>
        <v>0.00</v>
      </c>
      <c r="T197" s="12">
        <f>O197-S197</f>
        <v>0.0</v>
      </c>
      <c r="U197" s="12">
        <f>N197-T197</f>
        <v>17091.7</v>
      </c>
      <c r="V197" s="12" t="inlineStr">
        <is>
          <t>17902.43 x 0.0600 x 30/360 = 89.51</t>
        </is>
      </c>
      <c r="W197" s="12" t="inlineStr">
        <is>
          <t>PROJECTED-Debt reference 001 184</t>
        </is>
      </c>
      <c r="X197" s="12" t="inlineStr">
        <is>
          <t>Not applicable no issuance cost</t>
        </is>
      </c>
    </row>
    <row r="198" ht="15" customHeight="1" s="13">
      <c r="A198" s="12" t="inlineStr">
        <is>
          <t>Debt reference 001</t>
        </is>
      </c>
      <c r="B198" s="12" t="inlineStr">
        <is>
          <t>197</t>
        </is>
      </c>
      <c r="C198" s="22" t="n">
        <v>51622</v>
      </c>
      <c r="D198" s="22" t="n">
        <v>51652</v>
      </c>
      <c r="E198" s="22" t="n">
        <v>51652</v>
      </c>
      <c r="F198" s="23" t="n">
        <v>17091.7</v>
      </c>
      <c r="G198" s="12" t="inlineStr">
        <is>
          <t>0.0600</t>
        </is>
      </c>
      <c r="H198" s="12" t="inlineStr">
        <is>
          <t>30</t>
        </is>
      </c>
      <c r="I198" s="12" t="inlineStr">
        <is>
          <t>360</t>
        </is>
      </c>
      <c r="J198" s="12">
        <f>ROUND(F198*G198*H198/I198,2)</f>
        <v>85.46</v>
      </c>
      <c r="K198" s="23" t="n">
        <v>814.78</v>
      </c>
      <c r="L198" s="23" t="n">
        <v>0</v>
      </c>
      <c r="M198" s="12">
        <f>SUM(J198:L198)</f>
        <v>900.24</v>
      </c>
      <c r="N198" s="23" t="n">
        <v>16276.92</v>
      </c>
      <c r="O198" s="23" t="n">
        <v>0</v>
      </c>
      <c r="P198" s="23" t="n">
        <v>17091.7</v>
      </c>
      <c r="Q198" s="12" t="inlineStr">
        <is>
          <t>0.00500000</t>
        </is>
      </c>
      <c r="R198" s="12">
        <f>ROUND(P198*Q198,2)</f>
        <v>85.46</v>
      </c>
      <c r="S198" s="12">
        <f>MIN(MAX(R198-J198,0),O198)</f>
        <v>0.00</v>
      </c>
      <c r="T198" s="12">
        <f>O198-S198</f>
        <v>0.0</v>
      </c>
      <c r="U198" s="12">
        <f>N198-T198</f>
        <v>16276.92</v>
      </c>
      <c r="V198" s="12" t="inlineStr">
        <is>
          <t>17091.70 x 0.0600 x 30/360 = 85.46</t>
        </is>
      </c>
      <c r="W198" s="12" t="inlineStr">
        <is>
          <t>PROJECTED-Debt reference 001 185</t>
        </is>
      </c>
      <c r="X198" s="12" t="inlineStr">
        <is>
          <t>Not applicable no issuance cost</t>
        </is>
      </c>
    </row>
    <row r="199" ht="15" customHeight="1" s="13">
      <c r="A199" s="12" t="inlineStr">
        <is>
          <t>Debt reference 001</t>
        </is>
      </c>
      <c r="B199" s="12" t="inlineStr">
        <is>
          <t>198</t>
        </is>
      </c>
      <c r="C199" s="22" t="n">
        <v>51653</v>
      </c>
      <c r="D199" s="22" t="n">
        <v>51682</v>
      </c>
      <c r="E199" s="22" t="n">
        <v>51682</v>
      </c>
      <c r="F199" s="23" t="n">
        <v>16276.92</v>
      </c>
      <c r="G199" s="12" t="inlineStr">
        <is>
          <t>0.0600</t>
        </is>
      </c>
      <c r="H199" s="12" t="inlineStr">
        <is>
          <t>30</t>
        </is>
      </c>
      <c r="I199" s="12" t="inlineStr">
        <is>
          <t>360</t>
        </is>
      </c>
      <c r="J199" s="12">
        <f>ROUND(F199*G199*H199/I199,2)</f>
        <v>81.38</v>
      </c>
      <c r="K199" s="23" t="n">
        <v>818.86</v>
      </c>
      <c r="L199" s="23" t="n">
        <v>0</v>
      </c>
      <c r="M199" s="12">
        <f>SUM(J199:L199)</f>
        <v>900.24</v>
      </c>
      <c r="N199" s="23" t="n">
        <v>15458.06</v>
      </c>
      <c r="O199" s="23" t="n">
        <v>0</v>
      </c>
      <c r="P199" s="23" t="n">
        <v>16276.92</v>
      </c>
      <c r="Q199" s="12" t="inlineStr">
        <is>
          <t>0.00500000</t>
        </is>
      </c>
      <c r="R199" s="12">
        <f>ROUND(P199*Q199,2)</f>
        <v>81.38</v>
      </c>
      <c r="S199" s="12">
        <f>MIN(MAX(R199-J199,0),O199)</f>
        <v>0.00</v>
      </c>
      <c r="T199" s="12">
        <f>O199-S199</f>
        <v>0.0</v>
      </c>
      <c r="U199" s="12">
        <f>N199-T199</f>
        <v>15458.06</v>
      </c>
      <c r="V199" s="12" t="inlineStr">
        <is>
          <t>16276.92 x 0.0600 x 30/360 = 81.38</t>
        </is>
      </c>
      <c r="W199" s="12" t="inlineStr">
        <is>
          <t>PROJECTED-Debt reference 001 186</t>
        </is>
      </c>
      <c r="X199" s="12" t="inlineStr">
        <is>
          <t>Not applicable no issuance cost</t>
        </is>
      </c>
    </row>
    <row r="200" ht="15" customHeight="1" s="13">
      <c r="A200" s="12" t="inlineStr">
        <is>
          <t>Debt reference 001</t>
        </is>
      </c>
      <c r="B200" s="12" t="inlineStr">
        <is>
          <t>199</t>
        </is>
      </c>
      <c r="C200" s="22" t="n">
        <v>51683</v>
      </c>
      <c r="D200" s="22" t="n">
        <v>51713</v>
      </c>
      <c r="E200" s="22" t="n">
        <v>51713</v>
      </c>
      <c r="F200" s="23" t="n">
        <v>15458.06</v>
      </c>
      <c r="G200" s="12" t="inlineStr">
        <is>
          <t>0.0600</t>
        </is>
      </c>
      <c r="H200" s="12" t="inlineStr">
        <is>
          <t>30</t>
        </is>
      </c>
      <c r="I200" s="12" t="inlineStr">
        <is>
          <t>360</t>
        </is>
      </c>
      <c r="J200" s="12">
        <f>ROUND(F200*G200*H200/I200,2)</f>
        <v>77.29</v>
      </c>
      <c r="K200" s="23" t="n">
        <v>822.95</v>
      </c>
      <c r="L200" s="23" t="n">
        <v>0</v>
      </c>
      <c r="M200" s="12">
        <f>SUM(J200:L200)</f>
        <v>900.24</v>
      </c>
      <c r="N200" s="23" t="n">
        <v>14635.11</v>
      </c>
      <c r="O200" s="23" t="n">
        <v>0</v>
      </c>
      <c r="P200" s="23" t="n">
        <v>15458.06</v>
      </c>
      <c r="Q200" s="12" t="inlineStr">
        <is>
          <t>0.00500000</t>
        </is>
      </c>
      <c r="R200" s="12">
        <f>ROUND(P200*Q200,2)</f>
        <v>77.29</v>
      </c>
      <c r="S200" s="12">
        <f>MIN(MAX(R200-J200,0),O200)</f>
        <v>0.00</v>
      </c>
      <c r="T200" s="12">
        <f>O200-S200</f>
        <v>0.0</v>
      </c>
      <c r="U200" s="12">
        <f>N200-T200</f>
        <v>14635.11</v>
      </c>
      <c r="V200" s="12" t="inlineStr">
        <is>
          <t>15458.06 x 0.0600 x 30/360 = 77.29</t>
        </is>
      </c>
      <c r="W200" s="12" t="inlineStr">
        <is>
          <t>PROJECTED-Debt reference 001 187</t>
        </is>
      </c>
      <c r="X200" s="12" t="inlineStr">
        <is>
          <t>Not applicable no issuance cost</t>
        </is>
      </c>
    </row>
    <row r="201" ht="15" customHeight="1" s="13">
      <c r="A201" s="12" t="inlineStr">
        <is>
          <t>Debt reference 001</t>
        </is>
      </c>
      <c r="B201" s="12" t="inlineStr">
        <is>
          <t>200</t>
        </is>
      </c>
      <c r="C201" s="22" t="n">
        <v>51714</v>
      </c>
      <c r="D201" s="22" t="n">
        <v>51744</v>
      </c>
      <c r="E201" s="22" t="n">
        <v>51744</v>
      </c>
      <c r="F201" s="23" t="n">
        <v>14635.11</v>
      </c>
      <c r="G201" s="12" t="inlineStr">
        <is>
          <t>0.0600</t>
        </is>
      </c>
      <c r="H201" s="12" t="inlineStr">
        <is>
          <t>30</t>
        </is>
      </c>
      <c r="I201" s="12" t="inlineStr">
        <is>
          <t>360</t>
        </is>
      </c>
      <c r="J201" s="12">
        <f>ROUND(F201*G201*H201/I201,2)</f>
        <v>73.18</v>
      </c>
      <c r="K201" s="23" t="n">
        <v>827.0599999999999</v>
      </c>
      <c r="L201" s="23" t="n">
        <v>0</v>
      </c>
      <c r="M201" s="12">
        <f>SUM(J201:L201)</f>
        <v>900.24</v>
      </c>
      <c r="N201" s="23" t="n">
        <v>13808.05</v>
      </c>
      <c r="O201" s="23" t="n">
        <v>0</v>
      </c>
      <c r="P201" s="23" t="n">
        <v>14635.11</v>
      </c>
      <c r="Q201" s="12" t="inlineStr">
        <is>
          <t>0.00500000</t>
        </is>
      </c>
      <c r="R201" s="12">
        <f>ROUND(P201*Q201,2)</f>
        <v>73.18</v>
      </c>
      <c r="S201" s="12">
        <f>MIN(MAX(R201-J201,0),O201)</f>
        <v>0.00</v>
      </c>
      <c r="T201" s="12">
        <f>O201-S201</f>
        <v>0.0</v>
      </c>
      <c r="U201" s="12">
        <f>N201-T201</f>
        <v>13808.05</v>
      </c>
      <c r="V201" s="12" t="inlineStr">
        <is>
          <t>14635.11 x 0.0600 x 30/360 = 73.18</t>
        </is>
      </c>
      <c r="W201" s="12" t="inlineStr">
        <is>
          <t>PROJECTED-Debt reference 001 188</t>
        </is>
      </c>
      <c r="X201" s="12" t="inlineStr">
        <is>
          <t>Not applicable no issuance cost</t>
        </is>
      </c>
    </row>
    <row r="202" ht="15" customHeight="1" s="13">
      <c r="A202" s="12" t="inlineStr">
        <is>
          <t>Debt reference 001</t>
        </is>
      </c>
      <c r="B202" s="12" t="inlineStr">
        <is>
          <t>201</t>
        </is>
      </c>
      <c r="C202" s="22" t="n">
        <v>51745</v>
      </c>
      <c r="D202" s="22" t="n">
        <v>51774</v>
      </c>
      <c r="E202" s="22" t="n">
        <v>51774</v>
      </c>
      <c r="F202" s="23" t="n">
        <v>13808.05</v>
      </c>
      <c r="G202" s="12" t="inlineStr">
        <is>
          <t>0.0600</t>
        </is>
      </c>
      <c r="H202" s="12" t="inlineStr">
        <is>
          <t>30</t>
        </is>
      </c>
      <c r="I202" s="12" t="inlineStr">
        <is>
          <t>360</t>
        </is>
      </c>
      <c r="J202" s="12">
        <f>ROUND(F202*G202*H202/I202,2)</f>
        <v>69.04</v>
      </c>
      <c r="K202" s="23" t="n">
        <v>831.2</v>
      </c>
      <c r="L202" s="23" t="n">
        <v>0</v>
      </c>
      <c r="M202" s="12">
        <f>SUM(J202:L202)</f>
        <v>900.24</v>
      </c>
      <c r="N202" s="23" t="n">
        <v>12976.85</v>
      </c>
      <c r="O202" s="23" t="n">
        <v>0</v>
      </c>
      <c r="P202" s="23" t="n">
        <v>13808.05</v>
      </c>
      <c r="Q202" s="12" t="inlineStr">
        <is>
          <t>0.00500000</t>
        </is>
      </c>
      <c r="R202" s="12">
        <f>ROUND(P202*Q202,2)</f>
        <v>69.04</v>
      </c>
      <c r="S202" s="12">
        <f>MIN(MAX(R202-J202,0),O202)</f>
        <v>0.00</v>
      </c>
      <c r="T202" s="12">
        <f>O202-S202</f>
        <v>0.0</v>
      </c>
      <c r="U202" s="12">
        <f>N202-T202</f>
        <v>12976.85</v>
      </c>
      <c r="V202" s="12" t="inlineStr">
        <is>
          <t>13808.05 x 0.0600 x 30/360 = 69.04</t>
        </is>
      </c>
      <c r="W202" s="12" t="inlineStr">
        <is>
          <t>PROJECTED-Debt reference 001 189</t>
        </is>
      </c>
      <c r="X202" s="12" t="inlineStr">
        <is>
          <t>Not applicable no issuance cost</t>
        </is>
      </c>
    </row>
    <row r="203" ht="15" customHeight="1" s="13">
      <c r="A203" s="12" t="inlineStr">
        <is>
          <t>Debt reference 001</t>
        </is>
      </c>
      <c r="B203" s="12" t="inlineStr">
        <is>
          <t>202</t>
        </is>
      </c>
      <c r="C203" s="22" t="n">
        <v>51775</v>
      </c>
      <c r="D203" s="22" t="n">
        <v>51805</v>
      </c>
      <c r="E203" s="22" t="n">
        <v>51805</v>
      </c>
      <c r="F203" s="23" t="n">
        <v>12976.85</v>
      </c>
      <c r="G203" s="12" t="inlineStr">
        <is>
          <t>0.0600</t>
        </is>
      </c>
      <c r="H203" s="12" t="inlineStr">
        <is>
          <t>30</t>
        </is>
      </c>
      <c r="I203" s="12" t="inlineStr">
        <is>
          <t>360</t>
        </is>
      </c>
      <c r="J203" s="12">
        <f>ROUND(F203*G203*H203/I203,2)</f>
        <v>64.88</v>
      </c>
      <c r="K203" s="23" t="n">
        <v>835.36</v>
      </c>
      <c r="L203" s="23" t="n">
        <v>0</v>
      </c>
      <c r="M203" s="12">
        <f>SUM(J203:L203)</f>
        <v>900.24</v>
      </c>
      <c r="N203" s="23" t="n">
        <v>12141.49</v>
      </c>
      <c r="O203" s="23" t="n">
        <v>0</v>
      </c>
      <c r="P203" s="23" t="n">
        <v>12976.85</v>
      </c>
      <c r="Q203" s="12" t="inlineStr">
        <is>
          <t>0.00500000</t>
        </is>
      </c>
      <c r="R203" s="12">
        <f>ROUND(P203*Q203,2)</f>
        <v>64.88</v>
      </c>
      <c r="S203" s="12">
        <f>MIN(MAX(R203-J203,0),O203)</f>
        <v>0.00</v>
      </c>
      <c r="T203" s="12">
        <f>O203-S203</f>
        <v>0.0</v>
      </c>
      <c r="U203" s="12">
        <f>N203-T203</f>
        <v>12141.49</v>
      </c>
      <c r="V203" s="12" t="inlineStr">
        <is>
          <t>12976.85 x 0.0600 x 30/360 = 64.88</t>
        </is>
      </c>
      <c r="W203" s="12" t="inlineStr">
        <is>
          <t>PROJECTED-Debt reference 001 190</t>
        </is>
      </c>
      <c r="X203" s="12" t="inlineStr">
        <is>
          <t>Not applicable no issuance cost</t>
        </is>
      </c>
    </row>
    <row r="204" ht="15" customHeight="1" s="13">
      <c r="A204" s="12" t="inlineStr">
        <is>
          <t>Debt reference 001</t>
        </is>
      </c>
      <c r="B204" s="12" t="inlineStr">
        <is>
          <t>203</t>
        </is>
      </c>
      <c r="C204" s="22" t="n">
        <v>51806</v>
      </c>
      <c r="D204" s="22" t="n">
        <v>51835</v>
      </c>
      <c r="E204" s="22" t="n">
        <v>51835</v>
      </c>
      <c r="F204" s="23" t="n">
        <v>12141.49</v>
      </c>
      <c r="G204" s="12" t="inlineStr">
        <is>
          <t>0.0600</t>
        </is>
      </c>
      <c r="H204" s="12" t="inlineStr">
        <is>
          <t>30</t>
        </is>
      </c>
      <c r="I204" s="12" t="inlineStr">
        <is>
          <t>360</t>
        </is>
      </c>
      <c r="J204" s="12">
        <f>ROUND(F204*G204*H204/I204,2)</f>
        <v>60.71</v>
      </c>
      <c r="K204" s="23" t="n">
        <v>839.53</v>
      </c>
      <c r="L204" s="23" t="n">
        <v>0</v>
      </c>
      <c r="M204" s="12">
        <f>SUM(J204:L204)</f>
        <v>900.24</v>
      </c>
      <c r="N204" s="23" t="n">
        <v>11301.96</v>
      </c>
      <c r="O204" s="23" t="n">
        <v>0</v>
      </c>
      <c r="P204" s="23" t="n">
        <v>12141.49</v>
      </c>
      <c r="Q204" s="12" t="inlineStr">
        <is>
          <t>0.00500000</t>
        </is>
      </c>
      <c r="R204" s="12">
        <f>ROUND(P204*Q204,2)</f>
        <v>60.71</v>
      </c>
      <c r="S204" s="12">
        <f>MIN(MAX(R204-J204,0),O204)</f>
        <v>0.00</v>
      </c>
      <c r="T204" s="12">
        <f>O204-S204</f>
        <v>0.0</v>
      </c>
      <c r="U204" s="12">
        <f>N204-T204</f>
        <v>11301.96</v>
      </c>
      <c r="V204" s="12" t="inlineStr">
        <is>
          <t>12141.49 x 0.0600 x 30/360 = 60.71</t>
        </is>
      </c>
      <c r="W204" s="12" t="inlineStr">
        <is>
          <t>PROJECTED-Debt reference 001 191</t>
        </is>
      </c>
      <c r="X204" s="12" t="inlineStr">
        <is>
          <t>Not applicable no issuance cost</t>
        </is>
      </c>
    </row>
    <row r="205" ht="15" customHeight="1" s="13">
      <c r="A205" s="12" t="inlineStr">
        <is>
          <t>Debt reference 001</t>
        </is>
      </c>
      <c r="B205" s="12" t="inlineStr">
        <is>
          <t>204</t>
        </is>
      </c>
      <c r="C205" s="22" t="n">
        <v>51836</v>
      </c>
      <c r="D205" s="22" t="n">
        <v>51866</v>
      </c>
      <c r="E205" s="22" t="n">
        <v>51866</v>
      </c>
      <c r="F205" s="23" t="n">
        <v>11301.96</v>
      </c>
      <c r="G205" s="12" t="inlineStr">
        <is>
          <t>0.0600</t>
        </is>
      </c>
      <c r="H205" s="12" t="inlineStr">
        <is>
          <t>30</t>
        </is>
      </c>
      <c r="I205" s="12" t="inlineStr">
        <is>
          <t>360</t>
        </is>
      </c>
      <c r="J205" s="12">
        <f>ROUND(F205*G205*H205/I205,2)</f>
        <v>56.51</v>
      </c>
      <c r="K205" s="23" t="n">
        <v>843.73</v>
      </c>
      <c r="L205" s="23" t="n">
        <v>0</v>
      </c>
      <c r="M205" s="12">
        <f>SUM(J205:L205)</f>
        <v>900.24</v>
      </c>
      <c r="N205" s="23" t="n">
        <v>10458.23</v>
      </c>
      <c r="O205" s="23" t="n">
        <v>0</v>
      </c>
      <c r="P205" s="23" t="n">
        <v>11301.96</v>
      </c>
      <c r="Q205" s="12" t="inlineStr">
        <is>
          <t>0.00500000</t>
        </is>
      </c>
      <c r="R205" s="12">
        <f>ROUND(P205*Q205,2)</f>
        <v>56.51</v>
      </c>
      <c r="S205" s="12">
        <f>MIN(MAX(R205-J205,0),O205)</f>
        <v>0.00</v>
      </c>
      <c r="T205" s="12">
        <f>O205-S205</f>
        <v>0.0</v>
      </c>
      <c r="U205" s="12">
        <f>N205-T205</f>
        <v>10458.23</v>
      </c>
      <c r="V205" s="12" t="inlineStr">
        <is>
          <t>11301.96 x 0.0600 x 30/360 = 56.51</t>
        </is>
      </c>
      <c r="W205" s="12" t="inlineStr">
        <is>
          <t>PROJECTED-Debt reference 001 192</t>
        </is>
      </c>
      <c r="X205" s="12" t="inlineStr">
        <is>
          <t>Not applicable no issuance cost</t>
        </is>
      </c>
    </row>
    <row r="206" ht="15" customHeight="1" s="13">
      <c r="A206" s="12" t="inlineStr">
        <is>
          <t>Debt reference 001</t>
        </is>
      </c>
      <c r="B206" s="12" t="inlineStr">
        <is>
          <t>205</t>
        </is>
      </c>
      <c r="C206" s="22" t="n">
        <v>51867</v>
      </c>
      <c r="D206" s="22" t="n">
        <v>51897</v>
      </c>
      <c r="E206" s="22" t="n">
        <v>51897</v>
      </c>
      <c r="F206" s="23" t="n">
        <v>10458.23</v>
      </c>
      <c r="G206" s="12" t="inlineStr">
        <is>
          <t>0.0600</t>
        </is>
      </c>
      <c r="H206" s="12" t="inlineStr">
        <is>
          <t>30</t>
        </is>
      </c>
      <c r="I206" s="12" t="inlineStr">
        <is>
          <t>360</t>
        </is>
      </c>
      <c r="J206" s="12">
        <f>ROUND(F206*G206*H206/I206,2)</f>
        <v>52.29</v>
      </c>
      <c r="K206" s="23" t="n">
        <v>847.95</v>
      </c>
      <c r="L206" s="23" t="n">
        <v>0</v>
      </c>
      <c r="M206" s="12">
        <f>SUM(J206:L206)</f>
        <v>900.24</v>
      </c>
      <c r="N206" s="23" t="n">
        <v>9610.280000000001</v>
      </c>
      <c r="O206" s="23" t="n">
        <v>0</v>
      </c>
      <c r="P206" s="23" t="n">
        <v>10458.23</v>
      </c>
      <c r="Q206" s="12" t="inlineStr">
        <is>
          <t>0.00500000</t>
        </is>
      </c>
      <c r="R206" s="12">
        <f>ROUND(P206*Q206,2)</f>
        <v>52.29</v>
      </c>
      <c r="S206" s="12">
        <f>MIN(MAX(R206-J206,0),O206)</f>
        <v>0.00</v>
      </c>
      <c r="T206" s="12">
        <f>O206-S206</f>
        <v>0.0</v>
      </c>
      <c r="U206" s="12">
        <f>N206-T206</f>
        <v>9610.28</v>
      </c>
      <c r="V206" s="12" t="inlineStr">
        <is>
          <t>10458.23 x 0.0600 x 30/360 = 52.29</t>
        </is>
      </c>
      <c r="W206" s="12" t="inlineStr">
        <is>
          <t>PROJECTED-Debt reference 001 193</t>
        </is>
      </c>
      <c r="X206" s="12" t="inlineStr">
        <is>
          <t>Not applicable no issuance cost</t>
        </is>
      </c>
    </row>
    <row r="207" ht="15" customHeight="1" s="13">
      <c r="A207" s="12" t="inlineStr">
        <is>
          <t>Debt reference 001</t>
        </is>
      </c>
      <c r="B207" s="12" t="inlineStr">
        <is>
          <t>206</t>
        </is>
      </c>
      <c r="C207" s="22" t="n">
        <v>51898</v>
      </c>
      <c r="D207" s="22" t="n">
        <v>51925</v>
      </c>
      <c r="E207" s="22" t="n">
        <v>51925</v>
      </c>
      <c r="F207" s="23" t="n">
        <v>9610.280000000001</v>
      </c>
      <c r="G207" s="12" t="inlineStr">
        <is>
          <t>0.0600</t>
        </is>
      </c>
      <c r="H207" s="12" t="inlineStr">
        <is>
          <t>30</t>
        </is>
      </c>
      <c r="I207" s="12" t="inlineStr">
        <is>
          <t>360</t>
        </is>
      </c>
      <c r="J207" s="12">
        <f>ROUND(F207*G207*H207/I207,2)</f>
        <v>48.05</v>
      </c>
      <c r="K207" s="23" t="n">
        <v>852.1900000000001</v>
      </c>
      <c r="L207" s="23" t="n">
        <v>0</v>
      </c>
      <c r="M207" s="12">
        <f>SUM(J207:L207)</f>
        <v>900.24</v>
      </c>
      <c r="N207" s="23" t="n">
        <v>8758.09</v>
      </c>
      <c r="O207" s="23" t="n">
        <v>0</v>
      </c>
      <c r="P207" s="23" t="n">
        <v>9610.280000000001</v>
      </c>
      <c r="Q207" s="12" t="inlineStr">
        <is>
          <t>0.00500000</t>
        </is>
      </c>
      <c r="R207" s="12">
        <f>ROUND(P207*Q207,2)</f>
        <v>48.05</v>
      </c>
      <c r="S207" s="12">
        <f>MIN(MAX(R207-J207,0),O207)</f>
        <v>0.00</v>
      </c>
      <c r="T207" s="12">
        <f>O207-S207</f>
        <v>0.0</v>
      </c>
      <c r="U207" s="12">
        <f>N207-T207</f>
        <v>8758.09</v>
      </c>
      <c r="V207" s="12" t="inlineStr">
        <is>
          <t>9610.28 x 0.0600 x 30/360 = 48.05</t>
        </is>
      </c>
      <c r="W207" s="12" t="inlineStr">
        <is>
          <t>PROJECTED-Debt reference 001 194</t>
        </is>
      </c>
      <c r="X207" s="12" t="inlineStr">
        <is>
          <t>Not applicable no issuance cost</t>
        </is>
      </c>
    </row>
    <row r="208" ht="15" customHeight="1" s="13">
      <c r="A208" s="12" t="inlineStr">
        <is>
          <t>Debt reference 001</t>
        </is>
      </c>
      <c r="B208" s="12" t="inlineStr">
        <is>
          <t>207</t>
        </is>
      </c>
      <c r="C208" s="22" t="n">
        <v>51926</v>
      </c>
      <c r="D208" s="22" t="n">
        <v>51956</v>
      </c>
      <c r="E208" s="22" t="n">
        <v>51956</v>
      </c>
      <c r="F208" s="23" t="n">
        <v>8758.09</v>
      </c>
      <c r="G208" s="12" t="inlineStr">
        <is>
          <t>0.0600</t>
        </is>
      </c>
      <c r="H208" s="12" t="inlineStr">
        <is>
          <t>30</t>
        </is>
      </c>
      <c r="I208" s="12" t="inlineStr">
        <is>
          <t>360</t>
        </is>
      </c>
      <c r="J208" s="12">
        <f>ROUND(F208*G208*H208/I208,2)</f>
        <v>43.79</v>
      </c>
      <c r="K208" s="23" t="n">
        <v>856.45</v>
      </c>
      <c r="L208" s="23" t="n">
        <v>0</v>
      </c>
      <c r="M208" s="12">
        <f>SUM(J208:L208)</f>
        <v>900.24</v>
      </c>
      <c r="N208" s="23" t="n">
        <v>7901.64</v>
      </c>
      <c r="O208" s="23" t="n">
        <v>0</v>
      </c>
      <c r="P208" s="23" t="n">
        <v>8758.09</v>
      </c>
      <c r="Q208" s="12" t="inlineStr">
        <is>
          <t>0.00500000</t>
        </is>
      </c>
      <c r="R208" s="12">
        <f>ROUND(P208*Q208,2)</f>
        <v>43.79</v>
      </c>
      <c r="S208" s="12">
        <f>MIN(MAX(R208-J208,0),O208)</f>
        <v>0.00</v>
      </c>
      <c r="T208" s="12">
        <f>O208-S208</f>
        <v>0.0</v>
      </c>
      <c r="U208" s="12">
        <f>N208-T208</f>
        <v>7901.64</v>
      </c>
      <c r="V208" s="12" t="inlineStr">
        <is>
          <t>8758.09 x 0.0600 x 30/360 = 43.79</t>
        </is>
      </c>
      <c r="W208" s="12" t="inlineStr">
        <is>
          <t>PROJECTED-Debt reference 001 195</t>
        </is>
      </c>
      <c r="X208" s="12" t="inlineStr">
        <is>
          <t>Not applicable no issuance cost</t>
        </is>
      </c>
    </row>
    <row r="209" ht="15" customHeight="1" s="13">
      <c r="A209" s="12" t="inlineStr">
        <is>
          <t>Debt reference 001</t>
        </is>
      </c>
      <c r="B209" s="12" t="inlineStr">
        <is>
          <t>208</t>
        </is>
      </c>
      <c r="C209" s="22" t="n">
        <v>51957</v>
      </c>
      <c r="D209" s="22" t="n">
        <v>51986</v>
      </c>
      <c r="E209" s="22" t="n">
        <v>51986</v>
      </c>
      <c r="F209" s="23" t="n">
        <v>7901.64</v>
      </c>
      <c r="G209" s="12" t="inlineStr">
        <is>
          <t>0.0600</t>
        </is>
      </c>
      <c r="H209" s="12" t="inlineStr">
        <is>
          <t>30</t>
        </is>
      </c>
      <c r="I209" s="12" t="inlineStr">
        <is>
          <t>360</t>
        </is>
      </c>
      <c r="J209" s="12">
        <f>ROUND(F209*G209*H209/I209,2)</f>
        <v>39.51</v>
      </c>
      <c r="K209" s="23" t="n">
        <v>860.73</v>
      </c>
      <c r="L209" s="23" t="n">
        <v>0</v>
      </c>
      <c r="M209" s="12">
        <f>SUM(J209:L209)</f>
        <v>900.24</v>
      </c>
      <c r="N209" s="23" t="n">
        <v>7040.91</v>
      </c>
      <c r="O209" s="23" t="n">
        <v>0</v>
      </c>
      <c r="P209" s="23" t="n">
        <v>7901.64</v>
      </c>
      <c r="Q209" s="12" t="inlineStr">
        <is>
          <t>0.00500000</t>
        </is>
      </c>
      <c r="R209" s="12">
        <f>ROUND(P209*Q209,2)</f>
        <v>39.51</v>
      </c>
      <c r="S209" s="12">
        <f>MIN(MAX(R209-J209,0),O209)</f>
        <v>0.00</v>
      </c>
      <c r="T209" s="12">
        <f>O209-S209</f>
        <v>0.0</v>
      </c>
      <c r="U209" s="12">
        <f>N209-T209</f>
        <v>7040.91</v>
      </c>
      <c r="V209" s="12" t="inlineStr">
        <is>
          <t>7901.64 x 0.0600 x 30/360 = 39.51</t>
        </is>
      </c>
      <c r="W209" s="12" t="inlineStr">
        <is>
          <t>PROJECTED-Debt reference 001 196</t>
        </is>
      </c>
      <c r="X209" s="12" t="inlineStr">
        <is>
          <t>Not applicable no issuance cost</t>
        </is>
      </c>
    </row>
    <row r="210" ht="15" customHeight="1" s="13">
      <c r="A210" s="12" t="inlineStr">
        <is>
          <t>Debt reference 001</t>
        </is>
      </c>
      <c r="B210" s="12" t="inlineStr">
        <is>
          <t>209</t>
        </is>
      </c>
      <c r="C210" s="22" t="n">
        <v>51987</v>
      </c>
      <c r="D210" s="22" t="n">
        <v>52017</v>
      </c>
      <c r="E210" s="22" t="n">
        <v>52017</v>
      </c>
      <c r="F210" s="23" t="n">
        <v>7040.91</v>
      </c>
      <c r="G210" s="12" t="inlineStr">
        <is>
          <t>0.0600</t>
        </is>
      </c>
      <c r="H210" s="12" t="inlineStr">
        <is>
          <t>30</t>
        </is>
      </c>
      <c r="I210" s="12" t="inlineStr">
        <is>
          <t>360</t>
        </is>
      </c>
      <c r="J210" s="12">
        <f>ROUND(F210*G210*H210/I210,2)</f>
        <v>35.20</v>
      </c>
      <c r="K210" s="23" t="n">
        <v>865.04</v>
      </c>
      <c r="L210" s="23" t="n">
        <v>0</v>
      </c>
      <c r="M210" s="12">
        <f>SUM(J210:L210)</f>
        <v>900.24</v>
      </c>
      <c r="N210" s="23" t="n">
        <v>6175.87</v>
      </c>
      <c r="O210" s="23" t="n">
        <v>0</v>
      </c>
      <c r="P210" s="23" t="n">
        <v>7040.91</v>
      </c>
      <c r="Q210" s="12" t="inlineStr">
        <is>
          <t>0.00500000</t>
        </is>
      </c>
      <c r="R210" s="12">
        <f>ROUND(P210*Q210,2)</f>
        <v>35.20</v>
      </c>
      <c r="S210" s="12">
        <f>MIN(MAX(R210-J210,0),O210)</f>
        <v>0.0</v>
      </c>
      <c r="T210" s="12">
        <f>O210-S210</f>
        <v>0.0</v>
      </c>
      <c r="U210" s="12">
        <f>N210-T210</f>
        <v>6175.87</v>
      </c>
      <c r="V210" s="12" t="inlineStr">
        <is>
          <t>7040.91 x 0.0600 x 30/360 = 35.20</t>
        </is>
      </c>
      <c r="W210" s="12" t="inlineStr">
        <is>
          <t>PROJECTED-Debt reference 001 197</t>
        </is>
      </c>
      <c r="X210" s="12" t="inlineStr">
        <is>
          <t>Not applicable no issuance cost</t>
        </is>
      </c>
    </row>
    <row r="211" ht="15" customHeight="1" s="13">
      <c r="A211" s="12" t="inlineStr">
        <is>
          <t>Debt reference 001</t>
        </is>
      </c>
      <c r="B211" s="12" t="inlineStr">
        <is>
          <t>210</t>
        </is>
      </c>
      <c r="C211" s="22" t="n">
        <v>52018</v>
      </c>
      <c r="D211" s="22" t="n">
        <v>52047</v>
      </c>
      <c r="E211" s="22" t="n">
        <v>52047</v>
      </c>
      <c r="F211" s="23" t="n">
        <v>6175.87</v>
      </c>
      <c r="G211" s="12" t="inlineStr">
        <is>
          <t>0.0600</t>
        </is>
      </c>
      <c r="H211" s="12" t="inlineStr">
        <is>
          <t>30</t>
        </is>
      </c>
      <c r="I211" s="12" t="inlineStr">
        <is>
          <t>360</t>
        </is>
      </c>
      <c r="J211" s="12">
        <f>ROUND(F211*G211*H211/I211,2)</f>
        <v>30.88</v>
      </c>
      <c r="K211" s="23" t="n">
        <v>869.36</v>
      </c>
      <c r="L211" s="23" t="n">
        <v>0</v>
      </c>
      <c r="M211" s="12">
        <f>SUM(J211:L211)</f>
        <v>900.24</v>
      </c>
      <c r="N211" s="23" t="n">
        <v>5306.51</v>
      </c>
      <c r="O211" s="23" t="n">
        <v>0</v>
      </c>
      <c r="P211" s="23" t="n">
        <v>6175.87</v>
      </c>
      <c r="Q211" s="12" t="inlineStr">
        <is>
          <t>0.00500000</t>
        </is>
      </c>
      <c r="R211" s="12">
        <f>ROUND(P211*Q211,2)</f>
        <v>30.88</v>
      </c>
      <c r="S211" s="12">
        <f>MIN(MAX(R211-J211,0),O211)</f>
        <v>0.00</v>
      </c>
      <c r="T211" s="12">
        <f>O211-S211</f>
        <v>0.0</v>
      </c>
      <c r="U211" s="12">
        <f>N211-T211</f>
        <v>5306.51</v>
      </c>
      <c r="V211" s="12" t="inlineStr">
        <is>
          <t>6175.87 x 0.0600 x 30/360 = 30.88</t>
        </is>
      </c>
      <c r="W211" s="12" t="inlineStr">
        <is>
          <t>PROJECTED-Debt reference 001 198</t>
        </is>
      </c>
      <c r="X211" s="12" t="inlineStr">
        <is>
          <t>Not applicable no issuance cost</t>
        </is>
      </c>
    </row>
    <row r="212" ht="15" customHeight="1" s="13">
      <c r="A212" s="12" t="inlineStr">
        <is>
          <t>Debt reference 001</t>
        </is>
      </c>
      <c r="B212" s="12" t="inlineStr">
        <is>
          <t>211</t>
        </is>
      </c>
      <c r="C212" s="22" t="n">
        <v>52048</v>
      </c>
      <c r="D212" s="22" t="n">
        <v>52078</v>
      </c>
      <c r="E212" s="22" t="n">
        <v>52078</v>
      </c>
      <c r="F212" s="23" t="n">
        <v>5306.51</v>
      </c>
      <c r="G212" s="12" t="inlineStr">
        <is>
          <t>0.0600</t>
        </is>
      </c>
      <c r="H212" s="12" t="inlineStr">
        <is>
          <t>30</t>
        </is>
      </c>
      <c r="I212" s="12" t="inlineStr">
        <is>
          <t>360</t>
        </is>
      </c>
      <c r="J212" s="12">
        <f>ROUND(F212*G212*H212/I212,2)</f>
        <v>26.53</v>
      </c>
      <c r="K212" s="23" t="n">
        <v>873.71</v>
      </c>
      <c r="L212" s="23" t="n">
        <v>0</v>
      </c>
      <c r="M212" s="12">
        <f>SUM(J212:L212)</f>
        <v>900.24</v>
      </c>
      <c r="N212" s="23" t="n">
        <v>4432.8</v>
      </c>
      <c r="O212" s="23" t="n">
        <v>0</v>
      </c>
      <c r="P212" s="23" t="n">
        <v>5306.51</v>
      </c>
      <c r="Q212" s="12" t="inlineStr">
        <is>
          <t>0.00500000</t>
        </is>
      </c>
      <c r="R212" s="12">
        <f>ROUND(P212*Q212,2)</f>
        <v>26.53</v>
      </c>
      <c r="S212" s="12">
        <f>MIN(MAX(R212-J212,0),O212)</f>
        <v>0.00</v>
      </c>
      <c r="T212" s="12">
        <f>O212-S212</f>
        <v>0.0</v>
      </c>
      <c r="U212" s="12">
        <f>N212-T212</f>
        <v>4432.8</v>
      </c>
      <c r="V212" s="12" t="inlineStr">
        <is>
          <t>5306.51 x 0.0600 x 30/360 = 26.53</t>
        </is>
      </c>
      <c r="W212" s="12" t="inlineStr">
        <is>
          <t>PROJECTED-Debt reference 001 199</t>
        </is>
      </c>
      <c r="X212" s="12" t="inlineStr">
        <is>
          <t>Not applicable no issuance cost</t>
        </is>
      </c>
    </row>
    <row r="213" ht="15" customHeight="1" s="13">
      <c r="A213" s="12" t="inlineStr">
        <is>
          <t>Debt reference 001</t>
        </is>
      </c>
      <c r="B213" s="12" t="inlineStr">
        <is>
          <t>212</t>
        </is>
      </c>
      <c r="C213" s="22" t="n">
        <v>52079</v>
      </c>
      <c r="D213" s="22" t="n">
        <v>52109</v>
      </c>
      <c r="E213" s="22" t="n">
        <v>52109</v>
      </c>
      <c r="F213" s="23" t="n">
        <v>4432.8</v>
      </c>
      <c r="G213" s="12" t="inlineStr">
        <is>
          <t>0.0600</t>
        </is>
      </c>
      <c r="H213" s="12" t="inlineStr">
        <is>
          <t>30</t>
        </is>
      </c>
      <c r="I213" s="12" t="inlineStr">
        <is>
          <t>360</t>
        </is>
      </c>
      <c r="J213" s="12">
        <f>ROUND(F213*G213*H213/I213,2)</f>
        <v>22.16</v>
      </c>
      <c r="K213" s="23" t="n">
        <v>878.08</v>
      </c>
      <c r="L213" s="23" t="n">
        <v>0</v>
      </c>
      <c r="M213" s="12">
        <f>SUM(J213:L213)</f>
        <v>900.24</v>
      </c>
      <c r="N213" s="23" t="n">
        <v>3554.72</v>
      </c>
      <c r="O213" s="23" t="n">
        <v>0</v>
      </c>
      <c r="P213" s="23" t="n">
        <v>4432.8</v>
      </c>
      <c r="Q213" s="12" t="inlineStr">
        <is>
          <t>0.00500000</t>
        </is>
      </c>
      <c r="R213" s="12">
        <f>ROUND(P213*Q213,2)</f>
        <v>22.16</v>
      </c>
      <c r="S213" s="12">
        <f>MIN(MAX(R213-J213,0),O213)</f>
        <v>0.00</v>
      </c>
      <c r="T213" s="12">
        <f>O213-S213</f>
        <v>0.0</v>
      </c>
      <c r="U213" s="12">
        <f>N213-T213</f>
        <v>3554.72</v>
      </c>
      <c r="V213" s="12" t="inlineStr">
        <is>
          <t>4432.80 x 0.0600 x 30/360 = 22.16</t>
        </is>
      </c>
      <c r="W213" s="12" t="inlineStr">
        <is>
          <t>PROJECTED-Debt reference 001 200</t>
        </is>
      </c>
      <c r="X213" s="12" t="inlineStr">
        <is>
          <t>Not applicable no issuance cost</t>
        </is>
      </c>
    </row>
    <row r="214" ht="15" customHeight="1" s="13">
      <c r="A214" s="12" t="inlineStr">
        <is>
          <t>Debt reference 001</t>
        </is>
      </c>
      <c r="B214" s="12" t="inlineStr">
        <is>
          <t>213</t>
        </is>
      </c>
      <c r="C214" s="22" t="n">
        <v>52110</v>
      </c>
      <c r="D214" s="22" t="n">
        <v>52139</v>
      </c>
      <c r="E214" s="22" t="n">
        <v>52139</v>
      </c>
      <c r="F214" s="23" t="n">
        <v>3554.72</v>
      </c>
      <c r="G214" s="12" t="inlineStr">
        <is>
          <t>0.0600</t>
        </is>
      </c>
      <c r="H214" s="12" t="inlineStr">
        <is>
          <t>30</t>
        </is>
      </c>
      <c r="I214" s="12" t="inlineStr">
        <is>
          <t>360</t>
        </is>
      </c>
      <c r="J214" s="12">
        <f>ROUND(F214*G214*H214/I214,2)</f>
        <v>17.77</v>
      </c>
      <c r="K214" s="23" t="n">
        <v>882.47</v>
      </c>
      <c r="L214" s="23" t="n">
        <v>0</v>
      </c>
      <c r="M214" s="12">
        <f>SUM(J214:L214)</f>
        <v>900.24</v>
      </c>
      <c r="N214" s="23" t="n">
        <v>2672.25</v>
      </c>
      <c r="O214" s="23" t="n">
        <v>0</v>
      </c>
      <c r="P214" s="23" t="n">
        <v>3554.72</v>
      </c>
      <c r="Q214" s="12" t="inlineStr">
        <is>
          <t>0.00500000</t>
        </is>
      </c>
      <c r="R214" s="12">
        <f>ROUND(P214*Q214,2)</f>
        <v>17.77</v>
      </c>
      <c r="S214" s="12">
        <f>MIN(MAX(R214-J214,0),O214)</f>
        <v>0.00</v>
      </c>
      <c r="T214" s="12">
        <f>O214-S214</f>
        <v>0.0</v>
      </c>
      <c r="U214" s="12">
        <f>N214-T214</f>
        <v>2672.25</v>
      </c>
      <c r="V214" s="12" t="inlineStr">
        <is>
          <t>3554.72 x 0.0600 x 30/360 = 17.77</t>
        </is>
      </c>
      <c r="W214" s="12" t="inlineStr">
        <is>
          <t>PROJECTED-Debt reference 001 201</t>
        </is>
      </c>
      <c r="X214" s="12" t="inlineStr">
        <is>
          <t>Not applicable no issuance cost</t>
        </is>
      </c>
    </row>
    <row r="215" ht="15" customHeight="1" s="13">
      <c r="A215" s="12" t="inlineStr">
        <is>
          <t>Debt reference 001</t>
        </is>
      </c>
      <c r="B215" s="12" t="inlineStr">
        <is>
          <t>214</t>
        </is>
      </c>
      <c r="C215" s="22" t="n">
        <v>52140</v>
      </c>
      <c r="D215" s="22" t="n">
        <v>52170</v>
      </c>
      <c r="E215" s="22" t="n">
        <v>52170</v>
      </c>
      <c r="F215" s="23" t="n">
        <v>2672.25</v>
      </c>
      <c r="G215" s="12" t="inlineStr">
        <is>
          <t>0.0600</t>
        </is>
      </c>
      <c r="H215" s="12" t="inlineStr">
        <is>
          <t>30</t>
        </is>
      </c>
      <c r="I215" s="12" t="inlineStr">
        <is>
          <t>360</t>
        </is>
      </c>
      <c r="J215" s="12">
        <f>ROUND(F215*G215*H215/I215,2)</f>
        <v>13.36</v>
      </c>
      <c r="K215" s="23" t="n">
        <v>886.88</v>
      </c>
      <c r="L215" s="23" t="n">
        <v>0</v>
      </c>
      <c r="M215" s="12">
        <f>SUM(J215:L215)</f>
        <v>900.24</v>
      </c>
      <c r="N215" s="23" t="n">
        <v>1785.37</v>
      </c>
      <c r="O215" s="23" t="n">
        <v>0</v>
      </c>
      <c r="P215" s="23" t="n">
        <v>2672.25</v>
      </c>
      <c r="Q215" s="12" t="inlineStr">
        <is>
          <t>0.00500000</t>
        </is>
      </c>
      <c r="R215" s="12">
        <f>ROUND(P215*Q215,2)</f>
        <v>13.36</v>
      </c>
      <c r="S215" s="12">
        <f>MIN(MAX(R215-J215,0),O215)</f>
        <v>0.00</v>
      </c>
      <c r="T215" s="12">
        <f>O215-S215</f>
        <v>0.0</v>
      </c>
      <c r="U215" s="12">
        <f>N215-T215</f>
        <v>1785.37</v>
      </c>
      <c r="V215" s="12" t="inlineStr">
        <is>
          <t>2672.25 x 0.0600 x 30/360 = 13.36</t>
        </is>
      </c>
      <c r="W215" s="12" t="inlineStr">
        <is>
          <t>PROJECTED-Debt reference 001 202</t>
        </is>
      </c>
      <c r="X215" s="12" t="inlineStr">
        <is>
          <t>Not applicable no issuance cost</t>
        </is>
      </c>
    </row>
    <row r="216" ht="15" customHeight="1" s="13">
      <c r="A216" s="12" t="inlineStr">
        <is>
          <t>Debt reference 001</t>
        </is>
      </c>
      <c r="B216" s="12" t="inlineStr">
        <is>
          <t>215</t>
        </is>
      </c>
      <c r="C216" s="22" t="n">
        <v>52171</v>
      </c>
      <c r="D216" s="22" t="n">
        <v>52200</v>
      </c>
      <c r="E216" s="22" t="n">
        <v>52200</v>
      </c>
      <c r="F216" s="23" t="n">
        <v>1785.37</v>
      </c>
      <c r="G216" s="12" t="inlineStr">
        <is>
          <t>0.0600</t>
        </is>
      </c>
      <c r="H216" s="12" t="inlineStr">
        <is>
          <t>30</t>
        </is>
      </c>
      <c r="I216" s="12" t="inlineStr">
        <is>
          <t>360</t>
        </is>
      </c>
      <c r="J216" s="12">
        <f>ROUND(F216*G216*H216/I216,2)</f>
        <v>8.93</v>
      </c>
      <c r="K216" s="23" t="n">
        <v>891.3099999999999</v>
      </c>
      <c r="L216" s="23" t="n">
        <v>0</v>
      </c>
      <c r="M216" s="12">
        <f>SUM(J216:L216)</f>
        <v>900.24</v>
      </c>
      <c r="N216" s="23" t="n">
        <v>894.0599999999999</v>
      </c>
      <c r="O216" s="23" t="n">
        <v>0</v>
      </c>
      <c r="P216" s="23" t="n">
        <v>1785.37</v>
      </c>
      <c r="Q216" s="12" t="inlineStr">
        <is>
          <t>0.00500000</t>
        </is>
      </c>
      <c r="R216" s="12">
        <f>ROUND(P216*Q216,2)</f>
        <v>8.93</v>
      </c>
      <c r="S216" s="12">
        <f>MIN(MAX(R216-J216,0),O216)</f>
        <v>0.00</v>
      </c>
      <c r="T216" s="12">
        <f>O216-S216</f>
        <v>0.0</v>
      </c>
      <c r="U216" s="12">
        <f>N216-T216</f>
        <v>894.06</v>
      </c>
      <c r="V216" s="12" t="inlineStr">
        <is>
          <t>1785.37 x 0.0600 x 30/360 = 8.93</t>
        </is>
      </c>
      <c r="W216" s="12" t="inlineStr">
        <is>
          <t>PROJECTED-Debt reference 001 203</t>
        </is>
      </c>
      <c r="X216" s="12" t="inlineStr">
        <is>
          <t>Not applicable no issuance cost</t>
        </is>
      </c>
    </row>
    <row r="217" ht="15" customHeight="1" s="13">
      <c r="A217" s="12" t="inlineStr">
        <is>
          <t>Debt reference 001</t>
        </is>
      </c>
      <c r="B217" s="12" t="inlineStr">
        <is>
          <t>216</t>
        </is>
      </c>
      <c r="C217" s="22" t="n">
        <v>52201</v>
      </c>
      <c r="D217" s="22" t="n">
        <v>52231</v>
      </c>
      <c r="E217" s="22" t="n">
        <v>52231</v>
      </c>
      <c r="F217" s="23" t="n">
        <v>894.0599999999999</v>
      </c>
      <c r="G217" s="12" t="inlineStr">
        <is>
          <t>0.0600</t>
        </is>
      </c>
      <c r="H217" s="12" t="inlineStr">
        <is>
          <t>30</t>
        </is>
      </c>
      <c r="I217" s="12" t="inlineStr">
        <is>
          <t>360</t>
        </is>
      </c>
      <c r="J217" s="12">
        <f>ROUND(F217*G217*H217/I217,2)</f>
        <v>4.47</v>
      </c>
      <c r="K217" s="23" t="n">
        <v>894.0599999999999</v>
      </c>
      <c r="L217" s="23" t="n">
        <v>0</v>
      </c>
      <c r="M217" s="12">
        <f>SUM(J217:L217)</f>
        <v>898.53</v>
      </c>
      <c r="N217" s="23" t="n">
        <v>0</v>
      </c>
      <c r="O217" s="23" t="n">
        <v>0</v>
      </c>
      <c r="P217" s="23" t="n">
        <v>894.0599999999999</v>
      </c>
      <c r="Q217" s="12" t="inlineStr">
        <is>
          <t>0.00500000</t>
        </is>
      </c>
      <c r="R217" s="12">
        <f>ROUND(P217*Q217,2)</f>
        <v>4.47</v>
      </c>
      <c r="S217" s="12">
        <f>MIN(MAX(R217-J217,0),O217)</f>
        <v>0.00</v>
      </c>
      <c r="T217" s="12">
        <f>O217-S217</f>
        <v>0.0</v>
      </c>
      <c r="U217" s="12">
        <f>N217-T217</f>
        <v>0.0</v>
      </c>
      <c r="V217" s="12" t="inlineStr">
        <is>
          <t>894.06 x 0.0600 x 30/360 = 4.47</t>
        </is>
      </c>
      <c r="W217" s="12" t="inlineStr">
        <is>
          <t>PROJECTED-Debt reference 001 204</t>
        </is>
      </c>
      <c r="X217" s="12" t="inlineStr">
        <is>
          <t>Not applicable no issuance cost</t>
        </is>
      </c>
    </row>
  </sheetData>
  <autoFilter ref="A1:X217"/>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P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2" min="1" max="5"/>
    <col width="13" customWidth="1" style="13" min="2" max="2"/>
    <col width="13" customWidth="1" style="13" min="3" max="3"/>
    <col width="13" customWidth="1" style="13" min="4" max="4"/>
    <col width="13" customWidth="1" style="13" min="5" max="5"/>
    <col width="14" customWidth="1" style="12" min="6" max="6"/>
    <col width="13" customWidth="1" style="12" min="7" max="7"/>
    <col width="10" customWidth="1" style="12" min="8" max="8"/>
    <col width="17" customWidth="1" style="12" min="9" max="9"/>
    <col width="11" customWidth="1" style="12" min="10" max="10"/>
    <col width="22" customWidth="1" style="12" min="11" max="11"/>
    <col width="12" customWidth="1" style="12" min="12" max="12"/>
    <col width="16" customWidth="1" style="12" min="13" max="13"/>
    <col width="24" customWidth="1" style="12" min="14" max="14"/>
    <col width="27" customWidth="1" style="12" min="15" max="15"/>
    <col width="17" customWidth="1" style="12" min="16" max="16"/>
  </cols>
  <sheetData>
    <row r="1" ht="17.35" customHeight="1" s="13">
      <c r="A1" s="14" t="inlineStr">
        <is>
          <t>Fee ID</t>
        </is>
      </c>
      <c r="B1" s="12" t="inlineStr">
        <is>
          <t>Loan</t>
        </is>
      </c>
      <c r="C1" s="12" t="inlineStr">
        <is>
          <t>Fee Type</t>
        </is>
      </c>
      <c r="D1" s="12" t="inlineStr">
        <is>
          <t>Payee</t>
        </is>
      </c>
      <c r="E1" s="12" t="inlineStr">
        <is>
          <t>Incurred</t>
        </is>
      </c>
      <c r="F1" s="12" t="inlineStr">
        <is>
          <t>Gross Amount</t>
        </is>
      </c>
      <c r="G1" s="12" t="inlineStr">
        <is>
          <t>Capitalized</t>
        </is>
      </c>
      <c r="H1" s="12" t="inlineStr">
        <is>
          <t>Expensed</t>
        </is>
      </c>
      <c r="I1" s="12" t="inlineStr">
        <is>
          <t>Opening Balance</t>
        </is>
      </c>
      <c r="J1" s="12" t="inlineStr">
        <is>
          <t>Additions</t>
        </is>
      </c>
      <c r="K1" s="12" t="inlineStr">
        <is>
          <t>Current Amortization</t>
        </is>
      </c>
      <c r="L1" s="12" t="inlineStr">
        <is>
          <t>Write-offs</t>
        </is>
      </c>
      <c r="M1" s="12" t="inlineStr">
        <is>
          <t>Ending Balance</t>
        </is>
      </c>
      <c r="N1" s="12" t="inlineStr">
        <is>
          <t>Composition Difference</t>
        </is>
      </c>
      <c r="O1" s="12" t="inlineStr">
        <is>
          <t>Invoice / Closing Support</t>
        </is>
      </c>
      <c r="P1" s="12" t="inlineStr">
        <is>
          <t>Evidence Status</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J1"/>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10" customWidth="1" style="12" min="1" max="1"/>
    <col width="15" customWidth="1" style="12" min="2" max="2"/>
    <col width="12" customWidth="1" style="12" min="3" max="3"/>
    <col width="18" customWidth="1" style="12" min="4" max="4"/>
    <col width="10" customWidth="1" style="12" min="5" max="5"/>
    <col width="23" customWidth="1" style="12" min="6" max="7"/>
    <col width="23" customWidth="1" style="13" min="7" max="7"/>
    <col width="12" customWidth="1" style="12" min="8" max="8"/>
    <col width="15" customWidth="1" style="12" min="9" max="9"/>
    <col width="12" customWidth="1" style="12" min="10" max="10"/>
  </cols>
  <sheetData>
    <row r="1" ht="17.35" customHeight="1" s="13">
      <c r="A1" s="14" t="inlineStr">
        <is>
          <t>Loan</t>
        </is>
      </c>
      <c r="B1" s="12" t="inlineStr">
        <is>
          <t>Facility Type</t>
        </is>
      </c>
      <c r="C1" s="12" t="inlineStr">
        <is>
          <t>Gross Debt</t>
        </is>
      </c>
      <c r="D1" s="12" t="inlineStr">
        <is>
          <t>Unamortized Cost</t>
        </is>
      </c>
      <c r="E1" s="12" t="inlineStr">
        <is>
          <t>Net Debt</t>
        </is>
      </c>
      <c r="F1" s="12" t="inlineStr">
        <is>
          <t>Recorded Presentation</t>
        </is>
      </c>
      <c r="G1" s="12" t="inlineStr">
        <is>
          <t>Required Presentation</t>
        </is>
      </c>
      <c r="H1" s="12" t="inlineStr">
        <is>
          <t>Difference</t>
        </is>
      </c>
      <c r="I1" s="12" t="inlineStr">
        <is>
          <t>Difference ID</t>
        </is>
      </c>
      <c r="J1" s="12" t="inlineStr">
        <is>
          <t>Resolution</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S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9" customWidth="1" style="12" min="1" max="1"/>
    <col width="52" customWidth="1" style="12" min="2" max="2"/>
    <col width="20" customWidth="1" style="12" min="3" max="3"/>
    <col width="12" customWidth="1" style="12" min="4" max="4"/>
    <col width="16" customWidth="1" style="12" min="5" max="5"/>
    <col width="13" customWidth="1" style="12" min="6" max="6"/>
    <col width="18" customWidth="1" style="12" min="7" max="7"/>
    <col width="11" customWidth="1" style="12" min="8" max="8"/>
    <col width="16" customWidth="1" style="12" min="9" max="9"/>
    <col width="10" customWidth="1" style="12" min="10" max="11"/>
    <col width="13" customWidth="1" style="13" min="11" max="11"/>
    <col width="15" customWidth="1" style="12" min="12" max="12"/>
    <col width="10" customWidth="1" style="12" min="13" max="13"/>
    <col width="15" customWidth="1" style="12" min="14" max="14"/>
    <col width="19" customWidth="1" style="12" min="15" max="15"/>
    <col width="24" customWidth="1" style="12" min="16" max="17"/>
    <col width="24" customWidth="1" style="13" min="17" max="17"/>
    <col width="12" customWidth="1" style="12" min="18" max="18"/>
    <col width="52" customWidth="1" style="12" min="19" max="19"/>
  </cols>
  <sheetData>
    <row r="1" ht="17.35" customHeight="1" s="13">
      <c r="A1" s="14" t="inlineStr">
        <is>
          <t>Covenant</t>
        </is>
      </c>
      <c r="B1" s="12" t="inlineStr">
        <is>
          <t>Formula</t>
        </is>
      </c>
      <c r="C1" s="12" t="inlineStr">
        <is>
          <t>Direction</t>
        </is>
      </c>
      <c r="D1" s="12" t="inlineStr">
        <is>
          <t>Numerator</t>
        </is>
      </c>
      <c r="E1" s="12" t="inlineStr">
        <is>
          <t>Numerator Unit</t>
        </is>
      </c>
      <c r="F1" s="12" t="inlineStr">
        <is>
          <t>Denominator</t>
        </is>
      </c>
      <c r="G1" s="12" t="inlineStr">
        <is>
          <t>Denominator Unit</t>
        </is>
      </c>
      <c r="H1" s="12" t="inlineStr">
        <is>
          <t>Threshold</t>
        </is>
      </c>
      <c r="I1" s="12" t="inlineStr">
        <is>
          <t>Threshold Unit</t>
        </is>
      </c>
      <c r="J1" s="12" t="inlineStr">
        <is>
          <t>Actual</t>
        </is>
      </c>
      <c r="K1" s="12" t="inlineStr">
        <is>
          <t>Headroom</t>
        </is>
      </c>
      <c r="L1" s="12" t="inlineStr">
        <is>
          <t>Headroom Unit</t>
        </is>
      </c>
      <c r="M1" s="12" t="inlineStr">
        <is>
          <t>Capacity</t>
        </is>
      </c>
      <c r="N1" s="12" t="inlineStr">
        <is>
          <t>Capacity Unit</t>
        </is>
      </c>
      <c r="O1" s="12" t="inlineStr">
        <is>
          <t>Certificate Value</t>
        </is>
      </c>
      <c r="P1" s="12" t="inlineStr">
        <is>
          <t>Certificate Difference</t>
        </is>
      </c>
      <c r="Q1" s="12" t="inlineStr">
        <is>
          <t>Certificate Comparison</t>
        </is>
      </c>
      <c r="R1" s="12" t="inlineStr">
        <is>
          <t>Compliance</t>
        </is>
      </c>
      <c r="S1" s="12" t="inlineStr">
        <is>
          <t>Source</t>
        </is>
      </c>
    </row>
    <row r="2" ht="102.2" customHeight="1" s="13">
      <c r="A2" s="12" t="inlineStr">
        <is>
          <t>COVENANT-AGREEMENT-Debt reference 001</t>
        </is>
      </c>
      <c r="B2" s="20" t="inlineStr">
        <is>
          <t>year-end debt principal for this agreement / pledged collateral year-end recorded cost</t>
        </is>
      </c>
      <c r="C2" s="12" t="inlineStr">
        <is>
          <t>Less than or equal</t>
        </is>
      </c>
      <c r="D2" s="19" t="n">
        <v>114957.79</v>
      </c>
      <c r="E2" s="12" t="inlineStr">
        <is>
          <t>USD</t>
        </is>
      </c>
      <c r="F2" s="19" t="n">
        <v>192080</v>
      </c>
      <c r="G2" s="12" t="inlineStr">
        <is>
          <t>USD</t>
        </is>
      </c>
      <c r="H2" s="19" t="n">
        <v>0.65</v>
      </c>
      <c r="I2" s="12" t="inlineStr">
        <is>
          <t>ratio</t>
        </is>
      </c>
      <c r="J2" s="12" t="inlineStr">
        <is>
          <t>0.5985</t>
        </is>
      </c>
      <c r="K2" s="12" t="inlineStr">
        <is>
          <t>0.0515</t>
        </is>
      </c>
      <c r="L2" s="12" t="inlineStr">
        <is>
          <t>ratio points</t>
        </is>
      </c>
      <c r="M2" s="19" t="n">
        <v>9894.209999999999</v>
      </c>
      <c r="N2" s="12" t="inlineStr">
        <is>
          <t>USD</t>
        </is>
      </c>
      <c r="O2" s="12" t="inlineStr">
        <is>
          <t>0.5985</t>
        </is>
      </c>
      <c r="P2" s="12" t="inlineStr">
        <is>
          <t>0.0000</t>
        </is>
      </c>
      <c r="Q2" s="12" t="inlineStr">
        <is>
          <t>agrees</t>
        </is>
      </c>
      <c r="R2" s="12" t="inlineStr">
        <is>
          <t>compliant</t>
        </is>
      </c>
      <c r="S2" s="20" t="inlineStr">
        <is>
          <t>Debt rollforward: Debt reference Rollforward Debt 001; FA-01 pledged asset IDs: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 FA-01 year-end cost rollforward classes: Building improvement, equipment, Furnishings fixtures, vehicle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L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6" customWidth="1" style="12" min="1" max="1"/>
    <col width="20" customWidth="1" style="12" min="2" max="2"/>
    <col width="36" customWidth="1" style="12" min="3" max="3"/>
    <col width="52" customWidth="1" style="12" min="4" max="4"/>
    <col width="15" customWidth="1" style="12" min="5" max="5"/>
    <col width="52" customWidth="1" style="12" min="6" max="7"/>
    <col width="52" customWidth="1" style="13" min="7" max="7"/>
    <col width="20" customWidth="1" style="12" min="8" max="8"/>
    <col width="14" customWidth="1" style="12" min="9" max="9"/>
    <col width="39" customWidth="1" style="12" min="10" max="11"/>
    <col width="39" customWidth="1" style="13" min="11" max="11"/>
    <col width="14" customWidth="1" style="12" min="12" max="12"/>
  </cols>
  <sheetData>
    <row r="1" ht="17.35" customHeight="1" s="13">
      <c r="A1" s="14" t="inlineStr">
        <is>
          <t>Cross-reference ID</t>
        </is>
      </c>
      <c r="B1" s="12" t="inlineStr">
        <is>
          <t>Loan</t>
        </is>
      </c>
      <c r="C1" s="12" t="inlineStr">
        <is>
          <t>Collateral</t>
        </is>
      </c>
      <c r="D1" s="12" t="inlineStr">
        <is>
          <t>Asset IDs</t>
        </is>
      </c>
      <c r="E1" s="12" t="inlineStr">
        <is>
          <t>Recorded Cost</t>
        </is>
      </c>
      <c r="F1" s="12" t="inlineStr">
        <is>
          <t>Fixed-asset Support</t>
        </is>
      </c>
      <c r="G1" s="12" t="inlineStr">
        <is>
          <t>Lien / Perfection</t>
        </is>
      </c>
      <c r="H1" s="12" t="inlineStr">
        <is>
          <t>Insurance Evidence</t>
        </is>
      </c>
      <c r="I1" s="12" t="inlineStr">
        <is>
          <t>Loss Payee</t>
        </is>
      </c>
      <c r="J1" s="12" t="inlineStr">
        <is>
          <t>Insurance Status</t>
        </is>
      </c>
      <c r="K1" s="12" t="inlineStr">
        <is>
          <t>Covenant Support</t>
        </is>
      </c>
      <c r="L1" s="12" t="inlineStr">
        <is>
          <t>Completeness</t>
        </is>
      </c>
    </row>
    <row r="2" ht="79.84999999999999" customHeight="1" s="13">
      <c r="A2" s="12" t="inlineStr">
        <is>
          <t>Debt reference Collateral Debt 001</t>
        </is>
      </c>
      <c r="B2" s="12" t="inlineStr">
        <is>
          <t>Debt reference 001</t>
        </is>
      </c>
      <c r="C2" s="12" t="inlineStr">
        <is>
          <t>All business assets (blanket lien)</t>
        </is>
      </c>
      <c r="D2" s="20" t="inlineStr">
        <is>
          <t>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E2" s="19" t="n">
        <v>192080</v>
      </c>
      <c r="F2" s="20" t="inlineStr">
        <is>
          <t>FA-01 fixed-asset register and year-end cost rollforward: Fixed Asset reference 001; Fixed Asset reference 002; Fixed Asset reference 003; Fixed Asset reference 004; Fixed Asset reference 005; Fixed Asset reference 006; Fixed Asset reference 007; Fixed Asset reference 008; Fixed Asset reference 009; Fixed Asset reference 010; Fixed Asset reference 011</t>
        </is>
      </c>
      <c r="G2" s="20" t="inlineStr">
        <is>
          <t>DOC-Debt reference Perfection Debt 001 / Debt reference Perfection Agreement Debt 001</t>
        </is>
      </c>
      <c r="H2" s="12" t="inlineStr">
        <is>
          <t>DOC-INSURANCE-COI</t>
        </is>
      </c>
      <c r="I2" s="12" t="inlineStr">
        <is>
          <t>Zarvale Bank</t>
        </is>
      </c>
      <c r="J2" s="12" t="inlineStr">
        <is>
          <t>Supported as mortgagee and loss payee</t>
        </is>
      </c>
      <c r="K2" s="12" t="inlineStr">
        <is>
          <t>COVENANT-AGREEMENT-Debt reference 001</t>
        </is>
      </c>
      <c r="L2" s="12" t="inlineStr">
        <is>
          <t>complete</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X2"/>
  <sheetViews>
    <sheetView showFormulas="0" showGridLines="0" showRowColHeaders="1" showZeros="1" rightToLeft="0" tabSelected="0" showOutlineSymbols="1" defaultGridColor="1" view="normal" topLeftCell="A1" colorId="64" zoomScale="90" zoomScaleNormal="90" zoomScalePageLayoutView="100" workbookViewId="0">
      <selection pane="topLeft" activeCell="A1" activeCellId="0" sqref="A1"/>
    </sheetView>
  </sheetViews>
  <sheetFormatPr baseColWidth="8" defaultColWidth="8.6796875" defaultRowHeight="15" customHeight="0" zeroHeight="0" outlineLevelRow="0"/>
  <cols>
    <col width="33" customWidth="1" style="12" min="1" max="1"/>
    <col width="20" customWidth="1" style="12" min="2" max="2"/>
    <col width="14" customWidth="1" style="12" min="3" max="3"/>
    <col width="12" customWidth="1" style="12" min="4" max="6"/>
    <col width="13" customWidth="1" style="13" min="5" max="5"/>
    <col width="13" customWidth="1" style="13" min="6" max="6"/>
    <col width="19" customWidth="1" style="12" min="7" max="7"/>
    <col width="28" customWidth="1" style="12" min="8" max="8"/>
    <col width="19" customWidth="1" style="12" min="9" max="9"/>
    <col width="21" customWidth="1" style="12" min="10" max="10"/>
    <col width="41" customWidth="1" style="12" min="11" max="11"/>
    <col width="42" customWidth="1" style="12" min="12" max="13"/>
    <col width="42" customWidth="1" style="13" min="13" max="13"/>
    <col width="44" customWidth="1" style="12" min="14" max="14"/>
    <col width="16" customWidth="1" style="12" min="15" max="15"/>
    <col width="21" customWidth="1" style="12" min="16" max="16"/>
    <col width="22" customWidth="1" style="12" min="17" max="17"/>
    <col width="14" customWidth="1" style="12" min="18" max="18"/>
    <col width="19" customWidth="1" style="12" min="19" max="19"/>
    <col width="20" customWidth="1" style="12" min="20" max="20"/>
    <col width="10" customWidth="1" style="12" min="21" max="21"/>
    <col width="11" customWidth="1" style="12" min="22" max="22"/>
    <col width="10" customWidth="1" style="12" min="23" max="23"/>
    <col width="52" customWidth="1" style="12" min="24" max="24"/>
  </cols>
  <sheetData>
    <row r="1" ht="17.35" customHeight="1" s="13">
      <c r="A1" s="14" t="inlineStr">
        <is>
          <t>Control ID</t>
        </is>
      </c>
      <c r="B1" s="12" t="inlineStr">
        <is>
          <t>Loan</t>
        </is>
      </c>
      <c r="C1" s="12" t="inlineStr">
        <is>
          <t>Lender</t>
        </is>
      </c>
      <c r="D1" s="12" t="inlineStr">
        <is>
          <t>As Of</t>
        </is>
      </c>
      <c r="E1" s="12" t="inlineStr">
        <is>
          <t>Authorized</t>
        </is>
      </c>
      <c r="F1" s="12" t="inlineStr">
        <is>
          <t>Sent</t>
        </is>
      </c>
      <c r="G1" s="12" t="inlineStr">
        <is>
          <t>Response Received</t>
        </is>
      </c>
      <c r="H1" s="12" t="inlineStr">
        <is>
          <t>Request Channel</t>
        </is>
      </c>
      <c r="I1" s="12" t="inlineStr">
        <is>
          <t>Response Channel</t>
        </is>
      </c>
      <c r="J1" s="12" t="inlineStr">
        <is>
          <t>Custody Owner</t>
        </is>
      </c>
      <c r="K1" s="12" t="inlineStr">
        <is>
          <t>Authorization Source</t>
        </is>
      </c>
      <c r="L1" s="12" t="inlineStr">
        <is>
          <t>Request Artifact</t>
        </is>
      </c>
      <c r="M1" s="12" t="inlineStr">
        <is>
          <t>Response Artifact</t>
        </is>
      </c>
      <c r="N1" s="12" t="inlineStr">
        <is>
          <t>Provenance Control</t>
        </is>
      </c>
      <c r="O1" s="12" t="inlineStr">
        <is>
          <t>Book Principal</t>
        </is>
      </c>
      <c r="P1" s="12" t="inlineStr">
        <is>
          <t>Confirmed Principal</t>
        </is>
      </c>
      <c r="Q1" s="12" t="inlineStr">
        <is>
          <t>Principal Difference</t>
        </is>
      </c>
      <c r="R1" s="12" t="inlineStr">
        <is>
          <t>Book Accrual</t>
        </is>
      </c>
      <c r="S1" s="12" t="inlineStr">
        <is>
          <t>Confirmed Accrual</t>
        </is>
      </c>
      <c r="T1" s="12" t="inlineStr">
        <is>
          <t>Accrual Difference</t>
        </is>
      </c>
      <c r="U1" s="12" t="inlineStr">
        <is>
          <t>Response</t>
        </is>
      </c>
      <c r="V1" s="12" t="inlineStr">
        <is>
          <t>Exception</t>
        </is>
      </c>
      <c r="W1" s="12" t="inlineStr">
        <is>
          <t>Control</t>
        </is>
      </c>
      <c r="X1" s="12" t="inlineStr">
        <is>
          <t>Support</t>
        </is>
      </c>
    </row>
    <row r="2" ht="23.85" customHeight="1" s="13">
      <c r="A2" s="12" t="inlineStr">
        <is>
          <t>Debt reference Confirm Debt 001</t>
        </is>
      </c>
      <c r="B2" s="12" t="inlineStr">
        <is>
          <t>Debt reference 001</t>
        </is>
      </c>
      <c r="C2" s="12" t="inlineStr">
        <is>
          <t>Zarvale Bank</t>
        </is>
      </c>
      <c r="D2" s="22" t="n">
        <v>46022</v>
      </c>
      <c r="E2" s="22" t="n">
        <v>46024</v>
      </c>
      <c r="F2" s="22" t="n">
        <v>46027</v>
      </c>
      <c r="G2" s="22" t="n">
        <v>46041</v>
      </c>
      <c r="H2" s="12" t="inlineStr">
        <is>
          <t>Auditor controlled request</t>
        </is>
      </c>
      <c r="I2" s="12" t="inlineStr">
        <is>
          <t>Direct to auditor</t>
        </is>
      </c>
      <c r="J2" s="12" t="inlineStr">
        <is>
          <t>Independent auditor</t>
        </is>
      </c>
      <c r="K2" s="12" t="inlineStr">
        <is>
          <t>Debt reference Confirm Request Debt 001</t>
        </is>
      </c>
      <c r="L2" s="12" t="inlineStr">
        <is>
          <t>DOC-LOAN-CONFIRMATION-Debt reference 001</t>
        </is>
      </c>
      <c r="M2" s="12" t="inlineStr">
        <is>
          <t>DOC-LOAN-CONFIRMATION-Debt reference 001</t>
        </is>
      </c>
      <c r="N2" s="12" t="inlineStr">
        <is>
          <t>Debt reference Confirm Provenance Debt 001</t>
        </is>
      </c>
      <c r="O2" s="19" t="n">
        <v>114957.79</v>
      </c>
      <c r="P2" s="19" t="n">
        <v>114957.79</v>
      </c>
      <c r="Q2" s="19" t="n">
        <v>0</v>
      </c>
      <c r="R2" s="19" t="n">
        <v>0</v>
      </c>
      <c r="S2" s="19" t="n">
        <v>0</v>
      </c>
      <c r="T2" s="19" t="n">
        <v>0</v>
      </c>
      <c r="U2" s="12" t="inlineStr">
        <is>
          <t>received</t>
        </is>
      </c>
      <c r="V2" s="12" t="inlineStr">
        <is>
          <t>clear</t>
        </is>
      </c>
      <c r="W2" s="12" t="inlineStr">
        <is>
          <t>complete</t>
        </is>
      </c>
      <c r="X2" s="20" t="inlineStr">
        <is>
          <t>DOC-LOAN-CONFIRMATION-Debt reference 001; LENDER-Support reference Debt 001</t>
        </is>
      </c>
    </row>
  </sheetData>
  <printOptions horizontalCentered="0" verticalCentered="0" headings="0" gridLines="0" gridLinesSet="1"/>
  <pageMargins left="0.35" right="0.35" top="0.5" bottom="0.5" header="0.511811023622047" footer="0.511811023622047"/>
  <pageSetup orientation="landscape" paperSize="1" scale="100" fitToHeight="0" fitToWidth="2"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H12"/>
  <sheetViews>
    <sheetView showFormulas="0" showGridLines="0" showRowColHeaders="1" showZeros="1" rightToLeft="0" tabSelected="0" showOutlineSymbols="1" defaultGridColor="1"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3" customWidth="1" style="12" min="1" max="1"/>
    <col width="16" customWidth="1" style="12" min="2" max="2"/>
    <col width="33" customWidth="1" style="12" min="3" max="3"/>
    <col width="44" customWidth="1" style="12" min="4" max="4"/>
    <col width="52" customWidth="1" style="12" min="5" max="5"/>
    <col width="21" customWidth="1" style="12" min="6" max="6"/>
    <col width="52" customWidth="1" style="12" min="7" max="7"/>
    <col width="16" customWidth="1" style="12" min="8" max="8"/>
  </cols>
  <sheetData>
    <row r="1" ht="17.35" customHeight="1" s="13">
      <c r="A1" s="14" t="inlineStr">
        <is>
          <t>Topic</t>
        </is>
      </c>
      <c r="B1" s="12" t="inlineStr">
        <is>
          <t>Applicability</t>
        </is>
      </c>
      <c r="C1" s="12" t="inlineStr">
        <is>
          <t>Source Node</t>
        </is>
      </c>
      <c r="D1" s="12" t="inlineStr">
        <is>
          <t>Source Reference</t>
        </is>
      </c>
      <c r="E1" s="12" t="inlineStr">
        <is>
          <t>Value</t>
        </is>
      </c>
      <c r="F1" s="12" t="inlineStr">
        <is>
          <t>Unit</t>
        </is>
      </c>
      <c r="G1" s="12" t="inlineStr">
        <is>
          <t>Conclusion</t>
        </is>
      </c>
      <c r="H1" s="12" t="inlineStr">
        <is>
          <t>Status</t>
        </is>
      </c>
    </row>
    <row r="2" ht="23.85" customHeight="1" s="13">
      <c r="A2" s="12" t="inlineStr">
        <is>
          <t>Debt terms and rates</t>
        </is>
      </c>
      <c r="B2" s="12" t="inlineStr">
        <is>
          <t>applicable</t>
        </is>
      </c>
      <c r="C2" s="12" t="inlineStr">
        <is>
          <t>Debt agreement</t>
        </is>
      </c>
      <c r="D2" s="12" t="inlineStr">
        <is>
          <t>AGREEMENT-Debt reference 001</t>
        </is>
      </c>
      <c r="E2" s="20" t="inlineStr">
        <is>
          <t>Debt reference 001: variable rate 0.0600, base 0.0450, spread 0.0150, maturity 2042-12-31</t>
        </is>
      </c>
      <c r="F2" s="12" t="inlineStr">
        <is>
          <t>contract terms</t>
        </is>
      </c>
      <c r="G2" s="12" t="inlineStr">
        <is>
          <t>Ready for disclosure</t>
        </is>
      </c>
      <c r="H2" s="12" t="inlineStr">
        <is>
          <t>ready</t>
        </is>
      </c>
    </row>
    <row r="3" ht="15" customHeight="1" s="13">
      <c r="A3" s="16" t="inlineStr">
        <is>
          <t>guarantees</t>
        </is>
      </c>
      <c r="B3" s="16" t="inlineStr">
        <is>
          <t>Not applicable</t>
        </is>
      </c>
      <c r="C3" s="16" t="inlineStr">
        <is>
          <t>Debt agreement</t>
        </is>
      </c>
      <c r="D3" s="16" t="inlineStr">
        <is>
          <t>AGREEMENT-Debt reference 001</t>
        </is>
      </c>
      <c r="E3" s="16" t="inlineStr">
        <is>
          <t>Not applicable</t>
        </is>
      </c>
      <c r="F3" s="16" t="inlineStr">
        <is>
          <t>Not applicable</t>
        </is>
      </c>
      <c r="G3" s="16" t="inlineStr">
        <is>
          <t>Not applicable no guarantor in executed agreements</t>
        </is>
      </c>
      <c r="H3" s="16" t="inlineStr">
        <is>
          <t>Not applicable</t>
        </is>
      </c>
    </row>
    <row r="4" ht="15" customHeight="1" s="13">
      <c r="A4" s="12" t="inlineStr">
        <is>
          <t>Fair value</t>
        </is>
      </c>
      <c r="B4" s="12" t="inlineStr">
        <is>
          <t>applicable</t>
        </is>
      </c>
      <c r="C4" s="12" t="inlineStr">
        <is>
          <t>Debt analytics</t>
        </is>
      </c>
      <c r="D4" s="12" t="inlineStr">
        <is>
          <t>Debt reference Analytics 2025</t>
        </is>
      </c>
      <c r="E4" s="24" t="n">
        <v>114957.79</v>
      </c>
      <c r="F4" s="12" t="inlineStr">
        <is>
          <t>USD</t>
        </is>
      </c>
      <c r="G4" s="12" t="inlineStr">
        <is>
          <t>Ready for disclosure</t>
        </is>
      </c>
      <c r="H4" s="12" t="inlineStr">
        <is>
          <t>ready</t>
        </is>
      </c>
    </row>
    <row r="5" ht="15" customHeight="1" s="13">
      <c r="A5" s="12" t="inlineStr">
        <is>
          <t>Weighted average rate</t>
        </is>
      </c>
      <c r="B5" s="12" t="inlineStr">
        <is>
          <t>applicable</t>
        </is>
      </c>
      <c r="C5" s="12" t="inlineStr">
        <is>
          <t>Debt analytics</t>
        </is>
      </c>
      <c r="D5" s="12" t="inlineStr">
        <is>
          <t>Debt reference Analytics 2025</t>
        </is>
      </c>
      <c r="E5" s="21" t="n">
        <v>0.06</v>
      </c>
      <c r="F5" s="12" t="inlineStr">
        <is>
          <t>annual decimal rate</t>
        </is>
      </c>
      <c r="G5" s="12" t="inlineStr">
        <is>
          <t>Ready for disclosure</t>
        </is>
      </c>
      <c r="H5" s="12" t="inlineStr">
        <is>
          <t>ready</t>
        </is>
      </c>
    </row>
    <row r="6" ht="15" customHeight="1" s="13">
      <c r="A6" s="12" t="inlineStr">
        <is>
          <t>Interest coverage</t>
        </is>
      </c>
      <c r="B6" s="12" t="inlineStr">
        <is>
          <t>applicable</t>
        </is>
      </c>
      <c r="C6" s="12" t="inlineStr">
        <is>
          <t>Debt analytics</t>
        </is>
      </c>
      <c r="D6" s="12" t="inlineStr">
        <is>
          <t>Debt reference Analytics 2025</t>
        </is>
      </c>
      <c r="E6" s="24" t="n">
        <v>99.16</v>
      </c>
      <c r="F6" s="12" t="inlineStr">
        <is>
          <t>times</t>
        </is>
      </c>
      <c r="G6" s="12" t="inlineStr">
        <is>
          <t>Ready for disclosure</t>
        </is>
      </c>
      <c r="H6" s="12" t="inlineStr">
        <is>
          <t>ready</t>
        </is>
      </c>
    </row>
    <row r="7" ht="15" customHeight="1" s="13">
      <c r="A7" s="12" t="inlineStr">
        <is>
          <t>Unused revolving availability</t>
        </is>
      </c>
      <c r="B7" s="12" t="inlineStr">
        <is>
          <t>Not applicable</t>
        </is>
      </c>
      <c r="C7" s="12" t="inlineStr">
        <is>
          <t>Debt analytics</t>
        </is>
      </c>
      <c r="D7" s="12" t="inlineStr">
        <is>
          <t>Debt reference Analytics 2025</t>
        </is>
      </c>
      <c r="E7" s="12" t="inlineStr">
        <is>
          <t>Not applicable</t>
        </is>
      </c>
      <c r="F7" s="12" t="inlineStr">
        <is>
          <t>Not applicable</t>
        </is>
      </c>
      <c r="G7" s="12" t="inlineStr">
        <is>
          <t>Not applicable no revolving facility</t>
        </is>
      </c>
      <c r="H7" s="12" t="inlineStr">
        <is>
          <t>Not applicable</t>
        </is>
      </c>
    </row>
    <row r="8" ht="15" customHeight="1" s="13">
      <c r="A8" s="12" t="inlineStr">
        <is>
          <t>Contractual maturities</t>
        </is>
      </c>
      <c r="B8" s="12" t="inlineStr">
        <is>
          <t>applicable</t>
        </is>
      </c>
      <c r="C8" s="12" t="inlineStr">
        <is>
          <t>Debt maturity classification</t>
        </is>
      </c>
      <c r="D8" s="12" t="inlineStr">
        <is>
          <t>MATURITY-Debt reference 001</t>
        </is>
      </c>
      <c r="E8" s="24" t="n">
        <v>114957.79</v>
      </c>
      <c r="F8" s="12" t="inlineStr">
        <is>
          <t>USD</t>
        </is>
      </c>
      <c r="G8" s="12" t="inlineStr">
        <is>
          <t>Ready for disclosure</t>
        </is>
      </c>
      <c r="H8" s="12" t="inlineStr">
        <is>
          <t>ready</t>
        </is>
      </c>
    </row>
    <row r="9" ht="15" customHeight="1" s="13">
      <c r="A9" s="12" t="inlineStr">
        <is>
          <t>Collateral and loss payee</t>
        </is>
      </c>
      <c r="B9" s="12" t="inlineStr">
        <is>
          <t>applicable</t>
        </is>
      </c>
      <c r="C9" s="12" t="inlineStr">
        <is>
          <t>Debt collateral cross reference</t>
        </is>
      </c>
      <c r="D9" s="12" t="inlineStr">
        <is>
          <t>Debt reference Collateral Debt 001</t>
        </is>
      </c>
      <c r="E9" s="12" t="inlineStr">
        <is>
          <t>All business assets (blanket lien)</t>
        </is>
      </c>
      <c r="F9" s="12" t="inlineStr">
        <is>
          <t>narrative</t>
        </is>
      </c>
      <c r="G9" s="12" t="inlineStr">
        <is>
          <t>Ready for disclosure</t>
        </is>
      </c>
      <c r="H9" s="12" t="inlineStr">
        <is>
          <t>ready</t>
        </is>
      </c>
    </row>
    <row r="10" ht="15" customHeight="1" s="13">
      <c r="A10" s="12" t="inlineStr">
        <is>
          <t>Debt issuance cost presentation</t>
        </is>
      </c>
      <c r="B10" s="12" t="inlineStr">
        <is>
          <t>Not applicable</t>
        </is>
      </c>
      <c r="C10" s="12" t="inlineStr">
        <is>
          <t>Debt presentation assessment</t>
        </is>
      </c>
      <c r="E10" s="12" t="inlineStr">
        <is>
          <t>Not applicable</t>
        </is>
      </c>
      <c r="F10" s="12" t="inlineStr">
        <is>
          <t>Not applicable</t>
        </is>
      </c>
      <c r="G10" s="12" t="inlineStr">
        <is>
          <t>Not applicable no debt issuance costs</t>
        </is>
      </c>
      <c r="H10" s="12" t="inlineStr">
        <is>
          <t>Not applicable</t>
        </is>
      </c>
    </row>
    <row r="11" ht="15" customHeight="1" s="13">
      <c r="A11" s="12" t="inlineStr">
        <is>
          <t>Covenant compliance</t>
        </is>
      </c>
      <c r="B11" s="12" t="inlineStr">
        <is>
          <t>applicable</t>
        </is>
      </c>
      <c r="C11" s="12" t="inlineStr">
        <is>
          <t>Debt covenant test</t>
        </is>
      </c>
      <c r="D11" s="12" t="inlineStr">
        <is>
          <t>TEST-COVENANT-AGREEMENT-Debt reference 001</t>
        </is>
      </c>
      <c r="E11" s="12" t="inlineStr">
        <is>
          <t>compliant</t>
        </is>
      </c>
      <c r="F11" s="12" t="inlineStr">
        <is>
          <t>status</t>
        </is>
      </c>
      <c r="G11" s="12" t="inlineStr">
        <is>
          <t>Ready for disclosure</t>
        </is>
      </c>
      <c r="H11" s="12" t="inlineStr">
        <is>
          <t>ready</t>
        </is>
      </c>
    </row>
    <row r="12" ht="15" customHeight="1" s="13">
      <c r="A12" s="12" t="inlineStr">
        <is>
          <t>Derivative and hedging</t>
        </is>
      </c>
      <c r="B12" s="12" t="inlineStr">
        <is>
          <t>Not applicable</t>
        </is>
      </c>
      <c r="C12" s="12" t="inlineStr">
        <is>
          <t>Debt derivative support</t>
        </is>
      </c>
      <c r="E12" s="12" t="inlineStr">
        <is>
          <t>Not applicable</t>
        </is>
      </c>
      <c r="F12" s="12" t="inlineStr">
        <is>
          <t>Not applicable</t>
        </is>
      </c>
      <c r="G12" s="12" t="inlineStr">
        <is>
          <t>Not applicable no derivative arrangement</t>
        </is>
      </c>
      <c r="H12" s="12" t="inlineStr">
        <is>
          <t>Not applicable</t>
        </is>
      </c>
    </row>
  </sheetData>
  <printOptions horizontalCentered="0" verticalCentered="0" headings="0" gridLines="0" gridLinesSet="1"/>
  <pageMargins left="0.35" right="0.35" top="0.5" bottom="0.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Edward Vixmore</dc:creator>
  <cp:lastModifiedBy>Amanda Zarvex</cp:lastModifiedBy>
  <dcterms:created xsi:type="dcterms:W3CDTF">2026-02-03T18:15:00Z</dcterms:created>
  <dcterms:modified xsi:type="dcterms:W3CDTF">2026-02-03T19:06:00Z</dcterms:modified>
</cp:coreProperties>
</file>