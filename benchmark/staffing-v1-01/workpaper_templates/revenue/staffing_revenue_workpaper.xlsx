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Lead &amp; Reconciliation" sheetId="3" state="visible" r:id="rId3"/>
    <sheet xmlns:r="http://schemas.openxmlformats.org/officeDocument/2006/relationships" name="&lt;.2&gt; Detailed Testing" sheetId="4" state="visible" r:id="rId4"/>
    <sheet xmlns:r="http://schemas.openxmlformats.org/officeDocument/2006/relationships" name="&lt;.3&gt; Cutoff &amp; Completeness" sheetId="5" state="visible" r:id="rId5"/>
    <sheet xmlns:r="http://schemas.openxmlformats.org/officeDocument/2006/relationships" name="&lt;.4&gt; Hours, Billing and Gross " sheetId="6" state="visible" r:id="rId6"/>
    <sheet xmlns:r="http://schemas.openxmlformats.org/officeDocument/2006/relationships" name="&lt;.5&gt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Index'!$D$2</definedName>
    <definedName name="WP_PLAN_S002_0_SOURCE_INDEX_REPORTING_CURRENCY">'&lt;.0&gt; Source Index'!$F$2</definedName>
    <definedName name="WP_PLAN_S002_0_SOURCE_INDEX_PERFORMANCE_MATERIALITY">'&lt;.0&gt; Source Index'!$B$3</definedName>
    <definedName name="WP_PLAN_S002_0_SOURCE_INDEX_TOLERABLE_MISSTATEMENT">'&lt;.0&gt; Source Index'!$D$3</definedName>
    <definedName name="WP_PLAN_S003_1_LEAD_RECONCILIATION_ENTITY_NAME">'&lt;.1&gt; Lead &amp; Reconciliation'!$B$2</definedName>
    <definedName name="WP_PLAN_S003_1_LEAD_RECONCILIATION_FINANCIAL_STATEMENT_DATE">'&lt;.1&gt; Lead &amp; Reconciliation'!$D$2</definedName>
    <definedName name="WP_PLAN_S003_1_LEAD_RECONCILIATION_REPORTING_CURRENCY">'&lt;.1&gt; Lead &amp; Reconciliation'!$F$2</definedName>
    <definedName name="WP_PLAN_S003_1_LEAD_RECONCILIATION_PERFORMANCE_MATERIALITY">'&lt;.1&gt; Lead &amp; Reconciliation'!$B$3</definedName>
    <definedName name="WP_PLAN_S003_1_LEAD_RECONCILIATION_TOLERABLE_MISSTATEMENT">'&lt;.1&gt; Lead &amp; Reconciliation'!$D$3</definedName>
    <definedName name="WP_PLAN_S004_2_DETAILED_TESTING_ENTITY_NAME">'&lt;.2&gt; Detailed Testing'!$B$2</definedName>
    <definedName name="WP_PLAN_S004_2_DETAILED_TESTING_FINANCIAL_STATEMENT_DATE">'&lt;.2&gt; Detailed Testing'!$D$2</definedName>
    <definedName name="WP_PLAN_S004_2_DETAILED_TESTING_REPORTING_CURRENCY">'&lt;.2&gt; Detailed Testing'!$F$2</definedName>
    <definedName name="WP_PLAN_S004_2_DETAILED_TESTING_PERFORMANCE_MATERIALITY">'&lt;.2&gt; Detailed Testing'!$B$3</definedName>
    <definedName name="WP_PLAN_S004_2_DETAILED_TESTING_TOLERABLE_MISSTATEMENT">'&lt;.2&gt; Detailed Testing'!$D$3</definedName>
    <definedName name="WP_PLAN_S005_3_CUTOFF_COMPLETENESS_ENTITY_NAME">'&lt;.3&gt; Cutoff &amp; Completeness'!$B$2</definedName>
    <definedName name="WP_PLAN_S005_3_CUTOFF_COMPLETENESS_FINANCIAL_STATEMENT_DATE">'&lt;.3&gt; Cutoff &amp; Completeness'!$D$2</definedName>
    <definedName name="WP_PLAN_S005_3_CUTOFF_COMPLETENESS_REPORTING_CURRENCY">'&lt;.3&gt; Cutoff &amp; Completeness'!$F$2</definedName>
    <definedName name="WP_PLAN_S005_3_CUTOFF_COMPLETENESS_PERFORMANCE_MATERIALITY">'&lt;.3&gt; Cutoff &amp; Completeness'!$B$3</definedName>
    <definedName name="WP_PLAN_S005_3_CUTOFF_COMPLETENESS_TOLERABLE_MISSTATEMENT">'&lt;.3&gt; Cutoff &amp; Completeness'!$D$3</definedName>
    <definedName name="WP_PLAN_S006_4_HOURS_BILLING_AND_GROSS_ENTITY_NAME">'&lt;.4&gt; Hours, Billing and Gross '!$B$2</definedName>
    <definedName name="WP_PLAN_S006_4_HOURS_BILLING_AND_GROSS_FINANCIAL_STATEMENT_DATE">'&lt;.4&gt; Hours, Billing and Gross '!$D$2</definedName>
    <definedName name="WP_PLAN_S006_4_HOURS_BILLING_AND_GROSS_REPORTING_CURRENCY">'&lt;.4&gt; Hours, Billing and Gross '!$F$2</definedName>
    <definedName name="WP_PLAN_S006_4_HOURS_BILLING_AND_GROSS_PERFORMANCE_MATERIALITY">'&lt;.4&gt; Hours, Billing and Gross '!$B$3</definedName>
    <definedName name="WP_PLAN_S006_4_HOURS_BILLING_AND_GROSS_TOLERABLE_MISSTATEMENT">'&lt;.4&gt; Hours, Billing and Gross '!$D$3</definedName>
    <definedName name="WP_PLAN_S007_5_CONCLUSION_ENTITY_NAME">'&lt;.5&gt; Conclusion'!$B$2</definedName>
    <definedName name="WP_PLAN_S007_5_CONCLUSION_FINANCIAL_STATEMENT_DATE">'&lt;.5&gt; Conclusion'!$D$2</definedName>
    <definedName name="WP_PLAN_S007_5_CONCLUSION_REPORTING_CURRENCY">'&lt;.5&gt; Conclusion'!$F$2</definedName>
    <definedName name="WP_PLAN_S007_5_CONCLUSION_PERFORMANCE_MATERIALITY">'&lt;.5&gt; Conclusion'!$B$3</definedName>
    <definedName name="WP_PLAN_S007_5_CONCLUSION_TOLERABLE_MISSTATEMENT">'&lt;.5&gt; Conclusion'!$D$3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Procedures'!$A$6</definedName>
    <definedName name="WP_PROC_001_REQUIREMENT">'Library Procedures'!$B$6</definedName>
    <definedName name="WP_PROC_001_EXECUTION_STATE">'Library Procedures'!$C$6</definedName>
    <definedName name="WP_PROC_001_EVIDENCE_STATE">'Library Procedures'!$D$6</definedName>
    <definedName name="WP_PROC_001_RESULT_STATE">'Library Procedures'!$E$6</definedName>
    <definedName name="WP_PROC_001_ISSUE_STATE">'Library Procedures'!$F$6</definedName>
    <definedName name="WP_PROC_001_SIGNOFF_STATE">'Library Procedures'!$G$6</definedName>
    <definedName name="WP_PROC_001_DERIVED_OUTCOME">'Library Procedures'!$H$6</definedName>
    <definedName name="WP_PROC_001_PROCEDURE">'Library Procedures'!$I$6</definedName>
    <definedName name="WP_PROC_001_ASSERTION_S">'Library Procedures'!$J$6</definedName>
    <definedName name="WP_PROC_001_W_P_REF">'Library Procedures'!$K$6</definedName>
    <definedName name="WP_PROC_001_PERFORMED_BY">'Library Procedures'!$L$6</definedName>
    <definedName name="WP_PROC_001_DATE">'Library Procedures'!$M$6</definedName>
    <definedName name="WP_PROC_001_REASON_CODE">'Library Procedures'!$N$6</definedName>
    <definedName name="WP_PROC_001_SOURCE_FACT_EVIDENCE">'Library Procedures'!$O$6</definedName>
    <definedName name="WP_PROC_001_ISSUE_DEPENDENCY_IDS">'Library Procedures'!$P$6</definedName>
    <definedName name="WP_PROC_001_COMMENT_WORK_PERFORMED">'Library Procedures'!$Q$6</definedName>
    <definedName name="WP_PROC_002_APPLICABILITY">'Library Procedures'!$A$7</definedName>
    <definedName name="WP_PROC_002_REQUIREMENT">'Library Procedures'!$B$7</definedName>
    <definedName name="WP_PROC_002_EXECUTION_STATE">'Library Procedures'!$C$7</definedName>
    <definedName name="WP_PROC_002_EVIDENCE_STATE">'Library Procedures'!$D$7</definedName>
    <definedName name="WP_PROC_002_RESULT_STATE">'Library Procedures'!$E$7</definedName>
    <definedName name="WP_PROC_002_ISSUE_STATE">'Library Procedures'!$F$7</definedName>
    <definedName name="WP_PROC_002_SIGNOFF_STATE">'Library Procedures'!$G$7</definedName>
    <definedName name="WP_PROC_002_DERIVED_OUTCOME">'Library Procedures'!$H$7</definedName>
    <definedName name="WP_PROC_002_PROCEDURE">'Library Procedures'!$I$7</definedName>
    <definedName name="WP_PROC_002_ASSERTION_S">'Library Procedures'!$J$7</definedName>
    <definedName name="WP_PROC_002_W_P_REF">'Library Procedures'!$K$7</definedName>
    <definedName name="WP_PROC_002_PERFORMED_BY">'Library Procedures'!$L$7</definedName>
    <definedName name="WP_PROC_002_DATE">'Library Procedures'!$M$7</definedName>
    <definedName name="WP_PROC_002_REASON_CODE">'Library Procedures'!$N$7</definedName>
    <definedName name="WP_PROC_002_SOURCE_FACT_EVIDENCE">'Library Procedures'!$O$7</definedName>
    <definedName name="WP_PROC_002_ISSUE_DEPENDENCY_IDS">'Library Procedures'!$P$7</definedName>
    <definedName name="WP_PROC_002_COMMENT_WORK_PERFORMED">'Library Procedures'!$Q$7</definedName>
    <definedName name="WP_PROC_003_APPLICABILITY">'Library Procedures'!$A$8</definedName>
    <definedName name="WP_PROC_003_REQUIREMENT">'Library Procedures'!$B$8</definedName>
    <definedName name="WP_PROC_003_EXECUTION_STATE">'Library Procedures'!$C$8</definedName>
    <definedName name="WP_PROC_003_EVIDENCE_STATE">'Library Procedures'!$D$8</definedName>
    <definedName name="WP_PROC_003_RESULT_STATE">'Library Procedures'!$E$8</definedName>
    <definedName name="WP_PROC_003_ISSUE_STATE">'Library Procedures'!$F$8</definedName>
    <definedName name="WP_PROC_003_SIGNOFF_STATE">'Library Procedures'!$G$8</definedName>
    <definedName name="WP_PROC_003_DERIVED_OUTCOME">'Library Procedures'!$H$8</definedName>
    <definedName name="WP_PROC_003_PROCEDURE">'Library Procedures'!$I$8</definedName>
    <definedName name="WP_PROC_003_ASSERTION_S">'Library Procedures'!$J$8</definedName>
    <definedName name="WP_PROC_003_W_P_REF">'Library Procedures'!$K$8</definedName>
    <definedName name="WP_PROC_003_PERFORMED_BY">'Library Procedures'!$L$8</definedName>
    <definedName name="WP_PROC_003_DATE">'Library Procedures'!$M$8</definedName>
    <definedName name="WP_PROC_003_REASON_CODE">'Library Procedures'!$N$8</definedName>
    <definedName name="WP_PROC_003_SOURCE_FACT_EVIDENCE">'Library Procedures'!$O$8</definedName>
    <definedName name="WP_PROC_003_ISSUE_DEPENDENCY_IDS">'Library Procedures'!$P$8</definedName>
    <definedName name="WP_PROC_003_COMMENT_WORK_PERFORMED">'Library Procedures'!$Q$8</definedName>
    <definedName name="WP_PROC_004_APPLICABILITY">'Library Procedures'!$A$9</definedName>
    <definedName name="WP_PROC_004_REQUIREMENT">'Library Procedures'!$B$9</definedName>
    <definedName name="WP_PROC_004_EXECUTION_STATE">'Library Procedures'!$C$9</definedName>
    <definedName name="WP_PROC_004_EVIDENCE_STATE">'Library Procedures'!$D$9</definedName>
    <definedName name="WP_PROC_004_RESULT_STATE">'Library Procedures'!$E$9</definedName>
    <definedName name="WP_PROC_004_ISSUE_STATE">'Library Procedures'!$F$9</definedName>
    <definedName name="WP_PROC_004_SIGNOFF_STATE">'Library Procedures'!$G$9</definedName>
    <definedName name="WP_PROC_004_DERIVED_OUTCOME">'Library Procedures'!$H$9</definedName>
    <definedName name="WP_PROC_004_PROCEDURE">'Library Procedures'!$I$9</definedName>
    <definedName name="WP_PROC_004_ASSERTION_S">'Library Procedures'!$J$9</definedName>
    <definedName name="WP_PROC_004_W_P_REF">'Library Procedures'!$K$9</definedName>
    <definedName name="WP_PROC_004_PERFORMED_BY">'Library Procedures'!$L$9</definedName>
    <definedName name="WP_PROC_004_DATE">'Library Procedures'!$M$9</definedName>
    <definedName name="WP_PROC_004_REASON_CODE">'Library Procedures'!$N$9</definedName>
    <definedName name="WP_PROC_004_SOURCE_FACT_EVIDENCE">'Library Procedures'!$O$9</definedName>
    <definedName name="WP_PROC_004_ISSUE_DEPENDENCY_IDS">'Library Procedures'!$P$9</definedName>
    <definedName name="WP_PROC_004_COMMENT_WORK_PERFORMED">'Library Procedures'!$Q$9</definedName>
    <definedName name="WP_PROC_005_APPLICABILITY">'Library Procedures'!$A$10</definedName>
    <definedName name="WP_PROC_005_REQUIREMENT">'Library Procedures'!$B$10</definedName>
    <definedName name="WP_PROC_005_EXECUTION_STATE">'Library Procedures'!$C$10</definedName>
    <definedName name="WP_PROC_005_EVIDENCE_STATE">'Library Procedures'!$D$10</definedName>
    <definedName name="WP_PROC_005_RESULT_STATE">'Library Procedures'!$E$10</definedName>
    <definedName name="WP_PROC_005_ISSUE_STATE">'Library Procedures'!$F$10</definedName>
    <definedName name="WP_PROC_005_SIGNOFF_STATE">'Library Procedures'!$G$10</definedName>
    <definedName name="WP_PROC_005_DERIVED_OUTCOME">'Library Procedures'!$H$10</definedName>
    <definedName name="WP_PROC_005_PROCEDURE">'Library Procedures'!$I$10</definedName>
    <definedName name="WP_PROC_005_ASSERTION_S">'Library Procedures'!$J$10</definedName>
    <definedName name="WP_PROC_005_W_P_REF">'Library Procedures'!$K$10</definedName>
    <definedName name="WP_PROC_005_PERFORMED_BY">'Library Procedures'!$L$10</definedName>
    <definedName name="WP_PROC_005_DATE">'Library Procedures'!$M$10</definedName>
    <definedName name="WP_PROC_005_REASON_CODE">'Library Procedures'!$N$10</definedName>
    <definedName name="WP_PROC_005_SOURCE_FACT_EVIDENCE">'Library Procedures'!$O$10</definedName>
    <definedName name="WP_PROC_005_ISSUE_DEPENDENCY_IDS">'Library Procedures'!$P$10</definedName>
    <definedName name="WP_PROC_005_COMMENT_WORK_PERFORMED">'Library Procedures'!$Q$10</definedName>
    <definedName name="WP_PROC_006_APPLICABILITY">'Library Procedures'!$A$11</definedName>
    <definedName name="WP_PROC_006_REQUIREMENT">'Library Procedures'!$B$11</definedName>
    <definedName name="WP_PROC_006_EXECUTION_STATE">'Library Procedures'!$C$11</definedName>
    <definedName name="WP_PROC_006_EVIDENCE_STATE">'Library Procedures'!$D$11</definedName>
    <definedName name="WP_PROC_006_RESULT_STATE">'Library Procedures'!$E$11</definedName>
    <definedName name="WP_PROC_006_ISSUE_STATE">'Library Procedures'!$F$11</definedName>
    <definedName name="WP_PROC_006_SIGNOFF_STATE">'Library Procedures'!$G$11</definedName>
    <definedName name="WP_PROC_006_DERIVED_OUTCOME">'Library Procedures'!$H$11</definedName>
    <definedName name="WP_PROC_006_PROCEDURE">'Library Procedures'!$I$11</definedName>
    <definedName name="WP_PROC_006_ASSERTION_S">'Library Procedures'!$J$11</definedName>
    <definedName name="WP_PROC_006_W_P_REF">'Library Procedures'!$K$11</definedName>
    <definedName name="WP_PROC_006_PERFORMED_BY">'Library Procedures'!$L$11</definedName>
    <definedName name="WP_PROC_006_DATE">'Library Procedures'!$M$11</definedName>
    <definedName name="WP_PROC_006_REASON_CODE">'Library Procedures'!$N$11</definedName>
    <definedName name="WP_PROC_006_SOURCE_FACT_EVIDENCE">'Library Procedures'!$O$11</definedName>
    <definedName name="WP_PROC_006_ISSUE_DEPENDENCY_IDS">'Library Procedures'!$P$11</definedName>
    <definedName name="WP_PROC_006_COMMENT_WORK_PERFORMED">'Library Procedures'!$Q$11</definedName>
    <definedName name="WP_PROC_007_APPLICABILITY">'Library Procedures'!$A$12</definedName>
    <definedName name="WP_PROC_007_REQUIREMENT">'Library Procedures'!$B$12</definedName>
    <definedName name="WP_PROC_007_EXECUTION_STATE">'Library Procedures'!$C$12</definedName>
    <definedName name="WP_PROC_007_EVIDENCE_STATE">'Library Procedures'!$D$12</definedName>
    <definedName name="WP_PROC_007_RESULT_STATE">'Library Procedures'!$E$12</definedName>
    <definedName name="WP_PROC_007_ISSUE_STATE">'Library Procedures'!$F$12</definedName>
    <definedName name="WP_PROC_007_SIGNOFF_STATE">'Library Procedures'!$G$12</definedName>
    <definedName name="WP_PROC_007_DERIVED_OUTCOME">'Library Procedures'!$H$12</definedName>
    <definedName name="WP_PROC_007_PROCEDURE">'Library Procedures'!$I$12</definedName>
    <definedName name="WP_PROC_007_ASSERTION_S">'Library Procedures'!$J$12</definedName>
    <definedName name="WP_PROC_007_W_P_REF">'Library Procedures'!$K$12</definedName>
    <definedName name="WP_PROC_007_PERFORMED_BY">'Library Procedures'!$L$12</definedName>
    <definedName name="WP_PROC_007_DATE">'Library Procedures'!$M$12</definedName>
    <definedName name="WP_PROC_007_REASON_CODE">'Library Procedures'!$N$12</definedName>
    <definedName name="WP_PROC_007_SOURCE_FACT_EVIDENCE">'Library Procedures'!$O$12</definedName>
    <definedName name="WP_PROC_007_ISSUE_DEPENDENCY_IDS">'Library Procedures'!$P$12</definedName>
    <definedName name="WP_PROC_007_COMMENT_WORK_PERFORMED">'Library Procedures'!$Q$12</definedName>
    <definedName name="WP_PROC_008_APPLICABILITY">'Library Procedures'!$A$13</definedName>
    <definedName name="WP_PROC_008_REQUIREMENT">'Library Procedures'!$B$13</definedName>
    <definedName name="WP_PROC_008_EXECUTION_STATE">'Library Procedures'!$C$13</definedName>
    <definedName name="WP_PROC_008_EVIDENCE_STATE">'Library Procedures'!$D$13</definedName>
    <definedName name="WP_PROC_008_RESULT_STATE">'Library Procedures'!$E$13</definedName>
    <definedName name="WP_PROC_008_ISSUE_STATE">'Library Procedures'!$F$13</definedName>
    <definedName name="WP_PROC_008_SIGNOFF_STATE">'Library Procedures'!$G$13</definedName>
    <definedName name="WP_PROC_008_DERIVED_OUTCOME">'Library Procedures'!$H$13</definedName>
    <definedName name="WP_PROC_008_PROCEDURE">'Library Procedures'!$I$13</definedName>
    <definedName name="WP_PROC_008_ASSERTION_S">'Library Procedures'!$J$13</definedName>
    <definedName name="WP_PROC_008_W_P_REF">'Library Procedures'!$K$13</definedName>
    <definedName name="WP_PROC_008_PERFORMED_BY">'Library Procedures'!$L$13</definedName>
    <definedName name="WP_PROC_008_DATE">'Library Procedures'!$M$13</definedName>
    <definedName name="WP_PROC_008_REASON_CODE">'Library Procedures'!$N$13</definedName>
    <definedName name="WP_PROC_008_SOURCE_FACT_EVIDENCE">'Library Procedures'!$O$13</definedName>
    <definedName name="WP_PROC_008_ISSUE_DEPENDENCY_IDS">'Library Procedures'!$P$13</definedName>
    <definedName name="WP_PROC_008_COMMENT_WORK_PERFORMED">'Library Procedures'!$Q$13</definedName>
    <definedName name="WP_TABLE_STAFFING_MARGIN_DATA">'&lt;.4&gt; Hours, Billing and Gross '!$A$8:$K$39</definedName>
    <definedName name="WP_TABLE_STAFFING_MARGIN_TOTAL">'&lt;.4&gt; Hours, Billing and Gross '!$A$40:$K$40</definedName>
    <definedName name="WP_ANALYTIC_STAFFING_ASSIGNMENT_MARGIN_ANCHOR">'&lt;.4&gt; Hours, Billing and Gross '!$A$7</definedName>
    <definedName name="WP_DISCLOSURE_STAFFING_RECOGNITION_ANCHOR">'&lt;.5&gt; Conclusion'!$A$8</definedName>
    <definedName name="WP_DISCLOSURE_STAFFING_RECOGNITION_RELEVANT">'&lt;.5&gt; Conclusion'!$B$8</definedName>
    <definedName name="WP_DISCLOSURE_STAFFING_RECOGNITION_SOURCE_REFERENCE">'&lt;.5&gt; Conclusion'!$C$8</definedName>
    <definedName name="WP_DISCLOSURE_STAFFING_RECOGNITION_EXCEPTIONS">'&lt;.5&gt; Conclusion'!$D$8</definedName>
    <definedName name="WP_DISCLOSURE_STAFFING_RECOGNITION_PROPOSED_ADJUSTMENT">'&lt;.5&gt; Conclusion'!$E$8</definedName>
    <definedName name="WP_DISCLOSURE_STAFFING_RECOGNITION_CONCLUSION">'&lt;.5&gt; Conclusion'!$F$8</definedName>
    <definedName name="WP_DISCLOSURE_STAFFING_RECOGNITION_PREPARED_BY_DATE">'&lt;.5&gt; Conclusion'!$G$8</definedName>
    <definedName name="WP_DISCLOSURE_STAFFING_RECOGNITION_REVIEWED_BY_DATE">'&lt;.5&gt; Conclusion'!$H$8</definedName>
    <definedName name="WP_DISCLOSURE_STAFFING_GROSS_NET_ANCHOR">'&lt;.5&gt; Conclusion'!$A$9</definedName>
    <definedName name="WP_DISCLOSURE_STAFFING_GROSS_NET_RELEVANT">'&lt;.5&gt; Conclusion'!$B$9</definedName>
    <definedName name="WP_DISCLOSURE_STAFFING_GROSS_NET_SOURCE_REFERENCE">'&lt;.5&gt; Conclusion'!$C$9</definedName>
    <definedName name="WP_DISCLOSURE_STAFFING_GROSS_NET_EXCEPTIONS">'&lt;.5&gt; Conclusion'!$D$9</definedName>
    <definedName name="WP_DISCLOSURE_STAFFING_GROSS_NET_PROPOSED_ADJUSTMENT">'&lt;.5&gt; Conclusion'!$E$9</definedName>
    <definedName name="WP_DISCLOSURE_STAFFING_GROSS_NET_CONCLUSION">'&lt;.5&gt; Conclusion'!$F$9</definedName>
    <definedName name="WP_DISCLOSURE_STAFFING_GROSS_NET_PREPARED_BY_DATE">'&lt;.5&gt; Conclusion'!$G$9</definedName>
    <definedName name="WP_DISCLOSURE_STAFFING_GROSS_NET_REVIEWED_BY_DATE">'&lt;.5&gt; Conclusion'!$H$9</definedName>
    <definedName name="WP_DISCLOSURE_STAFFING_UNBILLED_ANCHOR">'&lt;.5&gt; Conclusion'!$A$10</definedName>
    <definedName name="WP_DISCLOSURE_STAFFING_UNBILLED_RELEVANT">'&lt;.5&gt; Conclusion'!$B$10</definedName>
    <definedName name="WP_DISCLOSURE_STAFFING_UNBILLED_SOURCE_REFERENCE">'&lt;.5&gt; Conclusion'!$C$10</definedName>
    <definedName name="WP_DISCLOSURE_STAFFING_UNBILLED_EXCEPTIONS">'&lt;.5&gt; Conclusion'!$D$10</definedName>
    <definedName name="WP_DISCLOSURE_STAFFING_UNBILLED_PROPOSED_ADJUSTMENT">'&lt;.5&gt; Conclusion'!$E$10</definedName>
    <definedName name="WP_DISCLOSURE_STAFFING_UNBILLED_CONCLUSION">'&lt;.5&gt; Conclusion'!$F$10</definedName>
    <definedName name="WP_DISCLOSURE_STAFFING_UNBILLED_PREPARED_BY_DATE">'&lt;.5&gt; Conclusion'!$G$10</definedName>
    <definedName name="WP_DISCLOSURE_STAFFING_UNBILLED_REVIEWED_BY_DATE">'&lt;.5&gt; Conclusion'!$H$10</definedName>
    <definedName name="WP_DISCLOSURE_STAFFING_CREDITS_ANCHOR">'&lt;.5&gt; Conclusion'!$A$11</definedName>
    <definedName name="WP_DISCLOSURE_STAFFING_CREDITS_RELEVANT">'&lt;.5&gt; Conclusion'!$B$11</definedName>
    <definedName name="WP_DISCLOSURE_STAFFING_CREDITS_SOURCE_REFERENCE">'&lt;.5&gt; Conclusion'!$C$11</definedName>
    <definedName name="WP_DISCLOSURE_STAFFING_CREDITS_EXCEPTIONS">'&lt;.5&gt; Conclusion'!$D$11</definedName>
    <definedName name="WP_DISCLOSURE_STAFFING_CREDITS_PROPOSED_ADJUSTMENT">'&lt;.5&gt; Conclusion'!$E$11</definedName>
    <definedName name="WP_DISCLOSURE_STAFFING_CREDITS_CONCLUSION">'&lt;.5&gt; Conclusion'!$F$11</definedName>
    <definedName name="WP_DISCLOSURE_STAFFING_CREDITS_PREPARED_BY_DATE">'&lt;.5&gt; Conclusion'!$G$11</definedName>
    <definedName name="WP_DISCLOSURE_STAFFING_CREDITS_REVIEWED_BY_DATE">'&lt;.5&gt; Conclusion'!$H$11</definedName>
    <definedName name="WP_DISCLOSURE_STAFFING_CONCENTRATION_ANCHOR">'&lt;.5&gt; Conclusion'!$A$12</definedName>
    <definedName name="WP_DISCLOSURE_STAFFING_CONCENTRATION_RELEVANT">'&lt;.5&gt; Conclusion'!$B$12</definedName>
    <definedName name="WP_DISCLOSURE_STAFFING_CONCENTRATION_SOURCE_REFERENCE">'&lt;.5&gt; Conclusion'!$C$12</definedName>
    <definedName name="WP_DISCLOSURE_STAFFING_CONCENTRATION_EXCEPTIONS">'&lt;.5&gt; Conclusion'!$D$12</definedName>
    <definedName name="WP_DISCLOSURE_STAFFING_CONCENTRATION_PROPOSED_ADJUSTMENT">'&lt;.5&gt; Conclusion'!$E$12</definedName>
    <definedName name="WP_DISCLOSURE_STAFFING_CONCENTRATION_CONCLUSION">'&lt;.5&gt; Conclusion'!$F$12</definedName>
    <definedName name="WP_DISCLOSURE_STAFFING_CONCENTRATION_PREPARED_BY_DATE">'&lt;.5&gt; Conclusion'!$G$12</definedName>
    <definedName name="WP_DISCLOSURE_STAFFING_CONCENTRATION_REVIEWED_BY_DATE">'&lt;.5&gt; Conclusion'!$H$12</definedName>
    <definedName name="WP_DISCLOSURE_STAFFING_RELATED_PARTIES_ANCHOR">'&lt;.5&gt; Conclusion'!$A$13</definedName>
    <definedName name="WP_DISCLOSURE_STAFFING_RELATED_PARTIES_RELEVANT">'&lt;.5&gt; Conclusion'!$B$13</definedName>
    <definedName name="WP_DISCLOSURE_STAFFING_RELATED_PARTIES_SOURCE_REFERENCE">'&lt;.5&gt; Conclusion'!$C$13</definedName>
    <definedName name="WP_DISCLOSURE_STAFFING_RELATED_PARTIES_EXCEPTIONS">'&lt;.5&gt; Conclusion'!$D$13</definedName>
    <definedName name="WP_DISCLOSURE_STAFFING_RELATED_PARTIES_PROPOSED_ADJUSTMENT">'&lt;.5&gt; Conclusion'!$E$13</definedName>
    <definedName name="WP_DISCLOSURE_STAFFING_RELATED_PARTIES_CONCLUSION">'&lt;.5&gt; Conclusion'!$F$13</definedName>
    <definedName name="WP_DISCLOSURE_STAFFING_RELATED_PARTIES_PREPARED_BY_DATE">'&lt;.5&gt; Conclusion'!$G$13</definedName>
    <definedName name="WP_DISCLOSURE_STAFFING_RELATED_PARTIES_REVIEWED_BY_DATE">'&lt;.5&gt; Conclusion'!$H$13</definedName>
    <definedName name="WP_DISCLOSURE_STAFFING_SUBSEQUENT_EVENTS_ANCHOR">'&lt;.5&gt; Conclusion'!$A$14</definedName>
    <definedName name="WP_DISCLOSURE_STAFFING_SUBSEQUENT_EVENTS_RELEVANT">'&lt;.5&gt; Conclusion'!$B$14</definedName>
    <definedName name="WP_DISCLOSURE_STAFFING_SUBSEQUENT_EVENTS_SOURCE_REFERENCE">'&lt;.5&gt; Conclusion'!$C$14</definedName>
    <definedName name="WP_DISCLOSURE_STAFFING_SUBSEQUENT_EVENTS_EXCEPTIONS">'&lt;.5&gt; Conclusion'!$D$14</definedName>
    <definedName name="WP_DISCLOSURE_STAFFING_SUBSEQUENT_EVENTS_PROPOSED_ADJUSTMENT">'&lt;.5&gt; Conclusion'!$E$14</definedName>
    <definedName name="WP_DISCLOSURE_STAFFING_SUBSEQUENT_EVENTS_CONCLUSION">'&lt;.5&gt; Conclusion'!$F$14</definedName>
    <definedName name="WP_DISCLOSURE_STAFFING_SUBSEQUENT_EVENTS_PREPARED_BY_DATE">'&lt;.5&gt; Conclusion'!$G$14</definedName>
    <definedName name="WP_DISCLOSURE_STAFFING_SUBSEQUENT_EVENTS_REVIEWED_BY_DATE">'&lt;.5&gt; Conclusion'!$H$14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Procedures'!$A$5:$Q$13</definedName>
    <definedName name="_xlnm.Print_Titles" localSheetId="0">'Library Procedures'!$1:$5</definedName>
    <definedName name="_xlnm.Print_Area" localSheetId="0">'Library Procedures'!$A$1:$Q$13</definedName>
    <definedName name="_xlnm.Print_Area" localSheetId="1">'&lt;.0&gt; Source Index'!$A$1:$G$23</definedName>
    <definedName name="_xlnm.Print_Area" localSheetId="2">'&lt;.1&gt; Lead &amp; Reconciliation'!$A$1:$K$27</definedName>
    <definedName name="_xlnm.Print_Area" localSheetId="3">'&lt;.2&gt; Detailed Testing'!$A$1:$O$31</definedName>
    <definedName name="_xlnm.Print_Area" localSheetId="4">'&lt;.3&gt; Cutoff &amp; Completeness'!$A$1:$K$27</definedName>
    <definedName name="_xlnm._FilterDatabase" localSheetId="5" hidden="1">'&lt;.4&gt; Hours, Billing and Gross '!$A$7:$K$39</definedName>
    <definedName name="_xlnm.Print_Titles" localSheetId="5">'&lt;.4&gt; Hours, Billing and Gross '!$1:$7</definedName>
    <definedName name="_xlnm.Print_Area" localSheetId="5">'&lt;.4&gt; Hours, Billing and Gross '!$A$1:$K$40</definedName>
    <definedName name="_xlnm.Print_Area" localSheetId="6">'&lt;.5&gt; Conclusion'!$A$1:$H$21</definedName>
    <definedName name="_xlnm.Print_Area" localSheetId="7">'Planning Context'!$A$1:$B$21</definedName>
    <definedName name="_xlnm.Print_Area" localSheetId="8">'Workpaper Sign-off'!$A$1:$F$12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b val="1"/>
      <color rgb="00FFFFFF"/>
      <sz val="14"/>
    </font>
    <font>
      <name val="SourceSans3"/>
      <family val="2"/>
      <color theme="1"/>
      <sz val="11"/>
      <scheme val="minor"/>
    </font>
    <font>
      <name val="SourceSans3"/>
      <b val="1"/>
      <color rgb="00FFFFFF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0" applyAlignment="1" pivotButton="0" quotePrefix="0" xfId="0">
      <alignment vertical="top" wrapText="1"/>
    </xf>
    <xf numFmtId="165" fontId="8" fillId="0" borderId="0" applyAlignment="1" pivotButton="0" quotePrefix="0" xfId="0">
      <alignment vertical="top" wrapText="1"/>
    </xf>
    <xf numFmtId="4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5" fontId="8" fillId="0" borderId="0" pivotButton="0" quotePrefix="0" xfId="0"/>
    <xf numFmtId="4" fontId="8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10" fillId="4" borderId="2" pivotButton="0" quotePrefix="0" xfId="0"/>
    <xf numFmtId="0" fontId="11" fillId="0" borderId="2" pivotButton="0" quotePrefix="0" xfId="0"/>
    <xf numFmtId="0" fontId="11" fillId="0" borderId="2" applyAlignment="1" pivotButton="0" quotePrefix="0" xfId="0">
      <alignment vertical="top" wrapText="1"/>
    </xf>
    <xf numFmtId="165" fontId="11" fillId="0" borderId="2" pivotButton="0" quotePrefix="0" xfId="0"/>
    <xf numFmtId="0" fontId="12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STAFFING_MARGIN" displayName="WP_STAFFING_MARGIN" ref="A7:K39" headerRowCount="1">
  <autoFilter ref="A7:K39"/>
  <tableColumns count="11">
    <tableColumn id="1" name="Customer / assignment"/>
    <tableColumn id="2" name="Approved hours"/>
    <tableColumn id="3" name="Expected billing"/>
    <tableColumn id="4" name="Recorded billing"/>
    <tableColumn id="5" name="Worker gross pay"/>
    <tableColumn id="6" name="Payroll burden"/>
    <tableColumn id="7" name="Expected margin"/>
    <tableColumn id="8" name="Recorded margin"/>
    <tableColumn id="9" name="Difference"/>
    <tableColumn id="10" name="Terms / approval"/>
    <tableColumn id="11" name="Conclusion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13"/>
  <sheetViews>
    <sheetView showGridLines="0" zoomScale="90" zoomScaleNormal="100" workbookViewId="0">
      <pane xSplit="8" ySplit="5" topLeftCell="I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34.3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6" t="inlineStr">
        <is>
          <t>Staffing Service Revenue — Library of Audit Procedures</t>
        </is>
      </c>
      <c r="B1" s="6" t="n"/>
      <c r="C1" s="6" t="n"/>
      <c r="D1" s="6" t="n"/>
      <c r="E1" s="6" t="n"/>
      <c r="F1" s="6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</row>
    <row r="2" ht="40.5" customHeight="1">
      <c r="A2" s="8" t="inlineStr">
        <is>
          <t>For staffing services. Reperform billings from executed customer terms, approved worker time, bill rates and service period.</t>
        </is>
      </c>
      <c r="B2" s="8" t="n"/>
      <c r="C2" s="8" t="n"/>
      <c r="D2" s="8" t="n"/>
      <c r="E2" s="8" t="n"/>
      <c r="F2" s="8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 ht="54" customHeight="1">
      <c r="A3" s="8" t="inlineStr">
        <is>
          <t>Client / Entity: Quaxinov Staffing Services, LLC    Prepared by: Audit Senior F43D (assigned)    Reviewed by: Audit Manager 045E (assigned)</t>
        </is>
      </c>
      <c r="B3" s="8" t="n"/>
      <c r="C3" s="8" t="n"/>
      <c r="D3" s="8" t="n"/>
      <c r="E3" s="8" t="n"/>
      <c r="F3" s="8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8" t="n"/>
      <c r="B4" s="8" t="n"/>
      <c r="C4" s="8" t="n"/>
      <c r="D4" s="8" t="n"/>
      <c r="E4" s="8" t="n"/>
      <c r="F4" s="8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9" t="inlineStr">
        <is>
          <t>Applicability</t>
        </is>
      </c>
      <c r="B5" s="9" t="inlineStr">
        <is>
          <t>Requirement</t>
        </is>
      </c>
      <c r="C5" s="9" t="inlineStr">
        <is>
          <t>Execution state</t>
        </is>
      </c>
      <c r="D5" s="9" t="inlineStr">
        <is>
          <t>Evidence state</t>
        </is>
      </c>
      <c r="E5" s="9" t="inlineStr">
        <is>
          <t>Result state</t>
        </is>
      </c>
      <c r="F5" s="9" t="inlineStr">
        <is>
          <t>Issue state</t>
        </is>
      </c>
      <c r="G5" s="9" t="inlineStr">
        <is>
          <t>Signoff state</t>
        </is>
      </c>
      <c r="H5" s="9" t="inlineStr">
        <is>
          <t>Derived outcome</t>
        </is>
      </c>
      <c r="I5" s="9" t="inlineStr">
        <is>
          <t>Procedure</t>
        </is>
      </c>
      <c r="J5" s="9" t="inlineStr">
        <is>
          <t>Assertion(s)</t>
        </is>
      </c>
      <c r="K5" s="9" t="inlineStr">
        <is>
          <t>W/P Ref</t>
        </is>
      </c>
      <c r="L5" s="9" t="inlineStr">
        <is>
          <t>Performed by</t>
        </is>
      </c>
      <c r="M5" s="9" t="inlineStr">
        <is>
          <t>Date</t>
        </is>
      </c>
      <c r="N5" s="9" t="inlineStr">
        <is>
          <t>Reason code</t>
        </is>
      </c>
      <c r="O5" s="9" t="inlineStr">
        <is>
          <t>Source fact / evidence</t>
        </is>
      </c>
      <c r="P5" s="9" t="inlineStr">
        <is>
          <t>Issue / dependency IDs</t>
        </is>
      </c>
      <c r="Q5" s="9" t="inlineStr">
        <is>
          <t>Comment / Work performed</t>
        </is>
      </c>
    </row>
    <row r="6" ht="120" customHeight="1">
      <c r="A6" s="8" t="inlineStr">
        <is>
          <t>Applicable</t>
        </is>
      </c>
      <c r="B6" s="8" t="inlineStr">
        <is>
          <t>Required</t>
        </is>
      </c>
      <c r="C6" s="8" t="inlineStr">
        <is>
          <t>Not Started</t>
        </is>
      </c>
      <c r="D6" s="8" t="inlineStr">
        <is>
          <t>Missing</t>
        </is>
      </c>
      <c r="E6" s="8" t="inlineStr">
        <is>
          <t>Unable to Conclude</t>
        </is>
      </c>
      <c r="F6" s="8" t="inlineStr">
        <is>
          <t>None</t>
        </is>
      </c>
      <c r="G6" s="8" t="inlineStr">
        <is>
          <t>Unsigned</t>
        </is>
      </c>
      <c r="H6" s="8">
        <f>IF(A6="Not Applicable - Fact Driven",IF(AND(C6="Not Performed",D6="Not Required",OR(F6="None",F6="Resolved",F6="Passed"),OR(G6="Prepared",G6="Reviewed"),LEFT(O6,6)="FACT:/",Q6&lt;&gt;""),"Valid N/A","Blocked"),IF(AND(B6="Recommended",C6="Not Performed",D6="Not Required",OR(F6="None",F6="Resolved",F6="Passed")),"Recommended - Not Performed",IF(C6&lt;&gt;"Performed","Open - "&amp;C6,IF(D6&lt;&gt;"Sufficient","Open - "&amp;D6&amp;" Evidence",IF(E6="Unable to Conclude","Open - Unable to Conclude",IF(AND(E6="Exception Identified",ISERROR(SEARCH("ISSUE:",P6))),"Open - Missing Issue ID",IF(AND(F6="Open",ISERROR(SEARCH("ISSUE:",P6))),"Open - Missing Issue ID",IF(OR(F6="Open",F6="Superseded"),"Open - "&amp;F6&amp;" Issue",IF(AND(E6="Exception Identified",NOT(OR(F6="Adjusted",F6="Passed",F6="Resolved"))),"Open - Undispositioned Exception",IF(OR(G6="Prepared",G6="Reviewed"),"Passed","Open - Unsigned"))))))))))</f>
        <v/>
      </c>
      <c r="I6" s="8" t="inlineStr">
        <is>
          <t>1. Index all governing agreements, source populations, cash evidence, general-ledger detail and subsequent-period records; document missing evidence.</t>
        </is>
      </c>
      <c r="J6" s="8" t="inlineStr">
        <is>
          <t>Completeness</t>
        </is>
      </c>
      <c r="K6" s="8" t="inlineStr">
        <is>
          <t>&lt;.0&gt;</t>
        </is>
      </c>
      <c r="L6" s="8" t="n"/>
      <c r="M6" s="10" t="n"/>
      <c r="N6" s="8" t="n"/>
      <c r="O6" s="8" t="n"/>
      <c r="P6" s="8" t="inlineStr">
        <is>
          <t>PROC:PROC-REVENUE; PROC:Resp Revenue reference 001; PROC:Resp Revenue Unpredictable reference 001; PROC:RESP-STAFFING-CUTOFF-REVENUE; WINDOW:WIN-REVENUE-CUTOFF</t>
        </is>
      </c>
      <c r="Q6" s="8" t="n"/>
    </row>
    <row r="7" ht="120" customHeight="1">
      <c r="A7" s="8" t="inlineStr">
        <is>
          <t>Applicable</t>
        </is>
      </c>
      <c r="B7" s="8" t="inlineStr">
        <is>
          <t>Required</t>
        </is>
      </c>
      <c r="C7" s="8" t="inlineStr">
        <is>
          <t>Not Started</t>
        </is>
      </c>
      <c r="D7" s="8" t="inlineStr">
        <is>
          <t>Missing</t>
        </is>
      </c>
      <c r="E7" s="8" t="inlineStr">
        <is>
          <t>Unable to Conclude</t>
        </is>
      </c>
      <c r="F7" s="8" t="inlineStr">
        <is>
          <t>None</t>
        </is>
      </c>
      <c r="G7" s="8" t="inlineStr">
        <is>
          <t>Unsigned</t>
        </is>
      </c>
      <c r="H7" s="8">
        <f>IF(A7="Not Applicable - Fact Driven",IF(AND(C7="Not Performed",D7="Not Required",OR(F7="None",F7="Resolved",F7="Passed"),OR(G7="Prepared",G7="Reviewed"),LEFT(O7,6)="FACT:/",Q7&lt;&gt;""),"Valid N/A","Blocked"),IF(AND(B7="Recommended",C7="Not Performed",D7="Not Required",OR(F7="None",F7="Resolved",F7="Passed")),"Recommended - Not Performed",IF(C7&lt;&gt;"Performed","Open - "&amp;C7,IF(D7&lt;&gt;"Sufficient","Open - "&amp;D7&amp;" Evidence",IF(E7="Unable to Conclude","Open - Unable to Conclude",IF(AND(E7="Exception Identified",ISERROR(SEARCH("ISSUE:",P7))),"Open - Missing Issue ID",IF(AND(F7="Open",ISERROR(SEARCH("ISSUE:",P7))),"Open - Missing Issue ID",IF(OR(F7="Open",F7="Superseded"),"Open - "&amp;F7&amp;" Issue",IF(AND(E7="Exception Identified",NOT(OR(F7="Adjusted",F7="Passed",F7="Resolved"))),"Open - Undispositioned Exception",IF(OR(G7="Prepared",G7="Reviewed"),"Passed","Open - Unsigned"))))))))))</f>
        <v/>
      </c>
      <c r="I7" s="8" t="inlineStr">
        <is>
          <t>2. Agree each revenue stream and related receivable, contract balance or deferred amount to the trial balance and financial statements.</t>
        </is>
      </c>
      <c r="J7" s="8" t="inlineStr">
        <is>
          <t>Completeness; Accuracy; Classification</t>
        </is>
      </c>
      <c r="K7" s="8" t="inlineStr">
        <is>
          <t>&lt;.1&gt;</t>
        </is>
      </c>
      <c r="L7" s="8" t="n"/>
      <c r="M7" s="10" t="n"/>
      <c r="N7" s="8" t="n"/>
      <c r="O7" s="8" t="n"/>
      <c r="P7" s="8" t="inlineStr">
        <is>
          <t>PROC:PROC-REVENUE; PROC:Resp Revenue reference 001; PROC:Resp Revenue Unpredictable reference 001; PROC:RESP-STAFFING-CUTOFF-REVENUE</t>
        </is>
      </c>
      <c r="Q7" s="8" t="n"/>
    </row>
    <row r="8" ht="120" customHeight="1">
      <c r="A8" s="8" t="inlineStr">
        <is>
          <t>Applicable</t>
        </is>
      </c>
      <c r="B8" s="8" t="inlineStr">
        <is>
          <t>Required</t>
        </is>
      </c>
      <c r="C8" s="8" t="inlineStr">
        <is>
          <t>Not Started</t>
        </is>
      </c>
      <c r="D8" s="8" t="inlineStr">
        <is>
          <t>Missing</t>
        </is>
      </c>
      <c r="E8" s="8" t="inlineStr">
        <is>
          <t>Unable to Conclude</t>
        </is>
      </c>
      <c r="F8" s="8" t="inlineStr">
        <is>
          <t>None</t>
        </is>
      </c>
      <c r="G8" s="8" t="inlineStr">
        <is>
          <t>Unsigned</t>
        </is>
      </c>
      <c r="H8" s="8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8" t="inlineStr">
        <is>
          <t>3. Reconcile the complete source population to the general ledger by stream and investigate every difference above the testing threshold.</t>
        </is>
      </c>
      <c r="J8" s="8" t="inlineStr">
        <is>
          <t>Completeness; Accuracy</t>
        </is>
      </c>
      <c r="K8" s="8" t="inlineStr">
        <is>
          <t>&lt;.1&gt;</t>
        </is>
      </c>
      <c r="L8" s="8" t="n"/>
      <c r="M8" s="10" t="n"/>
      <c r="N8" s="8" t="n"/>
      <c r="O8" s="8" t="n"/>
      <c r="P8" s="8" t="inlineStr">
        <is>
          <t>PROC:PROC-REVENUE; PROC:Resp Revenue reference 001; PROC:Resp Revenue Unpredictable reference 001; PROC:RESP-STAFFING-CUTOFF-REVENUE</t>
        </is>
      </c>
      <c r="Q8" s="8" t="n"/>
    </row>
    <row r="9" ht="120" customHeight="1">
      <c r="A9" s="8" t="inlineStr">
        <is>
          <t>Applicable</t>
        </is>
      </c>
      <c r="B9" s="8" t="inlineStr">
        <is>
          <t>Required</t>
        </is>
      </c>
      <c r="C9" s="8" t="inlineStr">
        <is>
          <t>Not Started</t>
        </is>
      </c>
      <c r="D9" s="8" t="inlineStr">
        <is>
          <t>Missing</t>
        </is>
      </c>
      <c r="E9" s="8" t="inlineStr">
        <is>
          <t>Unable to Conclude</t>
        </is>
      </c>
      <c r="F9" s="8" t="inlineStr">
        <is>
          <t>None</t>
        </is>
      </c>
      <c r="G9" s="8" t="inlineStr">
        <is>
          <t>Unsigned</t>
        </is>
      </c>
      <c r="H9" s="8">
        <f>IF(A9="Not Applicable - Fact Driven",IF(AND(C9="Not Performed",D9="Not Required",OR(F9="None",F9="Resolved",F9="Passed"),OR(G9="Prepared",G9="Reviewed"),LEFT(O9,6)="FACT:/",Q9&lt;&gt;""),"Valid N/A","Blocked"),IF(AND(B9="Recommended",C9="Not Performed",D9="Not Required",OR(F9="None",F9="Resolved",F9="Passed")),"Recommended - Not Performed",IF(C9&lt;&gt;"Performed","Open - "&amp;C9,IF(D9&lt;&gt;"Sufficient","Open - "&amp;D9&amp;" Evidence",IF(E9="Unable to Conclude","Open - Unable to Conclude",IF(AND(E9="Exception Identified",ISERROR(SEARCH("ISSUE:",P9))),"Open - Missing Issue ID",IF(AND(F9="Open",ISERROR(SEARCH("ISSUE:",P9))),"Open - Missing Issue ID",IF(OR(F9="Open",F9="Superseded"),"Open - "&amp;F9&amp;" Issue",IF(AND(E9="Exception Identified",NOT(OR(F9="Adjusted",F9="Passed",F9="Resolved"))),"Open - Undispositioned Exception",IF(OR(G9="Prepared",G9="Reviewed"),"Passed","Open - Unsigned"))))))))))</f>
        <v/>
      </c>
      <c r="I9" s="8" t="inlineStr">
        <is>
          <t>4. Select transactions from the reconciled population and trace the governing terms through performance, billing, collection and posting.</t>
        </is>
      </c>
      <c r="J9" s="8" t="inlineStr">
        <is>
          <t>Occurrence; Accuracy; Cutoff</t>
        </is>
      </c>
      <c r="K9" s="8" t="inlineStr">
        <is>
          <t>&lt;.2&gt;</t>
        </is>
      </c>
      <c r="L9" s="8" t="n"/>
      <c r="M9" s="10" t="n"/>
      <c r="N9" s="8" t="n"/>
      <c r="O9" s="8" t="n"/>
      <c r="P9" s="8" t="inlineStr">
        <is>
          <t>PROC:PROC-REVENUE; PROC:Resp Revenue reference 001; PROC:Resp Revenue Unpredictable reference 001; PROC:RESP-STAFFING-CUTOFF-REVENUE</t>
        </is>
      </c>
      <c r="Q9" s="8" t="n"/>
    </row>
    <row r="10" ht="120" customHeight="1">
      <c r="A10" s="8" t="inlineStr">
        <is>
          <t>Applicable</t>
        </is>
      </c>
      <c r="B10" s="8" t="inlineStr">
        <is>
          <t>Required</t>
        </is>
      </c>
      <c r="C10" s="8" t="inlineStr">
        <is>
          <t>Not Started</t>
        </is>
      </c>
      <c r="D10" s="8" t="inlineStr">
        <is>
          <t>Missing</t>
        </is>
      </c>
      <c r="E10" s="8" t="inlineStr">
        <is>
          <t>Unable to Conclude</t>
        </is>
      </c>
      <c r="F10" s="8" t="inlineStr">
        <is>
          <t>None</t>
        </is>
      </c>
      <c r="G10" s="8" t="inlineStr">
        <is>
          <t>Unsigned</t>
        </is>
      </c>
      <c r="H10" s="8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8" t="inlineStr">
        <is>
          <t>5. Test prices, quantities, dates, approvals, counterparty identity and recognition timing against the governing agreement.</t>
        </is>
      </c>
      <c r="J10" s="8" t="inlineStr">
        <is>
          <t>Occurrence; Accuracy</t>
        </is>
      </c>
      <c r="K10" s="8" t="inlineStr">
        <is>
          <t>&lt;.2&gt;</t>
        </is>
      </c>
      <c r="L10" s="8" t="n"/>
      <c r="M10" s="10" t="n"/>
      <c r="N10" s="8" t="n"/>
      <c r="O10" s="8" t="n"/>
      <c r="P10" s="8" t="inlineStr">
        <is>
          <t>PROC:PROC-REVENUE; PROC:Resp Revenue reference 001; PROC:Resp Revenue Unpredictable reference 001; PROC:RESP-STAFFING-CUTOFF-REVENUE</t>
        </is>
      </c>
      <c r="Q10" s="8" t="n"/>
    </row>
    <row r="11" ht="120" customHeight="1">
      <c r="A11" s="8" t="inlineStr">
        <is>
          <t>Applicable</t>
        </is>
      </c>
      <c r="B11" s="8" t="inlineStr">
        <is>
          <t>Required</t>
        </is>
      </c>
      <c r="C11" s="8" t="inlineStr">
        <is>
          <t>Not Started</t>
        </is>
      </c>
      <c r="D11" s="8" t="inlineStr">
        <is>
          <t>Missing</t>
        </is>
      </c>
      <c r="E11" s="8" t="inlineStr">
        <is>
          <t>Unable to Conclude</t>
        </is>
      </c>
      <c r="F11" s="8" t="inlineStr">
        <is>
          <t>None</t>
        </is>
      </c>
      <c r="G11" s="8" t="inlineStr">
        <is>
          <t>Unsigned</t>
        </is>
      </c>
      <c r="H11" s="8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8" t="inlineStr">
        <is>
          <t>6. Test transactions immediately before and after year-end in both directions and review subsequent credits, cancellations and adjustments.</t>
        </is>
      </c>
      <c r="J11" s="8" t="inlineStr">
        <is>
          <t>Cutoff; Completeness</t>
        </is>
      </c>
      <c r="K11" s="8" t="inlineStr">
        <is>
          <t>&lt;.3&gt;</t>
        </is>
      </c>
      <c r="L11" s="8" t="n"/>
      <c r="M11" s="10" t="n"/>
      <c r="N11" s="8" t="n"/>
      <c r="O11" s="8" t="n"/>
      <c r="P11" s="8" t="inlineStr">
        <is>
          <t>PROC:PROC-REVENUE; PROC:Resp Revenue reference 001; PROC:Resp Revenue Unpredictable reference 001; PROC:RESP-STAFFING-CUTOFF-REVENUE; WINDOW:WIN-REVENUE-CUTOFF</t>
        </is>
      </c>
      <c r="Q11" s="8" t="n"/>
    </row>
    <row r="12" ht="120" customHeight="1">
      <c r="A12" s="8" t="inlineStr">
        <is>
          <t>Applicable</t>
        </is>
      </c>
      <c r="B12" s="8" t="inlineStr">
        <is>
          <t>Required</t>
        </is>
      </c>
      <c r="C12" s="8" t="inlineStr">
        <is>
          <t>Not Started</t>
        </is>
      </c>
      <c r="D12" s="8" t="inlineStr">
        <is>
          <t>Missing</t>
        </is>
      </c>
      <c r="E12" s="8" t="inlineStr">
        <is>
          <t>Unable to Conclude</t>
        </is>
      </c>
      <c r="F12" s="8" t="inlineStr">
        <is>
          <t>None</t>
        </is>
      </c>
      <c r="G12" s="8" t="inlineStr">
        <is>
          <t>Unsigned</t>
        </is>
      </c>
      <c r="H12" s="8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8" t="inlineStr">
        <is>
          <t>7. Complete the hours, billing and gross margin analysis and quantify all exceptions.</t>
        </is>
      </c>
      <c r="J12" s="8" t="inlineStr">
        <is>
          <t>Accuracy; Valuation; Classification</t>
        </is>
      </c>
      <c r="K12" s="8" t="inlineStr">
        <is>
          <t>&lt;.4&gt;</t>
        </is>
      </c>
      <c r="L12" s="8" t="n"/>
      <c r="M12" s="10" t="n"/>
      <c r="N12" s="8" t="n"/>
      <c r="O12" s="8" t="n"/>
      <c r="P12" s="8" t="inlineStr">
        <is>
          <t>PROC:PROC-REVENUE; PROC:Resp Revenue reference 001; PROC:Resp Revenue Unpredictable reference 001; PROC:RESP-STAFFING-CUTOFF-REVENUE</t>
        </is>
      </c>
      <c r="Q12" s="8" t="n"/>
    </row>
    <row r="13" ht="120" customHeight="1">
      <c r="A13" s="8" t="inlineStr">
        <is>
          <t>Applicable</t>
        </is>
      </c>
      <c r="B13" s="8" t="inlineStr">
        <is>
          <t>Required</t>
        </is>
      </c>
      <c r="C13" s="8" t="inlineStr">
        <is>
          <t>Not Started</t>
        </is>
      </c>
      <c r="D13" s="8" t="inlineStr">
        <is>
          <t>Missing</t>
        </is>
      </c>
      <c r="E13" s="8" t="inlineStr">
        <is>
          <t>Unable to Conclude</t>
        </is>
      </c>
      <c r="F13" s="8" t="inlineStr">
        <is>
          <t>None</t>
        </is>
      </c>
      <c r="G13" s="8" t="inlineStr">
        <is>
          <t>Unsigned</t>
        </is>
      </c>
      <c r="H13" s="8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8" t="inlineStr">
        <is>
          <t>8. Evaluate presentation, disclosures, concentrations and subsequent events; conclude on each assertion and proposed adjustment.</t>
        </is>
      </c>
      <c r="J13" s="8" t="inlineStr">
        <is>
          <t>Presentation &amp; Disclosure</t>
        </is>
      </c>
      <c r="K13" s="8" t="inlineStr">
        <is>
          <t>&lt;.5&gt;</t>
        </is>
      </c>
      <c r="L13" s="8" t="n"/>
      <c r="M13" s="10" t="n"/>
      <c r="N13" s="8" t="n"/>
      <c r="O13" s="8" t="n"/>
      <c r="P13" s="8" t="inlineStr">
        <is>
          <t>PROC:PROC-REVENUE; PROC:Resp Revenue reference 001; PROC:Resp Revenue Unpredictable reference 001; PROC:RESP-STAFFING-CUTOFF-REVENUE; WINDOW:WIN-REVENUE-CUTOFF</t>
        </is>
      </c>
      <c r="Q13" s="8" t="n"/>
    </row>
  </sheetData>
  <autoFilter ref="A5:Q13"/>
  <conditionalFormatting sqref="A6:Q13">
    <cfRule type="expression" priority="1" dxfId="0">
      <formula>AND($F6="Open",$P6&lt;&gt;"")</formula>
    </cfRule>
    <cfRule type="expression" priority="2" dxfId="1">
      <formula>OR($H6="Blocked",AND($F6="Open",$P6=""))</formula>
    </cfRule>
    <cfRule type="expression" priority="3" dxfId="2">
      <formula>$H6="Passed"</formula>
    </cfRule>
    <cfRule type="expression" priority="4" dxfId="3">
      <formula>OR($H6="Valid N/A",$H6="Recommended - Not Performed")</formula>
    </cfRule>
  </conditionalFormatting>
  <dataValidations count="7">
    <dataValidation sqref="A6 A7 A8 A9 A10 A11 A12 A13" showDropDown="0" showInputMessage="0" showErrorMessage="0" allowBlank="0" type="list">
      <formula1>"Applicable,Not Applicable - Fact Driven"</formula1>
    </dataValidation>
    <dataValidation sqref="B6 B7 B8 B9 B10 B11 B12 B13" showDropDown="0" showInputMessage="0" showErrorMessage="0" allowBlank="0" type="list">
      <formula1>"Required,Recommended"</formula1>
    </dataValidation>
    <dataValidation sqref="C6 C7 C8 C9 C10 C11 C12 C13" showDropDown="0" showInputMessage="0" showErrorMessage="0" allowBlank="0" type="list">
      <formula1>"Not Started,In Progress,Performed,Not Performed"</formula1>
    </dataValidation>
    <dataValidation sqref="D6 D7 D8 D9 D10 D11 D12 D13" showDropDown="0" showInputMessage="0" showErrorMessage="0" allowBlank="0" type="list">
      <formula1>"Sufficient,Missing,Unreadable,Unreliable,Contradictory,Not Required"</formula1>
    </dataValidation>
    <dataValidation sqref="E6 E7 E8 E9 E10 E11 E12 E13" showDropDown="0" showInputMessage="0" showErrorMessage="0" allowBlank="0" type="list">
      <formula1>"No Exception,Exception Identified,Unable to Conclude"</formula1>
    </dataValidation>
    <dataValidation sqref="F6 F7 F8 F9 F10 F11 F12 F13" showDropDown="0" showInputMessage="0" showErrorMessage="0" allowBlank="0" type="list">
      <formula1>"None,Open,Adjusted,Passed,Resolved,Superseded"</formula1>
    </dataValidation>
    <dataValidation sqref="G6 G7 G8 G9 G10 G11 G12 G13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G23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19" customWidth="1" min="3" max="3"/>
    <col width="14" customWidth="1" min="4" max="4"/>
    <col width="12" customWidth="1" min="5" max="5"/>
    <col width="16" customWidth="1" min="6" max="6"/>
    <col width="21" customWidth="1" min="7" max="7"/>
  </cols>
  <sheetData>
    <row r="1">
      <c r="A1" s="6" t="inlineStr">
        <is>
          <t>Source Index</t>
        </is>
      </c>
      <c r="B1" s="6" t="n"/>
      <c r="C1" s="6" t="n"/>
      <c r="D1" s="6" t="n"/>
      <c r="E1" s="6" t="n"/>
      <c r="F1" s="6" t="n"/>
      <c r="G1" s="6" t="n"/>
    </row>
    <row r="2">
      <c r="A2" s="8" t="inlineStr">
        <is>
          <t>Client / Entity</t>
        </is>
      </c>
      <c r="B2" s="8" t="inlineStr">
        <is>
          <t>Quaxinov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</row>
    <row r="3">
      <c r="A3" s="8" t="inlineStr">
        <is>
          <t>Performance Materiality</t>
        </is>
      </c>
      <c r="B3" s="11" t="n">
        <v>23400</v>
      </c>
      <c r="C3" s="8" t="inlineStr">
        <is>
          <t>Testing Threshold</t>
        </is>
      </c>
      <c r="D3" s="11" t="n">
        <v>17600</v>
      </c>
      <c r="E3" s="8" t="n"/>
      <c r="F3" s="8" t="n"/>
      <c r="G3" s="8" t="n"/>
    </row>
    <row r="4" ht="27" customHeight="1">
      <c r="A4" s="8" t="inlineStr">
        <is>
          <t>Purpose</t>
        </is>
      </c>
      <c r="B4" s="8" t="inlineStr">
        <is>
          <t>Map every revenue source and its limitations.</t>
        </is>
      </c>
      <c r="C4" s="8" t="n"/>
      <c r="D4" s="8" t="n"/>
      <c r="E4" s="8" t="n"/>
      <c r="F4" s="8" t="n"/>
      <c r="G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</row>
    <row r="6">
      <c r="A6" s="8" t="inlineStr">
        <is>
          <t>Assertions</t>
        </is>
      </c>
      <c r="B6" s="8" t="inlineStr">
        <is>
          <t>Completeness</t>
        </is>
      </c>
      <c r="C6" s="8" t="n"/>
      <c r="D6" s="8" t="n"/>
      <c r="E6" s="8" t="n"/>
      <c r="F6" s="8" t="n"/>
      <c r="G6" s="8" t="n"/>
    </row>
    <row r="7">
      <c r="A7" s="12" t="inlineStr">
        <is>
          <t>Ref</t>
        </is>
      </c>
      <c r="B7" s="12" t="inlineStr">
        <is>
          <t>Source document / population</t>
        </is>
      </c>
      <c r="C7" s="12" t="inlineStr">
        <is>
          <t>Provided by</t>
        </is>
      </c>
      <c r="D7" s="12" t="inlineStr">
        <is>
          <t>Period</t>
        </is>
      </c>
      <c r="E7" s="12" t="inlineStr">
        <is>
          <t>Format</t>
        </is>
      </c>
      <c r="F7" s="12" t="inlineStr">
        <is>
          <t>Used in tab(s)</t>
        </is>
      </c>
      <c r="G7" s="12" t="inlineStr">
        <is>
          <t>Limitations / notes</t>
        </is>
      </c>
    </row>
    <row r="8">
      <c r="A8" s="13" t="n"/>
      <c r="B8" s="13" t="n"/>
      <c r="C8" s="13" t="n"/>
      <c r="D8" s="13" t="n"/>
      <c r="E8" s="13" t="n"/>
      <c r="F8" s="13" t="n"/>
      <c r="G8" s="13" t="n"/>
    </row>
    <row r="9">
      <c r="A9" s="13" t="n"/>
      <c r="B9" s="13" t="n"/>
      <c r="C9" s="13" t="n"/>
      <c r="D9" s="13" t="n"/>
      <c r="E9" s="13" t="n"/>
      <c r="F9" s="13" t="n"/>
      <c r="G9" s="13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3" t="n"/>
      <c r="B11" s="13" t="n"/>
      <c r="C11" s="13" t="n"/>
      <c r="D11" s="13" t="n"/>
      <c r="E11" s="13" t="n"/>
      <c r="F11" s="13" t="n"/>
      <c r="G11" s="13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3" t="n"/>
      <c r="B13" s="13" t="n"/>
      <c r="C13" s="13" t="n"/>
      <c r="D13" s="13" t="n"/>
      <c r="E13" s="13" t="n"/>
      <c r="F13" s="13" t="n"/>
      <c r="G13" s="13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3" t="n"/>
      <c r="B15" s="13" t="n"/>
      <c r="C15" s="13" t="n"/>
      <c r="D15" s="13" t="n"/>
      <c r="E15" s="13" t="n"/>
      <c r="F15" s="13" t="n"/>
      <c r="G15" s="13" t="n"/>
    </row>
    <row r="16">
      <c r="A16" s="13" t="n"/>
      <c r="B16" s="13" t="n"/>
      <c r="C16" s="13" t="n"/>
      <c r="D16" s="13" t="n"/>
      <c r="E16" s="13" t="n"/>
      <c r="F16" s="13" t="n"/>
      <c r="G16" s="13" t="n"/>
    </row>
    <row r="17">
      <c r="A17" s="13" t="n"/>
      <c r="B17" s="13" t="n"/>
      <c r="C17" s="13" t="n"/>
      <c r="D17" s="13" t="n"/>
      <c r="E17" s="13" t="n"/>
      <c r="F17" s="13" t="n"/>
      <c r="G17" s="13" t="n"/>
    </row>
    <row r="18">
      <c r="A18" s="13" t="n"/>
      <c r="B18" s="13" t="n"/>
      <c r="C18" s="13" t="n"/>
      <c r="D18" s="13" t="n"/>
      <c r="E18" s="13" t="n"/>
      <c r="F18" s="13" t="n"/>
      <c r="G18" s="13" t="n"/>
    </row>
    <row r="19">
      <c r="A19" s="13" t="n"/>
      <c r="B19" s="13" t="n"/>
      <c r="C19" s="13" t="n"/>
      <c r="D19" s="13" t="n"/>
      <c r="E19" s="13" t="n"/>
      <c r="F19" s="13" t="n"/>
      <c r="G19" s="13" t="n"/>
    </row>
    <row r="20">
      <c r="A20" s="13" t="n"/>
      <c r="B20" s="13" t="n"/>
      <c r="C20" s="13" t="n"/>
      <c r="D20" s="13" t="n"/>
      <c r="E20" s="13" t="n"/>
      <c r="F20" s="13" t="n"/>
      <c r="G20" s="13" t="n"/>
    </row>
    <row r="21">
      <c r="A21" s="13" t="n"/>
      <c r="B21" s="13" t="n"/>
      <c r="C21" s="13" t="n"/>
      <c r="D21" s="13" t="n"/>
      <c r="E21" s="13" t="n"/>
      <c r="F21" s="13" t="n"/>
      <c r="G21" s="13" t="n"/>
    </row>
    <row r="22">
      <c r="A22" s="13" t="n"/>
      <c r="B22" s="13" t="n"/>
      <c r="C22" s="13" t="n"/>
      <c r="D22" s="13" t="n"/>
      <c r="E22" s="13" t="n"/>
      <c r="F22" s="13" t="n"/>
      <c r="G22" s="13" t="n"/>
    </row>
    <row r="23">
      <c r="A23" s="13" t="n"/>
      <c r="B23" s="13" t="n"/>
      <c r="C23" s="13" t="n"/>
      <c r="D23" s="13" t="n"/>
      <c r="E23" s="13" t="n"/>
      <c r="F23" s="13" t="n"/>
      <c r="G23" s="13" t="n"/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K2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23" customWidth="1" min="3" max="3"/>
    <col width="14" customWidth="1" min="4" max="4"/>
    <col width="18" customWidth="1" min="5" max="5"/>
    <col width="12" customWidth="1" min="6" max="6"/>
    <col width="42" customWidth="1" min="7" max="7"/>
    <col width="12" customWidth="1" min="8" max="8"/>
    <col width="12" customWidth="1" min="9" max="9"/>
    <col width="34" customWidth="1" min="10" max="10"/>
    <col width="21" customWidth="1" min="11" max="11"/>
  </cols>
  <sheetData>
    <row r="1" ht="27" customHeight="1">
      <c r="A1" s="6" t="inlineStr">
        <is>
          <t>Revenue Lead Sheet and Reconciliation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Quaxinov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23400</v>
      </c>
      <c r="C3" s="8" t="inlineStr">
        <is>
          <t>Testing Threshold</t>
        </is>
      </c>
      <c r="D3" s="11" t="n">
        <v>17600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Tie every stream to the books and reconcile the complete source population.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Completeness; Accuracy; Classification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Stream / account</t>
        </is>
      </c>
      <c r="B7" s="12" t="inlineStr">
        <is>
          <t>GL account</t>
        </is>
      </c>
      <c r="C7" s="12" t="inlineStr">
        <is>
          <t>Per source population</t>
        </is>
      </c>
      <c r="D7" s="12" t="inlineStr">
        <is>
          <t>Per GL / TB</t>
        </is>
      </c>
      <c r="E7" s="12" t="inlineStr">
        <is>
          <t>Reconciling item</t>
        </is>
      </c>
      <c r="F7" s="12" t="inlineStr">
        <is>
          <t>Amount</t>
        </is>
      </c>
      <c r="G7" s="12" t="inlineStr">
        <is>
          <t>Unidentified difference</t>
        </is>
      </c>
      <c r="H7" s="12" t="inlineStr">
        <is>
          <t>CY</t>
        </is>
      </c>
      <c r="I7" s="12" t="inlineStr">
        <is>
          <t>PY</t>
        </is>
      </c>
      <c r="J7" s="12" t="inlineStr">
        <is>
          <t>Change</t>
        </is>
      </c>
      <c r="K7" s="12" t="inlineStr">
        <is>
          <t>Conclusion / source</t>
        </is>
      </c>
    </row>
    <row r="8">
      <c r="A8" s="13" t="n"/>
      <c r="B8" s="13" t="n"/>
      <c r="C8" s="13" t="n"/>
      <c r="D8" s="13" t="n"/>
      <c r="E8" s="13" t="n"/>
      <c r="F8" s="13" t="n"/>
      <c r="G8" s="13">
        <f>IF(OR(C8="",D8=""),"",C8+IF(F8="",0,F8)-D8)</f>
        <v/>
      </c>
      <c r="H8" s="13" t="n"/>
      <c r="I8" s="13" t="n"/>
      <c r="J8" s="13">
        <f>IF(OR(H8="",I8=""),"",H8-I8)</f>
        <v/>
      </c>
      <c r="K8" s="13" t="n"/>
    </row>
    <row r="9">
      <c r="A9" s="13" t="n"/>
      <c r="B9" s="13" t="n"/>
      <c r="C9" s="13" t="n"/>
      <c r="D9" s="13" t="n"/>
      <c r="E9" s="13" t="n"/>
      <c r="F9" s="13" t="n"/>
      <c r="G9" s="13">
        <f>IF(OR(C9="",D9=""),"",C9+IF(F9="",0,F9)-D9)</f>
        <v/>
      </c>
      <c r="H9" s="13" t="n"/>
      <c r="I9" s="13" t="n"/>
      <c r="J9" s="13">
        <f>IF(OR(H9="",I9=""),"",H9-I9)</f>
        <v/>
      </c>
      <c r="K9" s="13" t="n"/>
    </row>
    <row r="10" ht="27" customHeight="1">
      <c r="A10" s="13" t="n"/>
      <c r="B10" s="13" t="n"/>
      <c r="C10" s="13" t="n"/>
      <c r="D10" s="13" t="n"/>
      <c r="E10" s="13" t="n"/>
      <c r="F10" s="13" t="n"/>
      <c r="G10" s="13">
        <f>IF(OR(C10="",D10=""),"",C10+IF(F10="",0,F10)-D10)</f>
        <v/>
      </c>
      <c r="H10" s="13" t="n"/>
      <c r="I10" s="13" t="n"/>
      <c r="J10" s="13">
        <f>IF(OR(H10="",I10=""),"",H10-I10)</f>
        <v/>
      </c>
      <c r="K10" s="13" t="n"/>
    </row>
    <row r="11" ht="27" customHeight="1">
      <c r="A11" s="13" t="n"/>
      <c r="B11" s="13" t="n"/>
      <c r="C11" s="13" t="n"/>
      <c r="D11" s="13" t="n"/>
      <c r="E11" s="13" t="n"/>
      <c r="F11" s="13" t="n"/>
      <c r="G11" s="13">
        <f>IF(OR(C11="",D11=""),"",C11+IF(F11="",0,F11)-D11)</f>
        <v/>
      </c>
      <c r="H11" s="13" t="n"/>
      <c r="I11" s="13" t="n"/>
      <c r="J11" s="13">
        <f>IF(OR(H11="",I11=""),"",H11-I11)</f>
        <v/>
      </c>
      <c r="K11" s="13" t="n"/>
    </row>
    <row r="12" ht="27" customHeight="1">
      <c r="A12" s="13" t="n"/>
      <c r="B12" s="13" t="n"/>
      <c r="C12" s="13" t="n"/>
      <c r="D12" s="13" t="n"/>
      <c r="E12" s="13" t="n"/>
      <c r="F12" s="13" t="n"/>
      <c r="G12" s="13">
        <f>IF(OR(C12="",D12=""),"",C12+IF(F12="",0,F12)-D12)</f>
        <v/>
      </c>
      <c r="H12" s="13" t="n"/>
      <c r="I12" s="13" t="n"/>
      <c r="J12" s="13">
        <f>IF(OR(H12="",I12=""),"",H12-I12)</f>
        <v/>
      </c>
      <c r="K12" s="13" t="n"/>
    </row>
    <row r="13" ht="27" customHeight="1">
      <c r="A13" s="13" t="n"/>
      <c r="B13" s="13" t="n"/>
      <c r="C13" s="13" t="n"/>
      <c r="D13" s="13" t="n"/>
      <c r="E13" s="13" t="n"/>
      <c r="F13" s="13" t="n"/>
      <c r="G13" s="13">
        <f>IF(OR(C13="",D13=""),"",C13+IF(F13="",0,F13)-D13)</f>
        <v/>
      </c>
      <c r="H13" s="13" t="n"/>
      <c r="I13" s="13" t="n"/>
      <c r="J13" s="13">
        <f>IF(OR(H13="",I13=""),"",H13-I13)</f>
        <v/>
      </c>
      <c r="K13" s="13" t="n"/>
    </row>
    <row r="14" ht="27" customHeight="1">
      <c r="A14" s="13" t="n"/>
      <c r="B14" s="13" t="n"/>
      <c r="C14" s="13" t="n"/>
      <c r="D14" s="13" t="n"/>
      <c r="E14" s="13" t="n"/>
      <c r="F14" s="13" t="n"/>
      <c r="G14" s="13">
        <f>IF(OR(C14="",D14=""),"",C14+IF(F14="",0,F14)-D14)</f>
        <v/>
      </c>
      <c r="H14" s="13" t="n"/>
      <c r="I14" s="13" t="n"/>
      <c r="J14" s="13">
        <f>IF(OR(H14="",I14=""),"",H14-I14)</f>
        <v/>
      </c>
      <c r="K14" s="13" t="n"/>
    </row>
    <row r="15" ht="27" customHeight="1">
      <c r="A15" s="13" t="n"/>
      <c r="B15" s="13" t="n"/>
      <c r="C15" s="13" t="n"/>
      <c r="D15" s="13" t="n"/>
      <c r="E15" s="13" t="n"/>
      <c r="F15" s="13" t="n"/>
      <c r="G15" s="13">
        <f>IF(OR(C15="",D15=""),"",C15+IF(F15="",0,F15)-D15)</f>
        <v/>
      </c>
      <c r="H15" s="13" t="n"/>
      <c r="I15" s="13" t="n"/>
      <c r="J15" s="13">
        <f>IF(OR(H15="",I15=""),"",H15-I15)</f>
        <v/>
      </c>
      <c r="K15" s="13" t="n"/>
    </row>
    <row r="16" ht="27" customHeight="1">
      <c r="A16" s="13" t="n"/>
      <c r="B16" s="13" t="n"/>
      <c r="C16" s="13" t="n"/>
      <c r="D16" s="13" t="n"/>
      <c r="E16" s="13" t="n"/>
      <c r="F16" s="13" t="n"/>
      <c r="G16" s="13">
        <f>IF(OR(C16="",D16=""),"",C16+IF(F16="",0,F16)-D16)</f>
        <v/>
      </c>
      <c r="H16" s="13" t="n"/>
      <c r="I16" s="13" t="n"/>
      <c r="J16" s="13">
        <f>IF(OR(H16="",I16=""),"",H16-I16)</f>
        <v/>
      </c>
      <c r="K16" s="13" t="n"/>
    </row>
    <row r="17" ht="27" customHeight="1">
      <c r="A17" s="13" t="n"/>
      <c r="B17" s="13" t="n"/>
      <c r="C17" s="13" t="n"/>
      <c r="D17" s="13" t="n"/>
      <c r="E17" s="13" t="n"/>
      <c r="F17" s="13" t="n"/>
      <c r="G17" s="13">
        <f>IF(OR(C17="",D17=""),"",C17+IF(F17="",0,F17)-D17)</f>
        <v/>
      </c>
      <c r="H17" s="13" t="n"/>
      <c r="I17" s="13" t="n"/>
      <c r="J17" s="13">
        <f>IF(OR(H17="",I17=""),"",H17-I17)</f>
        <v/>
      </c>
      <c r="K17" s="13" t="n"/>
    </row>
    <row r="18" ht="27" customHeight="1">
      <c r="A18" s="13" t="n"/>
      <c r="B18" s="13" t="n"/>
      <c r="C18" s="13" t="n"/>
      <c r="D18" s="13" t="n"/>
      <c r="E18" s="13" t="n"/>
      <c r="F18" s="13" t="n"/>
      <c r="G18" s="13">
        <f>IF(OR(C18="",D18=""),"",C18+IF(F18="",0,F18)-D18)</f>
        <v/>
      </c>
      <c r="H18" s="13" t="n"/>
      <c r="I18" s="13" t="n"/>
      <c r="J18" s="13">
        <f>IF(OR(H18="",I18=""),"",H18-I18)</f>
        <v/>
      </c>
      <c r="K18" s="13" t="n"/>
    </row>
    <row r="19" ht="27" customHeight="1">
      <c r="A19" s="13" t="n"/>
      <c r="B19" s="13" t="n"/>
      <c r="C19" s="13" t="n"/>
      <c r="D19" s="13" t="n"/>
      <c r="E19" s="13" t="n"/>
      <c r="F19" s="13" t="n"/>
      <c r="G19" s="13">
        <f>IF(OR(C19="",D19=""),"",C19+IF(F19="",0,F19)-D19)</f>
        <v/>
      </c>
      <c r="H19" s="13" t="n"/>
      <c r="I19" s="13" t="n"/>
      <c r="J19" s="13">
        <f>IF(OR(H19="",I19=""),"",H19-I19)</f>
        <v/>
      </c>
      <c r="K19" s="13" t="n"/>
    </row>
    <row r="20" ht="27" customHeight="1">
      <c r="A20" s="13" t="n"/>
      <c r="B20" s="13" t="n"/>
      <c r="C20" s="13" t="n"/>
      <c r="D20" s="13" t="n"/>
      <c r="E20" s="13" t="n"/>
      <c r="F20" s="13" t="n"/>
      <c r="G20" s="13">
        <f>IF(OR(C20="",D20=""),"",C20+IF(F20="",0,F20)-D20)</f>
        <v/>
      </c>
      <c r="H20" s="13" t="n"/>
      <c r="I20" s="13" t="n"/>
      <c r="J20" s="13">
        <f>IF(OR(H20="",I20=""),"",H20-I20)</f>
        <v/>
      </c>
      <c r="K20" s="13" t="n"/>
    </row>
    <row r="21" ht="27" customHeight="1">
      <c r="A21" s="13" t="n"/>
      <c r="B21" s="13" t="n"/>
      <c r="C21" s="13" t="n"/>
      <c r="D21" s="13" t="n"/>
      <c r="E21" s="13" t="n"/>
      <c r="F21" s="13" t="n"/>
      <c r="G21" s="13">
        <f>IF(OR(C21="",D21=""),"",C21+IF(F21="",0,F21)-D21)</f>
        <v/>
      </c>
      <c r="H21" s="13" t="n"/>
      <c r="I21" s="13" t="n"/>
      <c r="J21" s="13">
        <f>IF(OR(H21="",I21=""),"",H21-I21)</f>
        <v/>
      </c>
      <c r="K21" s="13" t="n"/>
    </row>
    <row r="22" ht="27" customHeight="1">
      <c r="A22" s="13" t="n"/>
      <c r="B22" s="13" t="n"/>
      <c r="C22" s="13" t="n"/>
      <c r="D22" s="13" t="n"/>
      <c r="E22" s="13" t="n"/>
      <c r="F22" s="13" t="n"/>
      <c r="G22" s="13">
        <f>IF(OR(C22="",D22=""),"",C22+IF(F22="",0,F22)-D22)</f>
        <v/>
      </c>
      <c r="H22" s="13" t="n"/>
      <c r="I22" s="13" t="n"/>
      <c r="J22" s="13">
        <f>IF(OR(H22="",I22=""),"",H22-I22)</f>
        <v/>
      </c>
      <c r="K22" s="13" t="n"/>
    </row>
    <row r="23" ht="27" customHeight="1">
      <c r="A23" s="13" t="n"/>
      <c r="B23" s="13" t="n"/>
      <c r="C23" s="13" t="n"/>
      <c r="D23" s="13" t="n"/>
      <c r="E23" s="13" t="n"/>
      <c r="F23" s="13" t="n"/>
      <c r="G23" s="13">
        <f>IF(OR(C23="",D23=""),"",C23+IF(F23="",0,F23)-D23)</f>
        <v/>
      </c>
      <c r="H23" s="13" t="n"/>
      <c r="I23" s="13" t="n"/>
      <c r="J23" s="13">
        <f>IF(OR(H23="",I23=""),"",H23-I23)</f>
        <v/>
      </c>
      <c r="K23" s="13" t="n"/>
    </row>
    <row r="24" ht="27" customHeight="1">
      <c r="A24" s="13" t="n"/>
      <c r="B24" s="13" t="n"/>
      <c r="C24" s="13" t="n"/>
      <c r="D24" s="13" t="n"/>
      <c r="E24" s="13" t="n"/>
      <c r="F24" s="13" t="n"/>
      <c r="G24" s="13">
        <f>IF(OR(C24="",D24=""),"",C24+IF(F24="",0,F24)-D24)</f>
        <v/>
      </c>
      <c r="H24" s="13" t="n"/>
      <c r="I24" s="13" t="n"/>
      <c r="J24" s="13">
        <f>IF(OR(H24="",I24=""),"",H24-I24)</f>
        <v/>
      </c>
      <c r="K24" s="13" t="n"/>
    </row>
    <row r="25" ht="27" customHeight="1">
      <c r="A25" s="13" t="n"/>
      <c r="B25" s="13" t="n"/>
      <c r="C25" s="13" t="n"/>
      <c r="D25" s="13" t="n"/>
      <c r="E25" s="13" t="n"/>
      <c r="F25" s="13" t="n"/>
      <c r="G25" s="13">
        <f>IF(OR(C25="",D25=""),"",C25+IF(F25="",0,F25)-D25)</f>
        <v/>
      </c>
      <c r="H25" s="13" t="n"/>
      <c r="I25" s="13" t="n"/>
      <c r="J25" s="13">
        <f>IF(OR(H25="",I25=""),"",H25-I25)</f>
        <v/>
      </c>
      <c r="K25" s="13" t="n"/>
    </row>
    <row r="26" ht="27" customHeight="1">
      <c r="A26" s="13" t="n"/>
      <c r="B26" s="13" t="n"/>
      <c r="C26" s="13" t="n"/>
      <c r="D26" s="13" t="n"/>
      <c r="E26" s="13" t="n"/>
      <c r="F26" s="13" t="n"/>
      <c r="G26" s="13">
        <f>IF(OR(C26="",D26=""),"",C26+IF(F26="",0,F26)-D26)</f>
        <v/>
      </c>
      <c r="H26" s="13" t="n"/>
      <c r="I26" s="13" t="n"/>
      <c r="J26" s="13">
        <f>IF(OR(H26="",I26=""),"",H26-I26)</f>
        <v/>
      </c>
      <c r="K26" s="13" t="n"/>
    </row>
    <row r="27" ht="27" customHeight="1">
      <c r="A27" s="13" t="n"/>
      <c r="B27" s="13" t="n"/>
      <c r="C27" s="13" t="n"/>
      <c r="D27" s="13" t="n"/>
      <c r="E27" s="13" t="n"/>
      <c r="F27" s="13" t="n"/>
      <c r="G27" s="13">
        <f>IF(OR(C27="",D27=""),"",C27+IF(F27="",0,F27)-D27)</f>
        <v/>
      </c>
      <c r="H27" s="13" t="n"/>
      <c r="I27" s="13" t="n"/>
      <c r="J27" s="13">
        <f>IF(OR(H27="",I27=""),"",H27-I27)</f>
        <v/>
      </c>
      <c r="K27" s="13" t="n"/>
    </row>
  </sheetData>
  <printOptions horizontalCentered="0" verticalCentered="0"/>
  <pageMargins left="0.25" right="0.2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O31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.55" customWidth="1" min="1" max="1"/>
    <col width="42" customWidth="1" min="2" max="2"/>
    <col width="19" customWidth="1" min="3" max="3"/>
    <col width="28" customWidth="1" min="4" max="4"/>
    <col width="14" customWidth="1" min="5" max="5"/>
    <col width="15" customWidth="1" min="6" max="6"/>
    <col width="12" customWidth="1" min="7" max="7"/>
    <col width="12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29" customWidth="1" min="14" max="14"/>
    <col width="12" customWidth="1" min="15" max="15"/>
  </cols>
  <sheetData>
    <row r="1" ht="27" customHeight="1">
      <c r="A1" s="6" t="inlineStr">
        <is>
          <t>Staffing Service Revenue — Detailed Testing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>
      <c r="A2" s="8" t="inlineStr">
        <is>
          <t>Client / Entity</t>
        </is>
      </c>
      <c r="B2" s="8" t="inlineStr">
        <is>
          <t>Quaxinov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8" t="inlineStr">
        <is>
          <t>Performance Materiality</t>
        </is>
      </c>
      <c r="B3" s="11" t="n">
        <v>23400</v>
      </c>
      <c r="C3" s="8" t="inlineStr">
        <is>
          <t>Testing Threshold</t>
        </is>
      </c>
      <c r="D3" s="11" t="n">
        <v>17600</v>
      </c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</row>
    <row r="4" ht="27" customHeight="1">
      <c r="A4" s="8" t="inlineStr">
        <is>
          <t>Purpose</t>
        </is>
      </c>
      <c r="B4" s="8" t="inlineStr">
        <is>
          <t>Reperform recognition from governing terms through accounting and cash.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inlineStr">
        <is>
          <t>Assertions</t>
        </is>
      </c>
      <c r="B6" s="8" t="inlineStr">
        <is>
          <t>Occurrence; Accuracy; Cutoff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2" t="inlineStr">
        <is>
          <t>Selection</t>
        </is>
      </c>
      <c r="B7" s="12" t="inlineStr">
        <is>
          <t>Customer</t>
        </is>
      </c>
      <c r="C7" s="12" t="inlineStr">
        <is>
          <t>Worker</t>
        </is>
      </c>
      <c r="D7" s="12" t="inlineStr">
        <is>
          <t>Assignment / rate-card ref</t>
        </is>
      </c>
      <c r="E7" s="12" t="inlineStr">
        <is>
          <t>Service week</t>
        </is>
      </c>
      <c r="F7" s="12" t="inlineStr">
        <is>
          <t>Regular hours</t>
        </is>
      </c>
      <c r="G7" s="12" t="inlineStr">
        <is>
          <t>OT hours</t>
        </is>
      </c>
      <c r="H7" s="12" t="inlineStr">
        <is>
          <t>Bill rate</t>
        </is>
      </c>
      <c r="I7" s="12" t="inlineStr">
        <is>
          <t>OT / holiday terms</t>
        </is>
      </c>
      <c r="J7" s="12" t="inlineStr">
        <is>
          <t>Expected billing</t>
        </is>
      </c>
      <c r="K7" s="12" t="inlineStr">
        <is>
          <t>Invoice</t>
        </is>
      </c>
      <c r="L7" s="12" t="inlineStr">
        <is>
          <t>Receipt</t>
        </is>
      </c>
      <c r="M7" s="12" t="inlineStr">
        <is>
          <t>GL posting</t>
        </is>
      </c>
      <c r="N7" s="12" t="inlineStr">
        <is>
          <t>Difference</t>
        </is>
      </c>
      <c r="O7" s="12" t="inlineStr">
        <is>
          <t>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>
        <f>IF(COUNTA(A8:Z8)=0,"",0)</f>
        <v/>
      </c>
      <c r="O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>
        <f>IF(COUNTA(A9:Z9)=0,"",0)</f>
        <v/>
      </c>
      <c r="O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>
        <f>IF(COUNTA(A10:Z10)=0,"",0)</f>
        <v/>
      </c>
      <c r="O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>
        <f>IF(COUNTA(A11:Z11)=0,"",0)</f>
        <v/>
      </c>
      <c r="O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>
        <f>IF(COUNTA(A12:Z12)=0,"",0)</f>
        <v/>
      </c>
      <c r="O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>
        <f>IF(COUNTA(A13:Z13)=0,"",0)</f>
        <v/>
      </c>
      <c r="O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>
        <f>IF(COUNTA(A14:Z14)=0,"",0)</f>
        <v/>
      </c>
      <c r="O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>
        <f>IF(COUNTA(A15:Z15)=0,"",0)</f>
        <v/>
      </c>
      <c r="O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>
        <f>IF(COUNTA(A16:Z16)=0,"",0)</f>
        <v/>
      </c>
      <c r="O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>
        <f>IF(COUNTA(A17:Z17)=0,"",0)</f>
        <v/>
      </c>
      <c r="O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>
        <f>IF(COUNTA(A18:Z18)=0,"",0)</f>
        <v/>
      </c>
      <c r="O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>
        <f>IF(COUNTA(A19:Z19)=0,"",0)</f>
        <v/>
      </c>
      <c r="O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>
        <f>IF(COUNTA(A20:Z20)=0,"",0)</f>
        <v/>
      </c>
      <c r="O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>
        <f>IF(COUNTA(A21:Z21)=0,"",0)</f>
        <v/>
      </c>
      <c r="O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>
        <f>IF(COUNTA(A22:Z22)=0,"",0)</f>
        <v/>
      </c>
      <c r="O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>
        <f>IF(COUNTA(A23:Z23)=0,"",0)</f>
        <v/>
      </c>
      <c r="O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>
        <f>IF(COUNTA(A24:Z24)=0,"",0)</f>
        <v/>
      </c>
      <c r="O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>
        <f>IF(COUNTA(A25:Z25)=0,"",0)</f>
        <v/>
      </c>
      <c r="O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>
        <f>IF(COUNTA(A26:Z26)=0,"",0)</f>
        <v/>
      </c>
      <c r="O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>
        <f>IF(COUNTA(A27:Z27)=0,"",0)</f>
        <v/>
      </c>
      <c r="O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>
        <f>IF(COUNTA(A28:Z28)=0,"",0)</f>
        <v/>
      </c>
      <c r="O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>
        <f>IF(COUNTA(A29:Z29)=0,"",0)</f>
        <v/>
      </c>
      <c r="O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>
        <f>IF(COUNTA(A30:Z30)=0,"",0)</f>
        <v/>
      </c>
      <c r="O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>
        <f>IF(COUNTA(A31:Z31)=0,"",0)</f>
        <v/>
      </c>
      <c r="O31" s="13" t="n"/>
    </row>
  </sheetData>
  <printOptions horizontalCentered="0" verticalCentered="0"/>
  <pageMargins left="0.25" right="0.25" top="0.5" bottom="0.5" header="0.2" footer="0.2"/>
  <pageSetup orientation="landscape" paperSize="1" fitToHeight="0" fitToWidth="2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K27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2" customWidth="1" min="2" max="2"/>
    <col width="19" customWidth="1" min="3" max="3"/>
    <col width="25" customWidth="1" min="4" max="4"/>
    <col width="14" customWidth="1" min="5" max="5"/>
    <col width="14" customWidth="1" min="6" max="6"/>
    <col width="12" customWidth="1" min="7" max="7"/>
    <col width="17" customWidth="1" min="8" max="8"/>
    <col width="16" customWidth="1" min="9" max="9"/>
    <col width="25" customWidth="1" min="10" max="10"/>
    <col width="25" customWidth="1" min="11" max="11"/>
  </cols>
  <sheetData>
    <row r="1">
      <c r="A1" s="6" t="inlineStr">
        <is>
          <t>Cutoff and Completeness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Quaxinov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23400</v>
      </c>
      <c r="C3" s="8" t="inlineStr">
        <is>
          <t>Testing Threshold</t>
        </is>
      </c>
      <c r="D3" s="11" t="n">
        <v>17600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Test year-end activity in both directions and identify unrecorded or premature revenue.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54" customHeight="1">
      <c r="A5" s="8" t="inlineStr">
        <is>
          <t>Scope</t>
        </is>
      </c>
      <c r="B5" s="8" t="inlineStr">
        <is>
          <t>Last transactions before year-end, first transactions after year-end, subsequent credits/cancellations, and the numerical sequence of source records.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Cutoff; Completeness; Occurrence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Direction</t>
        </is>
      </c>
      <c r="B7" s="12" t="inlineStr">
        <is>
          <t>Source ref</t>
        </is>
      </c>
      <c r="C7" s="12" t="inlineStr">
        <is>
          <t>Counterparty</t>
        </is>
      </c>
      <c r="D7" s="12" t="inlineStr">
        <is>
          <t>Service / delivery date</t>
        </is>
      </c>
      <c r="E7" s="12" t="inlineStr">
        <is>
          <t>Billing date</t>
        </is>
      </c>
      <c r="F7" s="12" t="inlineStr">
        <is>
          <t>Posting date</t>
        </is>
      </c>
      <c r="G7" s="12" t="inlineStr">
        <is>
          <t>Amount</t>
        </is>
      </c>
      <c r="H7" s="12" t="inlineStr">
        <is>
          <t>Recorded period</t>
        </is>
      </c>
      <c r="I7" s="12" t="inlineStr">
        <is>
          <t>Correct period</t>
        </is>
      </c>
      <c r="J7" s="12" t="inlineStr">
        <is>
          <t>Difference / adjustment</t>
        </is>
      </c>
      <c r="K7" s="12" t="inlineStr">
        <is>
          <t>Evidence and 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</sheetData>
  <printOptions horizontalCentered="0" verticalCentered="0"/>
  <pageMargins left="0.25" right="0.2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K4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42" customWidth="1" min="2" max="2"/>
    <col width="19" customWidth="1" min="3" max="3"/>
    <col width="18" customWidth="1" min="4" max="4"/>
    <col width="18" customWidth="1" min="5" max="5"/>
    <col width="16" customWidth="1" min="6" max="6"/>
    <col width="17" customWidth="1" min="7" max="7"/>
    <col width="17" customWidth="1" min="8" max="8"/>
    <col width="12" customWidth="1" min="9" max="9"/>
    <col width="18" customWidth="1" min="10" max="10"/>
    <col width="12" customWidth="1" min="11" max="11"/>
  </cols>
  <sheetData>
    <row r="1">
      <c r="A1" s="6" t="inlineStr">
        <is>
          <t>Hours, Billing and Gross Margin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>
      <c r="A2" s="8" t="inlineStr">
        <is>
          <t>Client / Entity</t>
        </is>
      </c>
      <c r="B2" s="8" t="inlineStr">
        <is>
          <t>Quaxinov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  <c r="I2" s="8" t="n"/>
      <c r="J2" s="8" t="n"/>
      <c r="K2" s="8" t="n"/>
    </row>
    <row r="3">
      <c r="A3" s="8" t="inlineStr">
        <is>
          <t>Performance Materiality</t>
        </is>
      </c>
      <c r="B3" s="11" t="n">
        <v>23400</v>
      </c>
      <c r="C3" s="8" t="inlineStr">
        <is>
          <t>Testing Threshold</t>
        </is>
      </c>
      <c r="D3" s="11" t="n">
        <v>17600</v>
      </c>
      <c r="E3" s="8" t="n"/>
      <c r="F3" s="8" t="n"/>
      <c r="G3" s="8" t="n"/>
      <c r="H3" s="8" t="n"/>
      <c r="I3" s="8" t="n"/>
      <c r="J3" s="8" t="n"/>
      <c r="K3" s="8" t="n"/>
    </row>
    <row r="4" ht="27" customHeight="1">
      <c r="A4" s="8" t="inlineStr">
        <is>
          <t>Purpose</t>
        </is>
      </c>
      <c r="B4" s="8" t="inlineStr">
        <is>
          <t>Complete the entity-specific hours, billing and gross margin analysis.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</row>
    <row r="5" ht="40.5" customHeight="1">
      <c r="A5" s="8" t="inlineStr">
        <is>
          <t>Scope</t>
        </is>
      </c>
      <c r="B5" s="8" t="inlineStr">
        <is>
          <t>Customer agreements/rate cards, assignments, approved timecards, payroll, billing register, invoices, receipts, AR and GL.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inlineStr">
        <is>
          <t>Assertions</t>
        </is>
      </c>
      <c r="B6" s="8" t="inlineStr">
        <is>
          <t>Accuracy; Valuation; Classification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12" t="inlineStr">
        <is>
          <t>Customer / assignment</t>
        </is>
      </c>
      <c r="B7" s="12" t="inlineStr">
        <is>
          <t>Approved hours</t>
        </is>
      </c>
      <c r="C7" s="12" t="inlineStr">
        <is>
          <t>Expected billing</t>
        </is>
      </c>
      <c r="D7" s="12" t="inlineStr">
        <is>
          <t>Recorded billing</t>
        </is>
      </c>
      <c r="E7" s="12" t="inlineStr">
        <is>
          <t>Worker gross pay</t>
        </is>
      </c>
      <c r="F7" s="12" t="inlineStr">
        <is>
          <t>Payroll burden</t>
        </is>
      </c>
      <c r="G7" s="12" t="inlineStr">
        <is>
          <t>Expected margin</t>
        </is>
      </c>
      <c r="H7" s="12" t="inlineStr">
        <is>
          <t>Recorded margin</t>
        </is>
      </c>
      <c r="I7" s="12" t="inlineStr">
        <is>
          <t>Difference</t>
        </is>
      </c>
      <c r="J7" s="12" t="inlineStr">
        <is>
          <t>Terms / approval</t>
        </is>
      </c>
      <c r="K7" s="12" t="inlineStr">
        <is>
          <t>Conclusion</t>
        </is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</sheetData>
  <autoFilter ref="A7:K39"/>
  <printOptions horizontalCentered="0" verticalCentered="0"/>
  <pageMargins left="0.25" right="0.25" top="0.5" bottom="0.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1.95" customWidth="1" min="1" max="1"/>
    <col width="42" customWidth="1" min="2" max="2"/>
    <col width="19" customWidth="1" min="3" max="3"/>
    <col width="14" customWidth="1" min="4" max="4"/>
    <col width="21" customWidth="1" min="5" max="5"/>
    <col width="12" customWidth="1" min="6" max="6"/>
    <col width="39.4" customWidth="1" min="7" max="7"/>
    <col width="40.25" customWidth="1" min="8" max="8"/>
  </cols>
  <sheetData>
    <row r="1">
      <c r="A1" s="6" t="inlineStr">
        <is>
          <t>Presentation, Disclosures and Conclusion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8" t="inlineStr">
        <is>
          <t>Client / Entity</t>
        </is>
      </c>
      <c r="B2" s="8" t="inlineStr">
        <is>
          <t>Quaxinov Staffing Services, LLC</t>
        </is>
      </c>
      <c r="C2" s="8" t="inlineStr">
        <is>
          <t>Year-End</t>
        </is>
      </c>
      <c r="D2" s="10" t="n">
        <v>46022</v>
      </c>
      <c r="E2" s="8" t="inlineStr">
        <is>
          <t>Currency</t>
        </is>
      </c>
      <c r="F2" s="8" t="inlineStr">
        <is>
          <t>USD</t>
        </is>
      </c>
      <c r="G2" s="8" t="n"/>
      <c r="H2" s="8" t="n"/>
    </row>
    <row r="3">
      <c r="A3" s="8" t="inlineStr">
        <is>
          <t>Performance Materiality</t>
        </is>
      </c>
      <c r="B3" s="11" t="n">
        <v>23400</v>
      </c>
      <c r="C3" s="8" t="inlineStr">
        <is>
          <t>Testing Threshold</t>
        </is>
      </c>
      <c r="D3" s="11" t="n">
        <v>17600</v>
      </c>
      <c r="E3" s="8" t="n"/>
      <c r="F3" s="8" t="n"/>
      <c r="G3" s="8" t="n"/>
      <c r="H3" s="8" t="n"/>
    </row>
    <row r="4" ht="27" customHeight="1">
      <c r="A4" s="8" t="inlineStr">
        <is>
          <t>Purpose</t>
        </is>
      </c>
      <c r="B4" s="8" t="inlineStr">
        <is>
          <t>Evaluate results and document a supported conclusion.</t>
        </is>
      </c>
      <c r="C4" s="8" t="n"/>
      <c r="D4" s="8" t="n"/>
      <c r="E4" s="8" t="n"/>
      <c r="F4" s="8" t="n"/>
      <c r="G4" s="8" t="n"/>
      <c r="H4" s="8" t="n"/>
    </row>
    <row r="5" ht="27" customHeight="1">
      <c r="A5" s="8" t="inlineStr">
        <is>
          <t>Scope</t>
        </is>
      </c>
      <c r="B5" s="8" t="inlineStr">
        <is>
          <t>All procedures and exceptions in this workpaper.</t>
        </is>
      </c>
      <c r="C5" s="8" t="n"/>
      <c r="D5" s="8" t="n"/>
      <c r="E5" s="8" t="n"/>
      <c r="F5" s="8" t="n"/>
      <c r="G5" s="8" t="n"/>
      <c r="H5" s="8" t="n"/>
    </row>
    <row r="6">
      <c r="A6" s="8" t="inlineStr">
        <is>
          <t>Assertions</t>
        </is>
      </c>
      <c r="B6" s="8" t="inlineStr">
        <is>
          <t>All relevant assertions</t>
        </is>
      </c>
      <c r="C6" s="8" t="n"/>
      <c r="D6" s="8" t="n"/>
      <c r="E6" s="8" t="n"/>
      <c r="F6" s="8" t="n"/>
      <c r="G6" s="8" t="n"/>
      <c r="H6" s="8" t="n"/>
    </row>
    <row r="7">
      <c r="A7" s="12" t="inlineStr">
        <is>
          <t>Area / assertion</t>
        </is>
      </c>
      <c r="B7" s="12" t="inlineStr">
        <is>
          <t>Relevant?</t>
        </is>
      </c>
      <c r="C7" s="12" t="inlineStr">
        <is>
          <t>Source / W/P ref</t>
        </is>
      </c>
      <c r="D7" s="12" t="inlineStr">
        <is>
          <t>Exceptions</t>
        </is>
      </c>
      <c r="E7" s="12" t="inlineStr">
        <is>
          <t>Proposed adjustment</t>
        </is>
      </c>
      <c r="F7" s="12" t="inlineStr">
        <is>
          <t>Conclusion</t>
        </is>
      </c>
      <c r="G7" s="12" t="inlineStr">
        <is>
          <t>Prepared by / date</t>
        </is>
      </c>
      <c r="H7" s="12" t="inlineStr">
        <is>
          <t>Reviewed by / date</t>
        </is>
      </c>
    </row>
    <row r="8" ht="27" customHeight="1">
      <c r="A8" s="13" t="inlineStr">
        <is>
          <t>Revenue recognition from approved hours</t>
        </is>
      </c>
      <c r="B8" s="13" t="n"/>
      <c r="C8" s="13" t="n"/>
      <c r="D8" s="13" t="n"/>
      <c r="E8" s="13" t="n"/>
      <c r="F8" s="13" t="n"/>
      <c r="G8" s="13" t="inlineStr">
        <is>
          <t>Assigned: Audit Senior F43D / due 2026-03-16</t>
        </is>
      </c>
      <c r="H8" s="13" t="inlineStr">
        <is>
          <t>Assigned: Audit Manager 045E / due 2026-04-15</t>
        </is>
      </c>
    </row>
    <row r="9" ht="27" customHeight="1">
      <c r="A9" s="13" t="inlineStr">
        <is>
          <t>Principal-versus-agent gross / net presentation</t>
        </is>
      </c>
      <c r="B9" s="13" t="n"/>
      <c r="C9" s="13" t="n"/>
      <c r="D9" s="13" t="n"/>
      <c r="E9" s="13" t="n"/>
      <c r="F9" s="13" t="n"/>
      <c r="G9" s="13" t="n"/>
      <c r="H9" s="13" t="n"/>
    </row>
    <row r="10">
      <c r="A10" s="13" t="inlineStr">
        <is>
          <t>Unbilled revenue and contract assets</t>
        </is>
      </c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inlineStr">
        <is>
          <t>Rebates, credits and variable consideration</t>
        </is>
      </c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inlineStr">
        <is>
          <t>Customer and worker concentrations</t>
        </is>
      </c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inlineStr">
        <is>
          <t>Related-party revenue or payroll</t>
        </is>
      </c>
      <c r="B13" s="13" t="n"/>
      <c r="C13" s="13" t="n"/>
      <c r="D13" s="13" t="n"/>
      <c r="E13" s="13" t="n"/>
      <c r="F13" s="13" t="n"/>
      <c r="G13" s="13" t="n"/>
      <c r="H13" s="13" t="n"/>
    </row>
    <row r="14" ht="27" customHeight="1">
      <c r="A14" s="13" t="inlineStr">
        <is>
          <t>Subsequent events through the evaluation date</t>
        </is>
      </c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" t="inlineStr">
        <is>
          <t>AUTHORITATIVE PLANNING CONTEXT</t>
        </is>
      </c>
      <c r="B1" s="7" t="n"/>
    </row>
    <row r="2">
      <c r="A2" s="7" t="inlineStr">
        <is>
          <t>Field</t>
        </is>
      </c>
      <c r="B2" s="7" t="inlineStr">
        <is>
          <t>Value</t>
        </is>
      </c>
    </row>
    <row r="3">
      <c r="A3" s="7" t="inlineStr">
        <is>
          <t>Entity Name</t>
        </is>
      </c>
      <c r="B3" s="8" t="inlineStr">
        <is>
          <t>Quaxinov Staffing Services, LLC</t>
        </is>
      </c>
    </row>
    <row r="4">
      <c r="A4" s="8" t="inlineStr">
        <is>
          <t>Financial Statement Date</t>
        </is>
      </c>
      <c r="B4" s="14" t="n">
        <v>46022</v>
      </c>
    </row>
    <row r="5">
      <c r="A5" s="8" t="inlineStr">
        <is>
          <t>Reporting Currency</t>
        </is>
      </c>
      <c r="B5" s="7" t="inlineStr">
        <is>
          <t>USD</t>
        </is>
      </c>
    </row>
    <row r="6">
      <c r="A6" s="8" t="inlineStr">
        <is>
          <t>Overall Materiality</t>
        </is>
      </c>
      <c r="B6" s="15" t="n">
        <v>31100</v>
      </c>
    </row>
    <row r="7">
      <c r="A7" s="8" t="inlineStr">
        <is>
          <t>Performance Materiality</t>
        </is>
      </c>
      <c r="B7" s="15" t="n">
        <v>23400</v>
      </c>
    </row>
    <row r="8">
      <c r="A8" s="8" t="inlineStr">
        <is>
          <t>Tolerable Misstatement</t>
        </is>
      </c>
      <c r="B8" s="15" t="n">
        <v>17600</v>
      </c>
    </row>
    <row r="9">
      <c r="A9" s="8" t="inlineStr">
        <is>
          <t>Individually Significant Threshold</t>
        </is>
      </c>
      <c r="B9" s="15" t="n">
        <v>11700</v>
      </c>
    </row>
    <row r="10">
      <c r="A10" s="7" t="inlineStr">
        <is>
          <t>Posting Threshold</t>
        </is>
      </c>
      <c r="B10" s="15" t="n">
        <v>1000</v>
      </c>
    </row>
    <row r="11">
      <c r="A11" s="8" t="inlineStr">
        <is>
          <t>Clearly Trivial Threshold</t>
        </is>
      </c>
      <c r="B11" s="15" t="n">
        <v>1000</v>
      </c>
    </row>
    <row r="12">
      <c r="A12" s="8" t="inlineStr">
        <is>
          <t>Analytical Precision</t>
        </is>
      </c>
      <c r="B12" s="15" t="n">
        <v>17600</v>
      </c>
    </row>
    <row r="13">
      <c r="A13" s="7" t="n"/>
      <c r="B13" s="7" t="n"/>
    </row>
    <row r="14">
      <c r="A14" s="8" t="inlineStr">
        <is>
          <t>Bound planning records</t>
        </is>
      </c>
      <c r="B14" s="7" t="inlineStr">
        <is>
          <t>Canonical IDs</t>
        </is>
      </c>
    </row>
    <row r="15">
      <c r="A15" s="7" t="inlineStr">
        <is>
          <t>Sampling plan ID</t>
        </is>
      </c>
      <c r="B15" s="7" t="inlineStr">
        <is>
          <t>SAMPLE-REVENUE</t>
        </is>
      </c>
    </row>
    <row r="16" ht="120" customHeight="1">
      <c r="A16" s="7" t="inlineStr">
        <is>
          <t>Selection IDs</t>
        </is>
      </c>
      <c r="B16" s="8" t="inlineStr">
        <is>
          <t>PROC-REV-OCCURRENCE:INV-23615; PROC-REV-OCCURRENCE:INV-23768; PROC-REV-OCCURRENCE:INV-23508; PROC-REV-OCCURRENCE:INV-23749; PROC-REV-OCCURRENCE:INV-23696; PROC-REV-OCCURRENCE:INV-23595; PROC-REV-OCCURRENCE:INV-23582; PROC-REV-OCCURRENCE:INV-23758; PROC-REV-OCCURRENCE:INV-23539; PROC-REV-OCCURRENCE:INV-23364; PROC-REV-OCCURRENCE:INV-23405; PROC-REV-OCCURRENCE:INV-23447; PROC-REV-OCCURRENCE:INV-23418; PROC-REV-OCCURRENCE:INV-23751; PROC-REV-OCCURRENCE:INV-23522; PROC-REV-OCCURRENCE:INV-23616; PROC-REV-OCCURRENCE:INV-23534; PROC-REV-OCCURRENCE:INV-23746; PROC-REV-OCCURRENCE:INV-23790; PROC-REV-OCCURRENCE:INV-23668; PROC-REV-OCCURRENCE:INV-23599; PROC-REV-OCCURRENCE:INV-23356; PROC-REV-OCCURRENCE:INV-23741; PROC-REV-OCCURRENCE:INV-23723; PROC-REV-OCCURRENCE:INV-23380; PROC-REV-OCCURRENCE:INV-23632; PROC-REV-OCCURRENCE:INV-23555; PROC-REV-OCCURRENCE:INV-23419; PROC-REV-OCCURRENCE:INV-23389; PROC-REV-OCCURRENCE:INV-23709; PROC-REV-OCCURRENCE:INV-23610; PROC-REV-OCCURRENCE:INV-23785</t>
        </is>
      </c>
    </row>
    <row r="17">
      <c r="A17" s="8" t="inlineStr">
        <is>
          <t>Selection requirements</t>
        </is>
      </c>
      <c r="B17" s="8" t="inlineStr">
        <is>
          <t>qualitative mandatory items; individually significant items</t>
        </is>
      </c>
    </row>
    <row r="18" ht="27" customHeight="1">
      <c r="A18" s="7" t="inlineStr">
        <is>
          <t>Procedure IDs</t>
        </is>
      </c>
      <c r="B18" s="8" t="inlineStr">
        <is>
          <t>PROC-REVENUE; Resp Revenue reference 001; Resp Revenue Unpredictable reference 001; RESP-STAFFING-CUTOFF-REVENUE</t>
        </is>
      </c>
    </row>
    <row r="19">
      <c r="A19" s="8" t="inlineStr">
        <is>
          <t>Procedure window IDs</t>
        </is>
      </c>
      <c r="B19" s="8" t="inlineStr">
        <is>
          <t>WIN-REVENUE-CUTOFF; WIN-REVENUE-CUTOFF; WIN-REVENUE-CUTOFF; WIN-REVENUE-CUTOFF</t>
        </is>
      </c>
    </row>
    <row r="20" ht="27" customHeight="1">
      <c r="A20" s="8" t="inlineStr">
        <is>
          <t>Significant-risk response IDs</t>
        </is>
      </c>
      <c r="B20" s="8" t="inlineStr">
        <is>
          <t>Resp Revenue reference 001; Resp Revenue Unpredictable reference 001; RESP-STAFFING-CUTOFF-REVENUE</t>
        </is>
      </c>
    </row>
    <row r="21">
      <c r="A21" s="8" t="inlineStr">
        <is>
          <t>Audit team assignments</t>
        </is>
      </c>
      <c r="B21" s="8" t="inlineStr">
        <is>
          <t>preparer: Audit Senior F43D; reviewer: Audit Manager 045E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5.15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16" t="inlineStr">
        <is>
          <t>WORKPAPER COMPLETION AND SIGN-OFF</t>
        </is>
      </c>
      <c r="B1" s="7" t="n"/>
      <c r="C1" s="7" t="n"/>
      <c r="D1" s="7" t="n"/>
      <c r="E1" s="7" t="n"/>
      <c r="F1" s="7" t="n"/>
    </row>
    <row r="2">
      <c r="A2" s="7" t="n"/>
      <c r="B2" s="7" t="n"/>
      <c r="C2" s="7" t="n"/>
      <c r="D2" s="7" t="n"/>
      <c r="E2" s="7" t="n"/>
      <c r="F2" s="7" t="n"/>
    </row>
    <row r="3" ht="27" customHeight="1">
      <c r="A3" s="7" t="inlineStr">
        <is>
          <t>Workpaper</t>
        </is>
      </c>
      <c r="B3" s="8" t="inlineStr">
        <is>
          <t>revenue/staffing_revenue_workpaper.xlsx</t>
        </is>
      </c>
      <c r="C3" s="7" t="n"/>
      <c r="D3" s="7" t="n"/>
      <c r="E3" s="7" t="n"/>
      <c r="F3" s="7" t="n"/>
    </row>
    <row r="4">
      <c r="A4" s="8" t="inlineStr">
        <is>
          <t>Required completion stage</t>
        </is>
      </c>
      <c r="B4" s="7" t="inlineStr">
        <is>
          <t>prepared</t>
        </is>
      </c>
      <c r="C4" s="7" t="n"/>
      <c r="D4" s="7" t="inlineStr">
        <is>
          <t>Contract version</t>
        </is>
      </c>
      <c r="E4" s="8" t="inlineStr">
        <is>
          <t>workpaper-signoff-v2.1.0</t>
        </is>
      </c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17" t="inlineStr">
        <is>
          <t>Assigned preparer</t>
        </is>
      </c>
      <c r="B6" s="18" t="inlineStr">
        <is>
          <t>Audit Senior F43D</t>
        </is>
      </c>
      <c r="C6" s="7" t="n"/>
      <c r="D6" s="17" t="inlineStr">
        <is>
          <t>Assigned reviewer</t>
        </is>
      </c>
      <c r="E6" s="19" t="inlineStr">
        <is>
          <t>Audit Manager 045E</t>
        </is>
      </c>
      <c r="F6" s="7" t="n"/>
    </row>
    <row r="7">
      <c r="A7" s="17" t="inlineStr">
        <is>
          <t>Preparation state</t>
        </is>
      </c>
      <c r="B7" s="18" t="inlineStr">
        <is>
          <t>Unsigned</t>
        </is>
      </c>
      <c r="C7" s="7" t="n"/>
      <c r="D7" s="17" t="inlineStr">
        <is>
          <t>Review state</t>
        </is>
      </c>
      <c r="E7" s="18" t="inlineStr">
        <is>
          <t>Unsigned</t>
        </is>
      </c>
      <c r="F7" s="7" t="n"/>
    </row>
    <row r="8">
      <c r="A8" s="17" t="inlineStr">
        <is>
          <t>Prepared by</t>
        </is>
      </c>
      <c r="B8" s="18" t="n"/>
      <c r="C8" s="7" t="n"/>
      <c r="D8" s="17" t="inlineStr">
        <is>
          <t>Reviewed by</t>
        </is>
      </c>
      <c r="E8" s="18" t="n"/>
      <c r="F8" s="7" t="n"/>
    </row>
    <row r="9">
      <c r="A9" s="17" t="inlineStr">
        <is>
          <t>Preparation date</t>
        </is>
      </c>
      <c r="B9" s="20" t="n"/>
      <c r="C9" s="7" t="n"/>
      <c r="D9" s="17" t="inlineStr">
        <is>
          <t>Review date</t>
        </is>
      </c>
      <c r="E9" s="20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 ht="50" customHeight="1">
      <c r="A12" s="21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7" t="n"/>
      <c r="C12" s="7" t="n"/>
      <c r="D12" s="7" t="n"/>
      <c r="E12" s="7" t="n"/>
      <c r="F12" s="7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2026-08-05T16:13:28Z</dcterms:created>
  <dcterms:modified xmlns:dcterms="http://purl.org/dc/terms/" xmlns:xsi="http://www.w3.org/2001/XMLSchema-instance" xsi:type="dcterms:W3CDTF">2026-08-05T16:13:28Z</dcterms:modified>
</cp:coreProperties>
</file>