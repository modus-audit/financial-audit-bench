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o GL Reconciliation" sheetId="1" state="visible" r:id="rId1"/>
  </sheets>
  <definedNames>
    <definedName name="_xlnm._FilterDatabase" localSheetId="0" hidden="1">'Inventory to GL Reconciliation'!$A$5:$J$34</definedName>
    <definedName name="_xlnm.Print_Titles" localSheetId="0">'Inventory to GL Reconciliation'!$5:$5</definedName>
    <definedName name="_xlnm.Print_Area" localSheetId="0">'Inventory to GL Reconciliation'!$A$1:$J$34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4" fontId="0" fillId="0" borderId="0" pivotButton="0" quotePrefix="0" xfId="0"/>
    <xf numFmtId="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50" customWidth="1" min="2" max="2"/>
    <col width="19" customWidth="1" min="3" max="3"/>
    <col width="14" customWidth="1" min="4" max="4"/>
    <col width="14" customWidth="1" min="5" max="5"/>
    <col width="14" customWidth="1" min="6" max="6"/>
    <col width="18" customWidth="1" min="7" max="7"/>
    <col width="17" customWidth="1" min="8" max="8"/>
    <col width="10" customWidth="1" min="9" max="9"/>
    <col width="15" customWidth="1" min="10" max="10"/>
  </cols>
  <sheetData>
    <row r="1">
      <c r="A1" s="1" t="inlineStr">
        <is>
          <t>Quelvox Industrial Holdings, LLC</t>
        </is>
      </c>
    </row>
    <row r="2">
      <c r="A2" t="inlineStr">
        <is>
          <t>Inventory to GL Reconciliation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By category and GL account</t>
        </is>
      </c>
      <c r="C5" s="3" t="inlineStr">
        <is>
          <t>Subledger total</t>
        </is>
      </c>
      <c r="D5" s="3" t="inlineStr">
        <is>
          <t>GL balance</t>
        </is>
      </c>
      <c r="E5" s="3" t="inlineStr">
        <is>
          <t>Differences</t>
        </is>
      </c>
      <c r="F5" s="3" t="inlineStr">
        <is>
          <t>Review</t>
        </is>
      </c>
    </row>
    <row r="6">
      <c r="A6" t="inlineStr">
        <is>
          <t>Account 1</t>
        </is>
      </c>
      <c r="B6" t="inlineStr">
        <is>
          <t>1016 - Inventory - raw materials</t>
        </is>
      </c>
      <c r="C6" s="8" t="n">
        <v>61784.27</v>
      </c>
      <c r="D6" s="8" t="n">
        <v>61784.27</v>
      </c>
      <c r="E6" s="8" t="n">
        <v>0</v>
      </c>
      <c r="F6" t="inlineStr">
        <is>
          <t>Reviewed</t>
        </is>
      </c>
    </row>
    <row r="7">
      <c r="A7" t="inlineStr">
        <is>
          <t>Account 2</t>
        </is>
      </c>
      <c r="B7" t="inlineStr">
        <is>
          <t>1017 - Inventory - work in process</t>
        </is>
      </c>
      <c r="C7" s="8" t="n">
        <v>36045.64</v>
      </c>
      <c r="D7" s="8" t="n">
        <v>36045.64</v>
      </c>
      <c r="E7" s="8" t="n">
        <v>0</v>
      </c>
      <c r="F7" t="inlineStr">
        <is>
          <t>Reviewed</t>
        </is>
      </c>
    </row>
    <row r="8">
      <c r="A8" t="inlineStr">
        <is>
          <t>Account 3</t>
        </is>
      </c>
      <c r="B8" t="inlineStr">
        <is>
          <t>1018 - Inventory - finished goods</t>
        </is>
      </c>
      <c r="C8" s="8" t="n">
        <v>29070.16</v>
      </c>
      <c r="D8" s="8" t="n">
        <v>29070.16</v>
      </c>
      <c r="E8" s="8" t="n">
        <v>0</v>
      </c>
      <c r="F8" t="inlineStr">
        <is>
          <t>Reviewed</t>
        </is>
      </c>
    </row>
    <row r="9">
      <c r="A9" t="inlineStr">
        <is>
          <t>Account 4</t>
        </is>
      </c>
      <c r="B9" t="inlineStr">
        <is>
          <t>1014 - Inventory in transit</t>
        </is>
      </c>
      <c r="C9" s="8" t="n">
        <v>3800.4</v>
      </c>
      <c r="D9" s="8" t="n">
        <v>3800.4</v>
      </c>
      <c r="E9" s="8" t="n">
        <v>0</v>
      </c>
      <c r="F9" t="inlineStr">
        <is>
          <t>Reviewed</t>
        </is>
      </c>
    </row>
    <row r="10">
      <c r="A10" t="inlineStr">
        <is>
          <t>Account 5</t>
        </is>
      </c>
      <c r="B10" t="inlineStr">
        <is>
          <t>1019 - Reserve for excess and obsolete inventory</t>
        </is>
      </c>
      <c r="C10" s="8" t="n">
        <v>0</v>
      </c>
      <c r="D10" s="8" t="n">
        <v>0</v>
      </c>
      <c r="E10" s="8" t="n">
        <v>0</v>
      </c>
      <c r="F10" t="inlineStr">
        <is>
          <t>Reviewed</t>
        </is>
      </c>
    </row>
    <row r="11">
      <c r="A11" s="5" t="inlineStr">
        <is>
          <t>Total</t>
        </is>
      </c>
      <c r="B11" s="6" t="inlineStr"/>
      <c r="C11" s="9">
        <f>SUM(C6:C10)</f>
        <v>130700.47</v>
      </c>
      <c r="D11" s="9">
        <f>SUM(D6:D10)</f>
        <v>130700.47</v>
      </c>
      <c r="E11" s="9" t="n">
        <v>0</v>
      </c>
      <c r="F11" s="6" t="inlineStr"/>
      <c r="G11" s="6" t="n"/>
      <c r="H11" s="6" t="n"/>
      <c r="I11" s="6" t="n"/>
      <c r="J11" s="6" t="n"/>
    </row>
    <row r="12"/>
    <row r="13">
      <c r="A13" s="3" t="inlineStr">
        <is>
          <t>#</t>
        </is>
      </c>
      <c r="B13" s="3" t="inlineStr">
        <is>
          <t>SKU</t>
        </is>
      </c>
      <c r="C13" s="3" t="inlineStr">
        <is>
          <t>Opening inventory</t>
        </is>
      </c>
      <c r="D13" s="3" t="inlineStr">
        <is>
          <t>Purchases</t>
        </is>
      </c>
      <c r="E13" s="3" t="inlineStr">
        <is>
          <t>Production</t>
        </is>
      </c>
      <c r="F13" s="3" t="inlineStr">
        <is>
          <t>Usage / COGS</t>
        </is>
      </c>
      <c r="G13" s="3" t="inlineStr">
        <is>
          <t>Count adjustment</t>
        </is>
      </c>
      <c r="H13" s="3" t="inlineStr">
        <is>
          <t>Gross inventory</t>
        </is>
      </c>
      <c r="I13" s="3" t="inlineStr">
        <is>
          <t>Reserve</t>
        </is>
      </c>
      <c r="J13" s="3" t="inlineStr">
        <is>
          <t>Net inventory</t>
        </is>
      </c>
    </row>
    <row r="14">
      <c r="A14" t="n">
        <v>1</v>
      </c>
      <c r="B14" t="inlineStr">
        <is>
          <t>RM-1079</t>
        </is>
      </c>
      <c r="C14" s="8" t="n">
        <v>12159.64</v>
      </c>
      <c r="D14" s="8" t="n">
        <v>213523.28</v>
      </c>
      <c r="E14" s="8" t="n">
        <v>0</v>
      </c>
      <c r="F14" s="8" t="n">
        <v>213036.9</v>
      </c>
      <c r="G14" s="8" t="n">
        <v>0</v>
      </c>
      <c r="H14" s="8" t="n">
        <v>12646.02</v>
      </c>
      <c r="I14" s="8" t="n">
        <v>0</v>
      </c>
      <c r="J14" s="8">
        <f>C14+D14-F14</f>
        <v>12646.02</v>
      </c>
    </row>
    <row r="15">
      <c r="A15" t="n">
        <v>2</v>
      </c>
      <c r="B15" t="inlineStr">
        <is>
          <t>RM-1088</t>
        </is>
      </c>
      <c r="C15" s="8" t="n">
        <v>12396.15</v>
      </c>
      <c r="D15" s="8" t="n">
        <v>232826.26</v>
      </c>
      <c r="E15" s="8" t="n">
        <v>0</v>
      </c>
      <c r="F15" s="8" t="n">
        <v>232206.45</v>
      </c>
      <c r="G15" s="8" t="n">
        <v>0</v>
      </c>
      <c r="H15" s="8" t="n">
        <v>13015.96</v>
      </c>
      <c r="I15" s="8" t="n">
        <v>0</v>
      </c>
      <c r="J15" s="8">
        <f>C15+D15-F15</f>
        <v>13015.96</v>
      </c>
    </row>
    <row r="16">
      <c r="A16" t="n">
        <v>3</v>
      </c>
      <c r="B16" t="inlineStr">
        <is>
          <t>RM-1097</t>
        </is>
      </c>
      <c r="C16" s="8" t="n">
        <v>8609.299999999999</v>
      </c>
      <c r="D16" s="8" t="n">
        <v>216954.36</v>
      </c>
      <c r="E16" s="8" t="n">
        <v>0</v>
      </c>
      <c r="F16" s="8" t="n">
        <v>216437.8</v>
      </c>
      <c r="G16" s="8" t="n">
        <v>0</v>
      </c>
      <c r="H16" s="8" t="n">
        <v>9125.860000000001</v>
      </c>
      <c r="I16" s="8" t="n">
        <v>0</v>
      </c>
      <c r="J16" s="8">
        <f>C16+D16-F16</f>
        <v>9125.86</v>
      </c>
    </row>
    <row r="17">
      <c r="A17" t="n">
        <v>4</v>
      </c>
      <c r="B17" t="inlineStr">
        <is>
          <t>RM-1098</t>
        </is>
      </c>
      <c r="C17" s="8" t="n">
        <v>9602.26</v>
      </c>
      <c r="D17" s="8" t="n">
        <v>214610.52</v>
      </c>
      <c r="E17" s="8" t="n">
        <v>0</v>
      </c>
      <c r="F17" s="8" t="n">
        <v>213938.36</v>
      </c>
      <c r="G17" s="8" t="n">
        <v>0</v>
      </c>
      <c r="H17" s="8" t="n">
        <v>10274.42</v>
      </c>
      <c r="I17" s="8" t="n">
        <v>0</v>
      </c>
      <c r="J17" s="8">
        <f>C17+D17-F17</f>
        <v>10274.42</v>
      </c>
    </row>
    <row r="18">
      <c r="A18" t="n">
        <v>5</v>
      </c>
      <c r="B18" t="inlineStr">
        <is>
          <t>RM-1103</t>
        </is>
      </c>
      <c r="C18" s="8" t="n">
        <v>8855.540000000001</v>
      </c>
      <c r="D18" s="8" t="n">
        <v>208282.31</v>
      </c>
      <c r="E18" s="8" t="n">
        <v>0</v>
      </c>
      <c r="F18" s="8" t="n">
        <v>208016.64</v>
      </c>
      <c r="G18" s="8" t="n">
        <v>0</v>
      </c>
      <c r="H18" s="8" t="n">
        <v>9121.209999999999</v>
      </c>
      <c r="I18" s="8" t="n">
        <v>0</v>
      </c>
      <c r="J18" s="8">
        <f>C18+D18-F18</f>
        <v>9121.21</v>
      </c>
    </row>
    <row r="19">
      <c r="A19" t="n">
        <v>6</v>
      </c>
      <c r="B19" t="inlineStr">
        <is>
          <t>RM-1105</t>
        </is>
      </c>
      <c r="C19" s="8" t="n">
        <v>7308.46</v>
      </c>
      <c r="D19" s="8" t="n">
        <v>108165.22</v>
      </c>
      <c r="E19" s="8" t="n">
        <v>0</v>
      </c>
      <c r="F19" s="8" t="n">
        <v>104072.48</v>
      </c>
      <c r="G19" s="8" t="n">
        <v>0</v>
      </c>
      <c r="H19" s="8" t="n">
        <v>11401.2</v>
      </c>
      <c r="I19" s="8" t="n">
        <v>0</v>
      </c>
      <c r="J19" s="8">
        <f>C19+D19-F19</f>
        <v>11401.2</v>
      </c>
    </row>
    <row r="20">
      <c r="A20" t="n">
        <v>7</v>
      </c>
      <c r="B20" t="inlineStr">
        <is>
          <t>WIP-1106</t>
        </is>
      </c>
      <c r="C20" s="8" t="n">
        <v>9207.459999999999</v>
      </c>
      <c r="D20" s="8" t="n">
        <v>0</v>
      </c>
      <c r="E20" s="8" t="n">
        <v>372103.84</v>
      </c>
      <c r="F20" s="8" t="n">
        <v>370497.61</v>
      </c>
      <c r="G20" s="8" t="n">
        <v>0</v>
      </c>
      <c r="H20" s="8" t="n">
        <v>10813.69</v>
      </c>
      <c r="I20" s="8" t="n">
        <v>0</v>
      </c>
      <c r="J20" s="8">
        <f>C20+E20-F20</f>
        <v>10813.69</v>
      </c>
    </row>
    <row r="21">
      <c r="A21" t="n">
        <v>8</v>
      </c>
      <c r="B21" t="inlineStr">
        <is>
          <t>WIP-1111</t>
        </is>
      </c>
      <c r="C21" s="8" t="n">
        <v>0</v>
      </c>
      <c r="D21" s="8" t="n">
        <v>0</v>
      </c>
      <c r="E21" s="8" t="n">
        <v>79886.21000000001</v>
      </c>
      <c r="F21" s="8" t="n">
        <v>76281.64</v>
      </c>
      <c r="G21" s="8" t="n">
        <v>0</v>
      </c>
      <c r="H21" s="8" t="n">
        <v>3604.57</v>
      </c>
      <c r="I21" s="8" t="n">
        <v>0</v>
      </c>
      <c r="J21" s="8">
        <f>E21-F21</f>
        <v>3604.57</v>
      </c>
    </row>
    <row r="22">
      <c r="A22" t="n">
        <v>9</v>
      </c>
      <c r="B22" t="inlineStr">
        <is>
          <t>WIP-1120</t>
        </is>
      </c>
      <c r="C22" s="8" t="n">
        <v>10974.36</v>
      </c>
      <c r="D22" s="8" t="n">
        <v>0</v>
      </c>
      <c r="E22" s="8" t="n">
        <v>626180.7</v>
      </c>
      <c r="F22" s="8" t="n">
        <v>619132.24</v>
      </c>
      <c r="G22" s="8" t="n">
        <v>0</v>
      </c>
      <c r="H22" s="8" t="n">
        <v>18022.82</v>
      </c>
      <c r="I22" s="8" t="n">
        <v>0</v>
      </c>
      <c r="J22" s="8">
        <f>C22+E22-F22</f>
        <v>18022.82</v>
      </c>
    </row>
    <row r="23">
      <c r="A23" t="n">
        <v>10</v>
      </c>
      <c r="B23" t="inlineStr">
        <is>
          <t>WIP-1129</t>
        </is>
      </c>
      <c r="C23" s="8" t="n">
        <v>0</v>
      </c>
      <c r="D23" s="8" t="n">
        <v>0</v>
      </c>
      <c r="E23" s="8" t="n">
        <v>72830.47</v>
      </c>
      <c r="F23" s="8" t="n">
        <v>72830.47</v>
      </c>
      <c r="G23" s="8" t="n">
        <v>0</v>
      </c>
      <c r="H23" s="8" t="n">
        <v>0</v>
      </c>
      <c r="I23" s="8" t="n">
        <v>0</v>
      </c>
      <c r="J23" s="8" t="n">
        <v>0</v>
      </c>
    </row>
    <row r="24">
      <c r="A24" t="n">
        <v>11</v>
      </c>
      <c r="B24" t="inlineStr">
        <is>
          <t>WIP-1131</t>
        </is>
      </c>
      <c r="C24" s="8" t="n">
        <v>10401.86</v>
      </c>
      <c r="D24" s="8" t="n">
        <v>0</v>
      </c>
      <c r="E24" s="8" t="n">
        <v>163376.95</v>
      </c>
      <c r="F24" s="8" t="n">
        <v>170174.25</v>
      </c>
      <c r="G24" s="8" t="n">
        <v>0</v>
      </c>
      <c r="H24" s="8" t="n">
        <v>3604.56</v>
      </c>
      <c r="I24" s="8" t="n">
        <v>0</v>
      </c>
      <c r="J24" s="8">
        <f>C24+E24-F24</f>
        <v>3604.56</v>
      </c>
    </row>
    <row r="25">
      <c r="A25" t="n">
        <v>12</v>
      </c>
      <c r="B25" t="inlineStr">
        <is>
          <t>WIP-1132</t>
        </is>
      </c>
      <c r="C25" s="8" t="n">
        <v>0</v>
      </c>
      <c r="D25" s="8" t="n">
        <v>0</v>
      </c>
      <c r="E25" s="8" t="n">
        <v>72830.46000000001</v>
      </c>
      <c r="F25" s="8" t="n">
        <v>72830.46000000001</v>
      </c>
      <c r="G25" s="8" t="n">
        <v>0</v>
      </c>
      <c r="H25" s="8" t="n">
        <v>0</v>
      </c>
      <c r="I25" s="8" t="n">
        <v>0</v>
      </c>
      <c r="J25" s="8" t="n">
        <v>0</v>
      </c>
    </row>
    <row r="26">
      <c r="A26" t="n">
        <v>13</v>
      </c>
      <c r="B26" t="inlineStr">
        <is>
          <t>FG-1138</t>
        </is>
      </c>
      <c r="C26" s="8" t="n">
        <v>0</v>
      </c>
      <c r="D26" s="8" t="n">
        <v>0</v>
      </c>
      <c r="E26" s="8" t="n">
        <v>95721.25999999999</v>
      </c>
      <c r="F26" s="8" t="n">
        <v>95721.25999999999</v>
      </c>
      <c r="G26" s="8" t="n">
        <v>0</v>
      </c>
      <c r="H26" s="8" t="n">
        <v>0</v>
      </c>
      <c r="I26" s="8" t="n">
        <v>0</v>
      </c>
      <c r="J26" s="8" t="n">
        <v>0</v>
      </c>
    </row>
    <row r="27">
      <c r="A27" t="n">
        <v>14</v>
      </c>
      <c r="B27" t="inlineStr">
        <is>
          <t>FG-1140</t>
        </is>
      </c>
      <c r="C27" s="8" t="n">
        <v>0</v>
      </c>
      <c r="D27" s="8" t="n">
        <v>0</v>
      </c>
      <c r="E27" s="8" t="n">
        <v>125048.27</v>
      </c>
      <c r="F27" s="8" t="n">
        <v>121414.5</v>
      </c>
      <c r="G27" s="8" t="n">
        <v>0</v>
      </c>
      <c r="H27" s="8" t="n">
        <v>3633.77</v>
      </c>
      <c r="I27" s="8" t="n">
        <v>0</v>
      </c>
      <c r="J27" s="8">
        <f>E27-F27</f>
        <v>3633.77</v>
      </c>
    </row>
    <row r="28">
      <c r="A28" t="n">
        <v>15</v>
      </c>
      <c r="B28" t="inlineStr">
        <is>
          <t>FG-1144</t>
        </is>
      </c>
      <c r="C28" s="8" t="n">
        <v>0</v>
      </c>
      <c r="D28" s="8" t="n">
        <v>0</v>
      </c>
      <c r="E28" s="8" t="n">
        <v>106251.97</v>
      </c>
      <c r="F28" s="8" t="n">
        <v>102618.2</v>
      </c>
      <c r="G28" s="8" t="n">
        <v>0</v>
      </c>
      <c r="H28" s="8" t="n">
        <v>3633.77</v>
      </c>
      <c r="I28" s="8" t="n">
        <v>0</v>
      </c>
      <c r="J28" s="8">
        <f>E28-F28</f>
        <v>3633.77</v>
      </c>
    </row>
    <row r="29">
      <c r="A29" t="n">
        <v>16</v>
      </c>
      <c r="B29" t="inlineStr">
        <is>
          <t>FG-1149</t>
        </is>
      </c>
      <c r="C29" s="8" t="n">
        <v>7180.23</v>
      </c>
      <c r="D29" s="8" t="n">
        <v>0</v>
      </c>
      <c r="E29" s="8" t="n">
        <v>275540.22</v>
      </c>
      <c r="F29" s="8" t="n">
        <v>275452.91</v>
      </c>
      <c r="G29" s="8" t="n">
        <v>0</v>
      </c>
      <c r="H29" s="8" t="n">
        <v>7267.54</v>
      </c>
      <c r="I29" s="8" t="n">
        <v>0</v>
      </c>
      <c r="J29" s="8">
        <f>C29+E29-F29</f>
        <v>7267.54</v>
      </c>
    </row>
    <row r="30">
      <c r="A30" t="n">
        <v>17</v>
      </c>
      <c r="B30" t="inlineStr">
        <is>
          <t>FG-1157</t>
        </is>
      </c>
      <c r="C30" s="8" t="n">
        <v>8878.030000000001</v>
      </c>
      <c r="D30" s="8" t="n">
        <v>0</v>
      </c>
      <c r="E30" s="8" t="n">
        <v>220388.89</v>
      </c>
      <c r="F30" s="8" t="n">
        <v>225633.15</v>
      </c>
      <c r="G30" s="8" t="n">
        <v>0</v>
      </c>
      <c r="H30" s="8" t="n">
        <v>3633.77</v>
      </c>
      <c r="I30" s="8" t="n">
        <v>0</v>
      </c>
      <c r="J30" s="8">
        <f>C30+E30-F30</f>
        <v>3633.77</v>
      </c>
    </row>
    <row r="31">
      <c r="A31" t="n">
        <v>18</v>
      </c>
      <c r="B31" t="inlineStr">
        <is>
          <t>FG-1163</t>
        </is>
      </c>
      <c r="C31" s="8" t="n">
        <v>6983.15</v>
      </c>
      <c r="D31" s="8" t="n">
        <v>0</v>
      </c>
      <c r="E31" s="8" t="n">
        <v>282563.05</v>
      </c>
      <c r="F31" s="8" t="n">
        <v>282278.66</v>
      </c>
      <c r="G31" s="8" t="n">
        <v>0</v>
      </c>
      <c r="H31" s="8" t="n">
        <v>7267.54</v>
      </c>
      <c r="I31" s="8" t="n">
        <v>0</v>
      </c>
      <c r="J31" s="8">
        <f>C31+E31-F31</f>
        <v>7267.54</v>
      </c>
    </row>
    <row r="32">
      <c r="A32" t="n">
        <v>19</v>
      </c>
      <c r="B32" t="inlineStr">
        <is>
          <t>FG-1169</t>
        </is>
      </c>
      <c r="C32" s="8" t="n">
        <v>8405.459999999999</v>
      </c>
      <c r="D32" s="8" t="n">
        <v>0</v>
      </c>
      <c r="E32" s="8" t="n">
        <v>231462.45</v>
      </c>
      <c r="F32" s="8" t="n">
        <v>236234.14</v>
      </c>
      <c r="G32" s="8" t="n">
        <v>0</v>
      </c>
      <c r="H32" s="8" t="n">
        <v>3633.77</v>
      </c>
      <c r="I32" s="8" t="n">
        <v>0</v>
      </c>
      <c r="J32" s="8">
        <f>C32+E32-F32</f>
        <v>3633.77</v>
      </c>
    </row>
    <row r="33">
      <c r="A33" t="n">
        <v>20</v>
      </c>
      <c r="B33" t="inlineStr">
        <is>
          <t>FG-1177</t>
        </is>
      </c>
      <c r="C33" s="8" t="n">
        <v>0</v>
      </c>
      <c r="D33" s="8" t="n">
        <v>0</v>
      </c>
      <c r="E33" s="8" t="n">
        <v>83470.56</v>
      </c>
      <c r="F33" s="8" t="n">
        <v>83470.56</v>
      </c>
      <c r="G33" s="8" t="n">
        <v>0</v>
      </c>
      <c r="H33" s="8" t="n">
        <v>0</v>
      </c>
      <c r="I33" s="8" t="n">
        <v>0</v>
      </c>
      <c r="J33" s="8" t="n">
        <v>0</v>
      </c>
    </row>
    <row r="34">
      <c r="A34" s="5" t="inlineStr">
        <is>
          <t>Total</t>
        </is>
      </c>
      <c r="B34" s="6" t="inlineStr"/>
      <c r="C34" s="9">
        <f>SUM(C14:C33)</f>
        <v>120961.9</v>
      </c>
      <c r="D34" s="9">
        <f>SUM(D14:D33)</f>
        <v>1194361.95</v>
      </c>
      <c r="E34" s="9">
        <f>SUM(E14:E33)</f>
        <v>2807655.3</v>
      </c>
      <c r="F34" s="9">
        <f>SUM(F14:F33)</f>
        <v>3992278.68</v>
      </c>
      <c r="G34" s="9" t="n">
        <v>0</v>
      </c>
      <c r="H34" s="9">
        <f>SUM(H14:H33)</f>
        <v>130700.47</v>
      </c>
      <c r="I34" s="9" t="n">
        <v>0</v>
      </c>
      <c r="J34" s="9">
        <f>SUM(J14:J33)</f>
        <v>130700.47</v>
      </c>
    </row>
  </sheetData>
  <autoFilter ref="A5:J3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2026-01-27T14:14:00Z</dcterms:created>
  <dcterms:modified xsi:type="dcterms:W3CDTF">2026-01-27T15:18:00Z</dcterms:modified>
</cp:coreProperties>
</file>