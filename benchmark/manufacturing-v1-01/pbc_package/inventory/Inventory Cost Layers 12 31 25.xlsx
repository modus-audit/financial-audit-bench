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st Layer Detail" sheetId="1" state="visible" r:id="rId3"/>
  </sheets>
  <definedNames>
    <definedName function="false" hidden="false" localSheetId="0" name="_xlnm.Print_Area" vbProcedure="false">'Cost Layer Detail'!$A$1:$I$27</definedName>
    <definedName function="false" hidden="false" localSheetId="0" name="_xlnm.Print_Titles" vbProcedure="false">'Cost Layer Detail'!$5:$5</definedName>
    <definedName function="false" hidden="true" localSheetId="0" name="_xlnm._FilterDatabase" vbProcedure="false">'Cost Layer Detail'!$A$5:$I$27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<sst xmlns="http://schemas.openxmlformats.org/spreadsheetml/2006/main" count="118" uniqueCount="59">
  <si>
    <t xml:space="preserve">Quelvox Industrial Holdings, LLC</t>
  </si>
  <si>
    <t xml:space="preserve">Cost Layer Detail</t>
  </si>
  <si>
    <t xml:space="preserve">As of December 31, 2025</t>
  </si>
  <si>
    <t xml:space="preserve">Layers</t>
  </si>
  <si>
    <t xml:space="preserve">SKU</t>
  </si>
  <si>
    <t xml:space="preserve">Category</t>
  </si>
  <si>
    <t xml:space="preserve">Method</t>
  </si>
  <si>
    <t xml:space="preserve">Unit cost</t>
  </si>
  <si>
    <t xml:space="preserve">Effective date</t>
  </si>
  <si>
    <t xml:space="preserve">Quantities</t>
  </si>
  <si>
    <t xml:space="preserve">Variances</t>
  </si>
  <si>
    <t xml:space="preserve">Approvals</t>
  </si>
  <si>
    <t xml:space="preserve">Layer 0080</t>
  </si>
  <si>
    <t xml:space="preserve">RM-1079</t>
  </si>
  <si>
    <t xml:space="preserve">Raw material</t>
  </si>
  <si>
    <t xml:space="preserve">fifo</t>
  </si>
  <si>
    <t xml:space="preserve">Approved</t>
  </si>
  <si>
    <t xml:space="preserve">Layer 0081</t>
  </si>
  <si>
    <t xml:space="preserve">RM-1088</t>
  </si>
  <si>
    <t xml:space="preserve">Layer 0082</t>
  </si>
  <si>
    <t xml:space="preserve">RM-1097</t>
  </si>
  <si>
    <t xml:space="preserve">Layer 0083</t>
  </si>
  <si>
    <t xml:space="preserve">RM-1098</t>
  </si>
  <si>
    <t xml:space="preserve">Layer 0084</t>
  </si>
  <si>
    <t xml:space="preserve">RM-1103</t>
  </si>
  <si>
    <t xml:space="preserve">Layer 0085</t>
  </si>
  <si>
    <t xml:space="preserve">RM-1105</t>
  </si>
  <si>
    <t xml:space="preserve">Layer 0086</t>
  </si>
  <si>
    <t xml:space="preserve">Layer 0153</t>
  </si>
  <si>
    <t xml:space="preserve">WIP-1106</t>
  </si>
  <si>
    <t xml:space="preserve">Work in process</t>
  </si>
  <si>
    <t xml:space="preserve">Layer 0154</t>
  </si>
  <si>
    <t xml:space="preserve">WIP-1111</t>
  </si>
  <si>
    <t xml:space="preserve">Layer 0155</t>
  </si>
  <si>
    <t xml:space="preserve">WIP-1120</t>
  </si>
  <si>
    <t xml:space="preserve">LOT-4320</t>
  </si>
  <si>
    <t xml:space="preserve">WIP-1129</t>
  </si>
  <si>
    <t xml:space="preserve">Layer 0157</t>
  </si>
  <si>
    <t xml:space="preserve">WIP-1131</t>
  </si>
  <si>
    <t xml:space="preserve">LOT-4326</t>
  </si>
  <si>
    <t xml:space="preserve">WIP-1132</t>
  </si>
  <si>
    <t xml:space="preserve">LOT-4329</t>
  </si>
  <si>
    <t xml:space="preserve">FG-1138</t>
  </si>
  <si>
    <t xml:space="preserve">Finished goods</t>
  </si>
  <si>
    <t xml:space="preserve">Layer 0251</t>
  </si>
  <si>
    <t xml:space="preserve">FG-1140</t>
  </si>
  <si>
    <t xml:space="preserve">Layer 0252</t>
  </si>
  <si>
    <t xml:space="preserve">FG-1144</t>
  </si>
  <si>
    <t xml:space="preserve">Layer 0253</t>
  </si>
  <si>
    <t xml:space="preserve">FG-1149</t>
  </si>
  <si>
    <t xml:space="preserve">Layer 0254</t>
  </si>
  <si>
    <t xml:space="preserve">FG-1157</t>
  </si>
  <si>
    <t xml:space="preserve">Layer 0255</t>
  </si>
  <si>
    <t xml:space="preserve">FG-1163</t>
  </si>
  <si>
    <t xml:space="preserve">Layer 0256</t>
  </si>
  <si>
    <t xml:space="preserve">FG-1169</t>
  </si>
  <si>
    <t xml:space="preserve">LOT-4350</t>
  </si>
  <si>
    <t xml:space="preserve">FG-1177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</si>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</sst>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\$* #,##0.00_);_(\$* \(#,##0.00\);_(\$* \-??_);_(@_)"/>
    <numFmt numFmtId="166" formatCode="mm/dd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7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7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8" min="7" style="0" width="12"/>
    <col collapsed="false" customWidth="true" hidden="false" outlineLevel="0" max="9" min="9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</row>
    <row r="6" customFormat="false" ht="15" hidden="false" customHeight="false" outlineLevel="0" collapsed="false">
      <c r="A6" s="0" t="s">
        <v>12</v>
      </c>
      <c r="B6" s="0" t="s">
        <v>13</v>
      </c>
      <c r="C6" s="0" t="s">
        <v>14</v>
      </c>
      <c r="D6" s="0" t="s">
        <v>15</v>
      </c>
      <c r="E6" s="4" t="n">
        <v>3161.51</v>
      </c>
      <c r="F6" s="5" t="n">
        <v>45994</v>
      </c>
      <c r="G6" s="0" t="n">
        <v>4</v>
      </c>
      <c r="H6" s="4" t="n">
        <v>3161.51</v>
      </c>
      <c r="I6" s="0" t="s">
        <v>16</v>
      </c>
    </row>
    <row r="7" customFormat="false" ht="15" hidden="false" customHeight="false" outlineLevel="0" collapsed="false">
      <c r="A7" s="0" t="s">
        <v>17</v>
      </c>
      <c r="B7" s="0" t="s">
        <v>18</v>
      </c>
      <c r="C7" s="0" t="s">
        <v>14</v>
      </c>
      <c r="D7" s="0" t="s">
        <v>15</v>
      </c>
      <c r="E7" s="4" t="n">
        <v>929.71</v>
      </c>
      <c r="F7" s="5" t="n">
        <v>45994</v>
      </c>
      <c r="G7" s="0" t="n">
        <v>14</v>
      </c>
      <c r="H7" s="4" t="n">
        <v>929.71</v>
      </c>
      <c r="I7" s="0" t="s">
        <v>16</v>
      </c>
    </row>
    <row r="8" customFormat="false" ht="15" hidden="false" customHeight="false" outlineLevel="0" collapsed="false">
      <c r="A8" s="0" t="s">
        <v>19</v>
      </c>
      <c r="B8" s="0" t="s">
        <v>20</v>
      </c>
      <c r="C8" s="0" t="s">
        <v>14</v>
      </c>
      <c r="D8" s="0" t="s">
        <v>15</v>
      </c>
      <c r="E8" s="4" t="n">
        <v>9125.86</v>
      </c>
      <c r="F8" s="5" t="n">
        <v>45994</v>
      </c>
      <c r="G8" s="0" t="n">
        <v>1</v>
      </c>
      <c r="H8" s="4" t="n">
        <v>9125.86</v>
      </c>
      <c r="I8" s="0" t="s">
        <v>16</v>
      </c>
    </row>
    <row r="9" customFormat="false" ht="15" hidden="false" customHeight="false" outlineLevel="0" collapsed="false">
      <c r="A9" s="0" t="s">
        <v>21</v>
      </c>
      <c r="B9" s="0" t="s">
        <v>22</v>
      </c>
      <c r="C9" s="0" t="s">
        <v>14</v>
      </c>
      <c r="D9" s="0" t="s">
        <v>15</v>
      </c>
      <c r="E9" s="4" t="n">
        <v>10274.42</v>
      </c>
      <c r="F9" s="5" t="n">
        <v>45994</v>
      </c>
      <c r="G9" s="0" t="n">
        <v>1</v>
      </c>
      <c r="H9" s="4" t="n">
        <v>10274.42</v>
      </c>
      <c r="I9" s="0" t="s">
        <v>16</v>
      </c>
    </row>
    <row r="10" customFormat="false" ht="15" hidden="false" customHeight="false" outlineLevel="0" collapsed="false">
      <c r="A10" s="0" t="s">
        <v>23</v>
      </c>
      <c r="B10" s="0" t="s">
        <v>24</v>
      </c>
      <c r="C10" s="0" t="s">
        <v>14</v>
      </c>
      <c r="D10" s="0" t="s">
        <v>15</v>
      </c>
      <c r="E10" s="4" t="n">
        <v>9121.21</v>
      </c>
      <c r="F10" s="5" t="n">
        <v>45994</v>
      </c>
      <c r="G10" s="0" t="n">
        <v>1</v>
      </c>
      <c r="H10" s="4" t="n">
        <v>9121.21</v>
      </c>
      <c r="I10" s="0" t="s">
        <v>16</v>
      </c>
    </row>
    <row r="11" customFormat="false" ht="15" hidden="false" customHeight="false" outlineLevel="0" collapsed="false">
      <c r="A11" s="0" t="s">
        <v>25</v>
      </c>
      <c r="B11" s="0" t="s">
        <v>26</v>
      </c>
      <c r="C11" s="0" t="s">
        <v>14</v>
      </c>
      <c r="D11" s="0" t="s">
        <v>15</v>
      </c>
      <c r="E11" s="4" t="n">
        <v>3800.4</v>
      </c>
      <c r="F11" s="5" t="n">
        <v>45994</v>
      </c>
      <c r="G11" s="0" t="n">
        <v>2</v>
      </c>
      <c r="H11" s="4" t="n">
        <v>3800.4</v>
      </c>
      <c r="I11" s="0" t="s">
        <v>16</v>
      </c>
    </row>
    <row r="12" customFormat="false" ht="15" hidden="false" customHeight="false" outlineLevel="0" collapsed="false">
      <c r="A12" s="0" t="s">
        <v>27</v>
      </c>
      <c r="B12" s="0" t="s">
        <v>26</v>
      </c>
      <c r="C12" s="0" t="s">
        <v>14</v>
      </c>
      <c r="D12" s="0" t="s">
        <v>15</v>
      </c>
      <c r="E12" s="4" t="n">
        <v>3800.4</v>
      </c>
      <c r="F12" s="5" t="n">
        <v>46017</v>
      </c>
      <c r="G12" s="0" t="n">
        <v>1</v>
      </c>
      <c r="H12" s="4" t="n">
        <v>3800.4</v>
      </c>
      <c r="I12" s="0" t="s">
        <v>16</v>
      </c>
    </row>
    <row r="13" customFormat="false" ht="15" hidden="false" customHeight="false" outlineLevel="0" collapsed="false">
      <c r="A13" s="0" t="s">
        <v>28</v>
      </c>
      <c r="B13" s="0" t="s">
        <v>29</v>
      </c>
      <c r="C13" s="0" t="s">
        <v>30</v>
      </c>
      <c r="D13" s="0" t="s">
        <v>15</v>
      </c>
      <c r="E13" s="4" t="n">
        <v>3604.56</v>
      </c>
      <c r="F13" s="5" t="n">
        <v>46004</v>
      </c>
      <c r="G13" s="0" t="n">
        <v>3</v>
      </c>
      <c r="H13" s="4" t="n">
        <v>3604.56</v>
      </c>
      <c r="I13" s="0" t="s">
        <v>16</v>
      </c>
    </row>
    <row r="14" customFormat="false" ht="15" hidden="false" customHeight="false" outlineLevel="0" collapsed="false">
      <c r="A14" s="0" t="s">
        <v>31</v>
      </c>
      <c r="B14" s="0" t="s">
        <v>32</v>
      </c>
      <c r="C14" s="0" t="s">
        <v>30</v>
      </c>
      <c r="D14" s="0" t="s">
        <v>15</v>
      </c>
      <c r="E14" s="4" t="n">
        <v>3604.57</v>
      </c>
      <c r="F14" s="5" t="n">
        <v>46004</v>
      </c>
      <c r="G14" s="0" t="n">
        <v>1</v>
      </c>
      <c r="H14" s="4" t="n">
        <v>3604.57</v>
      </c>
      <c r="I14" s="0" t="s">
        <v>16</v>
      </c>
    </row>
    <row r="15" customFormat="false" ht="15" hidden="false" customHeight="false" outlineLevel="0" collapsed="false">
      <c r="A15" s="0" t="s">
        <v>33</v>
      </c>
      <c r="B15" s="0" t="s">
        <v>34</v>
      </c>
      <c r="C15" s="0" t="s">
        <v>30</v>
      </c>
      <c r="D15" s="0" t="s">
        <v>15</v>
      </c>
      <c r="E15" s="4" t="n">
        <v>3604.56</v>
      </c>
      <c r="F15" s="5" t="n">
        <v>46004</v>
      </c>
      <c r="G15" s="0" t="n">
        <v>5</v>
      </c>
      <c r="H15" s="4" t="n">
        <v>3604.56</v>
      </c>
      <c r="I15" s="0" t="s">
        <v>16</v>
      </c>
    </row>
    <row r="16" customFormat="false" ht="15" hidden="false" customHeight="false" outlineLevel="0" collapsed="false">
      <c r="A16" s="0" t="s">
        <v>35</v>
      </c>
      <c r="B16" s="0" t="s">
        <v>36</v>
      </c>
      <c r="C16" s="0" t="s">
        <v>30</v>
      </c>
      <c r="D16" s="0" t="s">
        <v>15</v>
      </c>
      <c r="E16" s="4" t="n">
        <v>23741.64</v>
      </c>
      <c r="F16" s="5" t="n">
        <v>45935</v>
      </c>
      <c r="G16" s="0" t="n">
        <v>0</v>
      </c>
      <c r="H16" s="4" t="n">
        <v>23741.64</v>
      </c>
      <c r="I16" s="0" t="s">
        <v>16</v>
      </c>
    </row>
    <row r="17" customFormat="false" ht="15" hidden="false" customHeight="false" outlineLevel="0" collapsed="false">
      <c r="A17" s="0" t="s">
        <v>37</v>
      </c>
      <c r="B17" s="0" t="s">
        <v>38</v>
      </c>
      <c r="C17" s="0" t="s">
        <v>30</v>
      </c>
      <c r="D17" s="0" t="s">
        <v>15</v>
      </c>
      <c r="E17" s="4" t="n">
        <v>3604.56</v>
      </c>
      <c r="F17" s="5" t="n">
        <v>46004</v>
      </c>
      <c r="G17" s="0" t="n">
        <v>1</v>
      </c>
      <c r="H17" s="4" t="n">
        <v>3604.56</v>
      </c>
      <c r="I17" s="0" t="s">
        <v>16</v>
      </c>
    </row>
    <row r="18" customFormat="false" ht="15" hidden="false" customHeight="false" outlineLevel="0" collapsed="false">
      <c r="A18" s="0" t="s">
        <v>39</v>
      </c>
      <c r="B18" s="0" t="s">
        <v>40</v>
      </c>
      <c r="C18" s="0" t="s">
        <v>30</v>
      </c>
      <c r="D18" s="0" t="s">
        <v>15</v>
      </c>
      <c r="E18" s="4" t="n">
        <v>23539.1</v>
      </c>
      <c r="F18" s="5" t="n">
        <v>45944</v>
      </c>
      <c r="G18" s="0" t="n">
        <v>0</v>
      </c>
      <c r="H18" s="4" t="n">
        <v>23539.1</v>
      </c>
      <c r="I18" s="0" t="s">
        <v>16</v>
      </c>
    </row>
    <row r="19" customFormat="false" ht="15" hidden="false" customHeight="false" outlineLevel="0" collapsed="false">
      <c r="A19" s="0" t="s">
        <v>41</v>
      </c>
      <c r="B19" s="0" t="s">
        <v>42</v>
      </c>
      <c r="C19" s="0" t="s">
        <v>43</v>
      </c>
      <c r="D19" s="0" t="s">
        <v>15</v>
      </c>
      <c r="E19" s="4" t="n">
        <v>19947.47</v>
      </c>
      <c r="F19" s="5" t="n">
        <v>45983</v>
      </c>
      <c r="G19" s="0" t="n">
        <v>0</v>
      </c>
      <c r="H19" s="4" t="n">
        <v>19947.47</v>
      </c>
      <c r="I19" s="0" t="s">
        <v>16</v>
      </c>
    </row>
    <row r="20" customFormat="false" ht="15" hidden="false" customHeight="false" outlineLevel="0" collapsed="false">
      <c r="A20" s="0" t="s">
        <v>44</v>
      </c>
      <c r="B20" s="0" t="s">
        <v>45</v>
      </c>
      <c r="C20" s="0" t="s">
        <v>43</v>
      </c>
      <c r="D20" s="0" t="s">
        <v>15</v>
      </c>
      <c r="E20" s="4" t="n">
        <v>3633.77</v>
      </c>
      <c r="F20" s="5" t="n">
        <v>46009</v>
      </c>
      <c r="G20" s="0" t="n">
        <v>1</v>
      </c>
      <c r="H20" s="4" t="n">
        <v>3633.77</v>
      </c>
      <c r="I20" s="0" t="s">
        <v>16</v>
      </c>
    </row>
    <row r="21" customFormat="false" ht="15" hidden="false" customHeight="false" outlineLevel="0" collapsed="false">
      <c r="A21" s="0" t="s">
        <v>46</v>
      </c>
      <c r="B21" s="0" t="s">
        <v>47</v>
      </c>
      <c r="C21" s="0" t="s">
        <v>43</v>
      </c>
      <c r="D21" s="0" t="s">
        <v>15</v>
      </c>
      <c r="E21" s="4" t="n">
        <v>3633.77</v>
      </c>
      <c r="F21" s="5" t="n">
        <v>46009</v>
      </c>
      <c r="G21" s="0" t="n">
        <v>1</v>
      </c>
      <c r="H21" s="4" t="n">
        <v>3633.77</v>
      </c>
      <c r="I21" s="0" t="s">
        <v>16</v>
      </c>
    </row>
    <row r="22" customFormat="false" ht="15" hidden="false" customHeight="false" outlineLevel="0" collapsed="false">
      <c r="A22" s="0" t="s">
        <v>48</v>
      </c>
      <c r="B22" s="0" t="s">
        <v>49</v>
      </c>
      <c r="C22" s="0" t="s">
        <v>43</v>
      </c>
      <c r="D22" s="0" t="s">
        <v>15</v>
      </c>
      <c r="E22" s="4" t="n">
        <v>3633.77</v>
      </c>
      <c r="F22" s="5" t="n">
        <v>46009</v>
      </c>
      <c r="G22" s="0" t="n">
        <v>2</v>
      </c>
      <c r="H22" s="4" t="n">
        <v>3633.77</v>
      </c>
      <c r="I22" s="0" t="s">
        <v>16</v>
      </c>
    </row>
    <row r="23" customFormat="false" ht="15" hidden="false" customHeight="false" outlineLevel="0" collapsed="false">
      <c r="A23" s="0" t="s">
        <v>50</v>
      </c>
      <c r="B23" s="0" t="s">
        <v>51</v>
      </c>
      <c r="C23" s="0" t="s">
        <v>43</v>
      </c>
      <c r="D23" s="0" t="s">
        <v>15</v>
      </c>
      <c r="E23" s="4" t="n">
        <v>3633.77</v>
      </c>
      <c r="F23" s="5" t="n">
        <v>46009</v>
      </c>
      <c r="G23" s="0" t="n">
        <v>1</v>
      </c>
      <c r="H23" s="4" t="n">
        <v>3633.77</v>
      </c>
      <c r="I23" s="0" t="s">
        <v>16</v>
      </c>
    </row>
    <row r="24" customFormat="false" ht="15" hidden="false" customHeight="false" outlineLevel="0" collapsed="false">
      <c r="A24" s="0" t="s">
        <v>52</v>
      </c>
      <c r="B24" s="0" t="s">
        <v>53</v>
      </c>
      <c r="C24" s="0" t="s">
        <v>43</v>
      </c>
      <c r="D24" s="0" t="s">
        <v>15</v>
      </c>
      <c r="E24" s="4" t="n">
        <v>3633.77</v>
      </c>
      <c r="F24" s="5" t="n">
        <v>46009</v>
      </c>
      <c r="G24" s="0" t="n">
        <v>2</v>
      </c>
      <c r="H24" s="4" t="n">
        <v>3633.77</v>
      </c>
      <c r="I24" s="0" t="s">
        <v>16</v>
      </c>
    </row>
    <row r="25" customFormat="false" ht="15" hidden="false" customHeight="false" outlineLevel="0" collapsed="false">
      <c r="A25" s="0" t="s">
        <v>54</v>
      </c>
      <c r="B25" s="0" t="s">
        <v>55</v>
      </c>
      <c r="C25" s="0" t="s">
        <v>43</v>
      </c>
      <c r="D25" s="0" t="s">
        <v>15</v>
      </c>
      <c r="E25" s="4" t="n">
        <v>3633.77</v>
      </c>
      <c r="F25" s="5" t="n">
        <v>46009</v>
      </c>
      <c r="G25" s="0" t="n">
        <v>1</v>
      </c>
      <c r="H25" s="4" t="n">
        <v>3633.77</v>
      </c>
      <c r="I25" s="0" t="s">
        <v>16</v>
      </c>
    </row>
    <row r="26" customFormat="false" ht="15" hidden="false" customHeight="false" outlineLevel="0" collapsed="false">
      <c r="A26" s="0" t="s">
        <v>56</v>
      </c>
      <c r="B26" s="0" t="s">
        <v>57</v>
      </c>
      <c r="C26" s="0" t="s">
        <v>43</v>
      </c>
      <c r="D26" s="0" t="s">
        <v>15</v>
      </c>
      <c r="E26" s="4" t="n">
        <v>22044.17</v>
      </c>
      <c r="F26" s="5" t="n">
        <v>45952</v>
      </c>
      <c r="G26" s="0" t="n">
        <v>0</v>
      </c>
      <c r="H26" s="4" t="n">
        <v>22044.17</v>
      </c>
      <c r="I26" s="0" t="s">
        <v>16</v>
      </c>
    </row>
    <row r="27" customFormat="false" ht="15" hidden="false" customHeight="false" outlineLevel="0" collapsed="false">
      <c r="A27" s="6" t="s">
        <v>58</v>
      </c>
      <c r="B27" s="7"/>
      <c r="C27" s="7"/>
      <c r="D27" s="7"/>
      <c r="E27" s="7"/>
      <c r="F27" s="7"/>
      <c r="G27" s="8" t="n">
        <f aca="false">SUM(G6:G26)</f>
        <v>42</v>
      </c>
      <c r="H27" s="8" t="n">
        <f aca="false">SUM(H6:H26)</f>
        <v>165706.76</v>
      </c>
      <c r="I27" s="7"/>
    </row>
  </sheetData>
  <autoFilter ref="A5:I27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Joshua Zixford</dc:creator>
  <cp:lastModifiedBy>Karen Vovstein</cp:lastModifiedBy>
  <dcterms:created xsi:type="dcterms:W3CDTF">2026-01-17T11:46:00Z</dcterms:created>
  <dcterms:modified xsi:type="dcterms:W3CDTF">2026-01-17T15:13:00Z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