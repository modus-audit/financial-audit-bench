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come Statement" sheetId="1" state="visible" r:id="rId3"/>
  </sheets>
  <definedNames>
    <definedName function="false" hidden="false" localSheetId="0" name="_xlnm.Print_Area" vbProcedure="false">'Income Statement'!$A$1:$C$25</definedName>
    <definedName function="false" hidden="false" name="aaa" vbProcedure="false">'Income Statement'!$A$1:$F$16</definedName>
    <definedName function="false" hidden="false" name="wrn.Print_Area1" vbProcedure="false">'Income Statement'!$A$1:$F$24</definedName>
    <definedName function="false" hidden="false" name="wrn.Report1" vbProcedure="false">'Income Statement'!$A$1:$F$6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<sst xmlns="http://schemas.openxmlformats.org/spreadsheetml/2006/main" count="22" uniqueCount="22">
  <si>
    <t xml:space="preserve">Quelvox Industrial Holdings, LLC</t>
  </si>
  <si>
    <t xml:space="preserve">Income Statement</t>
  </si>
  <si>
    <t xml:space="preserve">For the year ended December 31, 2025</t>
  </si>
  <si>
    <t xml:space="preserve">Revenue</t>
  </si>
  <si>
    <t xml:space="preserve">Product sales</t>
  </si>
  <si>
    <t xml:space="preserve">Total revenue</t>
  </si>
  <si>
    <t xml:space="preserve">Expenses</t>
  </si>
  <si>
    <t xml:space="preserve">Materials and purchased components</t>
  </si>
  <si>
    <t xml:space="preserve">Outside processing and conversion</t>
  </si>
  <si>
    <t xml:space="preserve">Manufacturing overhead</t>
  </si>
  <si>
    <t xml:space="preserve">General and administrative</t>
  </si>
  <si>
    <t xml:space="preserve">Wages - direct labor</t>
  </si>
  <si>
    <t xml:space="preserve">Bonuses</t>
  </si>
  <si>
    <t xml:space="preserve">Officers salaries</t>
  </si>
  <si>
    <t xml:space="preserve">Payroll taxes - FICA</t>
  </si>
  <si>
    <t xml:space="preserve">Payroll taxes - unemployment</t>
  </si>
  <si>
    <t xml:space="preserve">Insurance expense</t>
  </si>
  <si>
    <t xml:space="preserve">Provision for credit losses</t>
  </si>
  <si>
    <t xml:space="preserve">Interest expense</t>
  </si>
  <si>
    <t xml:space="preserve">Depreciation expense</t>
  </si>
  <si>
    <t xml:space="preserve">Total expenses</t>
  </si>
  <si>
    <t xml:space="preserve">Net income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</si>
</sst>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Cambria"/>
      <family val="0"/>
      <charset val="1"/>
    </font>
    <font>
      <b val="true"/>
      <sz val="11"/>
      <color rgb="FF1F3864"/>
      <name val="Cambria"/>
      <family val="0"/>
      <charset val="1"/>
    </font>
    <font>
      <i val="true"/>
      <sz val="9"/>
      <color rgb="FF7F7F7F"/>
      <name val="Cambria"/>
      <family val="0"/>
      <charset val="1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 style="thin">
        <color rgb="FF404040"/>
      </top>
      <bottom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7F7F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26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6"/>
    <col collapsed="false" customWidth="true" hidden="false" outlineLevel="0" max="3" min="3" style="0" width="14"/>
    <col collapsed="false" customWidth="true" hidden="false" outlineLevel="0" max="4" min="4" style="0" width="13.29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2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B6" s="0" t="s">
        <v>4</v>
      </c>
      <c r="C6" s="4" t="n">
        <v>4325372.12</v>
      </c>
    </row>
    <row r="7" customFormat="false" ht="15" hidden="false" customHeight="false" outlineLevel="0" collapsed="false">
      <c r="A7" s="5"/>
      <c r="B7" s="6" t="s">
        <v>5</v>
      </c>
      <c r="C7" s="7" t="n">
        <f aca="false">SUM(C6)</f>
        <v>4325372.12</v>
      </c>
    </row>
    <row r="9" customFormat="false" ht="15" hidden="false" customHeight="false" outlineLevel="0" collapsed="false">
      <c r="A9" s="5" t="s">
        <v>6</v>
      </c>
    </row>
    <row r="10" customFormat="false" ht="15" hidden="false" customHeight="false" outlineLevel="0" collapsed="false">
      <c r="B10" s="0" t="s">
        <v>7</v>
      </c>
      <c r="C10" s="4" t="n">
        <v>611360.06</v>
      </c>
    </row>
    <row r="11" customFormat="false" ht="15" hidden="false" customHeight="false" outlineLevel="0" collapsed="false">
      <c r="B11" s="0" t="s">
        <v>8</v>
      </c>
      <c r="C11" s="4" t="n">
        <v>333402.9</v>
      </c>
    </row>
    <row r="12" customFormat="false" ht="15" hidden="false" customHeight="false" outlineLevel="0" collapsed="false">
      <c r="B12" s="0" t="s">
        <v>9</v>
      </c>
      <c r="C12" s="4" t="n">
        <v>239860.42</v>
      </c>
    </row>
    <row r="13" customFormat="false" ht="15" hidden="false" customHeight="false" outlineLevel="0" collapsed="false">
      <c r="B13" s="0" t="s">
        <v>10</v>
      </c>
      <c r="C13" s="4" t="n">
        <v>27013.71</v>
      </c>
    </row>
    <row r="14" customFormat="false" ht="15" hidden="false" customHeight="false" outlineLevel="0" collapsed="false">
      <c r="B14" s="0" t="s">
        <v>11</v>
      </c>
      <c r="C14" s="4" t="n">
        <v>711012.9</v>
      </c>
    </row>
    <row r="15" customFormat="false" ht="15" hidden="false" customHeight="false" outlineLevel="0" collapsed="false">
      <c r="B15" s="0" t="s">
        <v>12</v>
      </c>
      <c r="C15" s="4" t="n">
        <v>328159.8</v>
      </c>
    </row>
    <row r="16" customFormat="false" ht="15" hidden="false" customHeight="false" outlineLevel="0" collapsed="false">
      <c r="B16" s="0" t="s">
        <v>13</v>
      </c>
      <c r="C16" s="4" t="n">
        <v>273466.5</v>
      </c>
    </row>
    <row r="17" customFormat="false" ht="15" hidden="false" customHeight="false" outlineLevel="0" collapsed="false">
      <c r="B17" s="0" t="s">
        <v>14</v>
      </c>
      <c r="C17" s="4" t="n">
        <v>93695.87</v>
      </c>
    </row>
    <row r="18" customFormat="false" ht="15" hidden="false" customHeight="false" outlineLevel="0" collapsed="false">
      <c r="B18" s="0" t="s">
        <v>15</v>
      </c>
      <c r="C18" s="4" t="n">
        <v>18537.97</v>
      </c>
    </row>
    <row r="19" customFormat="false" ht="15" hidden="false" customHeight="false" outlineLevel="0" collapsed="false">
      <c r="B19" s="0" t="s">
        <v>16</v>
      </c>
      <c r="C19" s="4" t="n">
        <v>32745.2</v>
      </c>
    </row>
    <row r="20" customFormat="false" ht="15" hidden="false" customHeight="false" outlineLevel="0" collapsed="false">
      <c r="B20" s="0" t="s">
        <v>17</v>
      </c>
      <c r="C20" s="4" t="n">
        <v>25269.33</v>
      </c>
    </row>
    <row r="21" customFormat="false" ht="15" hidden="false" customHeight="false" outlineLevel="0" collapsed="false">
      <c r="B21" s="0" t="s">
        <v>18</v>
      </c>
      <c r="C21" s="4" t="n">
        <v>22360.35</v>
      </c>
    </row>
    <row r="22" customFormat="false" ht="15" hidden="false" customHeight="false" outlineLevel="0" collapsed="false">
      <c r="B22" s="0" t="s">
        <v>19</v>
      </c>
      <c r="C22" s="4" t="n">
        <v>181990.17</v>
      </c>
    </row>
    <row r="23" customFormat="false" ht="15" hidden="false" customHeight="false" outlineLevel="0" collapsed="false">
      <c r="A23" s="5"/>
      <c r="B23" s="6" t="s">
        <v>20</v>
      </c>
      <c r="C23" s="7" t="n">
        <f aca="false">SUM(C10:C22)</f>
        <v>2898875.18</v>
      </c>
    </row>
    <row r="25" customFormat="false" ht="15" hidden="false" customHeight="false" outlineLevel="0" collapsed="false">
      <c r="A25" s="6" t="s">
        <v>21</v>
      </c>
      <c r="B25" s="7" t="n">
        <v>1426496.94</v>
      </c>
      <c r="C25" s="5"/>
    </row>
    <row r="26" customFormat="false" ht="15" hidden="false" customHeight="false" outlineLevel="0" collapsed="false">
      <c r="A26" s="8"/>
      <c r="B26" s="8"/>
      <c r="C26" s="8"/>
    </row>
  </sheetData>
  <printOptions headings="false" gridLines="false" gridLinesSet="true" horizontalCentered="false" verticalCentered="false"/>
  <pageMargins left="0.35" right="0.35" top="0.5" bottom="0.5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Karen Vovstein</dc:creator>
  <cp:lastModifiedBy>Joshua Zixford</cp:lastModifiedBy>
  <dcterms:created xsi:type="dcterms:W3CDTF">2026-01-12T16:35:00Z</dcterms:created>
  <dcterms:modified xsi:type="dcterms:W3CDTF">2026-01-12T19:54:00Z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