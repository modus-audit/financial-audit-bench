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Testing'!$A$9:$O$34</definedName>
    <definedName name="WP_TABLE_PAYROLL_EMPLOYEE_DETAIL_TOTAL">'&lt;.3&gt; Employee Detail Testing'!$A$35:$O$35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Testing'!$A$7:$O$34</definedName>
    <definedName name="_xlnm.Print_Titles" localSheetId="3">'&lt;.3&gt; Employee Detail Testing'!$1:$7</definedName>
    <definedName name="_xlnm.Print_Area" localSheetId="3">'&lt;.3&gt; Employee Detail Testing'!$A$1:$O$44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34" headerRowCount="1">
  <autoFilter ref="A7:O34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Quelvox Industrial Holdings, LLC      Prepared by: Audit Senior B377 (assigned)      Reviewed by: Audit Manager 4104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29.2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32500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29.2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32500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4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29.2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32500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27" customHeight="1">
      <c r="A28" s="56" t="n">
        <v>20</v>
      </c>
      <c r="B28" s="45" t="n"/>
      <c r="C28" s="45" t="n"/>
      <c r="D28" s="45" t="n"/>
      <c r="E28" s="45" t="n"/>
      <c r="F28" s="45" t="n"/>
      <c r="G28" s="50" t="n"/>
      <c r="H28" s="45" t="n"/>
      <c r="I28" s="50">
        <f>IF(OR(G28="",H28=""),"",ROUND(G28*H28,2))</f>
        <v/>
      </c>
      <c r="J28" s="50" t="n"/>
      <c r="K28" s="50">
        <f>IF(OR(I28="",J28=""),"",J28-I28)</f>
        <v/>
      </c>
      <c r="L28" s="45" t="n"/>
      <c r="M28" s="45" t="n"/>
      <c r="N28" s="45" t="n"/>
      <c r="O28" s="45" t="n"/>
    </row>
    <row r="29" ht="27" customHeight="1">
      <c r="A29" s="56" t="n">
        <v>21</v>
      </c>
      <c r="B29" s="45" t="n"/>
      <c r="C29" s="45" t="n"/>
      <c r="D29" s="45" t="n"/>
      <c r="E29" s="45" t="n"/>
      <c r="F29" s="45" t="n"/>
      <c r="G29" s="50" t="n"/>
      <c r="H29" s="45" t="n"/>
      <c r="I29" s="50">
        <f>IF(OR(G29="",H29=""),"",ROUND(G29*H29,2))</f>
        <v/>
      </c>
      <c r="J29" s="50" t="n"/>
      <c r="K29" s="50">
        <f>IF(OR(I29="",J29=""),"",J29-I29)</f>
        <v/>
      </c>
      <c r="L29" s="45" t="n"/>
      <c r="M29" s="45" t="n"/>
      <c r="N29" s="45" t="n"/>
      <c r="O29" s="45" t="n"/>
    </row>
    <row r="30" ht="27" customHeight="1">
      <c r="A30" s="56" t="n">
        <v>22</v>
      </c>
      <c r="B30" s="45" t="n"/>
      <c r="C30" s="45" t="n"/>
      <c r="D30" s="45" t="n"/>
      <c r="E30" s="45" t="n"/>
      <c r="F30" s="45" t="n"/>
      <c r="G30" s="50" t="n"/>
      <c r="H30" s="45" t="n"/>
      <c r="I30" s="50">
        <f>IF(OR(G30="",H30=""),"",ROUND(G30*H30,2))</f>
        <v/>
      </c>
      <c r="J30" s="50" t="n"/>
      <c r="K30" s="50">
        <f>IF(OR(I30="",J30=""),"",J30-I30)</f>
        <v/>
      </c>
      <c r="L30" s="45" t="n"/>
      <c r="M30" s="45" t="n"/>
      <c r="N30" s="45" t="n"/>
      <c r="O30" s="45" t="n"/>
    </row>
    <row r="31" ht="27" customHeight="1">
      <c r="A31" s="56" t="n">
        <v>23</v>
      </c>
      <c r="B31" s="45" t="n"/>
      <c r="C31" s="45" t="n"/>
      <c r="D31" s="45" t="n"/>
      <c r="E31" s="45" t="n"/>
      <c r="F31" s="45" t="n"/>
      <c r="G31" s="50" t="n"/>
      <c r="H31" s="45" t="n"/>
      <c r="I31" s="50">
        <f>IF(OR(G31="",H31=""),"",ROUND(G31*H31,2))</f>
        <v/>
      </c>
      <c r="J31" s="50" t="n"/>
      <c r="K31" s="50">
        <f>IF(OR(I31="",J31=""),"",J31-I31)</f>
        <v/>
      </c>
      <c r="L31" s="45" t="n"/>
      <c r="M31" s="45" t="n"/>
      <c r="N31" s="45" t="n"/>
      <c r="O31" s="45" t="n"/>
    </row>
    <row r="32" ht="27" customHeight="1">
      <c r="A32" s="56" t="n">
        <v>24</v>
      </c>
      <c r="B32" s="45" t="n"/>
      <c r="C32" s="45" t="n"/>
      <c r="D32" s="45" t="n"/>
      <c r="E32" s="45" t="n"/>
      <c r="F32" s="45" t="n"/>
      <c r="G32" s="50" t="n"/>
      <c r="H32" s="45" t="n"/>
      <c r="I32" s="50">
        <f>IF(OR(G32="",H32=""),"",ROUND(G32*H32,2))</f>
        <v/>
      </c>
      <c r="J32" s="50" t="n"/>
      <c r="K32" s="50">
        <f>IF(OR(I32="",J32=""),"",J32-I32)</f>
        <v/>
      </c>
      <c r="L32" s="45" t="n"/>
      <c r="M32" s="45" t="n"/>
      <c r="N32" s="45" t="n"/>
      <c r="O32" s="45" t="n"/>
    </row>
    <row r="33" ht="27" customHeight="1">
      <c r="A33" s="56" t="n">
        <v>25</v>
      </c>
      <c r="B33" s="45" t="n"/>
      <c r="C33" s="45" t="n"/>
      <c r="D33" s="45" t="n"/>
      <c r="E33" s="45" t="n"/>
      <c r="F33" s="45" t="n"/>
      <c r="G33" s="50" t="n"/>
      <c r="H33" s="45" t="n"/>
      <c r="I33" s="50">
        <f>IF(OR(G33="",H33=""),"",ROUND(G33*H33,2))</f>
        <v/>
      </c>
      <c r="J33" s="50" t="n"/>
      <c r="K33" s="50">
        <f>IF(OR(I33="",J33=""),"",J33-I33)</f>
        <v/>
      </c>
      <c r="L33" s="45" t="n"/>
      <c r="M33" s="45" t="n"/>
      <c r="N33" s="45" t="n"/>
      <c r="O33" s="45" t="n"/>
    </row>
    <row r="34" ht="27" customHeight="1">
      <c r="A34" s="56" t="n">
        <v>26</v>
      </c>
      <c r="B34" s="45" t="n"/>
      <c r="C34" s="45" t="n"/>
      <c r="D34" s="45" t="n"/>
      <c r="E34" s="45" t="n"/>
      <c r="F34" s="45" t="n"/>
      <c r="G34" s="50" t="n"/>
      <c r="H34" s="45" t="n"/>
      <c r="I34" s="50">
        <f>IF(OR(G34="",H34=""),"",ROUND(G34*H34,2))</f>
        <v/>
      </c>
      <c r="J34" s="50" t="n"/>
      <c r="K34" s="50">
        <f>IF(OR(I34="",J34=""),"",J34-I34)</f>
        <v/>
      </c>
      <c r="L34" s="45" t="n"/>
      <c r="M34" s="45" t="n"/>
      <c r="N34" s="45" t="n"/>
      <c r="O34" s="45" t="n"/>
    </row>
    <row r="35">
      <c r="A35" s="52" t="inlineStr">
        <is>
          <t>Total(s)</t>
        </is>
      </c>
      <c r="B35" s="52" t="n"/>
      <c r="C35" s="52" t="n"/>
      <c r="D35" s="52" t="n"/>
      <c r="E35" s="52" t="n"/>
      <c r="F35" s="52" t="n"/>
      <c r="G35" s="52" t="n"/>
      <c r="H35" s="52" t="n"/>
      <c r="I35" s="53" t="n"/>
      <c r="J35" s="53" t="n"/>
      <c r="K35" s="52" t="n"/>
      <c r="L35" s="52" t="n"/>
      <c r="M35" s="52" t="n"/>
      <c r="N35" s="52" t="n"/>
      <c r="O35" s="52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49" t="inlineStr">
        <is>
          <t>F</t>
        </is>
      </c>
      <c r="J36" s="49" t="inlineStr">
        <is>
          <t>F</t>
        </is>
      </c>
      <c r="K36" s="28" t="n"/>
      <c r="L36" s="28" t="n"/>
      <c r="M36" s="28" t="n"/>
      <c r="N36" s="28" t="n"/>
      <c r="O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</row>
    <row r="38">
      <c r="A38" s="54" t="inlineStr">
        <is>
          <t>TM Legends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</row>
    <row r="39">
      <c r="A39" s="55" t="inlineStr">
        <is>
          <t>V</t>
        </is>
      </c>
      <c r="B39" s="45" t="inlineStr">
        <is>
          <t>Vouched to HR / personnel file or authorized rate documentation</t>
        </is>
      </c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7" t="n"/>
    </row>
    <row r="40">
      <c r="A40" s="55" t="inlineStr">
        <is>
          <t>R</t>
        </is>
      </c>
      <c r="B40" s="45" t="inlineStr">
        <is>
          <t>Recalculated independently</t>
        </is>
      </c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7" t="n"/>
    </row>
    <row r="41">
      <c r="A41" s="55" t="inlineStr">
        <is>
          <t>PBC</t>
        </is>
      </c>
      <c r="B41" s="45" t="inlineStr">
        <is>
          <t>Prepared by client</t>
        </is>
      </c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7" t="n"/>
    </row>
    <row r="42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7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</row>
    <row r="44">
      <c r="A44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</row>
  </sheetData>
  <autoFilter ref="A7:O34"/>
  <mergeCells count="8">
    <mergeCell ref="B40:O40"/>
    <mergeCell ref="B41:O41"/>
    <mergeCell ref="B4:O4"/>
    <mergeCell ref="B39:O39"/>
    <mergeCell ref="B6:O6"/>
    <mergeCell ref="A44:O44"/>
    <mergeCell ref="B5:O5"/>
    <mergeCell ref="B42:O42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29.2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32500</v>
      </c>
      <c r="C3" s="28" t="n"/>
      <c r="D3" s="42" t="inlineStr">
        <is>
          <t>Threshold — individually significant items</t>
        </is>
      </c>
      <c r="E3" s="43" t="n">
        <v>16300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2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32500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29.2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32500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29.2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Quelvox Industrial Holdings, LLC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32500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Quelvox Industrial Holdings, LLC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43300</v>
      </c>
    </row>
    <row r="7">
      <c r="A7" s="62" t="inlineStr">
        <is>
          <t>Performance Materiality</t>
        </is>
      </c>
      <c r="B7" s="64" t="n">
        <v>32500</v>
      </c>
    </row>
    <row r="8">
      <c r="A8" s="62" t="inlineStr">
        <is>
          <t>Tolerable Misstatement</t>
        </is>
      </c>
      <c r="B8" s="64" t="n">
        <v>29300</v>
      </c>
    </row>
    <row r="9">
      <c r="A9" s="62" t="inlineStr">
        <is>
          <t>Individually Significant Threshold</t>
        </is>
      </c>
      <c r="B9" s="64" t="n">
        <v>16300</v>
      </c>
    </row>
    <row r="10">
      <c r="A10" s="28" t="inlineStr">
        <is>
          <t>Posting Threshold</t>
        </is>
      </c>
      <c r="B10" s="64" t="n">
        <v>1300</v>
      </c>
    </row>
    <row r="11">
      <c r="A11" s="62" t="inlineStr">
        <is>
          <t>Clearly Trivial Threshold</t>
        </is>
      </c>
      <c r="B11" s="64" t="n">
        <v>1300</v>
      </c>
    </row>
    <row r="12">
      <c r="A12" s="62" t="inlineStr">
        <is>
          <t>Analytical Precision</t>
        </is>
      </c>
      <c r="B12" s="64" t="n">
        <v>29300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019; PROC-PAYROLL-DETAIL:Employee record 020; PROC-PAYROLL-DETAIL:Employee record 022; PROC-PAYROLL-DETAIL:Employee record 024; PROC-PAYROLL-DETAIL:Employee record 021; PROC-PAYROLL-DETAIL:Employee record 025; PROC-PAYROLL-DETAIL:Employee record 023; PROC-PAYROLL-DETAIL:Employee record 026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28" t="inlineStr">
        <is>
          <t>PROC-PAYROLL</t>
        </is>
      </c>
    </row>
    <row r="19">
      <c r="A19" s="62" t="inlineStr">
        <is>
          <t>Procedure window IDs</t>
        </is>
      </c>
      <c r="B19" s="62" t="inlineStr">
        <is>
          <t>WIN-PAYROLL-CUTOFF</t>
        </is>
      </c>
    </row>
    <row r="20">
      <c r="A20" s="62" t="inlineStr">
        <is>
          <t>Significant-risk response IDs</t>
        </is>
      </c>
      <c r="B20" s="28" t="inlineStr"/>
    </row>
    <row r="21">
      <c r="A21" s="62" t="inlineStr">
        <is>
          <t>Audit team assignments</t>
        </is>
      </c>
      <c r="B21" s="62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B377</t>
        </is>
      </c>
      <c r="C6" s="28" t="n"/>
      <c r="D6" s="66" t="inlineStr">
        <is>
          <t>Assigned reviewer</t>
        </is>
      </c>
      <c r="E6" s="68" t="inlineStr">
        <is>
          <t>Audit Manager 4104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