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500" firstSheet="0" activeTab="0" autoFilterDateGrouping="1"/>
  </bookViews>
  <sheets>
    <sheet xmlns:r="http://schemas.openxmlformats.org/officeDocument/2006/relationships" name="Library Procedures" sheetId="1" state="visible" r:id="rId1"/>
    <sheet xmlns:r="http://schemas.openxmlformats.org/officeDocument/2006/relationships" name="&lt;.0&gt; Source Index" sheetId="2" state="visible" r:id="rId2"/>
    <sheet xmlns:r="http://schemas.openxmlformats.org/officeDocument/2006/relationships" name="&lt;.1&gt; AR Lead Sheet" sheetId="3" state="visible" r:id="rId3"/>
    <sheet xmlns:r="http://schemas.openxmlformats.org/officeDocument/2006/relationships" name="&lt;.2&gt; Aging Tie-Out" sheetId="4" state="visible" r:id="rId4"/>
    <sheet xmlns:r="http://schemas.openxmlformats.org/officeDocument/2006/relationships" name="&lt;.3&gt; Aging Bucket Testing" sheetId="5" state="visible" r:id="rId5"/>
    <sheet xmlns:r="http://schemas.openxmlformats.org/officeDocument/2006/relationships" name="&lt;.4&gt; Allowance for Doubtful" sheetId="6" state="visible" r:id="rId6"/>
    <sheet xmlns:r="http://schemas.openxmlformats.org/officeDocument/2006/relationships" name="&lt;.5&gt; CECL Expected Credit Loss" sheetId="7" state="visible" r:id="rId7"/>
    <sheet xmlns:r="http://schemas.openxmlformats.org/officeDocument/2006/relationships" name="&lt;.6&gt; Confirmation &amp; Clearance" sheetId="8" state="visible" r:id="rId8"/>
    <sheet xmlns:r="http://schemas.openxmlformats.org/officeDocument/2006/relationships" name="&lt;.7&gt; Ratios &amp; Disclosures" sheetId="9" state="visible" r:id="rId9"/>
    <sheet xmlns:r="http://schemas.openxmlformats.org/officeDocument/2006/relationships" name="Planning Context" sheetId="10" state="visible" r:id="rId10"/>
    <sheet xmlns:r="http://schemas.openxmlformats.org/officeDocument/2006/relationships" name="Workpaper Sign-off" sheetId="11" state="visible" r:id="rId11"/>
  </sheets>
  <definedNames>
    <definedName name="WP_PLAN_S002_0_SOURCE_INDEX_ENTITY_NAME">'&lt;.0&gt; Source Index'!$B$2</definedName>
    <definedName name="WP_PLAN_S002_0_SOURCE_INDEX_FINANCIAL_STATEMENT_DATE">'&lt;.0&gt; Source Index'!$E$2</definedName>
    <definedName name="WP_PLAN_S002_0_SOURCE_INDEX_REPORTING_CURRENCY">'&lt;.0&gt; Source Index'!$H$2</definedName>
    <definedName name="WP_PLAN_S002_0_SOURCE_INDEX_PERFORMANCE_MATERIALITY">'&lt;.0&gt; Source Index'!$B$3</definedName>
    <definedName name="WP_PLAN_S002_0_SOURCE_INDEX_TOLERABLE_MISSTATEMENT">'&lt;.0&gt; Source Index'!$E$3</definedName>
    <definedName name="WP_PLAN_S003_1_AR_LEAD_SHEET_ENTITY_NAME">'&lt;.1&gt; AR Lead Sheet'!$B$2</definedName>
    <definedName name="WP_PLAN_S003_1_AR_LEAD_SHEET_FINANCIAL_STATEMENT_DATE">'&lt;.1&gt; AR Lead Sheet'!$E$2</definedName>
    <definedName name="WP_PLAN_S003_1_AR_LEAD_SHEET_REPORTING_CURRENCY">'&lt;.1&gt; AR Lead Sheet'!$H$2</definedName>
    <definedName name="WP_PLAN_S003_1_AR_LEAD_SHEET_PERFORMANCE_MATERIALITY">'&lt;.1&gt; AR Lead Sheet'!$B$3</definedName>
    <definedName name="WP_PLAN_S003_1_AR_LEAD_SHEET_TOLERABLE_MISSTATEMENT">'&lt;.1&gt; AR Lead Sheet'!$E$3</definedName>
    <definedName name="WP_PLAN_S004_2_AGING_TIE_OUT_ENTITY_NAME">'&lt;.2&gt; Aging Tie-Out'!$B$2</definedName>
    <definedName name="WP_PLAN_S004_2_AGING_TIE_OUT_FINANCIAL_STATEMENT_DATE">'&lt;.2&gt; Aging Tie-Out'!$E$2</definedName>
    <definedName name="WP_PLAN_S004_2_AGING_TIE_OUT_REPORTING_CURRENCY">'&lt;.2&gt; Aging Tie-Out'!$H$2</definedName>
    <definedName name="WP_PLAN_S004_2_AGING_TIE_OUT_PERFORMANCE_MATERIALITY">'&lt;.2&gt; Aging Tie-Out'!$B$3</definedName>
    <definedName name="WP_PLAN_S004_2_AGING_TIE_OUT_TOLERABLE_MISSTATEMENT">'&lt;.2&gt; Aging Tie-Out'!$E$3</definedName>
    <definedName name="WP_PLAN_S005_3_AGING_BUCKET_TESTING_ENTITY_NAME">'&lt;.3&gt; Aging Bucket Testing'!$B$2</definedName>
    <definedName name="WP_PLAN_S005_3_AGING_BUCKET_TESTING_FINANCIAL_STATEMENT_DATE">'&lt;.3&gt; Aging Bucket Testing'!$E$2</definedName>
    <definedName name="WP_PLAN_S005_3_AGING_BUCKET_TESTING_REPORTING_CURRENCY">'&lt;.3&gt; Aging Bucket Testing'!$H$2</definedName>
    <definedName name="WP_PLAN_S005_3_AGING_BUCKET_TESTING_PERFORMANCE_MATERIALITY">'&lt;.3&gt; Aging Bucket Testing'!$B$3</definedName>
    <definedName name="WP_PLAN_S005_3_AGING_BUCKET_TESTING_TOLERABLE_MISSTATEMENT">'&lt;.3&gt; Aging Bucket Testing'!$E$3</definedName>
    <definedName name="WP_PLAN_S006_4_ALLOWANCE_FOR_DOUBTFUL_ENTITY_NAME">'&lt;.4&gt; Allowance for Doubtful'!$B$2</definedName>
    <definedName name="WP_PLAN_S006_4_ALLOWANCE_FOR_DOUBTFUL_FINANCIAL_STATEMENT_DATE">'&lt;.4&gt; Allowance for Doubtful'!$E$2</definedName>
    <definedName name="WP_PLAN_S006_4_ALLOWANCE_FOR_DOUBTFUL_REPORTING_CURRENCY">'&lt;.4&gt; Allowance for Doubtful'!$H$2</definedName>
    <definedName name="WP_PLAN_S006_4_ALLOWANCE_FOR_DOUBTFUL_PERFORMANCE_MATERIALITY">'&lt;.4&gt; Allowance for Doubtful'!$B$3</definedName>
    <definedName name="WP_PLAN_S006_4_ALLOWANCE_FOR_DOUBTFUL_TOLERABLE_MISSTATEMENT">'&lt;.4&gt; Allowance for Doubtful'!$E$3</definedName>
    <definedName name="WP_PLAN_S007_5_CECL_EXPECTED_CREDIT_LOSS_ENTITY_NAME">'&lt;.5&gt; CECL Expected Credit Loss'!$B$2</definedName>
    <definedName name="WP_PLAN_S007_5_CECL_EXPECTED_CREDIT_LOSS_FINANCIAL_STATEMENT_DATE">'&lt;.5&gt; CECL Expected Credit Loss'!$E$2</definedName>
    <definedName name="WP_PLAN_S007_5_CECL_EXPECTED_CREDIT_LOSS_REPORTING_CURRENCY">'&lt;.5&gt; CECL Expected Credit Loss'!$H$2</definedName>
    <definedName name="WP_PLAN_S007_5_CECL_EXPECTED_CREDIT_LOSS_PERFORMANCE_MATERIALITY">'&lt;.5&gt; CECL Expected Credit Loss'!$B$3</definedName>
    <definedName name="WP_PLAN_S007_5_CECL_EXPECTED_CREDIT_LOSS_TOLERABLE_MISSTATEMENT">'&lt;.5&gt; CECL Expected Credit Loss'!$E$3</definedName>
    <definedName name="WP_PLAN_S008_6_CONFIRMATION_CLEARANCE_ENTITY_NAME">'&lt;.6&gt; Confirmation &amp; Clearance'!$B$2</definedName>
    <definedName name="WP_PLAN_S008_6_CONFIRMATION_CLEARANCE_FINANCIAL_STATEMENT_DATE">'&lt;.6&gt; Confirmation &amp; Clearance'!$E$2</definedName>
    <definedName name="WP_PLAN_S008_6_CONFIRMATION_CLEARANCE_REPORTING_CURRENCY">'&lt;.6&gt; Confirmation &amp; Clearance'!$H$2</definedName>
    <definedName name="WP_PLAN_S008_6_CONFIRMATION_CLEARANCE_PERFORMANCE_MATERIALITY">'&lt;.6&gt; Confirmation &amp; Clearance'!$B$3</definedName>
    <definedName name="WP_PLAN_S008_6_CONFIRMATION_CLEARANCE_TOLERABLE_MISSTATEMENT">'&lt;.6&gt; Confirmation &amp; Clearance'!$E$3</definedName>
    <definedName name="WP_PLAN_S009_7_RATIOS_DISCLOSURES_ENTITY_NAME">'&lt;.7&gt; Ratios &amp; Disclosures'!$B$2</definedName>
    <definedName name="WP_PLAN_S009_7_RATIOS_DISCLOSURES_FINANCIAL_STATEMENT_DATE">'&lt;.7&gt; Ratios &amp; Disclosures'!$E$2</definedName>
    <definedName name="WP_PLAN_S009_7_RATIOS_DISCLOSURES_REPORTING_CURRENCY">'&lt;.7&gt; Ratios &amp; Disclosures'!$H$2</definedName>
    <definedName name="WP_PLAN_S009_7_RATIOS_DISCLOSURES_PERFORMANCE_MATERIALITY">'&lt;.7&gt; Ratios &amp; Disclosures'!$B$3</definedName>
    <definedName name="WP_PLAN_S009_7_RATIOS_DISCLOSURES_TOLERABLE_MISSTATEMENT">'&lt;.7&gt; Ratios &amp; Disclosures'!$E$3</definedName>
    <definedName name="WP_PLAN_CONTEXT_ENTITY_NAME">'Planning Context'!$B$3</definedName>
    <definedName name="WP_PLAN_CONTEXT_FINANCIAL_STATEMENT_DATE">'Planning Context'!$B$4</definedName>
    <definedName name="WP_PLAN_CONTEXT_REPORTING_CURRENCY">'Planning Context'!$B$5</definedName>
    <definedName name="WP_PLAN_CONTEXT_OVERALL_MATERIALITY">'Planning Context'!$B$6</definedName>
    <definedName name="WP_PLAN_CONTEXT_PERFORMANCE_MATERIALITY">'Planning Context'!$B$7</definedName>
    <definedName name="WP_PLAN_CONTEXT_TOLERABLE_MISSTATEMENT">'Planning Context'!$B$8</definedName>
    <definedName name="WP_PLAN_CONTEXT_INDIVIDUALLY_SIGNIFICANT_THRESHOLD">'Planning Context'!$B$9</definedName>
    <definedName name="WP_PLAN_CONTEXT_POSTING_THRESHOLD">'Planning Context'!$B$10</definedName>
    <definedName name="WP_PLAN_CONTEXT_CLEARLY_TRIVIAL_THRESHOLD">'Planning Context'!$B$11</definedName>
    <definedName name="WP_PLAN_CONTEXT_ANALYTICAL_PRECISION">'Planning Context'!$B$12</definedName>
    <definedName name="WP_PROC_001_APPLICABILITY">'Library Procedures'!$A$8</definedName>
    <definedName name="WP_PROC_001_REQUIREMENT">'Library Procedures'!$B$8</definedName>
    <definedName name="WP_PROC_001_EXECUTION_STATE">'Library Procedures'!$C$8</definedName>
    <definedName name="WP_PROC_001_EVIDENCE_STATE">'Library Procedures'!$D$8</definedName>
    <definedName name="WP_PROC_001_RESULT_STATE">'Library Procedures'!$E$8</definedName>
    <definedName name="WP_PROC_001_ISSUE_STATE">'Library Procedures'!$F$8</definedName>
    <definedName name="WP_PROC_001_SIGNOFF_STATE">'Library Procedures'!$G$8</definedName>
    <definedName name="WP_PROC_001_DERIVED_OUTCOME">'Library Procedures'!$H$8</definedName>
    <definedName name="WP_PROC_001_PROCEDURE">'Library Procedures'!$I$8</definedName>
    <definedName name="WP_PROC_001_ASSERTION_S">'Library Procedures'!$J$8</definedName>
    <definedName name="WP_PROC_001_W_P_REF">'Library Procedures'!$K$8</definedName>
    <definedName name="WP_PROC_001_PERFORMED_BY">'Library Procedures'!$L$8</definedName>
    <definedName name="WP_PROC_001_DATE">'Library Procedures'!$M$8</definedName>
    <definedName name="WP_PROC_001_REASON_CODE">'Library Procedures'!$N$8</definedName>
    <definedName name="WP_PROC_001_SOURCE_FACT_EVIDENCE">'Library Procedures'!$O$8</definedName>
    <definedName name="WP_PROC_001_ISSUE_DEPENDENCY_IDS">'Library Procedures'!$P$8</definedName>
    <definedName name="WP_PROC_001_COMMENT_WORK_PERFORMED">'Library Procedures'!$Q$8</definedName>
    <definedName name="WP_PROC_002_APPLICABILITY">'Library Procedures'!$A$10</definedName>
    <definedName name="WP_PROC_002_REQUIREMENT">'Library Procedures'!$B$10</definedName>
    <definedName name="WP_PROC_002_EXECUTION_STATE">'Library Procedures'!$C$10</definedName>
    <definedName name="WP_PROC_002_EVIDENCE_STATE">'Library Procedures'!$D$10</definedName>
    <definedName name="WP_PROC_002_RESULT_STATE">'Library Procedures'!$E$10</definedName>
    <definedName name="WP_PROC_002_ISSUE_STATE">'Library Procedures'!$F$10</definedName>
    <definedName name="WP_PROC_002_SIGNOFF_STATE">'Library Procedures'!$G$10</definedName>
    <definedName name="WP_PROC_002_DERIVED_OUTCOME">'Library Procedures'!$H$10</definedName>
    <definedName name="WP_PROC_002_PROCEDURE">'Library Procedures'!$I$10</definedName>
    <definedName name="WP_PROC_002_ASSERTION_S">'Library Procedures'!$J$10</definedName>
    <definedName name="WP_PROC_002_W_P_REF">'Library Procedures'!$K$10</definedName>
    <definedName name="WP_PROC_002_PERFORMED_BY">'Library Procedures'!$L$10</definedName>
    <definedName name="WP_PROC_002_DATE">'Library Procedures'!$M$10</definedName>
    <definedName name="WP_PROC_002_REASON_CODE">'Library Procedures'!$N$10</definedName>
    <definedName name="WP_PROC_002_SOURCE_FACT_EVIDENCE">'Library Procedures'!$O$10</definedName>
    <definedName name="WP_PROC_002_ISSUE_DEPENDENCY_IDS">'Library Procedures'!$P$10</definedName>
    <definedName name="WP_PROC_002_COMMENT_WORK_PERFORMED">'Library Procedures'!$Q$10</definedName>
    <definedName name="WP_PROC_003_APPLICABILITY">'Library Procedures'!$A$11</definedName>
    <definedName name="WP_PROC_003_REQUIREMENT">'Library Procedures'!$B$11</definedName>
    <definedName name="WP_PROC_003_EXECUTION_STATE">'Library Procedures'!$C$11</definedName>
    <definedName name="WP_PROC_003_EVIDENCE_STATE">'Library Procedures'!$D$11</definedName>
    <definedName name="WP_PROC_003_RESULT_STATE">'Library Procedures'!$E$11</definedName>
    <definedName name="WP_PROC_003_ISSUE_STATE">'Library Procedures'!$F$11</definedName>
    <definedName name="WP_PROC_003_SIGNOFF_STATE">'Library Procedures'!$G$11</definedName>
    <definedName name="WP_PROC_003_DERIVED_OUTCOME">'Library Procedures'!$H$11</definedName>
    <definedName name="WP_PROC_003_PROCEDURE">'Library Procedures'!$I$11</definedName>
    <definedName name="WP_PROC_003_ASSERTION_S">'Library Procedures'!$J$11</definedName>
    <definedName name="WP_PROC_003_W_P_REF">'Library Procedures'!$K$11</definedName>
    <definedName name="WP_PROC_003_PERFORMED_BY">'Library Procedures'!$L$11</definedName>
    <definedName name="WP_PROC_003_DATE">'Library Procedures'!$M$11</definedName>
    <definedName name="WP_PROC_003_REASON_CODE">'Library Procedures'!$N$11</definedName>
    <definedName name="WP_PROC_003_SOURCE_FACT_EVIDENCE">'Library Procedures'!$O$11</definedName>
    <definedName name="WP_PROC_003_ISSUE_DEPENDENCY_IDS">'Library Procedures'!$P$11</definedName>
    <definedName name="WP_PROC_003_COMMENT_WORK_PERFORMED">'Library Procedures'!$Q$11</definedName>
    <definedName name="WP_PROC_004_APPLICABILITY">'Library Procedures'!$A$12</definedName>
    <definedName name="WP_PROC_004_REQUIREMENT">'Library Procedures'!$B$12</definedName>
    <definedName name="WP_PROC_004_EXECUTION_STATE">'Library Procedures'!$C$12</definedName>
    <definedName name="WP_PROC_004_EVIDENCE_STATE">'Library Procedures'!$D$12</definedName>
    <definedName name="WP_PROC_004_RESULT_STATE">'Library Procedures'!$E$12</definedName>
    <definedName name="WP_PROC_004_ISSUE_STATE">'Library Procedures'!$F$12</definedName>
    <definedName name="WP_PROC_004_SIGNOFF_STATE">'Library Procedures'!$G$12</definedName>
    <definedName name="WP_PROC_004_DERIVED_OUTCOME">'Library Procedures'!$H$12</definedName>
    <definedName name="WP_PROC_004_PROCEDURE">'Library Procedures'!$I$12</definedName>
    <definedName name="WP_PROC_004_ASSERTION_S">'Library Procedures'!$J$12</definedName>
    <definedName name="WP_PROC_004_W_P_REF">'Library Procedures'!$K$12</definedName>
    <definedName name="WP_PROC_004_PERFORMED_BY">'Library Procedures'!$L$12</definedName>
    <definedName name="WP_PROC_004_DATE">'Library Procedures'!$M$12</definedName>
    <definedName name="WP_PROC_004_REASON_CODE">'Library Procedures'!$N$12</definedName>
    <definedName name="WP_PROC_004_SOURCE_FACT_EVIDENCE">'Library Procedures'!$O$12</definedName>
    <definedName name="WP_PROC_004_ISSUE_DEPENDENCY_IDS">'Library Procedures'!$P$12</definedName>
    <definedName name="WP_PROC_004_COMMENT_WORK_PERFORMED">'Library Procedures'!$Q$12</definedName>
    <definedName name="WP_PROC_005_APPLICABILITY">'Library Procedures'!$A$13</definedName>
    <definedName name="WP_PROC_005_REQUIREMENT">'Library Procedures'!$B$13</definedName>
    <definedName name="WP_PROC_005_EXECUTION_STATE">'Library Procedures'!$C$13</definedName>
    <definedName name="WP_PROC_005_EVIDENCE_STATE">'Library Procedures'!$D$13</definedName>
    <definedName name="WP_PROC_005_RESULT_STATE">'Library Procedures'!$E$13</definedName>
    <definedName name="WP_PROC_005_ISSUE_STATE">'Library Procedures'!$F$13</definedName>
    <definedName name="WP_PROC_005_SIGNOFF_STATE">'Library Procedures'!$G$13</definedName>
    <definedName name="WP_PROC_005_DERIVED_OUTCOME">'Library Procedures'!$H$13</definedName>
    <definedName name="WP_PROC_005_PROCEDURE">'Library Procedures'!$I$13</definedName>
    <definedName name="WP_PROC_005_ASSERTION_S">'Library Procedures'!$J$13</definedName>
    <definedName name="WP_PROC_005_W_P_REF">'Library Procedures'!$K$13</definedName>
    <definedName name="WP_PROC_005_PERFORMED_BY">'Library Procedures'!$L$13</definedName>
    <definedName name="WP_PROC_005_DATE">'Library Procedures'!$M$13</definedName>
    <definedName name="WP_PROC_005_REASON_CODE">'Library Procedures'!$N$13</definedName>
    <definedName name="WP_PROC_005_SOURCE_FACT_EVIDENCE">'Library Procedures'!$O$13</definedName>
    <definedName name="WP_PROC_005_ISSUE_DEPENDENCY_IDS">'Library Procedures'!$P$13</definedName>
    <definedName name="WP_PROC_005_COMMENT_WORK_PERFORMED">'Library Procedures'!$Q$13</definedName>
    <definedName name="WP_PROC_006_APPLICABILITY">'Library Procedures'!$A$15</definedName>
    <definedName name="WP_PROC_006_REQUIREMENT">'Library Procedures'!$B$15</definedName>
    <definedName name="WP_PROC_006_EXECUTION_STATE">'Library Procedures'!$C$15</definedName>
    <definedName name="WP_PROC_006_EVIDENCE_STATE">'Library Procedures'!$D$15</definedName>
    <definedName name="WP_PROC_006_RESULT_STATE">'Library Procedures'!$E$15</definedName>
    <definedName name="WP_PROC_006_ISSUE_STATE">'Library Procedures'!$F$15</definedName>
    <definedName name="WP_PROC_006_SIGNOFF_STATE">'Library Procedures'!$G$15</definedName>
    <definedName name="WP_PROC_006_DERIVED_OUTCOME">'Library Procedures'!$H$15</definedName>
    <definedName name="WP_PROC_006_PROCEDURE">'Library Procedures'!$I$15</definedName>
    <definedName name="WP_PROC_006_ASSERTION_S">'Library Procedures'!$J$15</definedName>
    <definedName name="WP_PROC_006_W_P_REF">'Library Procedures'!$K$15</definedName>
    <definedName name="WP_PROC_006_PERFORMED_BY">'Library Procedures'!$L$15</definedName>
    <definedName name="WP_PROC_006_DATE">'Library Procedures'!$M$15</definedName>
    <definedName name="WP_PROC_006_REASON_CODE">'Library Procedures'!$N$15</definedName>
    <definedName name="WP_PROC_006_SOURCE_FACT_EVIDENCE">'Library Procedures'!$O$15</definedName>
    <definedName name="WP_PROC_006_ISSUE_DEPENDENCY_IDS">'Library Procedures'!$P$15</definedName>
    <definedName name="WP_PROC_006_COMMENT_WORK_PERFORMED">'Library Procedures'!$Q$15</definedName>
    <definedName name="WP_PROC_007_APPLICABILITY">'Library Procedures'!$A$17</definedName>
    <definedName name="WP_PROC_007_REQUIREMENT">'Library Procedures'!$B$17</definedName>
    <definedName name="WP_PROC_007_EXECUTION_STATE">'Library Procedures'!$C$17</definedName>
    <definedName name="WP_PROC_007_EVIDENCE_STATE">'Library Procedures'!$D$17</definedName>
    <definedName name="WP_PROC_007_RESULT_STATE">'Library Procedures'!$E$17</definedName>
    <definedName name="WP_PROC_007_ISSUE_STATE">'Library Procedures'!$F$17</definedName>
    <definedName name="WP_PROC_007_SIGNOFF_STATE">'Library Procedures'!$G$17</definedName>
    <definedName name="WP_PROC_007_DERIVED_OUTCOME">'Library Procedures'!$H$17</definedName>
    <definedName name="WP_PROC_007_PROCEDURE">'Library Procedures'!$I$17</definedName>
    <definedName name="WP_PROC_007_ASSERTION_S">'Library Procedures'!$J$17</definedName>
    <definedName name="WP_PROC_007_W_P_REF">'Library Procedures'!$K$17</definedName>
    <definedName name="WP_PROC_007_PERFORMED_BY">'Library Procedures'!$L$17</definedName>
    <definedName name="WP_PROC_007_DATE">'Library Procedures'!$M$17</definedName>
    <definedName name="WP_PROC_007_REASON_CODE">'Library Procedures'!$N$17</definedName>
    <definedName name="WP_PROC_007_SOURCE_FACT_EVIDENCE">'Library Procedures'!$O$17</definedName>
    <definedName name="WP_PROC_007_ISSUE_DEPENDENCY_IDS">'Library Procedures'!$P$17</definedName>
    <definedName name="WP_PROC_007_COMMENT_WORK_PERFORMED">'Library Procedures'!$Q$17</definedName>
    <definedName name="WP_PROC_008_APPLICABILITY">'Library Procedures'!$A$18</definedName>
    <definedName name="WP_PROC_008_REQUIREMENT">'Library Procedures'!$B$18</definedName>
    <definedName name="WP_PROC_008_EXECUTION_STATE">'Library Procedures'!$C$18</definedName>
    <definedName name="WP_PROC_008_EVIDENCE_STATE">'Library Procedures'!$D$18</definedName>
    <definedName name="WP_PROC_008_RESULT_STATE">'Library Procedures'!$E$18</definedName>
    <definedName name="WP_PROC_008_ISSUE_STATE">'Library Procedures'!$F$18</definedName>
    <definedName name="WP_PROC_008_SIGNOFF_STATE">'Library Procedures'!$G$18</definedName>
    <definedName name="WP_PROC_008_DERIVED_OUTCOME">'Library Procedures'!$H$18</definedName>
    <definedName name="WP_PROC_008_PROCEDURE">'Library Procedures'!$I$18</definedName>
    <definedName name="WP_PROC_008_ASSERTION_S">'Library Procedures'!$J$18</definedName>
    <definedName name="WP_PROC_008_W_P_REF">'Library Procedures'!$K$18</definedName>
    <definedName name="WP_PROC_008_PERFORMED_BY">'Library Procedures'!$L$18</definedName>
    <definedName name="WP_PROC_008_DATE">'Library Procedures'!$M$18</definedName>
    <definedName name="WP_PROC_008_REASON_CODE">'Library Procedures'!$N$18</definedName>
    <definedName name="WP_PROC_008_SOURCE_FACT_EVIDENCE">'Library Procedures'!$O$18</definedName>
    <definedName name="WP_PROC_008_ISSUE_DEPENDENCY_IDS">'Library Procedures'!$P$18</definedName>
    <definedName name="WP_PROC_008_COMMENT_WORK_PERFORMED">'Library Procedures'!$Q$18</definedName>
    <definedName name="WP_PROC_009_APPLICABILITY">'Library Procedures'!$A$20</definedName>
    <definedName name="WP_PROC_009_REQUIREMENT">'Library Procedures'!$B$20</definedName>
    <definedName name="WP_PROC_009_EXECUTION_STATE">'Library Procedures'!$C$20</definedName>
    <definedName name="WP_PROC_009_EVIDENCE_STATE">'Library Procedures'!$D$20</definedName>
    <definedName name="WP_PROC_009_RESULT_STATE">'Library Procedures'!$E$20</definedName>
    <definedName name="WP_PROC_009_ISSUE_STATE">'Library Procedures'!$F$20</definedName>
    <definedName name="WP_PROC_009_SIGNOFF_STATE">'Library Procedures'!$G$20</definedName>
    <definedName name="WP_PROC_009_DERIVED_OUTCOME">'Library Procedures'!$H$20</definedName>
    <definedName name="WP_PROC_009_PROCEDURE">'Library Procedures'!$I$20</definedName>
    <definedName name="WP_PROC_009_ASSERTION_S">'Library Procedures'!$J$20</definedName>
    <definedName name="WP_PROC_009_W_P_REF">'Library Procedures'!$K$20</definedName>
    <definedName name="WP_PROC_009_PERFORMED_BY">'Library Procedures'!$L$20</definedName>
    <definedName name="WP_PROC_009_DATE">'Library Procedures'!$M$20</definedName>
    <definedName name="WP_PROC_009_REASON_CODE">'Library Procedures'!$N$20</definedName>
    <definedName name="WP_PROC_009_SOURCE_FACT_EVIDENCE">'Library Procedures'!$O$20</definedName>
    <definedName name="WP_PROC_009_ISSUE_DEPENDENCY_IDS">'Library Procedures'!$P$20</definedName>
    <definedName name="WP_PROC_009_COMMENT_WORK_PERFORMED">'Library Procedures'!$Q$20</definedName>
    <definedName name="WP_PROC_010_APPLICABILITY">'Library Procedures'!$A$21</definedName>
    <definedName name="WP_PROC_010_REQUIREMENT">'Library Procedures'!$B$21</definedName>
    <definedName name="WP_PROC_010_EXECUTION_STATE">'Library Procedures'!$C$21</definedName>
    <definedName name="WP_PROC_010_EVIDENCE_STATE">'Library Procedures'!$D$21</definedName>
    <definedName name="WP_PROC_010_RESULT_STATE">'Library Procedures'!$E$21</definedName>
    <definedName name="WP_PROC_010_ISSUE_STATE">'Library Procedures'!$F$21</definedName>
    <definedName name="WP_PROC_010_SIGNOFF_STATE">'Library Procedures'!$G$21</definedName>
    <definedName name="WP_PROC_010_DERIVED_OUTCOME">'Library Procedures'!$H$21</definedName>
    <definedName name="WP_PROC_010_PROCEDURE">'Library Procedures'!$I$21</definedName>
    <definedName name="WP_PROC_010_ASSERTION_S">'Library Procedures'!$J$21</definedName>
    <definedName name="WP_PROC_010_W_P_REF">'Library Procedures'!$K$21</definedName>
    <definedName name="WP_PROC_010_PERFORMED_BY">'Library Procedures'!$L$21</definedName>
    <definedName name="WP_PROC_010_DATE">'Library Procedures'!$M$21</definedName>
    <definedName name="WP_PROC_010_REASON_CODE">'Library Procedures'!$N$21</definedName>
    <definedName name="WP_PROC_010_SOURCE_FACT_EVIDENCE">'Library Procedures'!$O$21</definedName>
    <definedName name="WP_PROC_010_ISSUE_DEPENDENCY_IDS">'Library Procedures'!$P$21</definedName>
    <definedName name="WP_PROC_010_COMMENT_WORK_PERFORMED">'Library Procedures'!$Q$21</definedName>
    <definedName name="WP_PROC_011_APPLICABILITY">'Library Procedures'!$A$22</definedName>
    <definedName name="WP_PROC_011_REQUIREMENT">'Library Procedures'!$B$22</definedName>
    <definedName name="WP_PROC_011_EXECUTION_STATE">'Library Procedures'!$C$22</definedName>
    <definedName name="WP_PROC_011_EVIDENCE_STATE">'Library Procedures'!$D$22</definedName>
    <definedName name="WP_PROC_011_RESULT_STATE">'Library Procedures'!$E$22</definedName>
    <definedName name="WP_PROC_011_ISSUE_STATE">'Library Procedures'!$F$22</definedName>
    <definedName name="WP_PROC_011_SIGNOFF_STATE">'Library Procedures'!$G$22</definedName>
    <definedName name="WP_PROC_011_DERIVED_OUTCOME">'Library Procedures'!$H$22</definedName>
    <definedName name="WP_PROC_011_PROCEDURE">'Library Procedures'!$I$22</definedName>
    <definedName name="WP_PROC_011_ASSERTION_S">'Library Procedures'!$J$22</definedName>
    <definedName name="WP_PROC_011_W_P_REF">'Library Procedures'!$K$22</definedName>
    <definedName name="WP_PROC_011_PERFORMED_BY">'Library Procedures'!$L$22</definedName>
    <definedName name="WP_PROC_011_DATE">'Library Procedures'!$M$22</definedName>
    <definedName name="WP_PROC_011_REASON_CODE">'Library Procedures'!$N$22</definedName>
    <definedName name="WP_PROC_011_SOURCE_FACT_EVIDENCE">'Library Procedures'!$O$22</definedName>
    <definedName name="WP_PROC_011_ISSUE_DEPENDENCY_IDS">'Library Procedures'!$P$22</definedName>
    <definedName name="WP_PROC_011_COMMENT_WORK_PERFORMED">'Library Procedures'!$Q$22</definedName>
    <definedName name="WP_PROC_012_APPLICABILITY">'Library Procedures'!$A$23</definedName>
    <definedName name="WP_PROC_012_REQUIREMENT">'Library Procedures'!$B$23</definedName>
    <definedName name="WP_PROC_012_EXECUTION_STATE">'Library Procedures'!$C$23</definedName>
    <definedName name="WP_PROC_012_EVIDENCE_STATE">'Library Procedures'!$D$23</definedName>
    <definedName name="WP_PROC_012_RESULT_STATE">'Library Procedures'!$E$23</definedName>
    <definedName name="WP_PROC_012_ISSUE_STATE">'Library Procedures'!$F$23</definedName>
    <definedName name="WP_PROC_012_SIGNOFF_STATE">'Library Procedures'!$G$23</definedName>
    <definedName name="WP_PROC_012_DERIVED_OUTCOME">'Library Procedures'!$H$23</definedName>
    <definedName name="WP_PROC_012_PROCEDURE">'Library Procedures'!$I$23</definedName>
    <definedName name="WP_PROC_012_ASSERTION_S">'Library Procedures'!$J$23</definedName>
    <definedName name="WP_PROC_012_W_P_REF">'Library Procedures'!$K$23</definedName>
    <definedName name="WP_PROC_012_PERFORMED_BY">'Library Procedures'!$L$23</definedName>
    <definedName name="WP_PROC_012_DATE">'Library Procedures'!$M$23</definedName>
    <definedName name="WP_PROC_012_REASON_CODE">'Library Procedures'!$N$23</definedName>
    <definedName name="WP_PROC_012_SOURCE_FACT_EVIDENCE">'Library Procedures'!$O$23</definedName>
    <definedName name="WP_PROC_012_ISSUE_DEPENDENCY_IDS">'Library Procedures'!$P$23</definedName>
    <definedName name="WP_PROC_012_COMMENT_WORK_PERFORMED">'Library Procedures'!$Q$23</definedName>
    <definedName name="WP_PROC_013_APPLICABILITY">'Library Procedures'!$A$25</definedName>
    <definedName name="WP_PROC_013_REQUIREMENT">'Library Procedures'!$B$25</definedName>
    <definedName name="WP_PROC_013_EXECUTION_STATE">'Library Procedures'!$C$25</definedName>
    <definedName name="WP_PROC_013_EVIDENCE_STATE">'Library Procedures'!$D$25</definedName>
    <definedName name="WP_PROC_013_RESULT_STATE">'Library Procedures'!$E$25</definedName>
    <definedName name="WP_PROC_013_ISSUE_STATE">'Library Procedures'!$F$25</definedName>
    <definedName name="WP_PROC_013_SIGNOFF_STATE">'Library Procedures'!$G$25</definedName>
    <definedName name="WP_PROC_013_DERIVED_OUTCOME">'Library Procedures'!$H$25</definedName>
    <definedName name="WP_PROC_013_PROCEDURE">'Library Procedures'!$I$25</definedName>
    <definedName name="WP_PROC_013_ASSERTION_S">'Library Procedures'!$J$25</definedName>
    <definedName name="WP_PROC_013_W_P_REF">'Library Procedures'!$K$25</definedName>
    <definedName name="WP_PROC_013_PERFORMED_BY">'Library Procedures'!$L$25</definedName>
    <definedName name="WP_PROC_013_DATE">'Library Procedures'!$M$25</definedName>
    <definedName name="WP_PROC_013_REASON_CODE">'Library Procedures'!$N$25</definedName>
    <definedName name="WP_PROC_013_SOURCE_FACT_EVIDENCE">'Library Procedures'!$O$25</definedName>
    <definedName name="WP_PROC_013_ISSUE_DEPENDENCY_IDS">'Library Procedures'!$P$25</definedName>
    <definedName name="WP_PROC_013_COMMENT_WORK_PERFORMED">'Library Procedures'!$Q$25</definedName>
    <definedName name="WP_PROC_014_APPLICABILITY">'Library Procedures'!$A$26</definedName>
    <definedName name="WP_PROC_014_REQUIREMENT">'Library Procedures'!$B$26</definedName>
    <definedName name="WP_PROC_014_EXECUTION_STATE">'Library Procedures'!$C$26</definedName>
    <definedName name="WP_PROC_014_EVIDENCE_STATE">'Library Procedures'!$D$26</definedName>
    <definedName name="WP_PROC_014_RESULT_STATE">'Library Procedures'!$E$26</definedName>
    <definedName name="WP_PROC_014_ISSUE_STATE">'Library Procedures'!$F$26</definedName>
    <definedName name="WP_PROC_014_SIGNOFF_STATE">'Library Procedures'!$G$26</definedName>
    <definedName name="WP_PROC_014_DERIVED_OUTCOME">'Library Procedures'!$H$26</definedName>
    <definedName name="WP_PROC_014_PROCEDURE">'Library Procedures'!$I$26</definedName>
    <definedName name="WP_PROC_014_ASSERTION_S">'Library Procedures'!$J$26</definedName>
    <definedName name="WP_PROC_014_W_P_REF">'Library Procedures'!$K$26</definedName>
    <definedName name="WP_PROC_014_PERFORMED_BY">'Library Procedures'!$L$26</definedName>
    <definedName name="WP_PROC_014_DATE">'Library Procedures'!$M$26</definedName>
    <definedName name="WP_PROC_014_REASON_CODE">'Library Procedures'!$N$26</definedName>
    <definedName name="WP_PROC_014_SOURCE_FACT_EVIDENCE">'Library Procedures'!$O$26</definedName>
    <definedName name="WP_PROC_014_ISSUE_DEPENDENCY_IDS">'Library Procedures'!$P$26</definedName>
    <definedName name="WP_PROC_014_COMMENT_WORK_PERFORMED">'Library Procedures'!$Q$26</definedName>
    <definedName name="WP_PROC_015_APPLICABILITY">'Library Procedures'!$A$27</definedName>
    <definedName name="WP_PROC_015_REQUIREMENT">'Library Procedures'!$B$27</definedName>
    <definedName name="WP_PROC_015_EXECUTION_STATE">'Library Procedures'!$C$27</definedName>
    <definedName name="WP_PROC_015_EVIDENCE_STATE">'Library Procedures'!$D$27</definedName>
    <definedName name="WP_PROC_015_RESULT_STATE">'Library Procedures'!$E$27</definedName>
    <definedName name="WP_PROC_015_ISSUE_STATE">'Library Procedures'!$F$27</definedName>
    <definedName name="WP_PROC_015_SIGNOFF_STATE">'Library Procedures'!$G$27</definedName>
    <definedName name="WP_PROC_015_DERIVED_OUTCOME">'Library Procedures'!$H$27</definedName>
    <definedName name="WP_PROC_015_PROCEDURE">'Library Procedures'!$I$27</definedName>
    <definedName name="WP_PROC_015_ASSERTION_S">'Library Procedures'!$J$27</definedName>
    <definedName name="WP_PROC_015_W_P_REF">'Library Procedures'!$K$27</definedName>
    <definedName name="WP_PROC_015_PERFORMED_BY">'Library Procedures'!$L$27</definedName>
    <definedName name="WP_PROC_015_DATE">'Library Procedures'!$M$27</definedName>
    <definedName name="WP_PROC_015_REASON_CODE">'Library Procedures'!$N$27</definedName>
    <definedName name="WP_PROC_015_SOURCE_FACT_EVIDENCE">'Library Procedures'!$O$27</definedName>
    <definedName name="WP_PROC_015_ISSUE_DEPENDENCY_IDS">'Library Procedures'!$P$27</definedName>
    <definedName name="WP_PROC_015_COMMENT_WORK_PERFORMED">'Library Procedures'!$Q$27</definedName>
    <definedName name="WP_PROC_016_APPLICABILITY">'Library Procedures'!$A$28</definedName>
    <definedName name="WP_PROC_016_REQUIREMENT">'Library Procedures'!$B$28</definedName>
    <definedName name="WP_PROC_016_EXECUTION_STATE">'Library Procedures'!$C$28</definedName>
    <definedName name="WP_PROC_016_EVIDENCE_STATE">'Library Procedures'!$D$28</definedName>
    <definedName name="WP_PROC_016_RESULT_STATE">'Library Procedures'!$E$28</definedName>
    <definedName name="WP_PROC_016_ISSUE_STATE">'Library Procedures'!$F$28</definedName>
    <definedName name="WP_PROC_016_SIGNOFF_STATE">'Library Procedures'!$G$28</definedName>
    <definedName name="WP_PROC_016_DERIVED_OUTCOME">'Library Procedures'!$H$28</definedName>
    <definedName name="WP_PROC_016_PROCEDURE">'Library Procedures'!$I$28</definedName>
    <definedName name="WP_PROC_016_ASSERTION_S">'Library Procedures'!$J$28</definedName>
    <definedName name="WP_PROC_016_W_P_REF">'Library Procedures'!$K$28</definedName>
    <definedName name="WP_PROC_016_PERFORMED_BY">'Library Procedures'!$L$28</definedName>
    <definedName name="WP_PROC_016_DATE">'Library Procedures'!$M$28</definedName>
    <definedName name="WP_PROC_016_REASON_CODE">'Library Procedures'!$N$28</definedName>
    <definedName name="WP_PROC_016_SOURCE_FACT_EVIDENCE">'Library Procedures'!$O$28</definedName>
    <definedName name="WP_PROC_016_ISSUE_DEPENDENCY_IDS">'Library Procedures'!$P$28</definedName>
    <definedName name="WP_PROC_016_COMMENT_WORK_PERFORMED">'Library Procedures'!$Q$28</definedName>
    <definedName name="WP_PROC_017_APPLICABILITY">'Library Procedures'!$A$30</definedName>
    <definedName name="WP_PROC_017_REQUIREMENT">'Library Procedures'!$B$30</definedName>
    <definedName name="WP_PROC_017_EXECUTION_STATE">'Library Procedures'!$C$30</definedName>
    <definedName name="WP_PROC_017_EVIDENCE_STATE">'Library Procedures'!$D$30</definedName>
    <definedName name="WP_PROC_017_RESULT_STATE">'Library Procedures'!$E$30</definedName>
    <definedName name="WP_PROC_017_ISSUE_STATE">'Library Procedures'!$F$30</definedName>
    <definedName name="WP_PROC_017_SIGNOFF_STATE">'Library Procedures'!$G$30</definedName>
    <definedName name="WP_PROC_017_DERIVED_OUTCOME">'Library Procedures'!$H$30</definedName>
    <definedName name="WP_PROC_017_PROCEDURE">'Library Procedures'!$I$30</definedName>
    <definedName name="WP_PROC_017_ASSERTION_S">'Library Procedures'!$J$30</definedName>
    <definedName name="WP_PROC_017_W_P_REF">'Library Procedures'!$K$30</definedName>
    <definedName name="WP_PROC_017_PERFORMED_BY">'Library Procedures'!$L$30</definedName>
    <definedName name="WP_PROC_017_DATE">'Library Procedures'!$M$30</definedName>
    <definedName name="WP_PROC_017_REASON_CODE">'Library Procedures'!$N$30</definedName>
    <definedName name="WP_PROC_017_SOURCE_FACT_EVIDENCE">'Library Procedures'!$O$30</definedName>
    <definedName name="WP_PROC_017_ISSUE_DEPENDENCY_IDS">'Library Procedures'!$P$30</definedName>
    <definedName name="WP_PROC_017_COMMENT_WORK_PERFORMED">'Library Procedures'!$Q$30</definedName>
    <definedName name="WP_PROC_018_APPLICABILITY">'Library Procedures'!$A$31</definedName>
    <definedName name="WP_PROC_018_REQUIREMENT">'Library Procedures'!$B$31</definedName>
    <definedName name="WP_PROC_018_EXECUTION_STATE">'Library Procedures'!$C$31</definedName>
    <definedName name="WP_PROC_018_EVIDENCE_STATE">'Library Procedures'!$D$31</definedName>
    <definedName name="WP_PROC_018_RESULT_STATE">'Library Procedures'!$E$31</definedName>
    <definedName name="WP_PROC_018_ISSUE_STATE">'Library Procedures'!$F$31</definedName>
    <definedName name="WP_PROC_018_SIGNOFF_STATE">'Library Procedures'!$G$31</definedName>
    <definedName name="WP_PROC_018_DERIVED_OUTCOME">'Library Procedures'!$H$31</definedName>
    <definedName name="WP_PROC_018_PROCEDURE">'Library Procedures'!$I$31</definedName>
    <definedName name="WP_PROC_018_ASSERTION_S">'Library Procedures'!$J$31</definedName>
    <definedName name="WP_PROC_018_W_P_REF">'Library Procedures'!$K$31</definedName>
    <definedName name="WP_PROC_018_PERFORMED_BY">'Library Procedures'!$L$31</definedName>
    <definedName name="WP_PROC_018_DATE">'Library Procedures'!$M$31</definedName>
    <definedName name="WP_PROC_018_REASON_CODE">'Library Procedures'!$N$31</definedName>
    <definedName name="WP_PROC_018_SOURCE_FACT_EVIDENCE">'Library Procedures'!$O$31</definedName>
    <definedName name="WP_PROC_018_ISSUE_DEPENDENCY_IDS">'Library Procedures'!$P$31</definedName>
    <definedName name="WP_PROC_018_COMMENT_WORK_PERFORMED">'Library Procedures'!$Q$31</definedName>
    <definedName name="WP_PROC_019_APPLICABILITY">'Library Procedures'!$A$32</definedName>
    <definedName name="WP_PROC_019_REQUIREMENT">'Library Procedures'!$B$32</definedName>
    <definedName name="WP_PROC_019_EXECUTION_STATE">'Library Procedures'!$C$32</definedName>
    <definedName name="WP_PROC_019_EVIDENCE_STATE">'Library Procedures'!$D$32</definedName>
    <definedName name="WP_PROC_019_RESULT_STATE">'Library Procedures'!$E$32</definedName>
    <definedName name="WP_PROC_019_ISSUE_STATE">'Library Procedures'!$F$32</definedName>
    <definedName name="WP_PROC_019_SIGNOFF_STATE">'Library Procedures'!$G$32</definedName>
    <definedName name="WP_PROC_019_DERIVED_OUTCOME">'Library Procedures'!$H$32</definedName>
    <definedName name="WP_PROC_019_PROCEDURE">'Library Procedures'!$I$32</definedName>
    <definedName name="WP_PROC_019_ASSERTION_S">'Library Procedures'!$J$32</definedName>
    <definedName name="WP_PROC_019_W_P_REF">'Library Procedures'!$K$32</definedName>
    <definedName name="WP_PROC_019_PERFORMED_BY">'Library Procedures'!$L$32</definedName>
    <definedName name="WP_PROC_019_DATE">'Library Procedures'!$M$32</definedName>
    <definedName name="WP_PROC_019_REASON_CODE">'Library Procedures'!$N$32</definedName>
    <definedName name="WP_PROC_019_SOURCE_FACT_EVIDENCE">'Library Procedures'!$O$32</definedName>
    <definedName name="WP_PROC_019_ISSUE_DEPENDENCY_IDS">'Library Procedures'!$P$32</definedName>
    <definedName name="WP_PROC_019_COMMENT_WORK_PERFORMED">'Library Procedures'!$Q$32</definedName>
    <definedName name="WP_PROC_020_APPLICABILITY">'Library Procedures'!$A$33</definedName>
    <definedName name="WP_PROC_020_REQUIREMENT">'Library Procedures'!$B$33</definedName>
    <definedName name="WP_PROC_020_EXECUTION_STATE">'Library Procedures'!$C$33</definedName>
    <definedName name="WP_PROC_020_EVIDENCE_STATE">'Library Procedures'!$D$33</definedName>
    <definedName name="WP_PROC_020_RESULT_STATE">'Library Procedures'!$E$33</definedName>
    <definedName name="WP_PROC_020_ISSUE_STATE">'Library Procedures'!$F$33</definedName>
    <definedName name="WP_PROC_020_SIGNOFF_STATE">'Library Procedures'!$G$33</definedName>
    <definedName name="WP_PROC_020_DERIVED_OUTCOME">'Library Procedures'!$H$33</definedName>
    <definedName name="WP_PROC_020_PROCEDURE">'Library Procedures'!$I$33</definedName>
    <definedName name="WP_PROC_020_ASSERTION_S">'Library Procedures'!$J$33</definedName>
    <definedName name="WP_PROC_020_W_P_REF">'Library Procedures'!$K$33</definedName>
    <definedName name="WP_PROC_020_PERFORMED_BY">'Library Procedures'!$L$33</definedName>
    <definedName name="WP_PROC_020_DATE">'Library Procedures'!$M$33</definedName>
    <definedName name="WP_PROC_020_REASON_CODE">'Library Procedures'!$N$33</definedName>
    <definedName name="WP_PROC_020_SOURCE_FACT_EVIDENCE">'Library Procedures'!$O$33</definedName>
    <definedName name="WP_PROC_020_ISSUE_DEPENDENCY_IDS">'Library Procedures'!$P$33</definedName>
    <definedName name="WP_PROC_020_COMMENT_WORK_PERFORMED">'Library Procedures'!$Q$33</definedName>
    <definedName name="WP_PROC_021_APPLICABILITY">'Library Procedures'!$A$34</definedName>
    <definedName name="WP_PROC_021_REQUIREMENT">'Library Procedures'!$B$34</definedName>
    <definedName name="WP_PROC_021_EXECUTION_STATE">'Library Procedures'!$C$34</definedName>
    <definedName name="WP_PROC_021_EVIDENCE_STATE">'Library Procedures'!$D$34</definedName>
    <definedName name="WP_PROC_021_RESULT_STATE">'Library Procedures'!$E$34</definedName>
    <definedName name="WP_PROC_021_ISSUE_STATE">'Library Procedures'!$F$34</definedName>
    <definedName name="WP_PROC_021_SIGNOFF_STATE">'Library Procedures'!$G$34</definedName>
    <definedName name="WP_PROC_021_DERIVED_OUTCOME">'Library Procedures'!$H$34</definedName>
    <definedName name="WP_PROC_021_PROCEDURE">'Library Procedures'!$I$34</definedName>
    <definedName name="WP_PROC_021_ASSERTION_S">'Library Procedures'!$J$34</definedName>
    <definedName name="WP_PROC_021_W_P_REF">'Library Procedures'!$K$34</definedName>
    <definedName name="WP_PROC_021_PERFORMED_BY">'Library Procedures'!$L$34</definedName>
    <definedName name="WP_PROC_021_DATE">'Library Procedures'!$M$34</definedName>
    <definedName name="WP_PROC_021_REASON_CODE">'Library Procedures'!$N$34</definedName>
    <definedName name="WP_PROC_021_SOURCE_FACT_EVIDENCE">'Library Procedures'!$O$34</definedName>
    <definedName name="WP_PROC_021_ISSUE_DEPENDENCY_IDS">'Library Procedures'!$P$34</definedName>
    <definedName name="WP_PROC_021_COMMENT_WORK_PERFORMED">'Library Procedures'!$Q$34</definedName>
    <definedName name="WP_PROC_022_APPLICABILITY">'Library Procedures'!$A$35</definedName>
    <definedName name="WP_PROC_022_REQUIREMENT">'Library Procedures'!$B$35</definedName>
    <definedName name="WP_PROC_022_EXECUTION_STATE">'Library Procedures'!$C$35</definedName>
    <definedName name="WP_PROC_022_EVIDENCE_STATE">'Library Procedures'!$D$35</definedName>
    <definedName name="WP_PROC_022_RESULT_STATE">'Library Procedures'!$E$35</definedName>
    <definedName name="WP_PROC_022_ISSUE_STATE">'Library Procedures'!$F$35</definedName>
    <definedName name="WP_PROC_022_SIGNOFF_STATE">'Library Procedures'!$G$35</definedName>
    <definedName name="WP_PROC_022_DERIVED_OUTCOME">'Library Procedures'!$H$35</definedName>
    <definedName name="WP_PROC_022_PROCEDURE">'Library Procedures'!$I$35</definedName>
    <definedName name="WP_PROC_022_ASSERTION_S">'Library Procedures'!$J$35</definedName>
    <definedName name="WP_PROC_022_W_P_REF">'Library Procedures'!$K$35</definedName>
    <definedName name="WP_PROC_022_PERFORMED_BY">'Library Procedures'!$L$35</definedName>
    <definedName name="WP_PROC_022_DATE">'Library Procedures'!$M$35</definedName>
    <definedName name="WP_PROC_022_REASON_CODE">'Library Procedures'!$N$35</definedName>
    <definedName name="WP_PROC_022_SOURCE_FACT_EVIDENCE">'Library Procedures'!$O$35</definedName>
    <definedName name="WP_PROC_022_ISSUE_DEPENDENCY_IDS">'Library Procedures'!$P$35</definedName>
    <definedName name="WP_PROC_022_COMMENT_WORK_PERFORMED">'Library Procedures'!$Q$35</definedName>
    <definedName name="WP_PROC_023_APPLICABILITY">'Library Procedures'!$A$37</definedName>
    <definedName name="WP_PROC_023_REQUIREMENT">'Library Procedures'!$B$37</definedName>
    <definedName name="WP_PROC_023_EXECUTION_STATE">'Library Procedures'!$C$37</definedName>
    <definedName name="WP_PROC_023_EVIDENCE_STATE">'Library Procedures'!$D$37</definedName>
    <definedName name="WP_PROC_023_RESULT_STATE">'Library Procedures'!$E$37</definedName>
    <definedName name="WP_PROC_023_ISSUE_STATE">'Library Procedures'!$F$37</definedName>
    <definedName name="WP_PROC_023_SIGNOFF_STATE">'Library Procedures'!$G$37</definedName>
    <definedName name="WP_PROC_023_DERIVED_OUTCOME">'Library Procedures'!$H$37</definedName>
    <definedName name="WP_PROC_023_PROCEDURE">'Library Procedures'!$I$37</definedName>
    <definedName name="WP_PROC_023_ASSERTION_S">'Library Procedures'!$J$37</definedName>
    <definedName name="WP_PROC_023_W_P_REF">'Library Procedures'!$K$37</definedName>
    <definedName name="WP_PROC_023_PERFORMED_BY">'Library Procedures'!$L$37</definedName>
    <definedName name="WP_PROC_023_DATE">'Library Procedures'!$M$37</definedName>
    <definedName name="WP_PROC_023_REASON_CODE">'Library Procedures'!$N$37</definedName>
    <definedName name="WP_PROC_023_SOURCE_FACT_EVIDENCE">'Library Procedures'!$O$37</definedName>
    <definedName name="WP_PROC_023_ISSUE_DEPENDENCY_IDS">'Library Procedures'!$P$37</definedName>
    <definedName name="WP_PROC_023_COMMENT_WORK_PERFORMED">'Library Procedures'!$Q$37</definedName>
    <definedName name="WP_PROC_024_APPLICABILITY">'Library Procedures'!$A$38</definedName>
    <definedName name="WP_PROC_024_REQUIREMENT">'Library Procedures'!$B$38</definedName>
    <definedName name="WP_PROC_024_EXECUTION_STATE">'Library Procedures'!$C$38</definedName>
    <definedName name="WP_PROC_024_EVIDENCE_STATE">'Library Procedures'!$D$38</definedName>
    <definedName name="WP_PROC_024_RESULT_STATE">'Library Procedures'!$E$38</definedName>
    <definedName name="WP_PROC_024_ISSUE_STATE">'Library Procedures'!$F$38</definedName>
    <definedName name="WP_PROC_024_SIGNOFF_STATE">'Library Procedures'!$G$38</definedName>
    <definedName name="WP_PROC_024_DERIVED_OUTCOME">'Library Procedures'!$H$38</definedName>
    <definedName name="WP_PROC_024_PROCEDURE">'Library Procedures'!$I$38</definedName>
    <definedName name="WP_PROC_024_ASSERTION_S">'Library Procedures'!$J$38</definedName>
    <definedName name="WP_PROC_024_W_P_REF">'Library Procedures'!$K$38</definedName>
    <definedName name="WP_PROC_024_PERFORMED_BY">'Library Procedures'!$L$38</definedName>
    <definedName name="WP_PROC_024_DATE">'Library Procedures'!$M$38</definedName>
    <definedName name="WP_PROC_024_REASON_CODE">'Library Procedures'!$N$38</definedName>
    <definedName name="WP_PROC_024_SOURCE_FACT_EVIDENCE">'Library Procedures'!$O$38</definedName>
    <definedName name="WP_PROC_024_ISSUE_DEPENDENCY_IDS">'Library Procedures'!$P$38</definedName>
    <definedName name="WP_PROC_024_COMMENT_WORK_PERFORMED">'Library Procedures'!$Q$38</definedName>
    <definedName name="WP_PROC_025_APPLICABILITY">'Library Procedures'!$A$39</definedName>
    <definedName name="WP_PROC_025_REQUIREMENT">'Library Procedures'!$B$39</definedName>
    <definedName name="WP_PROC_025_EXECUTION_STATE">'Library Procedures'!$C$39</definedName>
    <definedName name="WP_PROC_025_EVIDENCE_STATE">'Library Procedures'!$D$39</definedName>
    <definedName name="WP_PROC_025_RESULT_STATE">'Library Procedures'!$E$39</definedName>
    <definedName name="WP_PROC_025_ISSUE_STATE">'Library Procedures'!$F$39</definedName>
    <definedName name="WP_PROC_025_SIGNOFF_STATE">'Library Procedures'!$G$39</definedName>
    <definedName name="WP_PROC_025_DERIVED_OUTCOME">'Library Procedures'!$H$39</definedName>
    <definedName name="WP_PROC_025_PROCEDURE">'Library Procedures'!$I$39</definedName>
    <definedName name="WP_PROC_025_ASSERTION_S">'Library Procedures'!$J$39</definedName>
    <definedName name="WP_PROC_025_W_P_REF">'Library Procedures'!$K$39</definedName>
    <definedName name="WP_PROC_025_PERFORMED_BY">'Library Procedures'!$L$39</definedName>
    <definedName name="WP_PROC_025_DATE">'Library Procedures'!$M$39</definedName>
    <definedName name="WP_PROC_025_REASON_CODE">'Library Procedures'!$N$39</definedName>
    <definedName name="WP_PROC_025_SOURCE_FACT_EVIDENCE">'Library Procedures'!$O$39</definedName>
    <definedName name="WP_PROC_025_ISSUE_DEPENDENCY_IDS">'Library Procedures'!$P$39</definedName>
    <definedName name="WP_PROC_025_COMMENT_WORK_PERFORMED">'Library Procedures'!$Q$39</definedName>
    <definedName name="WP_PROC_026_APPLICABILITY">'Library Procedures'!$A$40</definedName>
    <definedName name="WP_PROC_026_REQUIREMENT">'Library Procedures'!$B$40</definedName>
    <definedName name="WP_PROC_026_EXECUTION_STATE">'Library Procedures'!$C$40</definedName>
    <definedName name="WP_PROC_026_EVIDENCE_STATE">'Library Procedures'!$D$40</definedName>
    <definedName name="WP_PROC_026_RESULT_STATE">'Library Procedures'!$E$40</definedName>
    <definedName name="WP_PROC_026_ISSUE_STATE">'Library Procedures'!$F$40</definedName>
    <definedName name="WP_PROC_026_SIGNOFF_STATE">'Library Procedures'!$G$40</definedName>
    <definedName name="WP_PROC_026_DERIVED_OUTCOME">'Library Procedures'!$H$40</definedName>
    <definedName name="WP_PROC_026_PROCEDURE">'Library Procedures'!$I$40</definedName>
    <definedName name="WP_PROC_026_ASSERTION_S">'Library Procedures'!$J$40</definedName>
    <definedName name="WP_PROC_026_W_P_REF">'Library Procedures'!$K$40</definedName>
    <definedName name="WP_PROC_026_PERFORMED_BY">'Library Procedures'!$L$40</definedName>
    <definedName name="WP_PROC_026_DATE">'Library Procedures'!$M$40</definedName>
    <definedName name="WP_PROC_026_REASON_CODE">'Library Procedures'!$N$40</definedName>
    <definedName name="WP_PROC_026_SOURCE_FACT_EVIDENCE">'Library Procedures'!$O$40</definedName>
    <definedName name="WP_PROC_026_ISSUE_DEPENDENCY_IDS">'Library Procedures'!$P$40</definedName>
    <definedName name="WP_PROC_026_COMMENT_WORK_PERFORMED">'Library Procedures'!$Q$40</definedName>
    <definedName name="WP_PROC_027_APPLICABILITY">'Library Procedures'!$A$42</definedName>
    <definedName name="WP_PROC_027_REQUIREMENT">'Library Procedures'!$B$42</definedName>
    <definedName name="WP_PROC_027_EXECUTION_STATE">'Library Procedures'!$C$42</definedName>
    <definedName name="WP_PROC_027_EVIDENCE_STATE">'Library Procedures'!$D$42</definedName>
    <definedName name="WP_PROC_027_RESULT_STATE">'Library Procedures'!$E$42</definedName>
    <definedName name="WP_PROC_027_ISSUE_STATE">'Library Procedures'!$F$42</definedName>
    <definedName name="WP_PROC_027_SIGNOFF_STATE">'Library Procedures'!$G$42</definedName>
    <definedName name="WP_PROC_027_DERIVED_OUTCOME">'Library Procedures'!$H$42</definedName>
    <definedName name="WP_PROC_027_PROCEDURE">'Library Procedures'!$I$42</definedName>
    <definedName name="WP_PROC_027_ASSERTION_S">'Library Procedures'!$J$42</definedName>
    <definedName name="WP_PROC_027_W_P_REF">'Library Procedures'!$K$42</definedName>
    <definedName name="WP_PROC_027_PERFORMED_BY">'Library Procedures'!$L$42</definedName>
    <definedName name="WP_PROC_027_DATE">'Library Procedures'!$M$42</definedName>
    <definedName name="WP_PROC_027_REASON_CODE">'Library Procedures'!$N$42</definedName>
    <definedName name="WP_PROC_027_SOURCE_FACT_EVIDENCE">'Library Procedures'!$O$42</definedName>
    <definedName name="WP_PROC_027_ISSUE_DEPENDENCY_IDS">'Library Procedures'!$P$42</definedName>
    <definedName name="WP_PROC_027_COMMENT_WORK_PERFORMED">'Library Procedures'!$Q$42</definedName>
    <definedName name="WP_PROC_028_APPLICABILITY">'Library Procedures'!$A$43</definedName>
    <definedName name="WP_PROC_028_REQUIREMENT">'Library Procedures'!$B$43</definedName>
    <definedName name="WP_PROC_028_EXECUTION_STATE">'Library Procedures'!$C$43</definedName>
    <definedName name="WP_PROC_028_EVIDENCE_STATE">'Library Procedures'!$D$43</definedName>
    <definedName name="WP_PROC_028_RESULT_STATE">'Library Procedures'!$E$43</definedName>
    <definedName name="WP_PROC_028_ISSUE_STATE">'Library Procedures'!$F$43</definedName>
    <definedName name="WP_PROC_028_SIGNOFF_STATE">'Library Procedures'!$G$43</definedName>
    <definedName name="WP_PROC_028_DERIVED_OUTCOME">'Library Procedures'!$H$43</definedName>
    <definedName name="WP_PROC_028_PROCEDURE">'Library Procedures'!$I$43</definedName>
    <definedName name="WP_PROC_028_ASSERTION_S">'Library Procedures'!$J$43</definedName>
    <definedName name="WP_PROC_028_W_P_REF">'Library Procedures'!$K$43</definedName>
    <definedName name="WP_PROC_028_PERFORMED_BY">'Library Procedures'!$L$43</definedName>
    <definedName name="WP_PROC_028_DATE">'Library Procedures'!$M$43</definedName>
    <definedName name="WP_PROC_028_REASON_CODE">'Library Procedures'!$N$43</definedName>
    <definedName name="WP_PROC_028_SOURCE_FACT_EVIDENCE">'Library Procedures'!$O$43</definedName>
    <definedName name="WP_PROC_028_ISSUE_DEPENDENCY_IDS">'Library Procedures'!$P$43</definedName>
    <definedName name="WP_PROC_028_COMMENT_WORK_PERFORMED">'Library Procedures'!$Q$43</definedName>
    <definedName name="WP_PROC_029_APPLICABILITY">'Library Procedures'!$A$45</definedName>
    <definedName name="WP_PROC_029_REQUIREMENT">'Library Procedures'!$B$45</definedName>
    <definedName name="WP_PROC_029_EXECUTION_STATE">'Library Procedures'!$C$45</definedName>
    <definedName name="WP_PROC_029_EVIDENCE_STATE">'Library Procedures'!$D$45</definedName>
    <definedName name="WP_PROC_029_RESULT_STATE">'Library Procedures'!$E$45</definedName>
    <definedName name="WP_PROC_029_ISSUE_STATE">'Library Procedures'!$F$45</definedName>
    <definedName name="WP_PROC_029_SIGNOFF_STATE">'Library Procedures'!$G$45</definedName>
    <definedName name="WP_PROC_029_DERIVED_OUTCOME">'Library Procedures'!$H$45</definedName>
    <definedName name="WP_PROC_029_PROCEDURE">'Library Procedures'!$I$45</definedName>
    <definedName name="WP_PROC_029_ASSERTION_S">'Library Procedures'!$J$45</definedName>
    <definedName name="WP_PROC_029_W_P_REF">'Library Procedures'!$K$45</definedName>
    <definedName name="WP_PROC_029_PERFORMED_BY">'Library Procedures'!$L$45</definedName>
    <definedName name="WP_PROC_029_DATE">'Library Procedures'!$M$45</definedName>
    <definedName name="WP_PROC_029_REASON_CODE">'Library Procedures'!$N$45</definedName>
    <definedName name="WP_PROC_029_SOURCE_FACT_EVIDENCE">'Library Procedures'!$O$45</definedName>
    <definedName name="WP_PROC_029_ISSUE_DEPENDENCY_IDS">'Library Procedures'!$P$45</definedName>
    <definedName name="WP_PROC_029_COMMENT_WORK_PERFORMED">'Library Procedures'!$Q$45</definedName>
    <definedName name="WP_PROC_030_APPLICABILITY">'Library Procedures'!$A$46</definedName>
    <definedName name="WP_PROC_030_REQUIREMENT">'Library Procedures'!$B$46</definedName>
    <definedName name="WP_PROC_030_EXECUTION_STATE">'Library Procedures'!$C$46</definedName>
    <definedName name="WP_PROC_030_EVIDENCE_STATE">'Library Procedures'!$D$46</definedName>
    <definedName name="WP_PROC_030_RESULT_STATE">'Library Procedures'!$E$46</definedName>
    <definedName name="WP_PROC_030_ISSUE_STATE">'Library Procedures'!$F$46</definedName>
    <definedName name="WP_PROC_030_SIGNOFF_STATE">'Library Procedures'!$G$46</definedName>
    <definedName name="WP_PROC_030_DERIVED_OUTCOME">'Library Procedures'!$H$46</definedName>
    <definedName name="WP_PROC_030_PROCEDURE">'Library Procedures'!$I$46</definedName>
    <definedName name="WP_PROC_030_ASSERTION_S">'Library Procedures'!$J$46</definedName>
    <definedName name="WP_PROC_030_W_P_REF">'Library Procedures'!$K$46</definedName>
    <definedName name="WP_PROC_030_PERFORMED_BY">'Library Procedures'!$L$46</definedName>
    <definedName name="WP_PROC_030_DATE">'Library Procedures'!$M$46</definedName>
    <definedName name="WP_PROC_030_REASON_CODE">'Library Procedures'!$N$46</definedName>
    <definedName name="WP_PROC_030_SOURCE_FACT_EVIDENCE">'Library Procedures'!$O$46</definedName>
    <definedName name="WP_PROC_030_ISSUE_DEPENDENCY_IDS">'Library Procedures'!$P$46</definedName>
    <definedName name="WP_PROC_030_COMMENT_WORK_PERFORMED">'Library Procedures'!$Q$46</definedName>
    <definedName name="WP_PROC_031_APPLICABILITY">'Library Procedures'!$A$48</definedName>
    <definedName name="WP_PROC_031_REQUIREMENT">'Library Procedures'!$B$48</definedName>
    <definedName name="WP_PROC_031_EXECUTION_STATE">'Library Procedures'!$C$48</definedName>
    <definedName name="WP_PROC_031_EVIDENCE_STATE">'Library Procedures'!$D$48</definedName>
    <definedName name="WP_PROC_031_RESULT_STATE">'Library Procedures'!$E$48</definedName>
    <definedName name="WP_PROC_031_ISSUE_STATE">'Library Procedures'!$F$48</definedName>
    <definedName name="WP_PROC_031_SIGNOFF_STATE">'Library Procedures'!$G$48</definedName>
    <definedName name="WP_PROC_031_DERIVED_OUTCOME">'Library Procedures'!$H$48</definedName>
    <definedName name="WP_PROC_031_PROCEDURE">'Library Procedures'!$I$48</definedName>
    <definedName name="WP_PROC_031_ASSERTION_S">'Library Procedures'!$J$48</definedName>
    <definedName name="WP_PROC_031_W_P_REF">'Library Procedures'!$K$48</definedName>
    <definedName name="WP_PROC_031_PERFORMED_BY">'Library Procedures'!$L$48</definedName>
    <definedName name="WP_PROC_031_DATE">'Library Procedures'!$M$48</definedName>
    <definedName name="WP_PROC_031_REASON_CODE">'Library Procedures'!$N$48</definedName>
    <definedName name="WP_PROC_031_SOURCE_FACT_EVIDENCE">'Library Procedures'!$O$48</definedName>
    <definedName name="WP_PROC_031_ISSUE_DEPENDENCY_IDS">'Library Procedures'!$P$48</definedName>
    <definedName name="WP_PROC_031_COMMENT_WORK_PERFORMED">'Library Procedures'!$Q$48</definedName>
    <definedName name="WP_TABLE_AR_CONFIRMATIONS_DATA">'&lt;.6&gt; Confirmation &amp; Clearance'!$A$10:$AG$23</definedName>
    <definedName name="WP_TABLE_AR_CONFIRMATIONS_TOTAL">'&lt;.6&gt; Confirmation &amp; Clearance'!$A$24:$AG$24</definedName>
    <definedName name="WP_ANALYTIC_AR_DSO_ANCHOR">'&lt;.7&gt; Ratios &amp; Disclosures'!$A$9</definedName>
    <definedName name="WP_ANALYTIC_AR_DSO_CURRENT_VALUE">'&lt;.7&gt; Ratios &amp; Disclosures'!$B$9</definedName>
    <definedName name="WP_ANALYTIC_AR_DSO_COMPARATOR_VALUE">'&lt;.7&gt; Ratios &amp; Disclosures'!$C$9</definedName>
    <definedName name="WP_ANALYTIC_AR_DSO_CHANGE">'&lt;.7&gt; Ratios &amp; Disclosures'!$D$9</definedName>
    <definedName name="WP_ANALYTIC_AR_DSO_EXPLANATION">'&lt;.7&gt; Ratios &amp; Disclosures'!$E$9</definedName>
    <definedName name="WP_ANALYTIC_AR_TURNOVER_ANCHOR">'&lt;.7&gt; Ratios &amp; Disclosures'!$A$10</definedName>
    <definedName name="WP_ANALYTIC_AR_TURNOVER_CURRENT_VALUE">'&lt;.7&gt; Ratios &amp; Disclosures'!$B$10</definedName>
    <definedName name="WP_ANALYTIC_AR_TURNOVER_COMPARATOR_VALUE">'&lt;.7&gt; Ratios &amp; Disclosures'!$C$10</definedName>
    <definedName name="WP_ANALYTIC_AR_TURNOVER_CHANGE">'&lt;.7&gt; Ratios &amp; Disclosures'!$D$10</definedName>
    <definedName name="WP_ANALYTIC_AR_TURNOVER_EXPLANATION">'&lt;.7&gt; Ratios &amp; Disclosures'!$E$10</definedName>
    <definedName name="WP_ANALYTIC_AR_ALLOWANCE_PCT_ANCHOR">'&lt;.7&gt; Ratios &amp; Disclosures'!$A$11</definedName>
    <definedName name="WP_ANALYTIC_AR_ALLOWANCE_PCT_CURRENT_VALUE">'&lt;.7&gt; Ratios &amp; Disclosures'!$B$11</definedName>
    <definedName name="WP_ANALYTIC_AR_ALLOWANCE_PCT_COMPARATOR_VALUE">'&lt;.7&gt; Ratios &amp; Disclosures'!$C$11</definedName>
    <definedName name="WP_ANALYTIC_AR_ALLOWANCE_PCT_CHANGE">'&lt;.7&gt; Ratios &amp; Disclosures'!$D$11</definedName>
    <definedName name="WP_ANALYTIC_AR_ALLOWANCE_PCT_EXPLANATION">'&lt;.7&gt; Ratios &amp; Disclosures'!$E$11</definedName>
    <definedName name="WP_ANALYTIC_AR_BAD_DEBT_PCT_ANCHOR">'&lt;.7&gt; Ratios &amp; Disclosures'!$A$12</definedName>
    <definedName name="WP_ANALYTIC_AR_BAD_DEBT_PCT_CURRENT_VALUE">'&lt;.7&gt; Ratios &amp; Disclosures'!$B$12</definedName>
    <definedName name="WP_ANALYTIC_AR_BAD_DEBT_PCT_COMPARATOR_VALUE">'&lt;.7&gt; Ratios &amp; Disclosures'!$C$12</definedName>
    <definedName name="WP_ANALYTIC_AR_BAD_DEBT_PCT_CHANGE">'&lt;.7&gt; Ratios &amp; Disclosures'!$D$12</definedName>
    <definedName name="WP_ANALYTIC_AR_BAD_DEBT_PCT_EXPLANATION">'&lt;.7&gt; Ratios &amp; Disclosures'!$E$12</definedName>
    <definedName name="WP_ANALYTIC_AR_GROSS_AR_ANCHOR">'&lt;.7&gt; Ratios &amp; Disclosures'!$A$13</definedName>
    <definedName name="WP_ANALYTIC_AR_GROSS_AR_CURRENT_VALUE">'&lt;.7&gt; Ratios &amp; Disclosures'!$B$13</definedName>
    <definedName name="WP_ANALYTIC_AR_GROSS_AR_COMPARATOR_VALUE">'&lt;.7&gt; Ratios &amp; Disclosures'!$C$13</definedName>
    <definedName name="WP_ANALYTIC_AR_GROSS_AR_CHANGE">'&lt;.7&gt; Ratios &amp; Disclosures'!$D$13</definedName>
    <definedName name="WP_ANALYTIC_AR_GROSS_AR_EXPLANATION">'&lt;.7&gt; Ratios &amp; Disclosures'!$E$13</definedName>
    <definedName name="WP_ANALYTIC_AR_NET_AR_ANCHOR">'&lt;.7&gt; Ratios &amp; Disclosures'!$A$14</definedName>
    <definedName name="WP_ANALYTIC_AR_NET_AR_CURRENT_VALUE">'&lt;.7&gt; Ratios &amp; Disclosures'!$B$14</definedName>
    <definedName name="WP_ANALYTIC_AR_NET_AR_COMPARATOR_VALUE">'&lt;.7&gt; Ratios &amp; Disclosures'!$C$14</definedName>
    <definedName name="WP_ANALYTIC_AR_NET_AR_CHANGE">'&lt;.7&gt; Ratios &amp; Disclosures'!$D$14</definedName>
    <definedName name="WP_ANALYTIC_AR_NET_AR_EXPLANATION">'&lt;.7&gt; Ratios &amp; Disclosures'!$E$14</definedName>
    <definedName name="WP_DISCLOSURE_AR_RELATED_PARTIES_ANCHOR">'&lt;.7&gt; Ratios &amp; Disclosures'!$A$29</definedName>
    <definedName name="WP_DISCLOSURE_AR_RELATED_PARTIES_CONCLUSION_STATE">'&lt;.7&gt; Ratios &amp; Disclosures'!$B$29</definedName>
    <definedName name="WP_DISCLOSURE_AR_RELATED_PARTIES_SOURCE_AND_COMMENTS">'&lt;.7&gt; Ratios &amp; Disclosures'!$E$29</definedName>
    <definedName name="WP_DISCLOSURE_AR_PLEDGED_ANCHOR">'&lt;.7&gt; Ratios &amp; Disclosures'!$A$30</definedName>
    <definedName name="WP_DISCLOSURE_AR_PLEDGED_CONCLUSION_STATE">'&lt;.7&gt; Ratios &amp; Disclosures'!$B$30</definedName>
    <definedName name="WP_DISCLOSURE_AR_PLEDGED_SOURCE_AND_COMMENTS">'&lt;.7&gt; Ratios &amp; Disclosures'!$E$30</definedName>
    <definedName name="WP_DISCLOSURE_AR_CREDIT_BALANCES_ANCHOR">'&lt;.7&gt; Ratios &amp; Disclosures'!$A$31</definedName>
    <definedName name="WP_DISCLOSURE_AR_CREDIT_BALANCES_CONCLUSION_STATE">'&lt;.7&gt; Ratios &amp; Disclosures'!$B$31</definedName>
    <definedName name="WP_DISCLOSURE_AR_CREDIT_BALANCES_SOURCE_AND_COMMENTS">'&lt;.7&gt; Ratios &amp; Disclosures'!$E$31</definedName>
    <definedName name="WP_DISCLOSURE_AR_SPECIAL_TERMS_ANCHOR">'&lt;.7&gt; Ratios &amp; Disclosures'!$A$32</definedName>
    <definedName name="WP_DISCLOSURE_AR_SPECIAL_TERMS_CONCLUSION_STATE">'&lt;.7&gt; Ratios &amp; Disclosures'!$B$32</definedName>
    <definedName name="WP_DISCLOSURE_AR_SPECIAL_TERMS_SOURCE_AND_COMMENTS">'&lt;.7&gt; Ratios &amp; Disclosures'!$E$32</definedName>
    <definedName name="WP_DISCLOSURE_AR_FOREIGN_CURRENCY_ANCHOR">'&lt;.7&gt; Ratios &amp; Disclosures'!$A$33</definedName>
    <definedName name="WP_DISCLOSURE_AR_FOREIGN_CURRENCY_CONCLUSION_STATE">'&lt;.7&gt; Ratios &amp; Disclosures'!$B$33</definedName>
    <definedName name="WP_DISCLOSURE_AR_FOREIGN_CURRENCY_SOURCE_AND_COMMENTS">'&lt;.7&gt; Ratios &amp; Disclosures'!$E$33</definedName>
    <definedName name="WP_SIGNOFF_REQUIRED_COMPLETION_STAGE">'Workpaper Sign-off'!$B$4</definedName>
    <definedName name="WP_SIGNOFF_ASSIGNED_PREPARER">'Workpaper Sign-off'!$B$6</definedName>
    <definedName name="WP_SIGNOFF_PREPARATION_STATE">'Workpaper Sign-off'!$B$7</definedName>
    <definedName name="WP_SIGNOFF_PREPARED_BY">'Workpaper Sign-off'!$B$8</definedName>
    <definedName name="WP_SIGNOFF_PREPARATION_DATE">'Workpaper Sign-off'!$B$9</definedName>
    <definedName name="WP_SIGNOFF_ASSIGNED_REVIEWER">'Workpaper Sign-off'!$E$6</definedName>
    <definedName name="WP_SIGNOFF_REVIEW_STATE">'Workpaper Sign-off'!$E$7</definedName>
    <definedName name="WP_SIGNOFF_REVIEWED_BY">'Workpaper Sign-off'!$E$8</definedName>
    <definedName name="WP_SIGNOFF_REVIEW_DATE">'Workpaper Sign-off'!$E$9</definedName>
    <definedName name="_xlnm._FilterDatabase" localSheetId="0" hidden="1">'Library Procedures'!$A$6:$Q$48</definedName>
    <definedName name="_xlnm.Print_Titles" localSheetId="0">'Library Procedures'!$1:$6</definedName>
    <definedName name="_xlnm.Print_Area" localSheetId="0">'Library Procedures'!$A$1:$Q$48</definedName>
    <definedName name="_xlnm.Print_Area" localSheetId="1">'&lt;.0&gt; Source Index'!$A$1:$H$32</definedName>
    <definedName name="_xlnm.Print_Area" localSheetId="2">'&lt;.1&gt; AR Lead Sheet'!$A$1:$K$38</definedName>
    <definedName name="_xlnm.Print_Area" localSheetId="3">'&lt;.2&gt; Aging Tie-Out'!$A$1:$K$36</definedName>
    <definedName name="_xlnm.Print_Area" localSheetId="4">'&lt;.3&gt; Aging Bucket Testing'!$A$1:$J$39</definedName>
    <definedName name="_xlnm.Print_Titles" localSheetId="5">'&lt;.4&gt; Allowance for Doubtful'!$1:$7</definedName>
    <definedName name="_xlnm.Print_Area" localSheetId="5">'&lt;.4&gt; Allowance for Doubtful'!$A$1:$H$48</definedName>
    <definedName name="_xlnm.Print_Titles" localSheetId="6">'&lt;.5&gt; CECL Expected Credit Loss'!$1:$7</definedName>
    <definedName name="_xlnm.Print_Area" localSheetId="6">'&lt;.5&gt; CECL Expected Credit Loss'!$A$1:$J$46</definedName>
    <definedName name="_xlnm._FilterDatabase" localSheetId="7" hidden="1">'&lt;.6&gt; Confirmation &amp; Clearance'!$A$8:$AG$23</definedName>
    <definedName name="_xlnm.Print_Area" localSheetId="7">'&lt;.6&gt; Confirmation &amp; Clearance'!$A$1:$AG$39</definedName>
    <definedName name="_xlnm.Print_Titles" localSheetId="8">'&lt;.7&gt; Ratios &amp; Disclosures'!$1:$7</definedName>
    <definedName name="_xlnm.Print_Area" localSheetId="8">'&lt;.7&gt; Ratios &amp; Disclosures'!$A$1:$H$46</definedName>
    <definedName name="_xlnm.Print_Area" localSheetId="9">'Planning Context'!$A$1:$B$21</definedName>
    <definedName name="_xlnm.Print_Area" localSheetId="10">'Workpaper Sign-off'!$A$1:$F$12</definedName>
  </definedNames>
  <calcPr calcId="191029" fullCalcOnLoad="1" iterateDelta="0.0001"/>
</workbook>
</file>

<file path=xl/styles.xml><?xml version="1.0" encoding="utf-8"?>
<styleSheet xmlns="http://schemas.openxmlformats.org/spreadsheetml/2006/main">
  <numFmts count="2">
    <numFmt numFmtId="164" formatCode="yyyy-mm-dd"/>
    <numFmt numFmtId="165" formatCode="m/d/yyyy"/>
  </numFmts>
  <fonts count="32">
    <font>
      <name val="Calibri"/>
      <charset val="1"/>
      <family val="2"/>
      <color theme="1"/>
      <sz val="11"/>
    </font>
    <font>
      <name val="Georgia"/>
      <charset val="1"/>
      <b val="1"/>
      <color rgb="FFA32020"/>
      <sz val="14"/>
    </font>
    <font>
      <name val="Georgia"/>
      <charset val="1"/>
      <b val="1"/>
      <color rgb="FF1A1A1A"/>
      <sz val="9"/>
    </font>
    <font>
      <name val="Georgia"/>
      <charset val="1"/>
      <color rgb="FF1A1A1A"/>
      <sz val="9"/>
    </font>
    <font>
      <name val="Georgia"/>
      <charset val="1"/>
      <b val="1"/>
      <color rgb="FFA32020"/>
      <sz val="9"/>
    </font>
    <font>
      <name val="Georgia"/>
      <charset val="1"/>
      <b val="1"/>
      <color rgb="FFFFFFFF"/>
      <sz val="8.5"/>
    </font>
    <font>
      <name val="Georgia"/>
      <charset val="1"/>
      <b val="1"/>
      <color rgb="FFDC6900"/>
      <sz val="9"/>
    </font>
    <font>
      <name val="Georgia"/>
      <charset val="1"/>
      <color rgb="FF6E6E6E"/>
      <sz val="9"/>
    </font>
    <font>
      <name val="Georgia"/>
      <charset val="1"/>
      <b val="1"/>
      <color rgb="FFDC6900"/>
      <sz val="8"/>
    </font>
    <font>
      <name val="Georgia"/>
      <charset val="1"/>
      <b val="1"/>
      <color rgb="FF1A1A1A"/>
      <sz val="10"/>
    </font>
    <font>
      <name val="Georgia"/>
      <charset val="1"/>
      <b val="1"/>
      <color rgb="FFA32020"/>
      <sz val="10"/>
    </font>
    <font>
      <name val="Georgia"/>
      <charset val="1"/>
      <b val="1"/>
      <color rgb="FFFFFFFF"/>
      <sz val="9"/>
    </font>
    <font>
      <name val="Carlito"/>
      <b val="1"/>
      <color rgb="00FFFFFF"/>
      <sz val="14"/>
    </font>
    <font>
      <name val="Carlito"/>
      <b val="1"/>
      <color rgb="00404040"/>
    </font>
    <font>
      <name val="Carlito"/>
      <sz val="11"/>
    </font>
    <font>
      <name val="Carlito"/>
      <i val="1"/>
      <color rgb="001F1F1F"/>
      <sz val="10"/>
    </font>
    <font>
      <name val="SourceSans3"/>
      <charset val="1"/>
      <b val="1"/>
      <color rgb="FFA32020"/>
      <sz val="14"/>
    </font>
    <font>
      <name val="SourceSans3"/>
      <charset val="1"/>
      <color rgb="FF1A1A1A"/>
      <sz val="9"/>
    </font>
    <font>
      <name val="SourceSans3"/>
      <charset val="1"/>
      <color rgb="FF6E6E6E"/>
      <sz val="9"/>
    </font>
    <font>
      <name val="SourceSans3"/>
      <charset val="1"/>
      <b val="1"/>
      <color rgb="FFFFFFFF"/>
      <sz val="9"/>
    </font>
    <font>
      <name val="SourceSans3"/>
      <charset val="1"/>
      <family val="2"/>
      <color theme="1"/>
      <sz val="11"/>
    </font>
    <font>
      <name val="SourceSans3"/>
      <charset val="1"/>
      <b val="1"/>
      <color rgb="FF1A1A1A"/>
      <sz val="9"/>
    </font>
    <font>
      <name val="SourceSans3"/>
      <charset val="1"/>
      <b val="1"/>
      <color rgb="FFA32020"/>
      <sz val="9"/>
    </font>
    <font>
      <name val="SourceSans3"/>
      <charset val="1"/>
      <b val="1"/>
      <color rgb="FFFFFFFF"/>
      <sz val="8.5"/>
    </font>
    <font>
      <name val="SourceSans3"/>
      <charset val="1"/>
      <b val="1"/>
      <color rgb="FFDC6900"/>
      <sz val="9"/>
    </font>
    <font>
      <name val="SourceSans3"/>
      <charset val="1"/>
      <b val="1"/>
      <color rgb="FFDC6900"/>
      <sz val="8"/>
    </font>
    <font>
      <name val="SourceSans3"/>
      <charset val="1"/>
      <b val="1"/>
      <color rgb="FF1A1A1A"/>
      <sz val="10"/>
    </font>
    <font>
      <name val="SourceSans3"/>
      <charset val="1"/>
      <b val="1"/>
      <color rgb="FFA32020"/>
      <sz val="10"/>
    </font>
    <font>
      <name val="SourceSans3"/>
      <b val="1"/>
      <color rgb="00FFFFFF"/>
      <sz val="14"/>
    </font>
    <font>
      <name val="SourceSans3"/>
      <b val="1"/>
      <color rgb="00404040"/>
    </font>
    <font>
      <name val="SourceSans3"/>
      <sz val="11"/>
    </font>
    <font>
      <name val="SourceSans3"/>
      <i val="1"/>
      <color rgb="001F1F1F"/>
      <sz val="10"/>
    </font>
  </fonts>
  <fills count="8">
    <fill>
      <patternFill/>
    </fill>
    <fill>
      <patternFill patternType="gray125"/>
    </fill>
    <fill>
      <patternFill patternType="solid">
        <fgColor rgb="FFA32020"/>
        <bgColor rgb="FF993366"/>
      </patternFill>
    </fill>
    <fill>
      <patternFill patternType="solid">
        <fgColor rgb="FFF4DCDC"/>
        <bgColor rgb="FFCCCCFF"/>
      </patternFill>
    </fill>
    <fill>
      <patternFill patternType="solid">
        <fgColor rgb="FFDC6900"/>
        <bgColor rgb="FFFF9900"/>
      </patternFill>
    </fill>
    <fill>
      <patternFill patternType="solid">
        <fgColor rgb="001F4E78"/>
      </patternFill>
    </fill>
    <fill>
      <patternFill patternType="solid">
        <fgColor rgb="00E7E6E6"/>
      </patternFill>
    </fill>
    <fill>
      <patternFill patternType="solid">
        <fgColor rgb="00D9EAF7"/>
      </patternFill>
    </fill>
  </fills>
  <borders count="9">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style="thin">
        <color rgb="FFBFBFBF"/>
      </bottom>
      <diagonal/>
    </border>
    <border>
      <left/>
      <right/>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bottom style="thin">
        <color rgb="00A6A6A6"/>
      </bottom>
    </border>
  </borders>
  <cellStyleXfs count="1">
    <xf numFmtId="0" fontId="0" fillId="0" borderId="0"/>
  </cellStyleXfs>
  <cellXfs count="80">
    <xf numFmtId="0" fontId="0" fillId="0" borderId="0" pivotButton="0" quotePrefix="0" xfId="0"/>
    <xf numFmtId="0" fontId="11" fillId="2" borderId="1" pivotButton="0" quotePrefix="0" xfId="0"/>
    <xf numFmtId="0" fontId="11" fillId="4" borderId="1" pivotButton="0" quotePrefix="0" xfId="0"/>
    <xf numFmtId="0" fontId="7" fillId="0" borderId="0" pivotButton="0" quotePrefix="0" xfId="0"/>
    <xf numFmtId="0" fontId="3" fillId="0" borderId="1" pivotButton="0" quotePrefix="0" xfId="0"/>
    <xf numFmtId="0" fontId="3" fillId="0" borderId="0" applyAlignment="1" pivotButton="0" quotePrefix="0" xfId="0">
      <alignment horizontal="left" vertical="center" wrapText="1"/>
    </xf>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3" fillId="0" borderId="1" pivotButton="0" quotePrefix="0" xfId="0"/>
    <xf numFmtId="0" fontId="6" fillId="0" borderId="1" applyAlignment="1" pivotButton="0" quotePrefix="0" xfId="0">
      <alignment horizontal="center" vertical="center"/>
    </xf>
    <xf numFmtId="0" fontId="8" fillId="0" borderId="0" applyAlignment="1" pivotButton="0" quotePrefix="0" xfId="0">
      <alignment horizontal="center" vertical="center"/>
    </xf>
    <xf numFmtId="4" fontId="3" fillId="0" borderId="1" pivotButton="0" quotePrefix="0" xfId="0"/>
    <xf numFmtId="10" fontId="3" fillId="0" borderId="1" pivotButton="0" quotePrefix="0" xfId="0"/>
    <xf numFmtId="0" fontId="9" fillId="3" borderId="1" pivotButton="0" quotePrefix="0" xfId="0"/>
    <xf numFmtId="4" fontId="9" fillId="3" borderId="1" pivotButton="0" quotePrefix="0" xfId="0"/>
    <xf numFmtId="0" fontId="10" fillId="0" borderId="0" pivotButton="0" quotePrefix="0" xfId="0"/>
    <xf numFmtId="1" fontId="3" fillId="0" borderId="1" pivotButton="0" quotePrefix="0" xfId="0"/>
    <xf numFmtId="0" fontId="2" fillId="0" borderId="1" pivotButton="0" quotePrefix="0" xfId="0"/>
    <xf numFmtId="4" fontId="2" fillId="3" borderId="1" pivotButton="0" quotePrefix="0" xfId="0"/>
    <xf numFmtId="0" fontId="11" fillId="4" borderId="1" pivotButton="0" quotePrefix="0" xfId="0"/>
    <xf numFmtId="0" fontId="11" fillId="2" borderId="1" applyAlignment="1" pivotButton="0" quotePrefix="0" xfId="0">
      <alignment horizontal="center" vertical="center" wrapText="1"/>
    </xf>
    <xf numFmtId="0" fontId="11" fillId="2"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center" vertical="center"/>
    </xf>
    <xf numFmtId="0" fontId="9" fillId="3" borderId="1" applyAlignment="1" pivotButton="0" quotePrefix="0" xfId="0">
      <alignment horizontal="center" vertical="center"/>
    </xf>
    <xf numFmtId="0" fontId="11" fillId="4" borderId="2" pivotButton="0" quotePrefix="0" xfId="0"/>
    <xf numFmtId="0" fontId="11" fillId="4" borderId="3" pivotButton="0" quotePrefix="0" xfId="0"/>
    <xf numFmtId="0" fontId="16" fillId="0" borderId="0" applyAlignment="1" pivotButton="0" quotePrefix="0" xfId="0">
      <alignment vertical="top" wrapText="1"/>
    </xf>
    <xf numFmtId="0" fontId="20" fillId="0" borderId="0" pivotButton="0" quotePrefix="0" xfId="0"/>
    <xf numFmtId="0" fontId="17" fillId="0" borderId="0" applyAlignment="1" pivotButton="0" quotePrefix="0" xfId="0">
      <alignment vertical="top" wrapText="1"/>
    </xf>
    <xf numFmtId="0" fontId="18" fillId="0" borderId="0" applyAlignment="1" pivotButton="0" quotePrefix="0" xfId="0">
      <alignment vertical="top" wrapText="1"/>
    </xf>
    <xf numFmtId="0" fontId="19" fillId="2" borderId="1" applyAlignment="1" pivotButton="0" quotePrefix="0" xfId="0">
      <alignment horizontal="left" vertical="center" wrapText="1"/>
    </xf>
    <xf numFmtId="0" fontId="19" fillId="2" borderId="1" pivotButton="0" quotePrefix="0" xfId="0"/>
    <xf numFmtId="0" fontId="19" fillId="2" borderId="0" pivotButton="0" quotePrefix="0" xfId="0"/>
    <xf numFmtId="0" fontId="17" fillId="0" borderId="1" applyAlignment="1" pivotButton="0" quotePrefix="0" xfId="0">
      <alignment vertical="top" wrapText="1"/>
    </xf>
    <xf numFmtId="0" fontId="20" fillId="0" borderId="1" applyAlignment="1" pivotButton="0" quotePrefix="0" xfId="0">
      <alignment vertical="top" wrapText="1"/>
    </xf>
    <xf numFmtId="165" fontId="20" fillId="0" borderId="1" applyAlignment="1" pivotButton="0" quotePrefix="0" xfId="0">
      <alignment vertical="top" wrapText="1"/>
    </xf>
    <xf numFmtId="0" fontId="19" fillId="2" borderId="0" applyAlignment="1" pivotButton="0" quotePrefix="0" xfId="0">
      <alignment vertical="top" wrapText="1"/>
    </xf>
    <xf numFmtId="0" fontId="16" fillId="0" borderId="0" pivotButton="0" quotePrefix="0" xfId="0"/>
    <xf numFmtId="0" fontId="21" fillId="0" borderId="0" pivotButton="0" quotePrefix="0" xfId="0"/>
    <xf numFmtId="165" fontId="17" fillId="0" borderId="0" pivotButton="0" quotePrefix="0" xfId="0"/>
    <xf numFmtId="0" fontId="17" fillId="0" borderId="0" pivotButton="0" quotePrefix="0" xfId="0"/>
    <xf numFmtId="0" fontId="21" fillId="0" borderId="0" applyAlignment="1" pivotButton="0" quotePrefix="0" xfId="0">
      <alignment vertical="top" wrapText="1"/>
    </xf>
    <xf numFmtId="4" fontId="17" fillId="0" borderId="0" pivotButton="0" quotePrefix="0" xfId="0"/>
    <xf numFmtId="0" fontId="22" fillId="0" borderId="0" pivotButton="0" quotePrefix="0" xfId="0"/>
    <xf numFmtId="0" fontId="17" fillId="0" borderId="0" applyAlignment="1" pivotButton="0" quotePrefix="0" xfId="0">
      <alignment horizontal="left" vertical="center" wrapText="1"/>
    </xf>
    <xf numFmtId="0" fontId="23" fillId="2" borderId="1" applyAlignment="1" pivotButton="0" quotePrefix="0" xfId="0">
      <alignment horizontal="center" vertical="center" wrapText="1"/>
    </xf>
    <xf numFmtId="0" fontId="17" fillId="0" borderId="1" pivotButton="0" quotePrefix="0" xfId="0"/>
    <xf numFmtId="0" fontId="24" fillId="0" borderId="1" applyAlignment="1" pivotButton="0" quotePrefix="0" xfId="0">
      <alignment horizontal="center" vertical="center"/>
    </xf>
    <xf numFmtId="0" fontId="20" fillId="0" borderId="6" pivotButton="0" quotePrefix="0" xfId="0"/>
    <xf numFmtId="0" fontId="20" fillId="0" borderId="7" pivotButton="0" quotePrefix="0" xfId="0"/>
    <xf numFmtId="0" fontId="25" fillId="0" borderId="0" applyAlignment="1" pivotButton="0" quotePrefix="0" xfId="0">
      <alignment horizontal="center" vertical="center"/>
    </xf>
    <xf numFmtId="4" fontId="17" fillId="0" borderId="1" pivotButton="0" quotePrefix="0" xfId="0"/>
    <xf numFmtId="4" fontId="17" fillId="0" borderId="1" applyAlignment="1" pivotButton="0" quotePrefix="0" xfId="0">
      <alignment vertical="top" wrapText="1"/>
    </xf>
    <xf numFmtId="10" fontId="17" fillId="0" borderId="1" applyAlignment="1" pivotButton="0" quotePrefix="0" xfId="0">
      <alignment vertical="top" wrapText="1"/>
    </xf>
    <xf numFmtId="0" fontId="26" fillId="3" borderId="1" applyAlignment="1" pivotButton="0" quotePrefix="0" xfId="0">
      <alignment vertical="top" wrapText="1"/>
    </xf>
    <xf numFmtId="0" fontId="26" fillId="3" borderId="1" pivotButton="0" quotePrefix="0" xfId="0"/>
    <xf numFmtId="4" fontId="26" fillId="3" borderId="1" pivotButton="0" quotePrefix="0" xfId="0"/>
    <xf numFmtId="0" fontId="27" fillId="0" borderId="0" pivotButton="0" quotePrefix="0" xfId="0"/>
    <xf numFmtId="1" fontId="17" fillId="0" borderId="1" applyAlignment="1" pivotButton="0" quotePrefix="0" xfId="0">
      <alignment vertical="top" wrapText="1"/>
    </xf>
    <xf numFmtId="0" fontId="27" fillId="0" borderId="0" applyAlignment="1" pivotButton="0" quotePrefix="0" xfId="0">
      <alignment vertical="top" wrapText="1"/>
    </xf>
    <xf numFmtId="0" fontId="21" fillId="0" borderId="1" applyAlignment="1" pivotButton="0" quotePrefix="0" xfId="0">
      <alignment vertical="top" wrapText="1"/>
    </xf>
    <xf numFmtId="4" fontId="21" fillId="3" borderId="1" pivotButton="0" quotePrefix="0" xfId="0"/>
    <xf numFmtId="10" fontId="17" fillId="0" borderId="1" pivotButton="0" quotePrefix="0" xfId="0"/>
    <xf numFmtId="0" fontId="19" fillId="4" borderId="1" applyAlignment="1" pivotButton="0" quotePrefix="0" xfId="0">
      <alignment vertical="top" wrapText="1"/>
    </xf>
    <xf numFmtId="0" fontId="19" fillId="4" borderId="2" applyAlignment="1" pivotButton="0" quotePrefix="0" xfId="0">
      <alignment vertical="top" wrapText="1"/>
    </xf>
    <xf numFmtId="0" fontId="20" fillId="0" borderId="3" pivotButton="0" quotePrefix="0" xfId="0"/>
    <xf numFmtId="0" fontId="19" fillId="4" borderId="1" pivotButton="0" quotePrefix="0" xfId="0"/>
    <xf numFmtId="0" fontId="20" fillId="0" borderId="0" applyAlignment="1" pivotButton="0" quotePrefix="0" xfId="0">
      <alignment vertical="top" wrapText="1"/>
    </xf>
    <xf numFmtId="165" fontId="20" fillId="0" borderId="0" pivotButton="0" quotePrefix="0" xfId="0"/>
    <xf numFmtId="4" fontId="20" fillId="0" borderId="0" pivotButton="0" quotePrefix="0" xfId="0"/>
    <xf numFmtId="0" fontId="28" fillId="5" borderId="0" applyAlignment="1" pivotButton="0" quotePrefix="0" xfId="0">
      <alignment horizontal="left" vertical="center" wrapText="1"/>
    </xf>
    <xf numFmtId="0" fontId="29" fillId="6" borderId="8" pivotButton="0" quotePrefix="0" xfId="0"/>
    <xf numFmtId="0" fontId="30" fillId="0" borderId="8" pivotButton="0" quotePrefix="0" xfId="0"/>
    <xf numFmtId="0" fontId="30" fillId="0" borderId="8" applyAlignment="1" pivotButton="0" quotePrefix="0" xfId="0">
      <alignment vertical="top" wrapText="1"/>
    </xf>
    <xf numFmtId="165" fontId="30" fillId="0" borderId="8" pivotButton="0" quotePrefix="0" xfId="0"/>
    <xf numFmtId="0" fontId="31" fillId="7" borderId="0" applyAlignment="1" pivotButton="0" quotePrefix="0" xfId="0">
      <alignment vertical="top" wrapText="1"/>
    </xf>
  </cellXfs>
  <cellStyles count="1">
    <cellStyle name="Normal" xfId="0" builtinId="0"/>
  </cellStyles>
  <dxfs count="4">
    <dxf>
      <fill>
        <patternFill patternType="solid">
          <fgColor rgb="00FFF2CC"/>
        </patternFill>
      </fill>
    </dxf>
    <dxf>
      <fill>
        <patternFill patternType="solid">
          <fgColor rgb="00F4CCCC"/>
        </patternFill>
      </fill>
    </dxf>
    <dxf>
      <fill>
        <patternFill patternType="solid">
          <fgColor rgb="00D9EAD3"/>
        </patternFill>
      </fill>
    </dxf>
    <dxf>
      <fill>
        <patternFill patternType="solid">
          <fgColor rgb="00E7E6E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DCDC"/>
      <rgbColor rgb="FF3366FF"/>
      <rgbColor rgb="FF33CCCC"/>
      <rgbColor rgb="FF99CC00"/>
      <rgbColor rgb="FFFFCC00"/>
      <rgbColor rgb="FFFF9900"/>
      <rgbColor rgb="FFDC6900"/>
      <rgbColor rgb="FF6E6E6E"/>
      <rgbColor rgb="FF969696"/>
      <rgbColor rgb="FF003366"/>
      <rgbColor rgb="FF339966"/>
      <rgbColor rgb="FF003300"/>
      <rgbColor rgb="FF333300"/>
      <rgbColor rgb="FFA32020"/>
      <rgbColor rgb="FF993366"/>
      <rgbColor rgb="FF333399"/>
      <rgbColor rgb="FF1A1A1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ables/table1.xml><?xml version="1.0" encoding="utf-8"?>
<table xmlns="http://schemas.openxmlformats.org/spreadsheetml/2006/main" id="1" name="WP_AR_CONFIRMATIONS" displayName="WP_AR_CONFIRMATIONS" ref="A8:AG23" headerRowCount="1">
  <autoFilter ref="A8:AG23"/>
  <tableColumns count="33">
    <tableColumn id="1" name="Conf. Control #"/>
    <tableColumn id="2" name="Customer (name)"/>
    <tableColumn id="3" name="Contact name"/>
    <tableColumn id="4" name="Email (if any)"/>
    <tableColumn id="5" name="Addr. validation tested (Y/N)"/>
    <tableColumn id="6" name="AVT result"/>
    <tableColumn id="7" name="Invoice #"/>
    <tableColumn id="8" name="Invoice date"/>
    <tableColumn id="9" name="Amount to confirm"/>
    <tableColumn id="10" name="Date request sent"/>
    <tableColumn id="11" name="Method sent (email/physical/Confirmation.com)"/>
    <tableColumn id="12" name="Follow-up date(s)"/>
    <tableColumn id="13" name="Response received (Y/N)"/>
    <tableColumn id="14" name="Hard-copy ref"/>
    <tableColumn id="15" name="Electronic ref"/>
    <tableColumn id="16" name="Reliability/authenticity tested (Y/N)"/>
    <tableColumn id="17" name="Amount per confirmation"/>
    <tableColumn id="18" name="Exception (diff)"/>
    <tableColumn id="19" name="Resolution of exception"/>
    <tableColumn id="20" name="Amount per subsequent receipt"/>
    <tableColumn id="21" name="Applied to this invoice"/>
    <tableColumn id="22" name="Credit memos / discounts"/>
    <tableColumn id="23" name="Date of subsequent receipt"/>
    <tableColumn id="24" name="Receipt reference #"/>
    <tableColumn id="25" name="Date of deposit into bank"/>
    <tableColumn id="26" name="Agreed to bank (Y/N)"/>
    <tableColumn id="27" name="Amount per support (invoice)"/>
    <tableColumn id="28" name="PO reference"/>
    <tableColumn id="29" name="PO date"/>
    <tableColumn id="30" name="BOL / Sea Waybill reference"/>
    <tableColumn id="31" name="BOL / Waybill date"/>
    <tableColumn id="32" name="Quantity agreed (Y/N)"/>
    <tableColumn id="33" name="Conclusion / ET notes"/>
  </tableColumns>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autoPageBreaks="0" fitToPage="1"/>
  </sheetPr>
  <dimension ref="A1:Q48"/>
  <sheetViews>
    <sheetView showGridLines="0" tabSelected="1" zoomScale="90" zoomScaleNormal="100" workbookViewId="0">
      <pane xSplit="8" ySplit="6" topLeftCell="I7" activePane="bottomRight" state="frozen"/>
      <selection pane="topRight"/>
      <selection pane="bottomLeft"/>
      <selection pane="bottomRight" activeCell="A1" sqref="A1"/>
    </sheetView>
  </sheetViews>
  <sheetFormatPr baseColWidth="8" defaultColWidth="8.6328125" defaultRowHeight="14.5"/>
  <cols>
    <col width="42" customWidth="1" min="1" max="1"/>
    <col width="15" customWidth="1" min="2" max="2"/>
    <col width="15" customWidth="1" min="3" max="3"/>
    <col width="17" customWidth="1" min="4" max="4"/>
    <col width="18" customWidth="1" min="5" max="5"/>
    <col width="14" customWidth="1" min="6" max="6"/>
    <col width="14" customWidth="1" min="7" max="7"/>
    <col width="42" customWidth="1" min="8" max="8"/>
    <col width="88" customWidth="1" min="9" max="9"/>
    <col width="40.25" customWidth="1" min="10" max="10"/>
    <col width="14" customWidth="1" min="11" max="11"/>
    <col width="18" customWidth="1" min="12" max="12"/>
    <col width="14" customWidth="1" min="13" max="13"/>
    <col width="18" customWidth="1" min="14" max="14"/>
    <col width="34" customWidth="1" min="15" max="15"/>
    <col width="42" customWidth="1" min="16" max="16"/>
    <col width="64" customWidth="1" min="17" max="17"/>
  </cols>
  <sheetData>
    <row r="1" ht="27" customHeight="1">
      <c r="A1" s="30" t="inlineStr">
        <is>
          <t>Accounts Receivable — Library of Audit Procedures</t>
        </is>
      </c>
      <c r="B1" s="31" t="n"/>
      <c r="C1" s="31" t="n"/>
      <c r="D1" s="31" t="n"/>
      <c r="E1" s="31" t="n"/>
      <c r="F1" s="31" t="n"/>
      <c r="G1" s="31" t="n"/>
      <c r="H1" s="31" t="n"/>
      <c r="I1" s="31" t="n"/>
      <c r="J1" s="31" t="n"/>
      <c r="K1" s="31" t="n"/>
      <c r="L1" s="31" t="n"/>
      <c r="M1" s="31" t="n"/>
      <c r="N1" s="31" t="n"/>
      <c r="O1" s="31" t="n"/>
      <c r="P1" s="31" t="n"/>
      <c r="Q1" s="31" t="n"/>
    </row>
    <row r="2" ht="27" customHeight="1">
      <c r="A2" s="32" t="inlineStr">
        <is>
          <t>Client / Entity: Quelvox Industrial Holdings, LLC</t>
        </is>
      </c>
      <c r="B2" s="31" t="n"/>
      <c r="C2" s="31" t="n"/>
      <c r="D2" s="31" t="n"/>
      <c r="E2" s="31" t="n"/>
      <c r="F2" s="31" t="n"/>
      <c r="G2" s="31" t="n"/>
      <c r="H2" s="31" t="n"/>
      <c r="I2" s="31" t="n"/>
      <c r="J2" s="31" t="n"/>
      <c r="K2" s="31" t="n"/>
      <c r="L2" s="31" t="n"/>
      <c r="M2" s="31" t="n"/>
      <c r="N2" s="31" t="n"/>
      <c r="O2" s="31" t="n"/>
      <c r="P2" s="31" t="n"/>
      <c r="Q2" s="31" t="n"/>
    </row>
    <row r="3" ht="40.5" customHeight="1">
      <c r="A3" s="32" t="inlineStr">
        <is>
          <t>Prepared by: Audit Senior B377 (assigned)      Reviewed by: Audit Manager 4104 (assigned)</t>
        </is>
      </c>
      <c r="B3" s="31" t="n"/>
      <c r="C3" s="31" t="n"/>
      <c r="D3" s="31" t="n"/>
      <c r="E3" s="31" t="n"/>
      <c r="F3" s="31" t="n"/>
      <c r="G3" s="31" t="n"/>
      <c r="H3" s="31" t="n"/>
      <c r="I3" s="31" t="n"/>
      <c r="J3" s="31" t="n"/>
      <c r="K3" s="31" t="n"/>
      <c r="L3" s="31" t="n"/>
      <c r="M3" s="31" t="n"/>
      <c r="N3" s="31" t="n"/>
      <c r="O3" s="31" t="n"/>
      <c r="P3" s="31" t="n"/>
      <c r="Q3" s="31" t="n"/>
    </row>
    <row r="4" ht="25.5" customHeight="1">
      <c r="A4" s="33" t="inlineStr">
        <is>
          <t>For every procedure, record applicability, requirement, execution, evidence, result, issue, and signoff states. Performed procedures require a W/P reference, preparer, date, result, and exact Evidence Index citation. Fact-driven N/A requires a FACT:/ JSON-Pointer citation and rationale; missing evidence remains Open. Preserve the assigned PROC: and WINDOW: dependency tokens.</t>
        </is>
      </c>
      <c r="B4" s="31" t="n"/>
      <c r="C4" s="31" t="n"/>
      <c r="D4" s="31" t="n"/>
      <c r="E4" s="31" t="n"/>
      <c r="F4" s="31" t="n"/>
      <c r="G4" s="31" t="n"/>
      <c r="H4" s="31" t="n"/>
      <c r="I4" s="31" t="n"/>
      <c r="J4" s="31" t="n"/>
      <c r="K4" s="31" t="n"/>
      <c r="L4" s="31" t="n"/>
      <c r="M4" s="31" t="n"/>
      <c r="N4" s="31" t="n"/>
      <c r="O4" s="31" t="n"/>
      <c r="P4" s="31" t="n"/>
      <c r="Q4" s="31" t="n"/>
    </row>
    <row r="5">
      <c r="A5" s="31" t="n"/>
      <c r="B5" s="31" t="n"/>
      <c r="C5" s="31" t="n"/>
      <c r="D5" s="31" t="n"/>
      <c r="E5" s="31" t="n"/>
      <c r="F5" s="31" t="n"/>
      <c r="G5" s="31" t="n"/>
      <c r="H5" s="31" t="n"/>
      <c r="I5" s="31" t="n"/>
      <c r="J5" s="31" t="n"/>
      <c r="K5" s="31" t="n"/>
      <c r="L5" s="31" t="n"/>
      <c r="M5" s="31" t="n"/>
      <c r="N5" s="31" t="n"/>
      <c r="O5" s="31" t="n"/>
      <c r="P5" s="31" t="n"/>
      <c r="Q5" s="31" t="n"/>
    </row>
    <row r="6" ht="19.5" customHeight="1">
      <c r="A6" s="34" t="inlineStr">
        <is>
          <t>Applicability</t>
        </is>
      </c>
      <c r="B6" s="34" t="inlineStr">
        <is>
          <t>Requirement</t>
        </is>
      </c>
      <c r="C6" s="34" t="inlineStr">
        <is>
          <t>Execution state</t>
        </is>
      </c>
      <c r="D6" s="34" t="inlineStr">
        <is>
          <t>Evidence state</t>
        </is>
      </c>
      <c r="E6" s="34" t="inlineStr">
        <is>
          <t>Result state</t>
        </is>
      </c>
      <c r="F6" s="34" t="inlineStr">
        <is>
          <t>Issue state</t>
        </is>
      </c>
      <c r="G6" s="34" t="inlineStr">
        <is>
          <t>Signoff state</t>
        </is>
      </c>
      <c r="H6" s="34" t="inlineStr">
        <is>
          <t>Derived outcome</t>
        </is>
      </c>
      <c r="I6" s="34" t="inlineStr">
        <is>
          <t>Procedure</t>
        </is>
      </c>
      <c r="J6" s="34" t="inlineStr">
        <is>
          <t>Assertion(s)</t>
        </is>
      </c>
      <c r="K6" s="34" t="inlineStr">
        <is>
          <t>W/P Ref</t>
        </is>
      </c>
      <c r="L6" s="34" t="inlineStr">
        <is>
          <t>Performed by</t>
        </is>
      </c>
      <c r="M6" s="34" t="inlineStr">
        <is>
          <t>Date</t>
        </is>
      </c>
      <c r="N6" s="34" t="inlineStr">
        <is>
          <t>Reason code</t>
        </is>
      </c>
      <c r="O6" s="34" t="inlineStr">
        <is>
          <t>Source fact / evidence</t>
        </is>
      </c>
      <c r="P6" s="34" t="inlineStr">
        <is>
          <t>Issue / dependency IDs</t>
        </is>
      </c>
      <c r="Q6" s="34" t="inlineStr">
        <is>
          <t>Comment / Work performed</t>
        </is>
      </c>
    </row>
    <row r="7">
      <c r="A7" s="35" t="n"/>
      <c r="B7" s="31" t="n"/>
      <c r="C7" s="31" t="n"/>
      <c r="D7" s="31" t="n"/>
      <c r="E7" s="31" t="n"/>
      <c r="F7" s="31" t="n"/>
      <c r="G7" s="31" t="n"/>
      <c r="H7" s="31" t="n"/>
      <c r="I7" s="36" t="inlineStr">
        <is>
          <t>&lt;.0&gt; Source Index</t>
        </is>
      </c>
      <c r="J7" s="31" t="n"/>
      <c r="K7" s="31" t="n"/>
      <c r="L7" s="31" t="n"/>
      <c r="M7" s="31" t="n"/>
      <c r="N7" s="31" t="n"/>
      <c r="O7" s="31" t="n"/>
      <c r="P7" s="31" t="n"/>
      <c r="Q7" s="31" t="n"/>
    </row>
    <row r="8" ht="120" customHeight="1">
      <c r="A8" s="37" t="inlineStr">
        <is>
          <t>Applicable</t>
        </is>
      </c>
      <c r="B8" s="37" t="inlineStr">
        <is>
          <t>Required</t>
        </is>
      </c>
      <c r="C8" s="37" t="inlineStr">
        <is>
          <t>Not Started</t>
        </is>
      </c>
      <c r="D8" s="37" t="inlineStr">
        <is>
          <t>Missing</t>
        </is>
      </c>
      <c r="E8" s="37" t="inlineStr">
        <is>
          <t>Unable to Conclude</t>
        </is>
      </c>
      <c r="F8" s="37" t="inlineStr">
        <is>
          <t>None</t>
        </is>
      </c>
      <c r="G8" s="38" t="inlineStr">
        <is>
          <t>Unsigned</t>
        </is>
      </c>
      <c r="H8" s="38">
        <f>IF(A8="Not Applicable - Fact Driven",IF(AND(C8="Not Performed",D8="Not Required",OR(F8="None",F8="Resolved",F8="Passed"),OR(G8="Prepared",G8="Reviewed"),LEFT(O8,6)="FACT:/",Q8&lt;&gt;""),"Valid N/A","Blocked"),IF(AND(B8="Recommended",C8="Not Performed",D8="Not Required",OR(F8="None",F8="Resolved",F8="Passed")),"Recommended - Not Performed",IF(C8&lt;&gt;"Performed","Open - "&amp;C8,IF(D8&lt;&gt;"Sufficient","Open - "&amp;D8&amp;" Evidence",IF(E8="Unable to Conclude","Open - Unable to Conclude",IF(AND(E8="Exception Identified",ISERROR(SEARCH("ISSUE:",P8))),"Open - Missing Issue ID",IF(AND(F8="Open",ISERROR(SEARCH("ISSUE:",P8))),"Open - Missing Issue ID",IF(OR(F8="Open",F8="Superseded"),"Open - "&amp;F8&amp;" Issue",IF(AND(E8="Exception Identified",NOT(OR(F8="Adjusted",F8="Passed",F8="Resolved"))),"Open - Undispositioned Exception",IF(OR(G8="Prepared",G8="Reviewed"),"Passed","Open - Unsigned"))))))))))</f>
        <v/>
      </c>
      <c r="I8" s="38" t="inlineStr">
        <is>
          <t>1. Obtain and index all AR PBC sources (sub-ledger/aging, confirmation replies, bank statements, write-off/credit-memo log, allowance/CECL methodology memo); document limitations.</t>
        </is>
      </c>
      <c r="J8" s="38" t="inlineStr">
        <is>
          <t>Completeness</t>
        </is>
      </c>
      <c r="K8" s="38" t="inlineStr">
        <is>
          <t>&lt;.0&gt;</t>
        </is>
      </c>
      <c r="L8" s="38" t="n"/>
      <c r="M8" s="39" t="n"/>
      <c r="N8" s="38" t="n"/>
      <c r="O8" s="38" t="n"/>
      <c r="P8" s="38" t="inlineStr">
        <is>
          <t>PROC:PROC-ACCOUNTS-RECEIVABLE; WINDOW:WIN-CONFIRMATION-CONTROL</t>
        </is>
      </c>
      <c r="Q8" s="38" t="n"/>
    </row>
    <row r="9">
      <c r="A9" s="35" t="n"/>
      <c r="B9" s="31" t="n"/>
      <c r="C9" s="31" t="n"/>
      <c r="D9" s="31" t="n"/>
      <c r="E9" s="31" t="n"/>
      <c r="F9" s="31" t="n"/>
      <c r="G9" s="31" t="n"/>
      <c r="H9" s="31" t="n"/>
      <c r="I9" s="40" t="inlineStr">
        <is>
          <t>&lt;.1&gt; AR Lead Sheet</t>
        </is>
      </c>
      <c r="J9" s="31" t="n"/>
      <c r="K9" s="31" t="n"/>
      <c r="L9" s="31" t="n"/>
      <c r="M9" s="31" t="n"/>
      <c r="N9" s="31" t="n"/>
      <c r="O9" s="31" t="n"/>
      <c r="P9" s="31" t="n"/>
      <c r="Q9" s="31" t="n"/>
    </row>
    <row r="10" ht="120" customHeight="1">
      <c r="A10" s="37" t="inlineStr">
        <is>
          <t>Applicable</t>
        </is>
      </c>
      <c r="B10" s="37" t="inlineStr">
        <is>
          <t>Required</t>
        </is>
      </c>
      <c r="C10" s="37" t="inlineStr">
        <is>
          <t>Not Started</t>
        </is>
      </c>
      <c r="D10" s="37" t="inlineStr">
        <is>
          <t>Missing</t>
        </is>
      </c>
      <c r="E10" s="37" t="inlineStr">
        <is>
          <t>Unable to Conclude</t>
        </is>
      </c>
      <c r="F10" s="37" t="inlineStr">
        <is>
          <t>None</t>
        </is>
      </c>
      <c r="G10" s="38" t="inlineStr">
        <is>
          <t>Unsigned</t>
        </is>
      </c>
      <c r="H10" s="38">
        <f>IF(A10="Not Applicable - Fact Driven",IF(AND(C10="Not Performed",D10="Not Required",OR(F10="None",F10="Resolved",F10="Passed"),OR(G10="Prepared",G10="Reviewed"),LEFT(O10,6)="FACT:/",Q10&lt;&gt;""),"Valid N/A","Blocked"),IF(AND(B10="Recommended",C10="Not Performed",D10="Not Required",OR(F10="None",F10="Resolved",F10="Passed")),"Recommended - Not Performed",IF(C10&lt;&gt;"Performed","Open - "&amp;C10,IF(D10&lt;&gt;"Sufficient","Open - "&amp;D10&amp;" Evidence",IF(E10="Unable to Conclude","Open - Unable to Conclude",IF(AND(E10="Exception Identified",ISERROR(SEARCH("ISSUE:",P10))),"Open - Missing Issue ID",IF(AND(F10="Open",ISERROR(SEARCH("ISSUE:",P10))),"Open - Missing Issue ID",IF(OR(F10="Open",F10="Superseded"),"Open - "&amp;F10&amp;" Issue",IF(AND(E10="Exception Identified",NOT(OR(F10="Adjusted",F10="Passed",F10="Resolved"))),"Open - Undispositioned Exception",IF(OR(G10="Prepared",G10="Reviewed"),"Passed","Open - Unsigned"))))))))))</f>
        <v/>
      </c>
      <c r="I10" s="38" t="inlineStr">
        <is>
          <t>2. Obtain the AR lead sheet and agree gross AR, allowance and net AR to the trial balance and general ledger.</t>
        </is>
      </c>
      <c r="J10" s="38" t="inlineStr">
        <is>
          <t>Existence; Completeness; Rights &amp; Obligations</t>
        </is>
      </c>
      <c r="K10" s="38" t="inlineStr">
        <is>
          <t>&lt;.1&gt;</t>
        </is>
      </c>
      <c r="L10" s="38" t="n"/>
      <c r="M10" s="39" t="n"/>
      <c r="N10" s="38" t="n"/>
      <c r="O10" s="38" t="n"/>
      <c r="P10" s="38" t="inlineStr">
        <is>
          <t>PROC:PROC-ACCOUNTS-RECEIVABLE</t>
        </is>
      </c>
      <c r="Q10" s="38" t="n"/>
    </row>
    <row r="11" ht="120" customHeight="1">
      <c r="A11" s="37" t="inlineStr">
        <is>
          <t>Applicable</t>
        </is>
      </c>
      <c r="B11" s="37" t="inlineStr">
        <is>
          <t>Required</t>
        </is>
      </c>
      <c r="C11" s="37" t="inlineStr">
        <is>
          <t>Not Started</t>
        </is>
      </c>
      <c r="D11" s="37" t="inlineStr">
        <is>
          <t>Missing</t>
        </is>
      </c>
      <c r="E11" s="37" t="inlineStr">
        <is>
          <t>Unable to Conclude</t>
        </is>
      </c>
      <c r="F11" s="37" t="inlineStr">
        <is>
          <t>None</t>
        </is>
      </c>
      <c r="G11" s="38" t="inlineStr">
        <is>
          <t>Unsigned</t>
        </is>
      </c>
      <c r="H11" s="38">
        <f>IF(A11="Not Applicable - Fact Driven",IF(AND(C11="Not Performed",D11="Not Required",OR(F11="None",F11="Resolved",F11="Passed"),OR(G11="Prepared",G11="Reviewed"),LEFT(O11,6)="FACT:/",Q11&lt;&gt;""),"Valid N/A","Blocked"),IF(AND(B11="Recommended",C11="Not Performed",D11="Not Required",OR(F11="None",F11="Resolved",F11="Passed")),"Recommended - Not Performed",IF(C11&lt;&gt;"Performed","Open - "&amp;C11,IF(D11&lt;&gt;"Sufficient","Open - "&amp;D11&amp;" Evidence",IF(E11="Unable to Conclude","Open - Unable to Conclude",IF(AND(E11="Exception Identified",ISERROR(SEARCH("ISSUE:",P11))),"Open - Missing Issue ID",IF(AND(F11="Open",ISERROR(SEARCH("ISSUE:",P11))),"Open - Missing Issue ID",IF(OR(F11="Open",F11="Superseded"),"Open - "&amp;F11&amp;" Issue",IF(AND(E11="Exception Identified",NOT(OR(F11="Adjusted",F11="Passed",F11="Resolved"))),"Open - Undispositioned Exception",IF(OR(G11="Prepared",G11="Reviewed"),"Passed","Open - Unsigned"))))))))))</f>
        <v/>
      </c>
      <c r="I11" s="38" t="inlineStr">
        <is>
          <t>3. Foot the lead sheet and agree current-year and prior-year gross / allowance / net by account.</t>
        </is>
      </c>
      <c r="J11" s="38" t="inlineStr">
        <is>
          <t>Completeness; Accuracy</t>
        </is>
      </c>
      <c r="K11" s="38" t="inlineStr">
        <is>
          <t>&lt;.1&gt;</t>
        </is>
      </c>
      <c r="L11" s="38" t="n"/>
      <c r="M11" s="39" t="n"/>
      <c r="N11" s="38" t="n"/>
      <c r="O11" s="38" t="n"/>
      <c r="P11" s="38" t="inlineStr">
        <is>
          <t>PROC:PROC-ACCOUNTS-RECEIVABLE</t>
        </is>
      </c>
      <c r="Q11" s="38" t="n"/>
    </row>
    <row r="12" ht="120" customHeight="1">
      <c r="A12" s="37" t="inlineStr">
        <is>
          <t>Applicable</t>
        </is>
      </c>
      <c r="B12" s="37" t="inlineStr">
        <is>
          <t>Required</t>
        </is>
      </c>
      <c r="C12" s="37" t="inlineStr">
        <is>
          <t>Not Started</t>
        </is>
      </c>
      <c r="D12" s="37" t="inlineStr">
        <is>
          <t>Missing</t>
        </is>
      </c>
      <c r="E12" s="37" t="inlineStr">
        <is>
          <t>Unable to Conclude</t>
        </is>
      </c>
      <c r="F12" s="37" t="inlineStr">
        <is>
          <t>None</t>
        </is>
      </c>
      <c r="G12" s="38" t="inlineStr">
        <is>
          <t>Unsigned</t>
        </is>
      </c>
      <c r="H12" s="38">
        <f>IF(A12="Not Applicable - Fact Driven",IF(AND(C12="Not Performed",D12="Not Required",OR(F12="None",F12="Resolved",F12="Passed"),OR(G12="Prepared",G12="Reviewed"),LEFT(O12,6)="FACT:/",Q12&lt;&gt;""),"Valid N/A","Blocked"),IF(AND(B12="Recommended",C12="Not Performed",D12="Not Required",OR(F12="None",F12="Resolved",F12="Passed")),"Recommended - Not Performed",IF(C12&lt;&gt;"Performed","Open - "&amp;C12,IF(D12&lt;&gt;"Sufficient","Open - "&amp;D12&amp;" Evidence",IF(E12="Unable to Conclude","Open - Unable to Conclude",IF(AND(E12="Exception Identified",ISERROR(SEARCH("ISSUE:",P12))),"Open - Missing Issue ID",IF(AND(F12="Open",ISERROR(SEARCH("ISSUE:",P12))),"Open - Missing Issue ID",IF(OR(F12="Open",F12="Superseded"),"Open - "&amp;F12&amp;" Issue",IF(AND(E12="Exception Identified",NOT(OR(F12="Adjusted",F12="Passed",F12="Resolved"))),"Open - Undispositioned Exception",IF(OR(G12="Prepared",G12="Reviewed"),"Passed","Open - Unsigned"))))))))))</f>
        <v/>
      </c>
      <c r="I12" s="38" t="inlineStr">
        <is>
          <t>4. Confirm the AR population is complete — all trade receivables, including amounts coded to other GL accounts (e.g. bad-debt-expense 6008); investigate misclassifications.</t>
        </is>
      </c>
      <c r="J12" s="38" t="inlineStr">
        <is>
          <t>Completeness; Classification</t>
        </is>
      </c>
      <c r="K12" s="38" t="inlineStr">
        <is>
          <t>&lt;.1&gt;</t>
        </is>
      </c>
      <c r="L12" s="38" t="n"/>
      <c r="M12" s="39" t="n"/>
      <c r="N12" s="38" t="n"/>
      <c r="O12" s="38" t="n"/>
      <c r="P12" s="38" t="inlineStr">
        <is>
          <t>PROC:PROC-ACCOUNTS-RECEIVABLE</t>
        </is>
      </c>
      <c r="Q12" s="38" t="n"/>
    </row>
    <row r="13" ht="120" customHeight="1">
      <c r="A13" s="37" t="inlineStr">
        <is>
          <t>Applicable</t>
        </is>
      </c>
      <c r="B13" s="37" t="inlineStr">
        <is>
          <t>Required</t>
        </is>
      </c>
      <c r="C13" s="37" t="inlineStr">
        <is>
          <t>Not Started</t>
        </is>
      </c>
      <c r="D13" s="37" t="inlineStr">
        <is>
          <t>Missing</t>
        </is>
      </c>
      <c r="E13" s="37" t="inlineStr">
        <is>
          <t>Unable to Conclude</t>
        </is>
      </c>
      <c r="F13" s="37" t="inlineStr">
        <is>
          <t>None</t>
        </is>
      </c>
      <c r="G13" s="38" t="inlineStr">
        <is>
          <t>Unsigned</t>
        </is>
      </c>
      <c r="H13" s="38">
        <f>IF(A13="Not Applicable - Fact Driven",IF(AND(C13="Not Performed",D13="Not Required",OR(F13="None",F13="Resolved",F13="Passed"),OR(G13="Prepared",G13="Reviewed"),LEFT(O13,6)="FACT:/",Q13&lt;&gt;""),"Valid N/A","Blocked"),IF(AND(B13="Recommended",C13="Not Performed",D13="Not Required",OR(F13="None",F13="Resolved",F13="Passed")),"Recommended - Not Performed",IF(C13&lt;&gt;"Performed","Open - "&amp;C13,IF(D13&lt;&gt;"Sufficient","Open - "&amp;D13&amp;" Evidence",IF(E13="Unable to Conclude","Open - Unable to Conclude",IF(AND(E13="Exception Identified",ISERROR(SEARCH("ISSUE:",P13))),"Open - Missing Issue ID",IF(AND(F13="Open",ISERROR(SEARCH("ISSUE:",P13))),"Open - Missing Issue ID",IF(OR(F13="Open",F13="Superseded"),"Open - "&amp;F13&amp;" Issue",IF(AND(E13="Exception Identified",NOT(OR(F13="Adjusted",F13="Passed",F13="Resolved"))),"Open - Undispositioned Exception",IF(OR(G13="Prepared",G13="Reviewed"),"Passed","Open - Unsigned"))))))))))</f>
        <v/>
      </c>
      <c r="I13" s="38" t="inlineStr">
        <is>
          <t>5. Compute current-vs-prior-year movement and % change; investigate unusual changes.</t>
        </is>
      </c>
      <c r="J13" s="38" t="inlineStr">
        <is>
          <t>Accuracy</t>
        </is>
      </c>
      <c r="K13" s="38" t="inlineStr">
        <is>
          <t>&lt;.1&gt;</t>
        </is>
      </c>
      <c r="L13" s="38" t="n"/>
      <c r="M13" s="39" t="n"/>
      <c r="N13" s="38" t="n"/>
      <c r="O13" s="38" t="n"/>
      <c r="P13" s="38" t="inlineStr">
        <is>
          <t>PROC:PROC-ACCOUNTS-RECEIVABLE</t>
        </is>
      </c>
      <c r="Q13" s="38" t="n"/>
    </row>
    <row r="14">
      <c r="A14" s="35" t="n"/>
      <c r="B14" s="31" t="n"/>
      <c r="C14" s="31" t="n"/>
      <c r="D14" s="31" t="n"/>
      <c r="E14" s="31" t="n"/>
      <c r="F14" s="31" t="n"/>
      <c r="G14" s="31" t="n"/>
      <c r="H14" s="31" t="n"/>
      <c r="I14" s="40" t="inlineStr">
        <is>
          <t>&lt;.2&gt; Aging Tie-Out</t>
        </is>
      </c>
      <c r="J14" s="31" t="n"/>
      <c r="K14" s="31" t="n"/>
      <c r="L14" s="31" t="n"/>
      <c r="M14" s="31" t="n"/>
      <c r="N14" s="31" t="n"/>
      <c r="O14" s="31" t="n"/>
      <c r="P14" s="31" t="n"/>
      <c r="Q14" s="31" t="n"/>
    </row>
    <row r="15" ht="120" customHeight="1">
      <c r="A15" s="37" t="inlineStr">
        <is>
          <t>Applicable</t>
        </is>
      </c>
      <c r="B15" s="37" t="inlineStr">
        <is>
          <t>Required</t>
        </is>
      </c>
      <c r="C15" s="37" t="inlineStr">
        <is>
          <t>Not Started</t>
        </is>
      </c>
      <c r="D15" s="37" t="inlineStr">
        <is>
          <t>Missing</t>
        </is>
      </c>
      <c r="E15" s="37" t="inlineStr">
        <is>
          <t>Unable to Conclude</t>
        </is>
      </c>
      <c r="F15" s="37" t="inlineStr">
        <is>
          <t>None</t>
        </is>
      </c>
      <c r="G15" s="38" t="inlineStr">
        <is>
          <t>Unsigned</t>
        </is>
      </c>
      <c r="H15" s="38">
        <f>IF(A15="Not Applicable - Fact Driven",IF(AND(C15="Not Performed",D15="Not Required",OR(F15="None",F15="Resolved",F15="Passed"),OR(G15="Prepared",G15="Reviewed"),LEFT(O15,6)="FACT:/",Q15&lt;&gt;""),"Valid N/A","Blocked"),IF(AND(B15="Recommended",C15="Not Performed",D15="Not Required",OR(F15="None",F15="Resolved",F15="Passed")),"Recommended - Not Performed",IF(C15&lt;&gt;"Performed","Open - "&amp;C15,IF(D15&lt;&gt;"Sufficient","Open - "&amp;D15&amp;" Evidence",IF(E15="Unable to Conclude","Open - Unable to Conclude",IF(AND(E15="Exception Identified",ISERROR(SEARCH("ISSUE:",P15))),"Open - Missing Issue ID",IF(AND(F15="Open",ISERROR(SEARCH("ISSUE:",P15))),"Open - Missing Issue ID",IF(OR(F15="Open",F15="Superseded"),"Open - "&amp;F15&amp;" Issue",IF(AND(E15="Exception Identified",NOT(OR(F15="Adjusted",F15="Passed",F15="Resolved"))),"Open - Undispositioned Exception",IF(OR(G15="Prepared",G15="Reviewed"),"Passed","Open - Unsigned"))))))))))</f>
        <v/>
      </c>
      <c r="I15" s="38" t="inlineStr">
        <is>
          <t>6. Reconcile the year-end aging / open-item support to the lead sheet and foot the aging by bucket.</t>
        </is>
      </c>
      <c r="J15" s="38" t="inlineStr">
        <is>
          <t>Accuracy; Completeness</t>
        </is>
      </c>
      <c r="K15" s="38" t="inlineStr">
        <is>
          <t>&lt;.2&gt;</t>
        </is>
      </c>
      <c r="L15" s="38" t="n"/>
      <c r="M15" s="39" t="n"/>
      <c r="N15" s="38" t="n"/>
      <c r="O15" s="38" t="n"/>
      <c r="P15" s="38" t="inlineStr">
        <is>
          <t>PROC:PROC-ACCOUNTS-RECEIVABLE</t>
        </is>
      </c>
      <c r="Q15" s="38" t="n"/>
    </row>
    <row r="16">
      <c r="A16" s="35" t="n"/>
      <c r="B16" s="31" t="n"/>
      <c r="C16" s="31" t="n"/>
      <c r="D16" s="31" t="n"/>
      <c r="E16" s="31" t="n"/>
      <c r="F16" s="31" t="n"/>
      <c r="G16" s="31" t="n"/>
      <c r="H16" s="31" t="n"/>
      <c r="I16" s="40" t="inlineStr">
        <is>
          <t>&lt;.3&gt; Aging Bucket Testing</t>
        </is>
      </c>
      <c r="J16" s="31" t="n"/>
      <c r="K16" s="31" t="n"/>
      <c r="L16" s="31" t="n"/>
      <c r="M16" s="31" t="n"/>
      <c r="N16" s="31" t="n"/>
      <c r="O16" s="31" t="n"/>
      <c r="P16" s="31" t="n"/>
      <c r="Q16" s="31" t="n"/>
    </row>
    <row r="17" ht="120" customHeight="1">
      <c r="A17" s="37" t="inlineStr">
        <is>
          <t>Applicable</t>
        </is>
      </c>
      <c r="B17" s="37" t="inlineStr">
        <is>
          <t>Required</t>
        </is>
      </c>
      <c r="C17" s="37" t="inlineStr">
        <is>
          <t>Not Started</t>
        </is>
      </c>
      <c r="D17" s="37" t="inlineStr">
        <is>
          <t>Missing</t>
        </is>
      </c>
      <c r="E17" s="37" t="inlineStr">
        <is>
          <t>Unable to Conclude</t>
        </is>
      </c>
      <c r="F17" s="37" t="inlineStr">
        <is>
          <t>None</t>
        </is>
      </c>
      <c r="G17" s="38" t="inlineStr">
        <is>
          <t>Unsigned</t>
        </is>
      </c>
      <c r="H17" s="38">
        <f>IF(A17="Not Applicable - Fact Driven",IF(AND(C17="Not Performed",D17="Not Required",OR(F17="None",F17="Resolved",F17="Passed"),OR(G17="Prepared",G17="Reviewed"),LEFT(O17,6)="FACT:/",Q17&lt;&gt;""),"Valid N/A","Blocked"),IF(AND(B17="Recommended",C17="Not Performed",D17="Not Required",OR(F17="None",F17="Resolved",F17="Passed")),"Recommended - Not Performed",IF(C17&lt;&gt;"Performed","Open - "&amp;C17,IF(D17&lt;&gt;"Sufficient","Open - "&amp;D17&amp;" Evidence",IF(E17="Unable to Conclude","Open - Unable to Conclude",IF(AND(E17="Exception Identified",ISERROR(SEARCH("ISSUE:",P17))),"Open - Missing Issue ID",IF(AND(F17="Open",ISERROR(SEARCH("ISSUE:",P17))),"Open - Missing Issue ID",IF(OR(F17="Open",F17="Superseded"),"Open - "&amp;F17&amp;" Issue",IF(AND(E17="Exception Identified",NOT(OR(F17="Adjusted",F17="Passed",F17="Resolved"))),"Open - Undispositioned Exception",IF(OR(G17="Prepared",G17="Reviewed"),"Passed","Open - Unsigned"))))))))))</f>
        <v/>
      </c>
      <c r="I17" s="38" t="inlineStr">
        <is>
          <t>7. Re-age open items from invoice/due date and recompute the aging-bucket classification; investigate where bucket labels contradict invoice dates.</t>
        </is>
      </c>
      <c r="J17" s="38" t="inlineStr">
        <is>
          <t>Accuracy; Valuation &amp; Allocation</t>
        </is>
      </c>
      <c r="K17" s="38" t="inlineStr">
        <is>
          <t>&lt;.3&gt;</t>
        </is>
      </c>
      <c r="L17" s="38" t="n"/>
      <c r="M17" s="39" t="n"/>
      <c r="N17" s="38" t="n"/>
      <c r="O17" s="38" t="n"/>
      <c r="P17" s="38" t="inlineStr">
        <is>
          <t>PROC:PROC-ACCOUNTS-RECEIVABLE</t>
        </is>
      </c>
      <c r="Q17" s="38" t="n"/>
    </row>
    <row r="18" ht="120" customHeight="1">
      <c r="A18" s="37" t="inlineStr">
        <is>
          <t>Applicable</t>
        </is>
      </c>
      <c r="B18" s="37" t="inlineStr">
        <is>
          <t>Required</t>
        </is>
      </c>
      <c r="C18" s="37" t="inlineStr">
        <is>
          <t>Not Started</t>
        </is>
      </c>
      <c r="D18" s="37" t="inlineStr">
        <is>
          <t>Missing</t>
        </is>
      </c>
      <c r="E18" s="37" t="inlineStr">
        <is>
          <t>Unable to Conclude</t>
        </is>
      </c>
      <c r="F18" s="37" t="inlineStr">
        <is>
          <t>None</t>
        </is>
      </c>
      <c r="G18" s="38" t="inlineStr">
        <is>
          <t>Unsigned</t>
        </is>
      </c>
      <c r="H18" s="38">
        <f>IF(A18="Not Applicable - Fact Driven",IF(AND(C18="Not Performed",D18="Not Required",OR(F18="None",F18="Resolved",F18="Passed"),OR(G18="Prepared",G18="Reviewed"),LEFT(O18,6)="FACT:/",Q18&lt;&gt;""),"Valid N/A","Blocked"),IF(AND(B18="Recommended",C18="Not Performed",D18="Not Required",OR(F18="None",F18="Resolved",F18="Passed")),"Recommended - Not Performed",IF(C18&lt;&gt;"Performed","Open - "&amp;C18,IF(D18&lt;&gt;"Sufficient","Open - "&amp;D18&amp;" Evidence",IF(E18="Unable to Conclude","Open - Unable to Conclude",IF(AND(E18="Exception Identified",ISERROR(SEARCH("ISSUE:",P18))),"Open - Missing Issue ID",IF(AND(F18="Open",ISERROR(SEARCH("ISSUE:",P18))),"Open - Missing Issue ID",IF(OR(F18="Open",F18="Superseded"),"Open - "&amp;F18&amp;" Issue",IF(AND(E18="Exception Identified",NOT(OR(F18="Adjusted",F18="Passed",F18="Resolved"))),"Open - Undispositioned Exception",IF(OR(G18="Prepared",G18="Reviewed"),"Passed","Open - Unsigned"))))))))))</f>
        <v/>
      </c>
      <c r="I18" s="38" t="inlineStr">
        <is>
          <t>8. Request a corrected ERP aging that re-ages from invoice/due date where the provided aging is unreliable.</t>
        </is>
      </c>
      <c r="J18" s="38" t="inlineStr">
        <is>
          <t>Accuracy</t>
        </is>
      </c>
      <c r="K18" s="38" t="inlineStr">
        <is>
          <t>&lt;.3&gt;</t>
        </is>
      </c>
      <c r="L18" s="38" t="n"/>
      <c r="M18" s="39" t="n"/>
      <c r="N18" s="38" t="n"/>
      <c r="O18" s="38" t="n"/>
      <c r="P18" s="38" t="inlineStr">
        <is>
          <t>PROC:PROC-ACCOUNTS-RECEIVABLE</t>
        </is>
      </c>
      <c r="Q18" s="38" t="n"/>
    </row>
    <row r="19">
      <c r="A19" s="35" t="n"/>
      <c r="B19" s="31" t="n"/>
      <c r="C19" s="31" t="n"/>
      <c r="D19" s="31" t="n"/>
      <c r="E19" s="31" t="n"/>
      <c r="F19" s="31" t="n"/>
      <c r="G19" s="31" t="n"/>
      <c r="H19" s="31" t="n"/>
      <c r="I19" s="40" t="inlineStr">
        <is>
          <t>&lt;.4&gt; Allowance for Doubtful Accounts</t>
        </is>
      </c>
      <c r="J19" s="31" t="n"/>
      <c r="K19" s="31" t="n"/>
      <c r="L19" s="31" t="n"/>
      <c r="M19" s="31" t="n"/>
      <c r="N19" s="31" t="n"/>
      <c r="O19" s="31" t="n"/>
      <c r="P19" s="31" t="n"/>
      <c r="Q19" s="31" t="n"/>
    </row>
    <row r="20" ht="120" customHeight="1">
      <c r="A20" s="37" t="inlineStr">
        <is>
          <t>Applicable</t>
        </is>
      </c>
      <c r="B20" s="37" t="inlineStr">
        <is>
          <t>Required</t>
        </is>
      </c>
      <c r="C20" s="37" t="inlineStr">
        <is>
          <t>Not Started</t>
        </is>
      </c>
      <c r="D20" s="37" t="inlineStr">
        <is>
          <t>Missing</t>
        </is>
      </c>
      <c r="E20" s="37" t="inlineStr">
        <is>
          <t>Unable to Conclude</t>
        </is>
      </c>
      <c r="F20" s="37" t="inlineStr">
        <is>
          <t>None</t>
        </is>
      </c>
      <c r="G20" s="38" t="inlineStr">
        <is>
          <t>Unsigned</t>
        </is>
      </c>
      <c r="H20" s="38">
        <f>IF(A20="Not Applicable - Fact Driven",IF(AND(C20="Not Performed",D20="Not Required",OR(F20="None",F20="Resolved",F20="Passed"),OR(G20="Prepared",G20="Reviewed"),LEFT(O20,6)="FACT:/",Q20&lt;&gt;""),"Valid N/A","Blocked"),IF(AND(B20="Recommended",C20="Not Performed",D20="Not Required",OR(F20="None",F20="Resolved",F20="Passed")),"Recommended - Not Performed",IF(C20&lt;&gt;"Performed","Open - "&amp;C20,IF(D20&lt;&gt;"Sufficient","Open - "&amp;D20&amp;" Evidence",IF(E20="Unable to Conclude","Open - Unable to Conclude",IF(AND(E20="Exception Identified",ISERROR(SEARCH("ISSUE:",P20))),"Open - Missing Issue ID",IF(AND(F20="Open",ISERROR(SEARCH("ISSUE:",P20))),"Open - Missing Issue ID",IF(OR(F20="Open",F20="Superseded"),"Open - "&amp;F20&amp;" Issue",IF(AND(E20="Exception Identified",NOT(OR(F20="Adjusted",F20="Passed",F20="Resolved"))),"Open - Undispositioned Exception",IF(OR(G20="Prepared",G20="Reviewed"),"Passed","Open - Unsigned"))))))))))</f>
        <v/>
      </c>
      <c r="I20" s="38" t="inlineStr">
        <is>
          <t>9. Obtain management's allowance roll-forward (beginning -&gt; provision (bad debt expense) -&gt; write-offs -&gt; recoveries -&gt; ending) and agree ending to the trial balance.</t>
        </is>
      </c>
      <c r="J20" s="38" t="inlineStr">
        <is>
          <t>Valuation &amp; Allocation; Completeness</t>
        </is>
      </c>
      <c r="K20" s="38" t="inlineStr">
        <is>
          <t>&lt;.4&gt;</t>
        </is>
      </c>
      <c r="L20" s="38" t="n"/>
      <c r="M20" s="39" t="n"/>
      <c r="N20" s="38" t="n"/>
      <c r="O20" s="38" t="n"/>
      <c r="P20" s="38" t="inlineStr">
        <is>
          <t>PROC:PROC-ACCOUNTS-RECEIVABLE</t>
        </is>
      </c>
      <c r="Q20" s="38" t="n"/>
    </row>
    <row r="21" ht="120" customHeight="1">
      <c r="A21" s="37" t="inlineStr">
        <is>
          <t>Applicable</t>
        </is>
      </c>
      <c r="B21" s="37" t="inlineStr">
        <is>
          <t>Required</t>
        </is>
      </c>
      <c r="C21" s="37" t="inlineStr">
        <is>
          <t>Not Started</t>
        </is>
      </c>
      <c r="D21" s="37" t="inlineStr">
        <is>
          <t>Missing</t>
        </is>
      </c>
      <c r="E21" s="37" t="inlineStr">
        <is>
          <t>Unable to Conclude</t>
        </is>
      </c>
      <c r="F21" s="37" t="inlineStr">
        <is>
          <t>None</t>
        </is>
      </c>
      <c r="G21" s="38" t="inlineStr">
        <is>
          <t>Unsigned</t>
        </is>
      </c>
      <c r="H21" s="38">
        <f>IF(A21="Not Applicable - Fact Driven",IF(AND(C21="Not Performed",D21="Not Required",OR(F21="None",F21="Resolved",F21="Passed"),OR(G21="Prepared",G21="Reviewed"),LEFT(O21,6)="FACT:/",Q21&lt;&gt;""),"Valid N/A","Blocked"),IF(AND(B21="Recommended",C21="Not Performed",D21="Not Required",OR(F21="None",F21="Resolved",F21="Passed")),"Recommended - Not Performed",IF(C21&lt;&gt;"Performed","Open - "&amp;C21,IF(D21&lt;&gt;"Sufficient","Open - "&amp;D21&amp;" Evidence",IF(E21="Unable to Conclude","Open - Unable to Conclude",IF(AND(E21="Exception Identified",ISERROR(SEARCH("ISSUE:",P21))),"Open - Missing Issue ID",IF(AND(F21="Open",ISERROR(SEARCH("ISSUE:",P21))),"Open - Missing Issue ID",IF(OR(F21="Open",F21="Superseded"),"Open - "&amp;F21&amp;" Issue",IF(AND(E21="Exception Identified",NOT(OR(F21="Adjusted",F21="Passed",F21="Resolved"))),"Open - Undispositioned Exception",IF(OR(G21="Prepared",G21="Reviewed"),"Passed","Open - Unsigned"))))))))))</f>
        <v/>
      </c>
      <c r="I21" s="38" t="inlineStr">
        <is>
          <t>10. Evaluate specific reserves on significant / past-due balances and their basis / rationale.</t>
        </is>
      </c>
      <c r="J21" s="38" t="inlineStr">
        <is>
          <t>Valuation &amp; Allocation</t>
        </is>
      </c>
      <c r="K21" s="38" t="inlineStr">
        <is>
          <t>&lt;.4&gt;</t>
        </is>
      </c>
      <c r="L21" s="38" t="n"/>
      <c r="M21" s="39" t="n"/>
      <c r="N21" s="38" t="n"/>
      <c r="O21" s="38" t="n"/>
      <c r="P21" s="38" t="inlineStr">
        <is>
          <t>PROC:PROC-ACCOUNTS-RECEIVABLE</t>
        </is>
      </c>
      <c r="Q21" s="38" t="n"/>
    </row>
    <row r="22" ht="120" customHeight="1">
      <c r="A22" s="37" t="inlineStr">
        <is>
          <t>Applicable</t>
        </is>
      </c>
      <c r="B22" s="37" t="inlineStr">
        <is>
          <t>Required</t>
        </is>
      </c>
      <c r="C22" s="37" t="inlineStr">
        <is>
          <t>Not Started</t>
        </is>
      </c>
      <c r="D22" s="37" t="inlineStr">
        <is>
          <t>Missing</t>
        </is>
      </c>
      <c r="E22" s="37" t="inlineStr">
        <is>
          <t>Unable to Conclude</t>
        </is>
      </c>
      <c r="F22" s="37" t="inlineStr">
        <is>
          <t>None</t>
        </is>
      </c>
      <c r="G22" s="38" t="inlineStr">
        <is>
          <t>Unsigned</t>
        </is>
      </c>
      <c r="H22" s="38">
        <f>IF(A22="Not Applicable - Fact Driven",IF(AND(C22="Not Performed",D22="Not Required",OR(F22="None",F22="Resolved",F22="Passed"),OR(G22="Prepared",G22="Reviewed"),LEFT(O22,6)="FACT:/",Q22&lt;&gt;""),"Valid N/A","Blocked"),IF(AND(B22="Recommended",C22="Not Performed",D22="Not Required",OR(F22="None",F22="Resolved",F22="Passed")),"Recommended - Not Performed",IF(C22&lt;&gt;"Performed","Open - "&amp;C22,IF(D22&lt;&gt;"Sufficient","Open - "&amp;D22&amp;" Evidence",IF(E22="Unable to Conclude","Open - Unable to Conclude",IF(AND(E22="Exception Identified",ISERROR(SEARCH("ISSUE:",P22))),"Open - Missing Issue ID",IF(AND(F22="Open",ISERROR(SEARCH("ISSUE:",P22))),"Open - Missing Issue ID",IF(OR(F22="Open",F22="Superseded"),"Open - "&amp;F22&amp;" Issue",IF(AND(E22="Exception Identified",NOT(OR(F22="Adjusted",F22="Passed",F22="Resolved"))),"Open - Undispositioned Exception",IF(OR(G22="Prepared",G22="Reviewed"),"Passed","Open - Unsigned"))))))))))</f>
        <v/>
      </c>
      <c r="I22" s="38" t="inlineStr">
        <is>
          <t>11. Request the deduction / credit-memo and write-off log and agree write-offs to the roll-forward.</t>
        </is>
      </c>
      <c r="J22" s="38" t="inlineStr">
        <is>
          <t>Valuation &amp; Allocation; Completeness</t>
        </is>
      </c>
      <c r="K22" s="38" t="inlineStr">
        <is>
          <t>&lt;.4&gt;</t>
        </is>
      </c>
      <c r="L22" s="38" t="n"/>
      <c r="M22" s="39" t="n"/>
      <c r="N22" s="38" t="n"/>
      <c r="O22" s="38" t="n"/>
      <c r="P22" s="38" t="inlineStr">
        <is>
          <t>PROC:PROC-ACCOUNTS-RECEIVABLE</t>
        </is>
      </c>
      <c r="Q22" s="38" t="n"/>
    </row>
    <row r="23" ht="120" customHeight="1">
      <c r="A23" s="37" t="inlineStr">
        <is>
          <t>Applicable</t>
        </is>
      </c>
      <c r="B23" s="37" t="inlineStr">
        <is>
          <t>Required</t>
        </is>
      </c>
      <c r="C23" s="37" t="inlineStr">
        <is>
          <t>Not Started</t>
        </is>
      </c>
      <c r="D23" s="37" t="inlineStr">
        <is>
          <t>Missing</t>
        </is>
      </c>
      <c r="E23" s="37" t="inlineStr">
        <is>
          <t>Unable to Conclude</t>
        </is>
      </c>
      <c r="F23" s="37" t="inlineStr">
        <is>
          <t>None</t>
        </is>
      </c>
      <c r="G23" s="38" t="inlineStr">
        <is>
          <t>Unsigned</t>
        </is>
      </c>
      <c r="H23" s="38">
        <f>IF(A23="Not Applicable - Fact Driven",IF(AND(C23="Not Performed",D23="Not Required",OR(F23="None",F23="Resolved",F23="Passed"),OR(G23="Prepared",G23="Reviewed"),LEFT(O23,6)="FACT:/",Q23&lt;&gt;""),"Valid N/A","Blocked"),IF(AND(B23="Recommended",C23="Not Performed",D23="Not Required",OR(F23="None",F23="Resolved",F23="Passed")),"Recommended - Not Performed",IF(C23&lt;&gt;"Performed","Open - "&amp;C23,IF(D23&lt;&gt;"Sufficient","Open - "&amp;D23&amp;" Evidence",IF(E23="Unable to Conclude","Open - Unable to Conclude",IF(AND(E23="Exception Identified",ISERROR(SEARCH("ISSUE:",P23))),"Open - Missing Issue ID",IF(AND(F23="Open",ISERROR(SEARCH("ISSUE:",P23))),"Open - Missing Issue ID",IF(OR(F23="Open",F23="Superseded"),"Open - "&amp;F23&amp;" Issue",IF(AND(E23="Exception Identified",NOT(OR(F23="Adjusted",F23="Passed",F23="Resolved"))),"Open - Undispositioned Exception",IF(OR(G23="Prepared",G23="Reviewed"),"Passed","Open - Unsigned"))))))))))</f>
        <v/>
      </c>
      <c r="I23" s="38" t="inlineStr">
        <is>
          <t>12. Conclude on whether the recorded allowance is reasonable (required vs recorded vs materiality).</t>
        </is>
      </c>
      <c r="J23" s="38" t="inlineStr">
        <is>
          <t>Valuation &amp; Allocation</t>
        </is>
      </c>
      <c r="K23" s="38" t="inlineStr">
        <is>
          <t>&lt;.4&gt;</t>
        </is>
      </c>
      <c r="L23" s="38" t="n"/>
      <c r="M23" s="39" t="n"/>
      <c r="N23" s="38" t="n"/>
      <c r="O23" s="38" t="n"/>
      <c r="P23" s="38" t="inlineStr">
        <is>
          <t>PROC:PROC-ACCOUNTS-RECEIVABLE</t>
        </is>
      </c>
      <c r="Q23" s="38" t="n"/>
    </row>
    <row r="24">
      <c r="A24" s="35" t="n"/>
      <c r="B24" s="31" t="n"/>
      <c r="C24" s="31" t="n"/>
      <c r="D24" s="31" t="n"/>
      <c r="E24" s="31" t="n"/>
      <c r="F24" s="31" t="n"/>
      <c r="G24" s="31" t="n"/>
      <c r="H24" s="31" t="n"/>
      <c r="I24" s="40" t="inlineStr">
        <is>
          <t>&lt;.5&gt; CECL / Expected Credit Loss</t>
        </is>
      </c>
      <c r="J24" s="31" t="n"/>
      <c r="K24" s="31" t="n"/>
      <c r="L24" s="31" t="n"/>
      <c r="M24" s="31" t="n"/>
      <c r="N24" s="31" t="n"/>
      <c r="O24" s="31" t="n"/>
      <c r="P24" s="31" t="n"/>
      <c r="Q24" s="31" t="n"/>
    </row>
    <row r="25" ht="120" customHeight="1">
      <c r="A25" s="37" t="inlineStr">
        <is>
          <t>Applicable</t>
        </is>
      </c>
      <c r="B25" s="37" t="inlineStr">
        <is>
          <t>Required</t>
        </is>
      </c>
      <c r="C25" s="37" t="inlineStr">
        <is>
          <t>Not Started</t>
        </is>
      </c>
      <c r="D25" s="37" t="inlineStr">
        <is>
          <t>Missing</t>
        </is>
      </c>
      <c r="E25" s="37" t="inlineStr">
        <is>
          <t>Unable to Conclude</t>
        </is>
      </c>
      <c r="F25" s="37" t="inlineStr">
        <is>
          <t>None</t>
        </is>
      </c>
      <c r="G25" s="38" t="inlineStr">
        <is>
          <t>Unsigned</t>
        </is>
      </c>
      <c r="H25" s="38">
        <f>IF(A25="Not Applicable - Fact Driven",IF(AND(C25="Not Performed",D25="Not Required",OR(F25="None",F25="Resolved",F25="Passed"),OR(G25="Prepared",G25="Reviewed"),LEFT(O25,6)="FACT:/",Q25&lt;&gt;""),"Valid N/A","Blocked"),IF(AND(B25="Recommended",C25="Not Performed",D25="Not Required",OR(F25="None",F25="Resolved",F25="Passed")),"Recommended - Not Performed",IF(C25&lt;&gt;"Performed","Open - "&amp;C25,IF(D25&lt;&gt;"Sufficient","Open - "&amp;D25&amp;" Evidence",IF(E25="Unable to Conclude","Open - Unable to Conclude",IF(AND(E25="Exception Identified",ISERROR(SEARCH("ISSUE:",P25))),"Open - Missing Issue ID",IF(AND(F25="Open",ISERROR(SEARCH("ISSUE:",P25))),"Open - Missing Issue ID",IF(OR(F25="Open",F25="Superseded"),"Open - "&amp;F25&amp;" Issue",IF(AND(E25="Exception Identified",NOT(OR(F25="Adjusted",F25="Passed",F25="Resolved"))),"Open - Undispositioned Exception",IF(OR(G25="Prepared",G25="Reviewed"),"Passed","Open - Unsigned"))))))))))</f>
        <v/>
      </c>
      <c r="I25" s="38" t="inlineStr">
        <is>
          <t>13. Obtain management's written CECL / expected-credit-loss methodology and historical loss-rate support.</t>
        </is>
      </c>
      <c r="J25" s="38" t="inlineStr">
        <is>
          <t>Valuation &amp; Allocation</t>
        </is>
      </c>
      <c r="K25" s="38" t="inlineStr">
        <is>
          <t>&lt;.5&gt;</t>
        </is>
      </c>
      <c r="L25" s="38" t="n"/>
      <c r="M25" s="39" t="n"/>
      <c r="N25" s="38" t="n"/>
      <c r="O25" s="38" t="n"/>
      <c r="P25" s="38" t="inlineStr">
        <is>
          <t>PROC:PROC-ACCOUNTS-RECEIVABLE</t>
        </is>
      </c>
      <c r="Q25" s="38" t="n"/>
    </row>
    <row r="26" ht="120" customHeight="1">
      <c r="A26" s="37" t="inlineStr">
        <is>
          <t>Applicable</t>
        </is>
      </c>
      <c r="B26" s="37" t="inlineStr">
        <is>
          <t>Required</t>
        </is>
      </c>
      <c r="C26" s="37" t="inlineStr">
        <is>
          <t>Not Started</t>
        </is>
      </c>
      <c r="D26" s="37" t="inlineStr">
        <is>
          <t>Missing</t>
        </is>
      </c>
      <c r="E26" s="37" t="inlineStr">
        <is>
          <t>Unable to Conclude</t>
        </is>
      </c>
      <c r="F26" s="37" t="inlineStr">
        <is>
          <t>None</t>
        </is>
      </c>
      <c r="G26" s="38" t="inlineStr">
        <is>
          <t>Unsigned</t>
        </is>
      </c>
      <c r="H26" s="38">
        <f>IF(A26="Not Applicable - Fact Driven",IF(AND(C26="Not Performed",D26="Not Required",OR(F26="None",F26="Resolved",F26="Passed"),OR(G26="Prepared",G26="Reviewed"),LEFT(O26,6)="FACT:/",Q26&lt;&gt;""),"Valid N/A","Blocked"),IF(AND(B26="Recommended",C26="Not Performed",D26="Not Required",OR(F26="None",F26="Resolved",F26="Passed")),"Recommended - Not Performed",IF(C26&lt;&gt;"Performed","Open - "&amp;C26,IF(D26&lt;&gt;"Sufficient","Open - "&amp;D26&amp;" Evidence",IF(E26="Unable to Conclude","Open - Unable to Conclude",IF(AND(E26="Exception Identified",ISERROR(SEARCH("ISSUE:",P26))),"Open - Missing Issue ID",IF(AND(F26="Open",ISERROR(SEARCH("ISSUE:",P26))),"Open - Missing Issue ID",IF(OR(F26="Open",F26="Superseded"),"Open - "&amp;F26&amp;" Issue",IF(AND(E26="Exception Identified",NOT(OR(F26="Adjusted",F26="Passed",F26="Resolved"))),"Open - Undispositioned Exception",IF(OR(G26="Prepared",G26="Reviewed"),"Passed","Open - Unsigned"))))))))))</f>
        <v/>
      </c>
      <c r="I26" s="38" t="inlineStr">
        <is>
          <t>14. Recompute the expected credit loss using pooled aging x historical loss rates and compare to the recorded allowance.</t>
        </is>
      </c>
      <c r="J26" s="38" t="inlineStr">
        <is>
          <t>Valuation &amp; Allocation</t>
        </is>
      </c>
      <c r="K26" s="38" t="inlineStr">
        <is>
          <t>&lt;.5&gt;</t>
        </is>
      </c>
      <c r="L26" s="38" t="n"/>
      <c r="M26" s="39" t="n"/>
      <c r="N26" s="38" t="n"/>
      <c r="O26" s="38" t="n"/>
      <c r="P26" s="38" t="inlineStr">
        <is>
          <t>PROC:PROC-ACCOUNTS-RECEIVABLE</t>
        </is>
      </c>
      <c r="Q26" s="38" t="n"/>
    </row>
    <row r="27" ht="120" customHeight="1">
      <c r="A27" s="37" t="inlineStr">
        <is>
          <t>Applicable</t>
        </is>
      </c>
      <c r="B27" s="37" t="inlineStr">
        <is>
          <t>Required</t>
        </is>
      </c>
      <c r="C27" s="37" t="inlineStr">
        <is>
          <t>Not Started</t>
        </is>
      </c>
      <c r="D27" s="37" t="inlineStr">
        <is>
          <t>Missing</t>
        </is>
      </c>
      <c r="E27" s="37" t="inlineStr">
        <is>
          <t>Unable to Conclude</t>
        </is>
      </c>
      <c r="F27" s="37" t="inlineStr">
        <is>
          <t>None</t>
        </is>
      </c>
      <c r="G27" s="38" t="inlineStr">
        <is>
          <t>Unsigned</t>
        </is>
      </c>
      <c r="H27" s="38">
        <f>IF(A27="Not Applicable - Fact Driven",IF(AND(C27="Not Performed",D27="Not Required",OR(F27="None",F27="Resolved",F27="Passed"),OR(G27="Prepared",G27="Reviewed"),LEFT(O27,6)="FACT:/",Q27&lt;&gt;""),"Valid N/A","Blocked"),IF(AND(B27="Recommended",C27="Not Performed",D27="Not Required",OR(F27="None",F27="Resolved",F27="Passed")),"Recommended - Not Performed",IF(C27&lt;&gt;"Performed","Open - "&amp;C27,IF(D27&lt;&gt;"Sufficient","Open - "&amp;D27&amp;" Evidence",IF(E27="Unable to Conclude","Open - Unable to Conclude",IF(AND(E27="Exception Identified",ISERROR(SEARCH("ISSUE:",P27))),"Open - Missing Issue ID",IF(AND(F27="Open",ISERROR(SEARCH("ISSUE:",P27))),"Open - Missing Issue ID",IF(OR(F27="Open",F27="Superseded"),"Open - "&amp;F27&amp;" Issue",IF(AND(E27="Exception Identified",NOT(OR(F27="Adjusted",F27="Passed",F27="Resolved"))),"Open - Undispositioned Exception",IF(OR(G27="Prepared",G27="Reviewed"),"Passed","Open - Unsigned"))))))))))</f>
        <v/>
      </c>
      <c r="I27" s="38" t="inlineStr">
        <is>
          <t>15. Perform a write-off / loss-rate lookback to evaluate the reasonableness of the loss rates applied.</t>
        </is>
      </c>
      <c r="J27" s="38" t="inlineStr">
        <is>
          <t>Valuation &amp; Allocation</t>
        </is>
      </c>
      <c r="K27" s="38" t="inlineStr">
        <is>
          <t>&lt;.5&gt;</t>
        </is>
      </c>
      <c r="L27" s="38" t="n"/>
      <c r="M27" s="39" t="n"/>
      <c r="N27" s="38" t="n"/>
      <c r="O27" s="38" t="n"/>
      <c r="P27" s="38" t="inlineStr">
        <is>
          <t>PROC:PROC-ACCOUNTS-RECEIVABLE</t>
        </is>
      </c>
      <c r="Q27" s="38" t="n"/>
    </row>
    <row r="28" ht="120" customHeight="1">
      <c r="A28" s="37" t="inlineStr">
        <is>
          <t>Applicable</t>
        </is>
      </c>
      <c r="B28" s="37" t="inlineStr">
        <is>
          <t>Required</t>
        </is>
      </c>
      <c r="C28" s="37" t="inlineStr">
        <is>
          <t>Not Started</t>
        </is>
      </c>
      <c r="D28" s="37" t="inlineStr">
        <is>
          <t>Missing</t>
        </is>
      </c>
      <c r="E28" s="37" t="inlineStr">
        <is>
          <t>Unable to Conclude</t>
        </is>
      </c>
      <c r="F28" s="37" t="inlineStr">
        <is>
          <t>None</t>
        </is>
      </c>
      <c r="G28" s="38" t="inlineStr">
        <is>
          <t>Unsigned</t>
        </is>
      </c>
      <c r="H28" s="38">
        <f>IF(A28="Not Applicable - Fact Driven",IF(AND(C28="Not Performed",D28="Not Required",OR(F28="None",F28="Resolved",F28="Passed"),OR(G28="Prepared",G28="Reviewed"),LEFT(O28,6)="FACT:/",Q28&lt;&gt;""),"Valid N/A","Blocked"),IF(AND(B28="Recommended",C28="Not Performed",D28="Not Required",OR(F28="None",F28="Resolved",F28="Passed")),"Recommended - Not Performed",IF(C28&lt;&gt;"Performed","Open - "&amp;C28,IF(D28&lt;&gt;"Sufficient","Open - "&amp;D28&amp;" Evidence",IF(E28="Unable to Conclude","Open - Unable to Conclude",IF(AND(E28="Exception Identified",ISERROR(SEARCH("ISSUE:",P28))),"Open - Missing Issue ID",IF(AND(F28="Open",ISERROR(SEARCH("ISSUE:",P28))),"Open - Missing Issue ID",IF(OR(F28="Open",F28="Superseded"),"Open - "&amp;F28&amp;" Issue",IF(AND(E28="Exception Identified",NOT(OR(F28="Adjusted",F28="Passed",F28="Resolved"))),"Open - Undispositioned Exception",IF(OR(G28="Prepared",G28="Reviewed"),"Passed","Open - Unsigned"))))))))))</f>
        <v/>
      </c>
      <c r="I28" s="38" t="inlineStr">
        <is>
          <t>16. Evaluate forward-looking / qualitative factors (economic conditions, concentration, aging deterioration) and their effect on the estimate.</t>
        </is>
      </c>
      <c r="J28" s="38" t="inlineStr">
        <is>
          <t>Valuation &amp; Allocation</t>
        </is>
      </c>
      <c r="K28" s="38" t="inlineStr">
        <is>
          <t>&lt;.5&gt;</t>
        </is>
      </c>
      <c r="L28" s="38" t="n"/>
      <c r="M28" s="39" t="n"/>
      <c r="N28" s="38" t="n"/>
      <c r="O28" s="38" t="n"/>
      <c r="P28" s="38" t="inlineStr">
        <is>
          <t>PROC:PROC-ACCOUNTS-RECEIVABLE</t>
        </is>
      </c>
      <c r="Q28" s="38" t="n"/>
    </row>
    <row r="29">
      <c r="A29" s="35" t="n"/>
      <c r="B29" s="31" t="n"/>
      <c r="C29" s="31" t="n"/>
      <c r="D29" s="31" t="n"/>
      <c r="E29" s="31" t="n"/>
      <c r="F29" s="31" t="n"/>
      <c r="G29" s="31" t="n"/>
      <c r="H29" s="31" t="n"/>
      <c r="I29" s="40" t="inlineStr">
        <is>
          <t>&lt;.6&gt; Confirmation &amp; Subsequent Clearance</t>
        </is>
      </c>
      <c r="J29" s="31" t="n"/>
      <c r="K29" s="31" t="n"/>
      <c r="L29" s="31" t="n"/>
      <c r="M29" s="31" t="n"/>
      <c r="N29" s="31" t="n"/>
      <c r="O29" s="31" t="n"/>
      <c r="P29" s="31" t="n"/>
      <c r="Q29" s="31" t="n"/>
    </row>
    <row r="30" ht="120" customHeight="1">
      <c r="A30" s="37" t="inlineStr">
        <is>
          <t>Applicable</t>
        </is>
      </c>
      <c r="B30" s="37" t="inlineStr">
        <is>
          <t>Required</t>
        </is>
      </c>
      <c r="C30" s="37" t="inlineStr">
        <is>
          <t>Not Started</t>
        </is>
      </c>
      <c r="D30" s="37" t="inlineStr">
        <is>
          <t>Missing</t>
        </is>
      </c>
      <c r="E30" s="37" t="inlineStr">
        <is>
          <t>Unable to Conclude</t>
        </is>
      </c>
      <c r="F30" s="37" t="inlineStr">
        <is>
          <t>None</t>
        </is>
      </c>
      <c r="G30" s="38" t="inlineStr">
        <is>
          <t>Unsigned</t>
        </is>
      </c>
      <c r="H30" s="38">
        <f>IF(A30="Not Applicable - Fact Driven",IF(AND(C30="Not Performed",D30="Not Required",OR(F30="None",F30="Resolved",F30="Passed"),OR(G30="Prepared",G30="Reviewed"),LEFT(O30,6)="FACT:/",Q30&lt;&gt;""),"Valid N/A","Blocked"),IF(AND(B30="Recommended",C30="Not Performed",D30="Not Required",OR(F30="None",F30="Resolved",F30="Passed")),"Recommended - Not Performed",IF(C30&lt;&gt;"Performed","Open - "&amp;C30,IF(D30&lt;&gt;"Sufficient","Open - "&amp;D30&amp;" Evidence",IF(E30="Unable to Conclude","Open - Unable to Conclude",IF(AND(E30="Exception Identified",ISERROR(SEARCH("ISSUE:",P30))),"Open - Missing Issue ID",IF(AND(F30="Open",ISERROR(SEARCH("ISSUE:",P30))),"Open - Missing Issue ID",IF(OR(F30="Open",F30="Superseded"),"Open - "&amp;F30&amp;" Issue",IF(AND(E30="Exception Identified",NOT(OR(F30="Adjusted",F30="Passed",F30="Resolved"))),"Open - Undispositioned Exception",IF(OR(G30="Prepared",G30="Reviewed"),"Passed","Open - Unsigned"))))))))))</f>
        <v/>
      </c>
      <c r="I30" s="38" t="inlineStr">
        <is>
          <t>17. Send external positive AR confirmations to significant customers; maintain a confirmation control log (sent / method / follow-up / received / exceptions) with a response-rate summary.</t>
        </is>
      </c>
      <c r="J30" s="38" t="inlineStr">
        <is>
          <t>Existence; Rights &amp; Obligations</t>
        </is>
      </c>
      <c r="K30" s="38" t="inlineStr">
        <is>
          <t>&lt;.6&gt;</t>
        </is>
      </c>
      <c r="L30" s="38" t="n"/>
      <c r="M30" s="39" t="n"/>
      <c r="N30" s="38" t="n"/>
      <c r="O30" s="38" t="n"/>
      <c r="P30" s="38" t="inlineStr">
        <is>
          <t>PROC:PROC-ACCOUNTS-RECEIVABLE; WINDOW:WIN-CONFIRMATION-CONTROL</t>
        </is>
      </c>
      <c r="Q30" s="38" t="n"/>
    </row>
    <row r="31" ht="120" customHeight="1">
      <c r="A31" s="37" t="inlineStr">
        <is>
          <t>Applicable</t>
        </is>
      </c>
      <c r="B31" s="37" t="inlineStr">
        <is>
          <t>Required</t>
        </is>
      </c>
      <c r="C31" s="37" t="inlineStr">
        <is>
          <t>Not Started</t>
        </is>
      </c>
      <c r="D31" s="37" t="inlineStr">
        <is>
          <t>Missing</t>
        </is>
      </c>
      <c r="E31" s="37" t="inlineStr">
        <is>
          <t>Unable to Conclude</t>
        </is>
      </c>
      <c r="F31" s="37" t="inlineStr">
        <is>
          <t>None</t>
        </is>
      </c>
      <c r="G31" s="38" t="inlineStr">
        <is>
          <t>Unsigned</t>
        </is>
      </c>
      <c r="H31" s="38">
        <f>IF(A31="Not Applicable - Fact Driven",IF(AND(C31="Not Performed",D31="Not Required",OR(F31="None",F31="Resolved",F31="Passed"),OR(G31="Prepared",G31="Reviewed"),LEFT(O31,6)="FACT:/",Q31&lt;&gt;""),"Valid N/A","Blocked"),IF(AND(B31="Recommended",C31="Not Performed",D31="Not Required",OR(F31="None",F31="Resolved",F31="Passed")),"Recommended - Not Performed",IF(C31&lt;&gt;"Performed","Open - "&amp;C31,IF(D31&lt;&gt;"Sufficient","Open - "&amp;D31&amp;" Evidence",IF(E31="Unable to Conclude","Open - Unable to Conclude",IF(AND(E31="Exception Identified",ISERROR(SEARCH("ISSUE:",P31))),"Open - Missing Issue ID",IF(AND(F31="Open",ISERROR(SEARCH("ISSUE:",P31))),"Open - Missing Issue ID",IF(OR(F31="Open",F31="Superseded"),"Open - "&amp;F31&amp;" Issue",IF(AND(E31="Exception Identified",NOT(OR(F31="Adjusted",F31="Passed",F31="Resolved"))),"Open - Undispositioned Exception",IF(OR(G31="Prepared",G31="Reviewed"),"Passed","Open - Unsigned"))))))))))</f>
        <v/>
      </c>
      <c r="I31" s="38" t="inlineStr">
        <is>
          <t>18. Validate the confirming party's address / identity (address validation testing) and test the reliability / authenticity of electronic confirmation responses.</t>
        </is>
      </c>
      <c r="J31" s="38" t="inlineStr">
        <is>
          <t>Existence; Rights &amp; Obligations</t>
        </is>
      </c>
      <c r="K31" s="38" t="inlineStr">
        <is>
          <t>&lt;.6&gt;</t>
        </is>
      </c>
      <c r="L31" s="38" t="n"/>
      <c r="M31" s="39" t="n"/>
      <c r="N31" s="38" t="n"/>
      <c r="O31" s="38" t="n"/>
      <c r="P31" s="38" t="inlineStr">
        <is>
          <t>PROC:PROC-ACCOUNTS-RECEIVABLE; WINDOW:WIN-CONFIRMATION-CONTROL</t>
        </is>
      </c>
      <c r="Q31" s="38" t="n"/>
    </row>
    <row r="32" ht="120" customHeight="1">
      <c r="A32" s="37" t="inlineStr">
        <is>
          <t>Applicable</t>
        </is>
      </c>
      <c r="B32" s="37" t="inlineStr">
        <is>
          <t>Required</t>
        </is>
      </c>
      <c r="C32" s="37" t="inlineStr">
        <is>
          <t>Not Started</t>
        </is>
      </c>
      <c r="D32" s="37" t="inlineStr">
        <is>
          <t>Missing</t>
        </is>
      </c>
      <c r="E32" s="37" t="inlineStr">
        <is>
          <t>Unable to Conclude</t>
        </is>
      </c>
      <c r="F32" s="37" t="inlineStr">
        <is>
          <t>None</t>
        </is>
      </c>
      <c r="G32" s="38" t="inlineStr">
        <is>
          <t>Unsigned</t>
        </is>
      </c>
      <c r="H32" s="38">
        <f>IF(A32="Not Applicable - Fact Driven",IF(AND(C32="Not Performed",D32="Not Required",OR(F32="None",F32="Resolved",F32="Passed"),OR(G32="Prepared",G32="Reviewed"),LEFT(O32,6)="FACT:/",Q32&lt;&gt;""),"Valid N/A","Blocked"),IF(AND(B32="Recommended",C32="Not Performed",D32="Not Required",OR(F32="None",F32="Resolved",F32="Passed")),"Recommended - Not Performed",IF(C32&lt;&gt;"Performed","Open - "&amp;C32,IF(D32&lt;&gt;"Sufficient","Open - "&amp;D32&amp;" Evidence",IF(E32="Unable to Conclude","Open - Unable to Conclude",IF(AND(E32="Exception Identified",ISERROR(SEARCH("ISSUE:",P32))),"Open - Missing Issue ID",IF(AND(F32="Open",ISERROR(SEARCH("ISSUE:",P32))),"Open - Missing Issue ID",IF(OR(F32="Open",F32="Superseded"),"Open - "&amp;F32&amp;" Issue",IF(AND(E32="Exception Identified",NOT(OR(F32="Adjusted",F32="Passed",F32="Resolved"))),"Open - Undispositioned Exception",IF(OR(G32="Prepared",G32="Reviewed"),"Passed","Open - Unsigned"))))))))))</f>
        <v/>
      </c>
      <c r="I32" s="38" t="inlineStr">
        <is>
          <t>19. Agree confirmed amounts to recorded balances and resolve exceptions.</t>
        </is>
      </c>
      <c r="J32" s="38" t="inlineStr">
        <is>
          <t>Existence; Accuracy</t>
        </is>
      </c>
      <c r="K32" s="38" t="inlineStr">
        <is>
          <t>&lt;.6&gt;</t>
        </is>
      </c>
      <c r="L32" s="38" t="n"/>
      <c r="M32" s="39" t="n"/>
      <c r="N32" s="38" t="n"/>
      <c r="O32" s="38" t="n"/>
      <c r="P32" s="38" t="inlineStr">
        <is>
          <t>PROC:PROC-ACCOUNTS-RECEIVABLE</t>
        </is>
      </c>
      <c r="Q32" s="38" t="n"/>
    </row>
    <row r="33" ht="120" customHeight="1">
      <c r="A33" s="37" t="inlineStr">
        <is>
          <t>Applicable</t>
        </is>
      </c>
      <c r="B33" s="37" t="inlineStr">
        <is>
          <t>Required</t>
        </is>
      </c>
      <c r="C33" s="37" t="inlineStr">
        <is>
          <t>Not Started</t>
        </is>
      </c>
      <c r="D33" s="37" t="inlineStr">
        <is>
          <t>Missing</t>
        </is>
      </c>
      <c r="E33" s="37" t="inlineStr">
        <is>
          <t>Unable to Conclude</t>
        </is>
      </c>
      <c r="F33" s="37" t="inlineStr">
        <is>
          <t>None</t>
        </is>
      </c>
      <c r="G33" s="38" t="inlineStr">
        <is>
          <t>Unsigned</t>
        </is>
      </c>
      <c r="H33" s="38">
        <f>IF(A33="Not Applicable - Fact Driven",IF(AND(C33="Not Performed",D33="Not Required",OR(F33="None",F33="Resolved",F33="Passed"),OR(G33="Prepared",G33="Reviewed"),LEFT(O33,6)="FACT:/",Q33&lt;&gt;""),"Valid N/A","Blocked"),IF(AND(B33="Recommended",C33="Not Performed",D33="Not Required",OR(F33="None",F33="Resolved",F33="Passed")),"Recommended - Not Performed",IF(C33&lt;&gt;"Performed","Open - "&amp;C33,IF(D33&lt;&gt;"Sufficient","Open - "&amp;D33&amp;" Evidence",IF(E33="Unable to Conclude","Open - Unable to Conclude",IF(AND(E33="Exception Identified",ISERROR(SEARCH("ISSUE:",P33))),"Open - Missing Issue ID",IF(AND(F33="Open",ISERROR(SEARCH("ISSUE:",P33))),"Open - Missing Issue ID",IF(OR(F33="Open",F33="Superseded"),"Open - "&amp;F33&amp;" Issue",IF(AND(E33="Exception Identified",NOT(OR(F33="Adjusted",F33="Passed",F33="Resolved"))),"Open - Undispositioned Exception",IF(OR(G33="Prepared",G33="Reviewed"),"Passed","Open - Unsigned"))))))))))</f>
        <v/>
      </c>
      <c r="I33" s="38" t="inlineStr">
        <is>
          <t>20. For non-replies (or as alternative procedures), vouch open AR to subsequent bank-cleared cash receipts — agreeing the amount, the date of deposit into the bank, and the receipt reference.</t>
        </is>
      </c>
      <c r="J33" s="38" t="inlineStr">
        <is>
          <t>Existence; Valuation &amp; Allocation</t>
        </is>
      </c>
      <c r="K33" s="38" t="inlineStr">
        <is>
          <t>&lt;.6&gt;</t>
        </is>
      </c>
      <c r="L33" s="38" t="n"/>
      <c r="M33" s="39" t="n"/>
      <c r="N33" s="38" t="n"/>
      <c r="O33" s="38" t="n"/>
      <c r="P33" s="38" t="inlineStr">
        <is>
          <t>PROC:PROC-ACCOUNTS-RECEIVABLE; WINDOW:WIN-Confirmation reference Subsequent Receipts</t>
        </is>
      </c>
      <c r="Q33" s="38" t="n"/>
    </row>
    <row r="34" ht="120" customHeight="1">
      <c r="A34" s="37" t="inlineStr">
        <is>
          <t>Applicable</t>
        </is>
      </c>
      <c r="B34" s="37" t="inlineStr">
        <is>
          <t>Required</t>
        </is>
      </c>
      <c r="C34" s="37" t="inlineStr">
        <is>
          <t>Not Started</t>
        </is>
      </c>
      <c r="D34" s="37" t="inlineStr">
        <is>
          <t>Missing</t>
        </is>
      </c>
      <c r="E34" s="37" t="inlineStr">
        <is>
          <t>Unable to Conclude</t>
        </is>
      </c>
      <c r="F34" s="37" t="inlineStr">
        <is>
          <t>None</t>
        </is>
      </c>
      <c r="G34" s="38" t="inlineStr">
        <is>
          <t>Unsigned</t>
        </is>
      </c>
      <c r="H34" s="38">
        <f>IF(A34="Not Applicable - Fact Driven",IF(AND(C34="Not Performed",D34="Not Required",OR(F34="None",F34="Resolved",F34="Passed"),OR(G34="Prepared",G34="Reviewed"),LEFT(O34,6)="FACT:/",Q34&lt;&gt;""),"Valid N/A","Blocked"),IF(AND(B34="Recommended",C34="Not Performed",D34="Not Required",OR(F34="None",F34="Resolved",F34="Passed")),"Recommended - Not Performed",IF(C34&lt;&gt;"Performed","Open - "&amp;C34,IF(D34&lt;&gt;"Sufficient","Open - "&amp;D34&amp;" Evidence",IF(E34="Unable to Conclude","Open - Unable to Conclude",IF(AND(E34="Exception Identified",ISERROR(SEARCH("ISSUE:",P34))),"Open - Missing Issue ID",IF(AND(F34="Open",ISERROR(SEARCH("ISSUE:",P34))),"Open - Missing Issue ID",IF(OR(F34="Open",F34="Superseded"),"Open - "&amp;F34&amp;" Issue",IF(AND(E34="Exception Identified",NOT(OR(F34="Adjusted",F34="Passed",F34="Resolved"))),"Open - Undispositioned Exception",IF(OR(G34="Prepared",G34="Reviewed"),"Passed","Open - Unsigned"))))))))))</f>
        <v/>
      </c>
      <c r="I34" s="38" t="inlineStr">
        <is>
          <t>21. Support the open balance to underlying documentation — invoice, purchase order, and bill of lading / sea waybill (and freight) evidencing delivery.</t>
        </is>
      </c>
      <c r="J34" s="38" t="inlineStr">
        <is>
          <t>Existence; Accuracy; Rights &amp; Obligations</t>
        </is>
      </c>
      <c r="K34" s="38" t="inlineStr">
        <is>
          <t>&lt;.6&gt;</t>
        </is>
      </c>
      <c r="L34" s="38" t="n"/>
      <c r="M34" s="39" t="n"/>
      <c r="N34" s="38" t="n"/>
      <c r="O34" s="38" t="n"/>
      <c r="P34" s="38" t="inlineStr">
        <is>
          <t>PROC:PROC-ACCOUNTS-RECEIVABLE</t>
        </is>
      </c>
      <c r="Q34" s="38" t="n"/>
    </row>
    <row r="35" ht="120" customHeight="1">
      <c r="A35" s="37" t="inlineStr">
        <is>
          <t>Applicable</t>
        </is>
      </c>
      <c r="B35" s="37" t="inlineStr">
        <is>
          <t>Required</t>
        </is>
      </c>
      <c r="C35" s="37" t="inlineStr">
        <is>
          <t>Not Started</t>
        </is>
      </c>
      <c r="D35" s="37" t="inlineStr">
        <is>
          <t>Missing</t>
        </is>
      </c>
      <c r="E35" s="37" t="inlineStr">
        <is>
          <t>Unable to Conclude</t>
        </is>
      </c>
      <c r="F35" s="37" t="inlineStr">
        <is>
          <t>None</t>
        </is>
      </c>
      <c r="G35" s="38" t="inlineStr">
        <is>
          <t>Unsigned</t>
        </is>
      </c>
      <c r="H35" s="38">
        <f>IF(A35="Not Applicable - Fact Driven",IF(AND(C35="Not Performed",D35="Not Required",OR(F35="None",F35="Resolved",F35="Passed"),OR(G35="Prepared",G35="Reviewed"),LEFT(O35,6)="FACT:/",Q35&lt;&gt;""),"Valid N/A","Blocked"),IF(AND(B35="Recommended",C35="Not Performed",D35="Not Required",OR(F35="None",F35="Resolved",F35="Passed")),"Recommended - Not Performed",IF(C35&lt;&gt;"Performed","Open - "&amp;C35,IF(D35&lt;&gt;"Sufficient","Open - "&amp;D35&amp;" Evidence",IF(E35="Unable to Conclude","Open - Unable to Conclude",IF(AND(E35="Exception Identified",ISERROR(SEARCH("ISSUE:",P35))),"Open - Missing Issue ID",IF(AND(F35="Open",ISERROR(SEARCH("ISSUE:",P35))),"Open - Missing Issue ID",IF(OR(F35="Open",F35="Superseded"),"Open - "&amp;F35&amp;" Issue",IF(AND(E35="Exception Identified",NOT(OR(F35="Adjusted",F35="Passed",F35="Resolved"))),"Open - Undispositioned Exception",IF(OR(G35="Prepared",G35="Reviewed"),"Passed","Open - Unsigned"))))))))))</f>
        <v/>
      </c>
      <c r="I35" s="38" t="inlineStr">
        <is>
          <t>22. Reconcile customer statements to recorded balances as an additional alternative procedure.</t>
        </is>
      </c>
      <c r="J35" s="38" t="inlineStr">
        <is>
          <t>Existence; Accuracy</t>
        </is>
      </c>
      <c r="K35" s="38" t="inlineStr">
        <is>
          <t>&lt;.6&gt;</t>
        </is>
      </c>
      <c r="L35" s="38" t="n"/>
      <c r="M35" s="39" t="n"/>
      <c r="N35" s="38" t="n"/>
      <c r="O35" s="38" t="n"/>
      <c r="P35" s="38" t="inlineStr">
        <is>
          <t>PROC:PROC-ACCOUNTS-RECEIVABLE</t>
        </is>
      </c>
      <c r="Q35" s="38" t="n"/>
    </row>
    <row r="36">
      <c r="A36" s="35" t="n"/>
      <c r="B36" s="31" t="n"/>
      <c r="C36" s="31" t="n"/>
      <c r="D36" s="31" t="n"/>
      <c r="E36" s="31" t="n"/>
      <c r="F36" s="31" t="n"/>
      <c r="G36" s="31" t="n"/>
      <c r="H36" s="31" t="n"/>
      <c r="I36" s="40" t="inlineStr">
        <is>
          <t>&lt;.7&gt; Ratios &amp; Disclosures</t>
        </is>
      </c>
      <c r="J36" s="31" t="n"/>
      <c r="K36" s="31" t="n"/>
      <c r="L36" s="31" t="n"/>
      <c r="M36" s="31" t="n"/>
      <c r="N36" s="31" t="n"/>
      <c r="O36" s="31" t="n"/>
      <c r="P36" s="31" t="n"/>
      <c r="Q36" s="31" t="n"/>
    </row>
    <row r="37" ht="120" customHeight="1">
      <c r="A37" s="37" t="inlineStr">
        <is>
          <t>Applicable</t>
        </is>
      </c>
      <c r="B37" s="37" t="inlineStr">
        <is>
          <t>Required</t>
        </is>
      </c>
      <c r="C37" s="37" t="inlineStr">
        <is>
          <t>Not Started</t>
        </is>
      </c>
      <c r="D37" s="37" t="inlineStr">
        <is>
          <t>Missing</t>
        </is>
      </c>
      <c r="E37" s="37" t="inlineStr">
        <is>
          <t>Unable to Conclude</t>
        </is>
      </c>
      <c r="F37" s="37" t="inlineStr">
        <is>
          <t>None</t>
        </is>
      </c>
      <c r="G37" s="38" t="inlineStr">
        <is>
          <t>Unsigned</t>
        </is>
      </c>
      <c r="H37" s="38">
        <f>IF(A37="Not Applicable - Fact Driven",IF(AND(C37="Not Performed",D37="Not Required",OR(F37="None",F37="Resolved",F37="Passed"),OR(G37="Prepared",G37="Reviewed"),LEFT(O37,6)="FACT:/",Q37&lt;&gt;""),"Valid N/A","Blocked"),IF(AND(B37="Recommended",C37="Not Performed",D37="Not Required",OR(F37="None",F37="Resolved",F37="Passed")),"Recommended - Not Performed",IF(C37&lt;&gt;"Performed","Open - "&amp;C37,IF(D37&lt;&gt;"Sufficient","Open - "&amp;D37&amp;" Evidence",IF(E37="Unable to Conclude","Open - Unable to Conclude",IF(AND(E37="Exception Identified",ISERROR(SEARCH("ISSUE:",P37))),"Open - Missing Issue ID",IF(AND(F37="Open",ISERROR(SEARCH("ISSUE:",P37))),"Open - Missing Issue ID",IF(OR(F37="Open",F37="Superseded"),"Open - "&amp;F37&amp;" Issue",IF(AND(E37="Exception Identified",NOT(OR(F37="Adjusted",F37="Passed",F37="Resolved"))),"Open - Undispositioned Exception",IF(OR(G37="Prepared",G37="Reviewed"),"Passed","Open - Unsigned"))))))))))</f>
        <v/>
      </c>
      <c r="I37" s="38" t="inlineStr">
        <is>
          <t>23. Compute AR analytics (DSO, turnover, allowance as % of gross AR, bad-debt expense as % of sales) and investigate unusual trends.</t>
        </is>
      </c>
      <c r="J37" s="38" t="inlineStr">
        <is>
          <t>Presentation &amp; Disclosure</t>
        </is>
      </c>
      <c r="K37" s="38" t="inlineStr">
        <is>
          <t>&lt;.7&gt;</t>
        </is>
      </c>
      <c r="L37" s="38" t="n"/>
      <c r="M37" s="39" t="n"/>
      <c r="N37" s="38" t="n"/>
      <c r="O37" s="38" t="n"/>
      <c r="P37" s="38" t="inlineStr">
        <is>
          <t>PROC:PROC-ACCOUNTS-RECEIVABLE</t>
        </is>
      </c>
      <c r="Q37" s="38" t="n"/>
    </row>
    <row r="38" ht="120" customHeight="1">
      <c r="A38" s="37" t="inlineStr">
        <is>
          <t>Applicable</t>
        </is>
      </c>
      <c r="B38" s="37" t="inlineStr">
        <is>
          <t>Required</t>
        </is>
      </c>
      <c r="C38" s="37" t="inlineStr">
        <is>
          <t>Not Started</t>
        </is>
      </c>
      <c r="D38" s="37" t="inlineStr">
        <is>
          <t>Missing</t>
        </is>
      </c>
      <c r="E38" s="37" t="inlineStr">
        <is>
          <t>Unable to Conclude</t>
        </is>
      </c>
      <c r="F38" s="37" t="inlineStr">
        <is>
          <t>None</t>
        </is>
      </c>
      <c r="G38" s="38" t="inlineStr">
        <is>
          <t>Unsigned</t>
        </is>
      </c>
      <c r="H38" s="38">
        <f>IF(A38="Not Applicable - Fact Driven",IF(AND(C38="Not Performed",D38="Not Required",OR(F38="None",F38="Resolved",F38="Passed"),OR(G38="Prepared",G38="Reviewed"),LEFT(O38,6)="FACT:/",Q38&lt;&gt;""),"Valid N/A","Blocked"),IF(AND(B38="Recommended",C38="Not Performed",D38="Not Required",OR(F38="None",F38="Resolved",F38="Passed")),"Recommended - Not Performed",IF(C38&lt;&gt;"Performed","Open - "&amp;C38,IF(D38&lt;&gt;"Sufficient","Open - "&amp;D38&amp;" Evidence",IF(E38="Unable to Conclude","Open - Unable to Conclude",IF(AND(E38="Exception Identified",ISERROR(SEARCH("ISSUE:",P38))),"Open - Missing Issue ID",IF(AND(F38="Open",ISERROR(SEARCH("ISSUE:",P38))),"Open - Missing Issue ID",IF(OR(F38="Open",F38="Superseded"),"Open - "&amp;F38&amp;" Issue",IF(AND(E38="Exception Identified",NOT(OR(F38="Adjusted",F38="Passed",F38="Resolved"))),"Open - Undispositioned Exception",IF(OR(G38="Prepared",G38="Reviewed"),"Passed","Open - Unsigned"))))))))))</f>
        <v/>
      </c>
      <c r="I38" s="38" t="inlineStr">
        <is>
          <t>24. Evaluate customer concentration and the related disclosure.</t>
        </is>
      </c>
      <c r="J38" s="38" t="inlineStr">
        <is>
          <t>Presentation &amp; Disclosure</t>
        </is>
      </c>
      <c r="K38" s="38" t="inlineStr">
        <is>
          <t>&lt;.7&gt;</t>
        </is>
      </c>
      <c r="L38" s="38" t="n"/>
      <c r="M38" s="39" t="n"/>
      <c r="N38" s="38" t="n"/>
      <c r="O38" s="38" t="n"/>
      <c r="P38" s="38" t="inlineStr">
        <is>
          <t>PROC:PROC-ACCOUNTS-RECEIVABLE</t>
        </is>
      </c>
      <c r="Q38" s="38" t="n"/>
    </row>
    <row r="39" ht="120" customHeight="1">
      <c r="A39" s="37" t="inlineStr">
        <is>
          <t>Applicable</t>
        </is>
      </c>
      <c r="B39" s="37" t="inlineStr">
        <is>
          <t>Required</t>
        </is>
      </c>
      <c r="C39" s="37" t="inlineStr">
        <is>
          <t>Not Started</t>
        </is>
      </c>
      <c r="D39" s="37" t="inlineStr">
        <is>
          <t>Missing</t>
        </is>
      </c>
      <c r="E39" s="37" t="inlineStr">
        <is>
          <t>Unable to Conclude</t>
        </is>
      </c>
      <c r="F39" s="37" t="inlineStr">
        <is>
          <t>None</t>
        </is>
      </c>
      <c r="G39" s="38" t="inlineStr">
        <is>
          <t>Unsigned</t>
        </is>
      </c>
      <c r="H39" s="38">
        <f>IF(A39="Not Applicable - Fact Driven",IF(AND(C39="Not Performed",D39="Not Required",OR(F39="None",F39="Resolved",F39="Passed"),OR(G39="Prepared",G39="Reviewed"),LEFT(O39,6)="FACT:/",Q39&lt;&gt;""),"Valid N/A","Blocked"),IF(AND(B39="Recommended",C39="Not Performed",D39="Not Required",OR(F39="None",F39="Resolved",F39="Passed")),"Recommended - Not Performed",IF(C39&lt;&gt;"Performed","Open - "&amp;C39,IF(D39&lt;&gt;"Sufficient","Open - "&amp;D39&amp;" Evidence",IF(E39="Unable to Conclude","Open - Unable to Conclude",IF(AND(E39="Exception Identified",ISERROR(SEARCH("ISSUE:",P39))),"Open - Missing Issue ID",IF(AND(F39="Open",ISERROR(SEARCH("ISSUE:",P39))),"Open - Missing Issue ID",IF(OR(F39="Open",F39="Superseded"),"Open - "&amp;F39&amp;" Issue",IF(AND(E39="Exception Identified",NOT(OR(F39="Adjusted",F39="Passed",F39="Resolved"))),"Open - Undispositioned Exception",IF(OR(G39="Prepared",G39="Reviewed"),"Passed","Open - Unsigned"))))))))))</f>
        <v/>
      </c>
      <c r="I39" s="38" t="inlineStr">
        <is>
          <t>25. Review for related-party, employee and officer receivables and proper classification.</t>
        </is>
      </c>
      <c r="J39" s="38" t="inlineStr">
        <is>
          <t>Presentation &amp; Disclosure; Classification</t>
        </is>
      </c>
      <c r="K39" s="38" t="inlineStr">
        <is>
          <t>&lt;.7&gt;</t>
        </is>
      </c>
      <c r="L39" s="38" t="n"/>
      <c r="M39" s="39" t="n"/>
      <c r="N39" s="38" t="n"/>
      <c r="O39" s="38" t="n"/>
      <c r="P39" s="38" t="inlineStr">
        <is>
          <t>PROC:PROC-ACCOUNTS-RECEIVABLE</t>
        </is>
      </c>
      <c r="Q39" s="38" t="n"/>
    </row>
    <row r="40" ht="120" customHeight="1">
      <c r="A40" s="37" t="inlineStr">
        <is>
          <t>Applicable</t>
        </is>
      </c>
      <c r="B40" s="37" t="inlineStr">
        <is>
          <t>Required</t>
        </is>
      </c>
      <c r="C40" s="37" t="inlineStr">
        <is>
          <t>Not Started</t>
        </is>
      </c>
      <c r="D40" s="37" t="inlineStr">
        <is>
          <t>Missing</t>
        </is>
      </c>
      <c r="E40" s="37" t="inlineStr">
        <is>
          <t>Unable to Conclude</t>
        </is>
      </c>
      <c r="F40" s="37" t="inlineStr">
        <is>
          <t>None</t>
        </is>
      </c>
      <c r="G40" s="38" t="inlineStr">
        <is>
          <t>Unsigned</t>
        </is>
      </c>
      <c r="H40" s="38">
        <f>IF(A40="Not Applicable - Fact Driven",IF(AND(C40="Not Performed",D40="Not Required",OR(F40="None",F40="Resolved",F40="Passed"),OR(G40="Prepared",G40="Reviewed"),LEFT(O40,6)="FACT:/",Q40&lt;&gt;""),"Valid N/A","Blocked"),IF(AND(B40="Recommended",C40="Not Performed",D40="Not Required",OR(F40="None",F40="Resolved",F40="Passed")),"Recommended - Not Performed",IF(C40&lt;&gt;"Performed","Open - "&amp;C40,IF(D40&lt;&gt;"Sufficient","Open - "&amp;D40&amp;" Evidence",IF(E40="Unable to Conclude","Open - Unable to Conclude",IF(AND(E40="Exception Identified",ISERROR(SEARCH("ISSUE:",P40))),"Open - Missing Issue ID",IF(AND(F40="Open",ISERROR(SEARCH("ISSUE:",P40))),"Open - Missing Issue ID",IF(OR(F40="Open",F40="Superseded"),"Open - "&amp;F40&amp;" Issue",IF(AND(E40="Exception Identified",NOT(OR(F40="Adjusted",F40="Passed",F40="Resolved"))),"Open - Undispositioned Exception",IF(OR(G40="Prepared",G40="Reviewed"),"Passed","Open - Unsigned"))))))))))</f>
        <v/>
      </c>
      <c r="I40" s="38" t="inlineStr">
        <is>
          <t>26. Evaluate AR presentation / disclosure — pledged / factored AR, credit (negative) balances reclassified to liabilities, and significant revenue terms.</t>
        </is>
      </c>
      <c r="J40" s="38" t="inlineStr">
        <is>
          <t>Presentation &amp; Disclosure; Classification</t>
        </is>
      </c>
      <c r="K40" s="38" t="inlineStr">
        <is>
          <t>&lt;.7&gt;</t>
        </is>
      </c>
      <c r="L40" s="38" t="n"/>
      <c r="M40" s="39" t="n"/>
      <c r="N40" s="38" t="n"/>
      <c r="O40" s="38" t="n"/>
      <c r="P40" s="38" t="inlineStr">
        <is>
          <t>PROC:PROC-ACCOUNTS-RECEIVABLE</t>
        </is>
      </c>
      <c r="Q40" s="38" t="n"/>
    </row>
    <row r="41">
      <c r="A41" s="35" t="n"/>
      <c r="B41" s="31" t="n"/>
      <c r="C41" s="31" t="n"/>
      <c r="D41" s="31" t="n"/>
      <c r="E41" s="31" t="n"/>
      <c r="F41" s="31" t="n"/>
      <c r="G41" s="31" t="n"/>
      <c r="H41" s="31" t="n"/>
      <c r="I41" s="40" t="inlineStr">
        <is>
          <t>Section C — Completeness &amp; Cutoff (cross-cutting)</t>
        </is>
      </c>
      <c r="J41" s="31" t="n"/>
      <c r="K41" s="31" t="n"/>
      <c r="L41" s="31" t="n"/>
      <c r="M41" s="31" t="n"/>
      <c r="N41" s="31" t="n"/>
      <c r="O41" s="31" t="n"/>
      <c r="P41" s="31" t="n"/>
      <c r="Q41" s="31" t="n"/>
    </row>
    <row r="42" ht="120" customHeight="1">
      <c r="A42" s="37" t="inlineStr">
        <is>
          <t>Applicable</t>
        </is>
      </c>
      <c r="B42" s="37" t="inlineStr">
        <is>
          <t>Required</t>
        </is>
      </c>
      <c r="C42" s="37" t="inlineStr">
        <is>
          <t>Not Started</t>
        </is>
      </c>
      <c r="D42" s="37" t="inlineStr">
        <is>
          <t>Missing</t>
        </is>
      </c>
      <c r="E42" s="37" t="inlineStr">
        <is>
          <t>Unable to Conclude</t>
        </is>
      </c>
      <c r="F42" s="37" t="inlineStr">
        <is>
          <t>None</t>
        </is>
      </c>
      <c r="G42" s="38" t="inlineStr">
        <is>
          <t>Unsigned</t>
        </is>
      </c>
      <c r="H42" s="38">
        <f>IF(A42="Not Applicable - Fact Driven",IF(AND(C42="Not Performed",D42="Not Required",OR(F42="None",F42="Resolved",F42="Passed"),OR(G42="Prepared",G42="Reviewed"),LEFT(O42,6)="FACT:/",Q42&lt;&gt;""),"Valid N/A","Blocked"),IF(AND(B42="Recommended",C42="Not Performed",D42="Not Required",OR(F42="None",F42="Resolved",F42="Passed")),"Recommended - Not Performed",IF(C42&lt;&gt;"Performed","Open - "&amp;C42,IF(D42&lt;&gt;"Sufficient","Open - "&amp;D42&amp;" Evidence",IF(E42="Unable to Conclude","Open - Unable to Conclude",IF(AND(E42="Exception Identified",ISERROR(SEARCH("ISSUE:",P42))),"Open - Missing Issue ID",IF(AND(F42="Open",ISERROR(SEARCH("ISSUE:",P42))),"Open - Missing Issue ID",IF(OR(F42="Open",F42="Superseded"),"Open - "&amp;F42&amp;" Issue",IF(AND(E42="Exception Identified",NOT(OR(F42="Adjusted",F42="Passed",F42="Resolved"))),"Open - Undispositioned Exception",IF(OR(G42="Prepared",G42="Reviewed"),"Passed","Open - Unsigned"))))))))))</f>
        <v/>
      </c>
      <c r="I42" s="38" t="inlineStr">
        <is>
          <t>27. Test subsequent credit memos and sales returns recorded after year-end for proper cutoff and allowance impact.</t>
        </is>
      </c>
      <c r="J42" s="38" t="inlineStr">
        <is>
          <t>Cutoff; Valuation &amp; Allocation</t>
        </is>
      </c>
      <c r="K42" s="38" t="inlineStr">
        <is>
          <t>&lt;.6&gt;/&lt;.4&gt;</t>
        </is>
      </c>
      <c r="L42" s="38" t="n"/>
      <c r="M42" s="39" t="n"/>
      <c r="N42" s="38" t="n"/>
      <c r="O42" s="38" t="n"/>
      <c r="P42" s="38" t="inlineStr">
        <is>
          <t>PROC:PROC-ACCOUNTS-RECEIVABLE; WINDOW:WIN-Confirmation reference Subsequent Receipts</t>
        </is>
      </c>
      <c r="Q42" s="38" t="n"/>
    </row>
    <row r="43" ht="120" customHeight="1">
      <c r="A43" s="37" t="inlineStr">
        <is>
          <t>Applicable</t>
        </is>
      </c>
      <c r="B43" s="37" t="inlineStr">
        <is>
          <t>Required</t>
        </is>
      </c>
      <c r="C43" s="37" t="inlineStr">
        <is>
          <t>Not Started</t>
        </is>
      </c>
      <c r="D43" s="37" t="inlineStr">
        <is>
          <t>Missing</t>
        </is>
      </c>
      <c r="E43" s="37" t="inlineStr">
        <is>
          <t>Unable to Conclude</t>
        </is>
      </c>
      <c r="F43" s="37" t="inlineStr">
        <is>
          <t>None</t>
        </is>
      </c>
      <c r="G43" s="38" t="inlineStr">
        <is>
          <t>Unsigned</t>
        </is>
      </c>
      <c r="H43" s="38">
        <f>IF(A43="Not Applicable - Fact Driven",IF(AND(C43="Not Performed",D43="Not Required",OR(F43="None",F43="Resolved",F43="Passed"),OR(G43="Prepared",G43="Reviewed"),LEFT(O43,6)="FACT:/",Q43&lt;&gt;""),"Valid N/A","Blocked"),IF(AND(B43="Recommended",C43="Not Performed",D43="Not Required",OR(F43="None",F43="Resolved",F43="Passed")),"Recommended - Not Performed",IF(C43&lt;&gt;"Performed","Open - "&amp;C43,IF(D43&lt;&gt;"Sufficient","Open - "&amp;D43&amp;" Evidence",IF(E43="Unable to Conclude","Open - Unable to Conclude",IF(AND(E43="Exception Identified",ISERROR(SEARCH("ISSUE:",P43))),"Open - Missing Issue ID",IF(AND(F43="Open",ISERROR(SEARCH("ISSUE:",P43))),"Open - Missing Issue ID",IF(OR(F43="Open",F43="Superseded"),"Open - "&amp;F43&amp;" Issue",IF(AND(E43="Exception Identified",NOT(OR(F43="Adjusted",F43="Passed",F43="Resolved"))),"Open - Undispositioned Exception",IF(OR(G43="Prepared",G43="Reviewed"),"Passed","Open - Unsigned"))))))))))</f>
        <v/>
      </c>
      <c r="I43" s="38" t="inlineStr">
        <is>
          <t>28. Evaluate revenue terms that affect AR existence — consignment, bill-and-hold and channel-stuffing indicators.</t>
        </is>
      </c>
      <c r="J43" s="38" t="inlineStr">
        <is>
          <t>Existence; Rights &amp; Obligations</t>
        </is>
      </c>
      <c r="K43" s="38" t="inlineStr">
        <is>
          <t>&lt;.6&gt;</t>
        </is>
      </c>
      <c r="L43" s="38" t="n"/>
      <c r="M43" s="39" t="n"/>
      <c r="N43" s="38" t="n"/>
      <c r="O43" s="38" t="n"/>
      <c r="P43" s="38" t="inlineStr">
        <is>
          <t>PROC:PROC-ACCOUNTS-RECEIVABLE</t>
        </is>
      </c>
      <c r="Q43" s="38" t="n"/>
    </row>
    <row r="44">
      <c r="A44" s="35" t="n"/>
      <c r="B44" s="31" t="n"/>
      <c r="C44" s="31" t="n"/>
      <c r="D44" s="31" t="n"/>
      <c r="E44" s="31" t="n"/>
      <c r="F44" s="31" t="n"/>
      <c r="G44" s="31" t="n"/>
      <c r="H44" s="31" t="n"/>
      <c r="I44" s="40" t="inlineStr">
        <is>
          <t>Documentation &amp; Review</t>
        </is>
      </c>
      <c r="J44" s="31" t="n"/>
      <c r="K44" s="31" t="n"/>
      <c r="L44" s="31" t="n"/>
      <c r="M44" s="31" t="n"/>
      <c r="N44" s="31" t="n"/>
      <c r="O44" s="31" t="n"/>
      <c r="P44" s="31" t="n"/>
      <c r="Q44" s="31" t="n"/>
    </row>
    <row r="45" ht="120" customHeight="1">
      <c r="A45" s="37" t="inlineStr">
        <is>
          <t>Applicable</t>
        </is>
      </c>
      <c r="B45" s="37" t="inlineStr">
        <is>
          <t>Required</t>
        </is>
      </c>
      <c r="C45" s="37" t="inlineStr">
        <is>
          <t>Not Started</t>
        </is>
      </c>
      <c r="D45" s="37" t="inlineStr">
        <is>
          <t>Missing</t>
        </is>
      </c>
      <c r="E45" s="37" t="inlineStr">
        <is>
          <t>Unable to Conclude</t>
        </is>
      </c>
      <c r="F45" s="37" t="inlineStr">
        <is>
          <t>None</t>
        </is>
      </c>
      <c r="G45" s="38" t="inlineStr">
        <is>
          <t>Unsigned</t>
        </is>
      </c>
      <c r="H45" s="38">
        <f>IF(A45="Not Applicable - Fact Driven",IF(AND(C45="Not Performed",D45="Not Required",OR(F45="None",F45="Resolved",F45="Passed"),OR(G45="Prepared",G45="Reviewed"),LEFT(O45,6)="FACT:/",Q45&lt;&gt;""),"Valid N/A","Blocked"),IF(AND(B45="Recommended",C45="Not Performed",D45="Not Required",OR(F45="None",F45="Resolved",F45="Passed")),"Recommended - Not Performed",IF(C45&lt;&gt;"Performed","Open - "&amp;C45,IF(D45&lt;&gt;"Sufficient","Open - "&amp;D45&amp;" Evidence",IF(E45="Unable to Conclude","Open - Unable to Conclude",IF(AND(E45="Exception Identified",ISERROR(SEARCH("ISSUE:",P45))),"Open - Missing Issue ID",IF(AND(F45="Open",ISERROR(SEARCH("ISSUE:",P45))),"Open - Missing Issue ID",IF(OR(F45="Open",F45="Superseded"),"Open - "&amp;F45&amp;" Issue",IF(AND(E45="Exception Identified",NOT(OR(F45="Adjusted",F45="Passed",F45="Resolved"))),"Open - Undispositioned Exception",IF(OR(G45="Prepared",G45="Reviewed"),"Passed","Open - Unsigned"))))))))))</f>
        <v/>
      </c>
      <c r="I45" s="38" t="inlineStr">
        <is>
          <t>29. Cross-reference each procedure to its workpaper tab and link it to the relevant assertion(s).</t>
        </is>
      </c>
      <c r="J45" s="38" t="inlineStr">
        <is>
          <t>Overall</t>
        </is>
      </c>
      <c r="K45" s="38" t="inlineStr">
        <is>
          <t>&lt;.0&gt;-&lt;.7&gt;</t>
        </is>
      </c>
      <c r="L45" s="38" t="n"/>
      <c r="M45" s="39" t="n"/>
      <c r="N45" s="38" t="n"/>
      <c r="O45" s="38" t="n"/>
      <c r="P45" s="38" t="inlineStr">
        <is>
          <t>PROC:PROC-ACCOUNTS-RECEIVABLE</t>
        </is>
      </c>
      <c r="Q45" s="38" t="n"/>
    </row>
    <row r="46" ht="120" customHeight="1">
      <c r="A46" s="37" t="inlineStr">
        <is>
          <t>Applicable</t>
        </is>
      </c>
      <c r="B46" s="37" t="inlineStr">
        <is>
          <t>Required</t>
        </is>
      </c>
      <c r="C46" s="37" t="inlineStr">
        <is>
          <t>Not Started</t>
        </is>
      </c>
      <c r="D46" s="37" t="inlineStr">
        <is>
          <t>Missing</t>
        </is>
      </c>
      <c r="E46" s="37" t="inlineStr">
        <is>
          <t>Unable to Conclude</t>
        </is>
      </c>
      <c r="F46" s="37" t="inlineStr">
        <is>
          <t>None</t>
        </is>
      </c>
      <c r="G46" s="38" t="inlineStr">
        <is>
          <t>Unsigned</t>
        </is>
      </c>
      <c r="H46" s="38">
        <f>IF(A46="Not Applicable - Fact Driven",IF(AND(C46="Not Performed",D46="Not Required",OR(F46="None",F46="Resolved",F46="Passed"),OR(G46="Prepared",G46="Reviewed"),LEFT(O46,6)="FACT:/",Q46&lt;&gt;""),"Valid N/A","Blocked"),IF(AND(B46="Recommended",C46="Not Performed",D46="Not Required",OR(F46="None",F46="Resolved",F46="Passed")),"Recommended - Not Performed",IF(C46&lt;&gt;"Performed","Open - "&amp;C46,IF(D46&lt;&gt;"Sufficient","Open - "&amp;D46&amp;" Evidence",IF(E46="Unable to Conclude","Open - Unable to Conclude",IF(AND(E46="Exception Identified",ISERROR(SEARCH("ISSUE:",P46))),"Open - Missing Issue ID",IF(AND(F46="Open",ISERROR(SEARCH("ISSUE:",P46))),"Open - Missing Issue ID",IF(OR(F46="Open",F46="Superseded"),"Open - "&amp;F46&amp;" Issue",IF(AND(E46="Exception Identified",NOT(OR(F46="Adjusted",F46="Passed",F46="Resolved"))),"Open - Undispositioned Exception",IF(OR(G46="Prepared",G46="Reviewed"),"Passed","Open - Unsigned"))))))))))</f>
        <v/>
      </c>
      <c r="I46" s="38" t="inlineStr">
        <is>
          <t>30. Verify lead-sheet and aging tie-out formulas foot correctly and the workbook source trail is complete.</t>
        </is>
      </c>
      <c r="J46" s="38" t="inlineStr">
        <is>
          <t>Accuracy; Completeness</t>
        </is>
      </c>
      <c r="K46" s="38" t="inlineStr">
        <is>
          <t>&lt;.1&gt;/&lt;.2&gt;</t>
        </is>
      </c>
      <c r="L46" s="38" t="n"/>
      <c r="M46" s="39" t="n"/>
      <c r="N46" s="38" t="n"/>
      <c r="O46" s="38" t="n"/>
      <c r="P46" s="38" t="inlineStr">
        <is>
          <t>PROC:PROC-ACCOUNTS-RECEIVABLE</t>
        </is>
      </c>
      <c r="Q46" s="38" t="n"/>
    </row>
    <row r="47">
      <c r="A47" s="35" t="n"/>
      <c r="B47" s="31" t="n"/>
      <c r="C47" s="31" t="n"/>
      <c r="D47" s="31" t="n"/>
      <c r="E47" s="31" t="n"/>
      <c r="F47" s="31" t="n"/>
      <c r="G47" s="31" t="n"/>
      <c r="H47" s="31" t="n"/>
      <c r="I47" s="36" t="inlineStr">
        <is>
          <t>Conclusion</t>
        </is>
      </c>
      <c r="J47" s="31" t="n"/>
      <c r="K47" s="31" t="n"/>
      <c r="L47" s="31" t="n"/>
      <c r="M47" s="31" t="n"/>
      <c r="N47" s="31" t="n"/>
      <c r="O47" s="31" t="n"/>
      <c r="P47" s="31" t="n"/>
      <c r="Q47" s="31" t="n"/>
    </row>
    <row r="48" ht="120" customHeight="1">
      <c r="A48" s="37" t="inlineStr">
        <is>
          <t>Applicable</t>
        </is>
      </c>
      <c r="B48" s="37" t="inlineStr">
        <is>
          <t>Required</t>
        </is>
      </c>
      <c r="C48" s="37" t="inlineStr">
        <is>
          <t>Not Started</t>
        </is>
      </c>
      <c r="D48" s="37" t="inlineStr">
        <is>
          <t>Missing</t>
        </is>
      </c>
      <c r="E48" s="37" t="inlineStr">
        <is>
          <t>Unable to Conclude</t>
        </is>
      </c>
      <c r="F48" s="37" t="inlineStr">
        <is>
          <t>None</t>
        </is>
      </c>
      <c r="G48" s="38" t="inlineStr">
        <is>
          <t>Unsigned</t>
        </is>
      </c>
      <c r="H48" s="38">
        <f>IF(A48="Not Applicable - Fact Driven",IF(AND(C48="Not Performed",D48="Not Required",OR(F48="None",F48="Resolved",F48="Passed"),OR(G48="Prepared",G48="Reviewed"),LEFT(O48,6)="FACT:/",Q48&lt;&gt;""),"Valid N/A","Blocked"),IF(AND(B48="Recommended",C48="Not Performed",D48="Not Required",OR(F48="None",F48="Resolved",F48="Passed")),"Recommended - Not Performed",IF(C48&lt;&gt;"Performed","Open - "&amp;C48,IF(D48&lt;&gt;"Sufficient","Open - "&amp;D48&amp;" Evidence",IF(E48="Unable to Conclude","Open - Unable to Conclude",IF(AND(E48="Exception Identified",ISERROR(SEARCH("ISSUE:",P48))),"Open - Missing Issue ID",IF(AND(F48="Open",ISERROR(SEARCH("ISSUE:",P48))),"Open - Missing Issue ID",IF(OR(F48="Open",F48="Superseded"),"Open - "&amp;F48&amp;" Issue",IF(AND(E48="Exception Identified",NOT(OR(F48="Adjusted",F48="Passed",F48="Resolved"))),"Open - Undispositioned Exception",IF(OR(G48="Prepared",G48="Reviewed"),"Passed","Open - Unsigned"))))))))))</f>
        <v/>
      </c>
      <c r="I48" s="38" t="inlineStr">
        <is>
          <t>31. All planned AR audit procedures above were performed; results support the recorded gross AR, allowance and net AR and related disclosures, subject to documented open items.</t>
        </is>
      </c>
      <c r="J48" s="38" t="inlineStr">
        <is>
          <t>Overall</t>
        </is>
      </c>
      <c r="K48" s="38" t="inlineStr">
        <is>
          <t>&lt;.0&gt;-&lt;.7&gt;</t>
        </is>
      </c>
      <c r="L48" s="38" t="n"/>
      <c r="M48" s="39" t="n"/>
      <c r="N48" s="38" t="n"/>
      <c r="O48" s="38" t="n"/>
      <c r="P48" s="38" t="inlineStr">
        <is>
          <t>PROC:PROC-ACCOUNTS-RECEIVABLE</t>
        </is>
      </c>
      <c r="Q48" s="38" t="n"/>
    </row>
  </sheetData>
  <autoFilter ref="A6:Q48"/>
  <mergeCells count="12">
    <mergeCell ref="I47:Q47"/>
    <mergeCell ref="I16:Q16"/>
    <mergeCell ref="I7:Q7"/>
    <mergeCell ref="I24:Q24"/>
    <mergeCell ref="I41:Q41"/>
    <mergeCell ref="I19:Q19"/>
    <mergeCell ref="A4:Q4"/>
    <mergeCell ref="I36:Q36"/>
    <mergeCell ref="I14:Q14"/>
    <mergeCell ref="I9:Q9"/>
    <mergeCell ref="I44:Q44"/>
    <mergeCell ref="I29:Q29"/>
  </mergeCells>
  <conditionalFormatting sqref="A8:Q48">
    <cfRule type="expression" priority="1" dxfId="0">
      <formula>AND($F8="Open",$P8&lt;&gt;"")</formula>
    </cfRule>
    <cfRule type="expression" priority="2" dxfId="1">
      <formula>OR($H8="Blocked",AND($F8="Open",$P8=""))</formula>
    </cfRule>
    <cfRule type="expression" priority="3" dxfId="2">
      <formula>$H8="Passed"</formula>
    </cfRule>
    <cfRule type="expression" priority="4" dxfId="3">
      <formula>OR($H8="Valid N/A",$H8="Recommended - Not Performed")</formula>
    </cfRule>
  </conditionalFormatting>
  <dataValidations count="7">
    <dataValidation sqref="A8 A10 A11 A12 A13 A15 A17 A18 A20 A21 A22 A23 A25 A26 A27 A28 A30 A31 A32 A33 A34 A35 A37 A38 A39 A40 A42 A43 A45 A46 A48" showDropDown="0" showInputMessage="0" showErrorMessage="0" allowBlank="0" type="list">
      <formula1>"Applicable,Not Applicable - Fact Driven"</formula1>
    </dataValidation>
    <dataValidation sqref="B8 B10 B11 B12 B13 B15 B17 B18 B20 B21 B22 B23 B25 B26 B27 B28 B30 B31 B32 B33 B34 B35 B37 B38 B39 B40 B42 B43 B45 B46 B48" showDropDown="0" showInputMessage="0" showErrorMessage="0" allowBlank="0" type="list">
      <formula1>"Required,Recommended"</formula1>
    </dataValidation>
    <dataValidation sqref="C8 C10 C11 C12 C13 C15 C17 C18 C20 C21 C22 C23 C25 C26 C27 C28 C30 C31 C32 C33 C34 C35 C37 C38 C39 C40 C42 C43 C45 C46 C48" showDropDown="0" showInputMessage="0" showErrorMessage="0" allowBlank="0" type="list">
      <formula1>"Not Started,In Progress,Performed,Not Performed"</formula1>
    </dataValidation>
    <dataValidation sqref="D8 D10 D11 D12 D13 D15 D17 D18 D20 D21 D22 D23 D25 D26 D27 D28 D30 D31 D32 D33 D34 D35 D37 D38 D39 D40 D42 D43 D45 D46 D48" showDropDown="0" showInputMessage="0" showErrorMessage="0" allowBlank="0" type="list">
      <formula1>"Sufficient,Missing,Unreadable,Unreliable,Contradictory,Not Required"</formula1>
    </dataValidation>
    <dataValidation sqref="E8 E10 E11 E12 E13 E15 E17 E18 E20 E21 E22 E23 E25 E26 E27 E28 E30 E31 E32 E33 E34 E35 E37 E38 E39 E40 E42 E43 E45 E46 E48" showDropDown="0" showInputMessage="0" showErrorMessage="0" allowBlank="0" type="list">
      <formula1>"No Exception,Exception Identified,Unable to Conclude"</formula1>
    </dataValidation>
    <dataValidation sqref="F8 F10 F11 F12 F13 F15 F17 F18 F20 F21 F22 F23 F25 F26 F27 F28 F30 F31 F32 F33 F34 F35 F37 F38 F39 F40 F42 F43 F45 F46 F48" showDropDown="0" showInputMessage="0" showErrorMessage="0" allowBlank="0" type="list">
      <formula1>"None,Open,Adjusted,Passed,Resolved,Superseded"</formula1>
    </dataValidation>
    <dataValidation sqref="G8 G10 G11 G12 G13 G15 G17 G18 G20 G21 G22 G23 G25 G26 G27 G28 G30 G31 G32 G33 G34 G35 G37 G38 G39 G40 G42 G43 G45 G46 G48" showDropDown="0" showInputMessage="0" showErrorMessage="0" allowBlank="0" type="list">
      <formula1>"Unsigned,Prepared,Reviewed,Superseded"</formula1>
    </dataValidation>
  </dataValidations>
  <printOptions horizontalCentered="0" verticalCentered="0"/>
  <pageMargins left="0.25" right="0.25" top="0.5" bottom="0.5" header="0.2" footer="0.2"/>
  <pageSetup orientation="landscape" paperSize="1" fitToHeight="0" fitToWidth="2" horizontalDpi="300" verticalDpi="300"/>
</worksheet>
</file>

<file path=xl/worksheets/sheet2.xml><?xml version="1.0" encoding="utf-8"?>
<worksheet xmlns="http://schemas.openxmlformats.org/spreadsheetml/2006/main">
  <sheetPr>
    <outlinePr summaryBelow="1" summaryRight="1"/>
    <pageSetUpPr autoPageBreaks="0" fitToPage="1"/>
  </sheetPr>
  <dimension ref="A1:H32"/>
  <sheetViews>
    <sheetView showGridLines="0" zoomScale="90" zoomScaleNormal="100" workbookViewId="0">
      <pane ySplit="7" topLeftCell="A8" activePane="bottomLeft" state="frozen"/>
      <selection pane="bottomLeft" activeCell="A6" sqref="A6"/>
    </sheetView>
  </sheetViews>
  <sheetFormatPr baseColWidth="8" defaultColWidth="8.6328125" defaultRowHeight="14.5"/>
  <cols>
    <col width="21.90625" bestFit="1" customWidth="1" min="1" max="1"/>
    <col width="34" customWidth="1" min="2" max="2"/>
    <col width="20" customWidth="1" min="3" max="3"/>
    <col width="37.7" bestFit="1" customWidth="1" min="4" max="4"/>
    <col width="12" customWidth="1" min="5" max="5"/>
    <col width="24" customWidth="1" min="6" max="6"/>
    <col width="34" customWidth="1" min="7" max="7"/>
    <col width="13" customWidth="1" min="8" max="8"/>
  </cols>
  <sheetData>
    <row r="1" ht="17.5" customHeight="1">
      <c r="A1" s="41" t="inlineStr">
        <is>
          <t>Source Index</t>
        </is>
      </c>
      <c r="B1" s="31" t="n"/>
      <c r="C1" s="31" t="n"/>
      <c r="D1" s="31" t="n"/>
      <c r="E1" s="31" t="n"/>
      <c r="F1" s="31" t="n"/>
      <c r="G1" s="31" t="n"/>
      <c r="H1" s="31" t="n"/>
    </row>
    <row r="2">
      <c r="A2" s="42" t="inlineStr">
        <is>
          <t>Client / Entity</t>
        </is>
      </c>
      <c r="B2" s="32" t="inlineStr">
        <is>
          <t>Quelvox Industrial Holdings, LLC</t>
        </is>
      </c>
      <c r="C2" s="31" t="n"/>
      <c r="D2" s="42" t="inlineStr">
        <is>
          <t>Year-End</t>
        </is>
      </c>
      <c r="E2" s="43" t="n">
        <v>46022</v>
      </c>
      <c r="F2" s="31" t="n"/>
      <c r="G2" s="42" t="inlineStr">
        <is>
          <t>Currency</t>
        </is>
      </c>
      <c r="H2" s="44" t="inlineStr">
        <is>
          <t>USD</t>
        </is>
      </c>
    </row>
    <row r="3" ht="27" customHeight="1">
      <c r="A3" s="45" t="inlineStr">
        <is>
          <t>Performance Materiality</t>
        </is>
      </c>
      <c r="B3" s="46" t="n">
        <v>32500</v>
      </c>
      <c r="C3" s="31" t="n"/>
      <c r="D3" s="45" t="inlineStr">
        <is>
          <t>Tolerable misstatement / testing threshold</t>
        </is>
      </c>
      <c r="E3" s="46" t="n">
        <v>29300</v>
      </c>
      <c r="F3" s="31" t="n"/>
      <c r="G3" s="31" t="n"/>
      <c r="H3" s="31" t="n"/>
    </row>
    <row r="4" ht="15" customHeight="1">
      <c r="A4" s="47" t="inlineStr">
        <is>
          <t>Purpose:</t>
        </is>
      </c>
      <c r="B4" s="48" t="inlineStr">
        <is>
          <t>Map every AR PBC source and its limitations so the evidence trail is complete and traceable.</t>
        </is>
      </c>
      <c r="C4" s="31" t="n"/>
      <c r="D4" s="31" t="n"/>
      <c r="E4" s="31" t="n"/>
      <c r="F4" s="31" t="n"/>
      <c r="G4" s="31" t="n"/>
      <c r="H4" s="31" t="n"/>
    </row>
    <row r="5" ht="27.75" customHeight="1">
      <c r="A5" s="47" t="inlineStr">
        <is>
          <t>Scope:</t>
        </is>
      </c>
      <c r="B5" s="48" t="inlineStr">
        <is>
          <t>All client-provided AR support: sub-ledger/aging, confirmation replies, bank statements, write-off/credit-memo log, allowance/CECL methodology memo.</t>
        </is>
      </c>
      <c r="C5" s="31" t="n"/>
      <c r="D5" s="31" t="n"/>
      <c r="E5" s="31" t="n"/>
      <c r="F5" s="31" t="n"/>
      <c r="G5" s="31" t="n"/>
      <c r="H5" s="31" t="n"/>
    </row>
    <row r="6" ht="15" customHeight="1">
      <c r="A6" s="47" t="inlineStr">
        <is>
          <t>Assertions:</t>
        </is>
      </c>
      <c r="B6" s="48" t="inlineStr">
        <is>
          <t>Completeness</t>
        </is>
      </c>
      <c r="C6" s="31" t="n"/>
      <c r="D6" s="31" t="n"/>
      <c r="E6" s="31" t="n"/>
      <c r="F6" s="31" t="n"/>
      <c r="G6" s="31" t="n"/>
      <c r="H6" s="31" t="n"/>
    </row>
    <row r="7" ht="30" customHeight="1">
      <c r="A7" s="49" t="inlineStr">
        <is>
          <t>Ref</t>
        </is>
      </c>
      <c r="B7" s="49" t="inlineStr">
        <is>
          <t>Source document / PBC</t>
        </is>
      </c>
      <c r="C7" s="49" t="inlineStr">
        <is>
          <t>Provided by</t>
        </is>
      </c>
      <c r="D7" s="49" t="inlineStr">
        <is>
          <t>Date received</t>
        </is>
      </c>
      <c r="E7" s="49" t="inlineStr">
        <is>
          <t>Format</t>
        </is>
      </c>
      <c r="F7" s="49" t="inlineStr">
        <is>
          <t>Used in tab(s)</t>
        </is>
      </c>
      <c r="G7" s="49" t="inlineStr">
        <is>
          <t>Limitations / notes</t>
        </is>
      </c>
      <c r="H7" s="31" t="n"/>
    </row>
    <row r="8">
      <c r="A8" s="50" t="n"/>
      <c r="B8" s="50" t="n"/>
      <c r="C8" s="50" t="n"/>
      <c r="D8" s="50" t="n"/>
      <c r="E8" s="50" t="n"/>
      <c r="F8" s="50" t="n"/>
      <c r="G8" s="50" t="n"/>
      <c r="H8" s="31" t="n"/>
    </row>
    <row r="9">
      <c r="A9" s="50" t="n"/>
      <c r="B9" s="50" t="n"/>
      <c r="C9" s="50" t="n"/>
      <c r="D9" s="50" t="n"/>
      <c r="E9" s="50" t="n"/>
      <c r="F9" s="50" t="n"/>
      <c r="G9" s="50" t="n"/>
      <c r="H9" s="31" t="n"/>
    </row>
    <row r="10">
      <c r="A10" s="50" t="n"/>
      <c r="B10" s="50" t="n"/>
      <c r="C10" s="50" t="n"/>
      <c r="D10" s="50" t="n"/>
      <c r="E10" s="50" t="n"/>
      <c r="F10" s="50" t="n"/>
      <c r="G10" s="50" t="n"/>
      <c r="H10" s="31" t="n"/>
    </row>
    <row r="11">
      <c r="A11" s="50" t="n"/>
      <c r="B11" s="50" t="n"/>
      <c r="C11" s="50" t="n"/>
      <c r="D11" s="50" t="n"/>
      <c r="E11" s="50" t="n"/>
      <c r="F11" s="50" t="n"/>
      <c r="G11" s="50" t="n"/>
      <c r="H11" s="31" t="n"/>
    </row>
    <row r="12">
      <c r="A12" s="50" t="n"/>
      <c r="B12" s="50" t="n"/>
      <c r="C12" s="50" t="n"/>
      <c r="D12" s="50" t="n"/>
      <c r="E12" s="50" t="n"/>
      <c r="F12" s="50" t="n"/>
      <c r="G12" s="50" t="n"/>
      <c r="H12" s="31" t="n"/>
    </row>
    <row r="13">
      <c r="A13" s="50" t="n"/>
      <c r="B13" s="50" t="n"/>
      <c r="C13" s="50" t="n"/>
      <c r="D13" s="50" t="n"/>
      <c r="E13" s="50" t="n"/>
      <c r="F13" s="50" t="n"/>
      <c r="G13" s="50" t="n"/>
      <c r="H13" s="31" t="n"/>
    </row>
    <row r="14">
      <c r="A14" s="50" t="n"/>
      <c r="B14" s="50" t="n"/>
      <c r="C14" s="50" t="n"/>
      <c r="D14" s="50" t="n"/>
      <c r="E14" s="50" t="n"/>
      <c r="F14" s="50" t="n"/>
      <c r="G14" s="50" t="n"/>
      <c r="H14" s="31" t="n"/>
    </row>
    <row r="15">
      <c r="A15" s="50" t="n"/>
      <c r="B15" s="50" t="n"/>
      <c r="C15" s="50" t="n"/>
      <c r="D15" s="50" t="n"/>
      <c r="E15" s="50" t="n"/>
      <c r="F15" s="50" t="n"/>
      <c r="G15" s="50" t="n"/>
      <c r="H15" s="31" t="n"/>
    </row>
    <row r="16">
      <c r="A16" s="50" t="n"/>
      <c r="B16" s="50" t="n"/>
      <c r="C16" s="50" t="n"/>
      <c r="D16" s="50" t="n"/>
      <c r="E16" s="50" t="n"/>
      <c r="F16" s="50" t="n"/>
      <c r="G16" s="50" t="n"/>
      <c r="H16" s="31" t="n"/>
    </row>
    <row r="17">
      <c r="A17" s="50" t="n"/>
      <c r="B17" s="50" t="n"/>
      <c r="C17" s="50" t="n"/>
      <c r="D17" s="50" t="n"/>
      <c r="E17" s="50" t="n"/>
      <c r="F17" s="50" t="n"/>
      <c r="G17" s="50" t="n"/>
      <c r="H17" s="31" t="n"/>
    </row>
    <row r="18">
      <c r="A18" s="50" t="n"/>
      <c r="B18" s="50" t="n"/>
      <c r="C18" s="50" t="n"/>
      <c r="D18" s="50" t="n"/>
      <c r="E18" s="50" t="n"/>
      <c r="F18" s="50" t="n"/>
      <c r="G18" s="50" t="n"/>
      <c r="H18" s="31" t="n"/>
    </row>
    <row r="19">
      <c r="A19" s="50" t="n"/>
      <c r="B19" s="50" t="n"/>
      <c r="C19" s="50" t="n"/>
      <c r="D19" s="50" t="n"/>
      <c r="E19" s="50" t="n"/>
      <c r="F19" s="50" t="n"/>
      <c r="G19" s="50" t="n"/>
      <c r="H19" s="31" t="n"/>
    </row>
    <row r="20">
      <c r="A20" s="31" t="n"/>
      <c r="B20" s="31" t="n"/>
      <c r="C20" s="31" t="n"/>
      <c r="D20" s="31" t="n"/>
      <c r="E20" s="31" t="n"/>
      <c r="F20" s="31" t="n"/>
      <c r="G20" s="31" t="n"/>
      <c r="H20" s="31" t="n"/>
    </row>
    <row r="21">
      <c r="A21" s="47" t="inlineStr">
        <is>
          <t>TM Legends</t>
        </is>
      </c>
      <c r="B21" s="31" t="n"/>
      <c r="C21" s="31" t="n"/>
      <c r="D21" s="31" t="n"/>
      <c r="E21" s="31" t="n"/>
      <c r="F21" s="31" t="n"/>
      <c r="G21" s="31" t="n"/>
      <c r="H21" s="31" t="n"/>
    </row>
    <row r="22">
      <c r="A22" s="51" t="inlineStr">
        <is>
          <t>TB</t>
        </is>
      </c>
      <c r="B22" s="37" t="inlineStr">
        <is>
          <t>Agreed to trial balance</t>
        </is>
      </c>
      <c r="C22" s="52" t="n"/>
      <c r="D22" s="53" t="n"/>
      <c r="E22" s="31" t="n"/>
      <c r="F22" s="31" t="n"/>
      <c r="G22" s="31" t="n"/>
      <c r="H22" s="31" t="n"/>
    </row>
    <row r="23">
      <c r="A23" s="51" t="inlineStr">
        <is>
          <t>GL</t>
        </is>
      </c>
      <c r="B23" s="37" t="inlineStr">
        <is>
          <t>Agreed to general ledger</t>
        </is>
      </c>
      <c r="C23" s="52" t="n"/>
      <c r="D23" s="53" t="n"/>
      <c r="E23" s="31" t="n"/>
      <c r="F23" s="31" t="n"/>
      <c r="G23" s="31" t="n"/>
      <c r="H23" s="31" t="n"/>
    </row>
    <row r="24">
      <c r="A24" s="51" t="inlineStr">
        <is>
          <t>CF</t>
        </is>
      </c>
      <c r="B24" s="37" t="inlineStr">
        <is>
          <t>Confirmed with third party</t>
        </is>
      </c>
      <c r="C24" s="52" t="n"/>
      <c r="D24" s="53" t="n"/>
      <c r="E24" s="31" t="n"/>
      <c r="F24" s="31" t="n"/>
      <c r="G24" s="31" t="n"/>
      <c r="H24" s="31" t="n"/>
    </row>
    <row r="25">
      <c r="A25" s="51" t="inlineStr">
        <is>
          <t>V</t>
        </is>
      </c>
      <c r="B25" s="37" t="inlineStr">
        <is>
          <t>Vouched to source document</t>
        </is>
      </c>
      <c r="C25" s="52" t="n"/>
      <c r="D25" s="53" t="n"/>
      <c r="E25" s="31" t="n"/>
      <c r="F25" s="31" t="n"/>
      <c r="G25" s="31" t="n"/>
      <c r="H25" s="31" t="n"/>
    </row>
    <row r="26">
      <c r="A26" s="51" t="inlineStr">
        <is>
          <t>SR</t>
        </is>
      </c>
      <c r="B26" s="37" t="inlineStr">
        <is>
          <t>Agreed to subsequent bank-cleared receipt</t>
        </is>
      </c>
      <c r="C26" s="52" t="n"/>
      <c r="D26" s="53" t="n"/>
      <c r="E26" s="31" t="n"/>
      <c r="F26" s="31" t="n"/>
      <c r="G26" s="31" t="n"/>
      <c r="H26" s="31" t="n"/>
    </row>
    <row r="27">
      <c r="A27" s="51" t="inlineStr">
        <is>
          <t>R</t>
        </is>
      </c>
      <c r="B27" s="37" t="inlineStr">
        <is>
          <t>Recalculated independently</t>
        </is>
      </c>
      <c r="C27" s="52" t="n"/>
      <c r="D27" s="53" t="n"/>
      <c r="E27" s="31" t="n"/>
      <c r="F27" s="31" t="n"/>
      <c r="G27" s="31" t="n"/>
      <c r="H27" s="31" t="n"/>
    </row>
    <row r="28">
      <c r="A28" s="51" t="inlineStr">
        <is>
          <t>F</t>
        </is>
      </c>
      <c r="B28" s="37" t="inlineStr">
        <is>
          <t>Footed / cross-cast</t>
        </is>
      </c>
      <c r="C28" s="52" t="n"/>
      <c r="D28" s="53" t="n"/>
      <c r="E28" s="31" t="n"/>
      <c r="F28" s="31" t="n"/>
      <c r="G28" s="31" t="n"/>
      <c r="H28" s="31" t="n"/>
    </row>
    <row r="29">
      <c r="A29" s="51" t="inlineStr">
        <is>
          <t>T</t>
        </is>
      </c>
      <c r="B29" s="37" t="inlineStr">
        <is>
          <t>Traced to downstream record</t>
        </is>
      </c>
      <c r="C29" s="52" t="n"/>
      <c r="D29" s="53" t="n"/>
      <c r="E29" s="31" t="n"/>
      <c r="F29" s="31" t="n"/>
      <c r="G29" s="31" t="n"/>
      <c r="H29" s="31" t="n"/>
    </row>
    <row r="30">
      <c r="A30" s="51" t="inlineStr">
        <is>
          <t>PBC</t>
        </is>
      </c>
      <c r="B30" s="37" t="inlineStr">
        <is>
          <t>Prepared by client</t>
        </is>
      </c>
      <c r="C30" s="52" t="n"/>
      <c r="D30" s="53" t="n"/>
      <c r="E30" s="31" t="n"/>
      <c r="F30" s="31" t="n"/>
      <c r="G30" s="31" t="n"/>
      <c r="H30" s="31" t="n"/>
    </row>
    <row r="31">
      <c r="A31" s="31" t="n"/>
      <c r="B31" s="31" t="n"/>
      <c r="C31" s="31" t="n"/>
      <c r="D31" s="31" t="n"/>
      <c r="E31" s="31" t="n"/>
      <c r="F31" s="31" t="n"/>
      <c r="G31" s="31" t="n"/>
      <c r="H31" s="31" t="n"/>
    </row>
    <row r="32" ht="25.5" customHeight="1">
      <c r="A32" s="33" t="inlineStr">
        <is>
          <t>Before sign-off complete Library Procedure 1 (source completeness &amp; limitations).</t>
        </is>
      </c>
      <c r="B32" s="31" t="n"/>
      <c r="C32" s="31" t="n"/>
      <c r="D32" s="31" t="n"/>
      <c r="E32" s="31" t="n"/>
      <c r="F32" s="31" t="n"/>
      <c r="G32" s="31" t="n"/>
      <c r="H32" s="31" t="n"/>
    </row>
  </sheetData>
  <mergeCells count="13">
    <mergeCell ref="A32:G32"/>
    <mergeCell ref="B28:D28"/>
    <mergeCell ref="B5:G5"/>
    <mergeCell ref="B23:D23"/>
    <mergeCell ref="B22:D22"/>
    <mergeCell ref="B26:D26"/>
    <mergeCell ref="B27:D27"/>
    <mergeCell ref="B4:G4"/>
    <mergeCell ref="B30:D30"/>
    <mergeCell ref="B29:D29"/>
    <mergeCell ref="B25:D25"/>
    <mergeCell ref="B24:D24"/>
    <mergeCell ref="B6:G6"/>
  </mergeCells>
  <printOptions horizontalCentered="0" verticalCentered="0"/>
  <pageMargins left="0.25" right="0.25" top="0.5" bottom="0.5" header="0.2" footer="0.2"/>
  <pageSetup orientation="portrait" paperSize="1" fitToHeight="0" fitToWidth="1" horizontalDpi="300" verticalDpi="300"/>
</worksheet>
</file>

<file path=xl/worksheets/sheet3.xml><?xml version="1.0" encoding="utf-8"?>
<worksheet xmlns="http://schemas.openxmlformats.org/spreadsheetml/2006/main">
  <sheetPr>
    <outlinePr summaryBelow="1" summaryRight="1"/>
    <pageSetUpPr autoPageBreaks="0" fitToPage="1"/>
  </sheetPr>
  <dimension ref="A1:K38"/>
  <sheetViews>
    <sheetView showGridLines="0" zoomScale="90" zoomScaleNormal="100" workbookViewId="0">
      <pane xSplit="1" ySplit="7" topLeftCell="B8" activePane="bottomRight" state="frozen"/>
      <selection pane="topRight"/>
      <selection pane="bottomLeft"/>
      <selection pane="bottomRight" activeCell="A1" sqref="A1:A1048576"/>
    </sheetView>
  </sheetViews>
  <sheetFormatPr baseColWidth="8" defaultColWidth="8.6328125" defaultRowHeight="14.5"/>
  <cols>
    <col width="26" customWidth="1" min="1" max="1"/>
    <col width="29.2" customWidth="1" min="2" max="2"/>
    <col width="24" customWidth="1" min="3" max="3"/>
    <col width="37.7" customWidth="1" min="4" max="4"/>
    <col width="15" customWidth="1" min="5" max="6"/>
    <col width="13.9" customWidth="1" min="6" max="6"/>
    <col width="30.9" customWidth="1" min="7" max="8"/>
    <col width="13" customWidth="1" min="8" max="8"/>
    <col width="30.9" customWidth="1" min="9" max="9"/>
    <col width="34.3" customWidth="1" min="10" max="10"/>
    <col width="28" customWidth="1" min="11" max="11"/>
  </cols>
  <sheetData>
    <row r="1" ht="17.5" customHeight="1">
      <c r="A1" s="41" t="inlineStr">
        <is>
          <t>AR Lead Sheet</t>
        </is>
      </c>
      <c r="B1" s="31" t="n"/>
      <c r="C1" s="31" t="n"/>
      <c r="D1" s="31" t="n"/>
      <c r="E1" s="31" t="n"/>
      <c r="F1" s="31" t="n"/>
      <c r="G1" s="31" t="n"/>
      <c r="H1" s="31" t="n"/>
      <c r="I1" s="31" t="n"/>
      <c r="J1" s="31" t="n"/>
      <c r="K1" s="31" t="n"/>
    </row>
    <row r="2" ht="27" customHeight="1">
      <c r="A2" s="42" t="inlineStr">
        <is>
          <t>Client / Entity</t>
        </is>
      </c>
      <c r="B2" s="32" t="inlineStr">
        <is>
          <t>Quelvox Industrial Holdings, LLC</t>
        </is>
      </c>
      <c r="C2" s="31" t="n"/>
      <c r="D2" s="42" t="inlineStr">
        <is>
          <t>Year-End</t>
        </is>
      </c>
      <c r="E2" s="43" t="n">
        <v>46022</v>
      </c>
      <c r="F2" s="31" t="n"/>
      <c r="G2" s="42" t="inlineStr">
        <is>
          <t>Currency</t>
        </is>
      </c>
      <c r="H2" s="44" t="inlineStr">
        <is>
          <t>USD</t>
        </is>
      </c>
      <c r="I2" s="31" t="n"/>
      <c r="J2" s="31" t="n"/>
      <c r="K2" s="31" t="n"/>
    </row>
    <row r="3" ht="27" customHeight="1">
      <c r="A3" s="45" t="inlineStr">
        <is>
          <t>Performance Materiality</t>
        </is>
      </c>
      <c r="B3" s="46" t="n">
        <v>32500</v>
      </c>
      <c r="C3" s="31" t="n"/>
      <c r="D3" s="45" t="inlineStr">
        <is>
          <t>Tolerable misstatement / testing threshold</t>
        </is>
      </c>
      <c r="E3" s="46" t="n">
        <v>29300</v>
      </c>
      <c r="F3" s="31" t="n"/>
      <c r="G3" s="31" t="n"/>
      <c r="H3" s="31" t="n"/>
      <c r="I3" s="31" t="n"/>
      <c r="J3" s="31" t="n"/>
      <c r="K3" s="31" t="n"/>
    </row>
    <row r="4" ht="27.75" customHeight="1">
      <c r="A4" s="47" t="inlineStr">
        <is>
          <t>Purpose:</t>
        </is>
      </c>
      <c r="B4" s="48" t="inlineStr">
        <is>
          <t>Summarize the AR population and tie gross AR, allowance and net AR to the trial balance; compute CY/PY movement.</t>
        </is>
      </c>
      <c r="C4" s="31" t="n"/>
      <c r="D4" s="31" t="n"/>
      <c r="E4" s="31" t="n"/>
      <c r="F4" s="31" t="n"/>
      <c r="G4" s="31" t="n"/>
      <c r="H4" s="31" t="n"/>
      <c r="I4" s="31" t="n"/>
      <c r="J4" s="31" t="n"/>
      <c r="K4" s="31" t="n"/>
    </row>
    <row r="5" ht="27.75" customHeight="1">
      <c r="A5" s="47" t="inlineStr">
        <is>
          <t>Scope:</t>
        </is>
      </c>
      <c r="B5" s="48" t="inlineStr">
        <is>
          <t>Every trade-receivable account from the trial balance (include any receivable amounts coded to other GL accounts, e.g. bad-debt-expense 6008).</t>
        </is>
      </c>
      <c r="C5" s="31" t="n"/>
      <c r="D5" s="31" t="n"/>
      <c r="E5" s="31" t="n"/>
      <c r="F5" s="31" t="n"/>
      <c r="G5" s="31" t="n"/>
      <c r="H5" s="31" t="n"/>
      <c r="I5" s="31" t="n"/>
      <c r="J5" s="31" t="n"/>
      <c r="K5" s="31" t="n"/>
    </row>
    <row r="6" ht="15" customHeight="1">
      <c r="A6" s="47" t="inlineStr">
        <is>
          <t>Assertions:</t>
        </is>
      </c>
      <c r="B6" s="48" t="inlineStr">
        <is>
          <t>Existence; Completeness; Rights &amp; Obligations; Accuracy</t>
        </is>
      </c>
      <c r="C6" s="31" t="n"/>
      <c r="D6" s="31" t="n"/>
      <c r="E6" s="31" t="n"/>
      <c r="F6" s="31" t="n"/>
      <c r="G6" s="31" t="n"/>
      <c r="H6" s="31" t="n"/>
      <c r="I6" s="31" t="n"/>
      <c r="J6" s="31" t="n"/>
      <c r="K6" s="31" t="n"/>
    </row>
    <row r="7" ht="30" customHeight="1">
      <c r="A7" s="49" t="inlineStr">
        <is>
          <t>Entity</t>
        </is>
      </c>
      <c r="B7" s="49" t="inlineStr">
        <is>
          <t>Account ID</t>
        </is>
      </c>
      <c r="C7" s="49" t="inlineStr">
        <is>
          <t>Account Description</t>
        </is>
      </c>
      <c r="D7" s="49" t="inlineStr">
        <is>
          <t>WP Ref / Status</t>
        </is>
      </c>
      <c r="E7" s="49" t="inlineStr">
        <is>
          <t>Gross AR (CY)</t>
        </is>
      </c>
      <c r="F7" s="49" t="inlineStr">
        <is>
          <t>Allowance (CY)</t>
        </is>
      </c>
      <c r="G7" s="49" t="inlineStr">
        <is>
          <t>Net AR (CY)</t>
        </is>
      </c>
      <c r="H7" s="49" t="inlineStr">
        <is>
          <t>Net AR (PY)</t>
        </is>
      </c>
      <c r="I7" s="49" t="inlineStr">
        <is>
          <t>Difference</t>
        </is>
      </c>
      <c r="J7" s="49" t="inlineStr">
        <is>
          <t>% Change</t>
        </is>
      </c>
      <c r="K7" s="49" t="inlineStr">
        <is>
          <t>Source / Comments</t>
        </is>
      </c>
    </row>
    <row r="8">
      <c r="A8" s="31" t="n"/>
      <c r="B8" s="31" t="n"/>
      <c r="C8" s="31" t="n"/>
      <c r="D8" s="31" t="n"/>
      <c r="E8" s="54" t="inlineStr">
        <is>
          <t>TB</t>
        </is>
      </c>
      <c r="F8" s="54" t="inlineStr">
        <is>
          <t>TB</t>
        </is>
      </c>
      <c r="G8" s="54" t="inlineStr">
        <is>
          <t>R</t>
        </is>
      </c>
      <c r="H8" s="54" t="inlineStr">
        <is>
          <t>TB</t>
        </is>
      </c>
      <c r="I8" s="54" t="inlineStr">
        <is>
          <t>R</t>
        </is>
      </c>
      <c r="J8" s="31" t="n"/>
      <c r="K8" s="31" t="n"/>
    </row>
    <row r="9">
      <c r="A9" s="50" t="n"/>
      <c r="B9" s="50" t="n"/>
      <c r="C9" s="50" t="n"/>
      <c r="D9" s="50" t="n"/>
      <c r="E9" s="55" t="n"/>
      <c r="F9" s="55" t="n"/>
      <c r="G9" s="56">
        <f>IF(AND(E9="",F9=""),"",E9-F9)</f>
        <v/>
      </c>
      <c r="H9" s="55" t="n"/>
      <c r="I9" s="56">
        <f>IF(AND(G9="",H9=""),"",G9-H9)</f>
        <v/>
      </c>
      <c r="J9" s="57">
        <f>IF(OR(H9="",H9=0),"",(G9-H9)/H9)</f>
        <v/>
      </c>
      <c r="K9" s="50" t="n"/>
    </row>
    <row r="10" ht="27" customHeight="1">
      <c r="A10" s="50" t="n"/>
      <c r="B10" s="50" t="n"/>
      <c r="C10" s="50" t="n"/>
      <c r="D10" s="50" t="n"/>
      <c r="E10" s="55" t="n"/>
      <c r="F10" s="55" t="n"/>
      <c r="G10" s="56">
        <f>IF(AND(E10="",F10=""),"",E10-F10)</f>
        <v/>
      </c>
      <c r="H10" s="55" t="n"/>
      <c r="I10" s="56">
        <f>IF(AND(G10="",H10=""),"",G10-H10)</f>
        <v/>
      </c>
      <c r="J10" s="57">
        <f>IF(OR(H10="",H10=0),"",(G10-H10)/H10)</f>
        <v/>
      </c>
      <c r="K10" s="50" t="n"/>
    </row>
    <row r="11" ht="27" customHeight="1">
      <c r="A11" s="50" t="n"/>
      <c r="B11" s="50" t="n"/>
      <c r="C11" s="50" t="n"/>
      <c r="D11" s="50" t="n"/>
      <c r="E11" s="55" t="n"/>
      <c r="F11" s="55" t="n"/>
      <c r="G11" s="56">
        <f>IF(AND(E11="",F11=""),"",E11-F11)</f>
        <v/>
      </c>
      <c r="H11" s="55" t="n"/>
      <c r="I11" s="56">
        <f>IF(AND(G11="",H11=""),"",G11-H11)</f>
        <v/>
      </c>
      <c r="J11" s="57">
        <f>IF(OR(H11="",H11=0),"",(G11-H11)/H11)</f>
        <v/>
      </c>
      <c r="K11" s="50" t="n"/>
    </row>
    <row r="12" ht="27" customHeight="1">
      <c r="A12" s="50" t="n"/>
      <c r="B12" s="50" t="n"/>
      <c r="C12" s="50" t="n"/>
      <c r="D12" s="50" t="n"/>
      <c r="E12" s="55" t="n"/>
      <c r="F12" s="55" t="n"/>
      <c r="G12" s="56">
        <f>IF(AND(E12="",F12=""),"",E12-F12)</f>
        <v/>
      </c>
      <c r="H12" s="55" t="n"/>
      <c r="I12" s="56">
        <f>IF(AND(G12="",H12=""),"",G12-H12)</f>
        <v/>
      </c>
      <c r="J12" s="57">
        <f>IF(OR(H12="",H12=0),"",(G12-H12)/H12)</f>
        <v/>
      </c>
      <c r="K12" s="50" t="n"/>
    </row>
    <row r="13" ht="27" customHeight="1">
      <c r="A13" s="50" t="n"/>
      <c r="B13" s="50" t="n"/>
      <c r="C13" s="50" t="n"/>
      <c r="D13" s="50" t="n"/>
      <c r="E13" s="55" t="n"/>
      <c r="F13" s="55" t="n"/>
      <c r="G13" s="56">
        <f>IF(AND(E13="",F13=""),"",E13-F13)</f>
        <v/>
      </c>
      <c r="H13" s="55" t="n"/>
      <c r="I13" s="56">
        <f>IF(AND(G13="",H13=""),"",G13-H13)</f>
        <v/>
      </c>
      <c r="J13" s="57">
        <f>IF(OR(H13="",H13=0),"",(G13-H13)/H13)</f>
        <v/>
      </c>
      <c r="K13" s="50" t="n"/>
    </row>
    <row r="14" ht="27" customHeight="1">
      <c r="A14" s="50" t="n"/>
      <c r="B14" s="50" t="n"/>
      <c r="C14" s="50" t="n"/>
      <c r="D14" s="50" t="n"/>
      <c r="E14" s="55" t="n"/>
      <c r="F14" s="55" t="n"/>
      <c r="G14" s="56">
        <f>IF(AND(E14="",F14=""),"",E14-F14)</f>
        <v/>
      </c>
      <c r="H14" s="55" t="n"/>
      <c r="I14" s="56">
        <f>IF(AND(G14="",H14=""),"",G14-H14)</f>
        <v/>
      </c>
      <c r="J14" s="57">
        <f>IF(OR(H14="",H14=0),"",(G14-H14)/H14)</f>
        <v/>
      </c>
      <c r="K14" s="50" t="n"/>
    </row>
    <row r="15" ht="27" customHeight="1">
      <c r="A15" s="50" t="n"/>
      <c r="B15" s="50" t="n"/>
      <c r="C15" s="50" t="n"/>
      <c r="D15" s="50" t="n"/>
      <c r="E15" s="55" t="n"/>
      <c r="F15" s="55" t="n"/>
      <c r="G15" s="56">
        <f>IF(AND(E15="",F15=""),"",E15-F15)</f>
        <v/>
      </c>
      <c r="H15" s="55" t="n"/>
      <c r="I15" s="56">
        <f>IF(AND(G15="",H15=""),"",G15-H15)</f>
        <v/>
      </c>
      <c r="J15" s="57">
        <f>IF(OR(H15="",H15=0),"",(G15-H15)/H15)</f>
        <v/>
      </c>
      <c r="K15" s="50" t="n"/>
    </row>
    <row r="16" ht="27" customHeight="1">
      <c r="A16" s="50" t="n"/>
      <c r="B16" s="50" t="n"/>
      <c r="C16" s="50" t="n"/>
      <c r="D16" s="50" t="n"/>
      <c r="E16" s="55" t="n"/>
      <c r="F16" s="55" t="n"/>
      <c r="G16" s="56">
        <f>IF(AND(E16="",F16=""),"",E16-F16)</f>
        <v/>
      </c>
      <c r="H16" s="55" t="n"/>
      <c r="I16" s="56">
        <f>IF(AND(G16="",H16=""),"",G16-H16)</f>
        <v/>
      </c>
      <c r="J16" s="57">
        <f>IF(OR(H16="",H16=0),"",(G16-H16)/H16)</f>
        <v/>
      </c>
      <c r="K16" s="50" t="n"/>
    </row>
    <row r="17" ht="27" customHeight="1">
      <c r="A17" s="50" t="n"/>
      <c r="B17" s="50" t="n"/>
      <c r="C17" s="50" t="n"/>
      <c r="D17" s="50" t="n"/>
      <c r="E17" s="55" t="n"/>
      <c r="F17" s="55" t="n"/>
      <c r="G17" s="56">
        <f>IF(AND(E17="",F17=""),"",E17-F17)</f>
        <v/>
      </c>
      <c r="H17" s="55" t="n"/>
      <c r="I17" s="56">
        <f>IF(AND(G17="",H17=""),"",G17-H17)</f>
        <v/>
      </c>
      <c r="J17" s="57">
        <f>IF(OR(H17="",H17=0),"",(G17-H17)/H17)</f>
        <v/>
      </c>
      <c r="K17" s="50" t="n"/>
    </row>
    <row r="18" ht="27" customHeight="1">
      <c r="A18" s="50" t="n"/>
      <c r="B18" s="50" t="n"/>
      <c r="C18" s="50" t="n"/>
      <c r="D18" s="50" t="n"/>
      <c r="E18" s="55" t="n"/>
      <c r="F18" s="55" t="n"/>
      <c r="G18" s="56">
        <f>IF(AND(E18="",F18=""),"",E18-F18)</f>
        <v/>
      </c>
      <c r="H18" s="55" t="n"/>
      <c r="I18" s="56">
        <f>IF(AND(G18="",H18=""),"",G18-H18)</f>
        <v/>
      </c>
      <c r="J18" s="57">
        <f>IF(OR(H18="",H18=0),"",(G18-H18)/H18)</f>
        <v/>
      </c>
      <c r="K18" s="50" t="n"/>
    </row>
    <row r="19">
      <c r="A19" s="58" t="inlineStr">
        <is>
          <t>Total per lead sheet</t>
        </is>
      </c>
      <c r="B19" s="59" t="n"/>
      <c r="C19" s="59" t="n"/>
      <c r="D19" s="59" t="n"/>
      <c r="E19" s="60">
        <f>SUM(E9:E18)</f>
        <v/>
      </c>
      <c r="F19" s="60">
        <f>SUM(F9:F18)</f>
        <v/>
      </c>
      <c r="G19" s="60">
        <f>SUM(G9:G18)</f>
        <v/>
      </c>
      <c r="H19" s="60">
        <f>SUM(H9:H18)</f>
        <v/>
      </c>
      <c r="I19" s="59" t="n"/>
      <c r="J19" s="59" t="n"/>
      <c r="K19" s="59" t="n"/>
    </row>
    <row r="20">
      <c r="A20" s="31" t="n"/>
      <c r="B20" s="31" t="n"/>
      <c r="C20" s="31" t="n"/>
      <c r="D20" s="31" t="n"/>
      <c r="E20" s="31" t="n"/>
      <c r="F20" s="31" t="n"/>
      <c r="G20" s="31" t="n"/>
      <c r="H20" s="31" t="n"/>
      <c r="I20" s="31" t="n"/>
      <c r="J20" s="31" t="n"/>
      <c r="K20" s="31" t="n"/>
    </row>
    <row r="21">
      <c r="A21" s="61" t="inlineStr">
        <is>
          <t>Tie-Out Summary</t>
        </is>
      </c>
      <c r="B21" s="31" t="n"/>
      <c r="C21" s="31" t="n"/>
      <c r="D21" s="31" t="n"/>
      <c r="E21" s="31" t="n"/>
      <c r="F21" s="31" t="n"/>
      <c r="G21" s="31" t="n"/>
      <c r="H21" s="31" t="n"/>
      <c r="I21" s="31" t="n"/>
      <c r="J21" s="31" t="n"/>
      <c r="K21" s="31" t="n"/>
    </row>
    <row r="22" ht="18" customHeight="1">
      <c r="A22" s="49" t="inlineStr">
        <is>
          <t>Metric</t>
        </is>
      </c>
      <c r="B22" s="49" t="inlineStr">
        <is>
          <t>CY Amount</t>
        </is>
      </c>
      <c r="C22" s="49" t="inlineStr">
        <is>
          <t>PY Amount</t>
        </is>
      </c>
      <c r="D22" s="49" t="inlineStr">
        <is>
          <t>Note</t>
        </is>
      </c>
      <c r="E22" s="31" t="n"/>
      <c r="F22" s="31" t="n"/>
      <c r="G22" s="31" t="n"/>
      <c r="H22" s="31" t="n"/>
      <c r="I22" s="31" t="n"/>
      <c r="J22" s="31" t="n"/>
      <c r="K22" s="31" t="n"/>
    </row>
    <row r="23">
      <c r="A23" s="37" t="inlineStr">
        <is>
          <t>Net AR per lead sheet</t>
        </is>
      </c>
      <c r="B23" s="55" t="n"/>
      <c r="C23" s="55" t="n"/>
      <c r="D23" s="50" t="inlineStr">
        <is>
          <t>ties to total row</t>
        </is>
      </c>
      <c r="E23" s="31" t="n"/>
      <c r="F23" s="31" t="n"/>
      <c r="G23" s="31" t="n"/>
      <c r="H23" s="31" t="n"/>
      <c r="I23" s="31" t="n"/>
      <c r="J23" s="31" t="n"/>
      <c r="K23" s="31" t="n"/>
    </row>
    <row r="24">
      <c r="A24" s="37" t="inlineStr">
        <is>
          <t>Trial balance net AR</t>
        </is>
      </c>
      <c r="B24" s="55" t="n"/>
      <c r="C24" s="55" t="n"/>
      <c r="D24" s="50" t="inlineStr">
        <is>
          <t>agree to TB</t>
        </is>
      </c>
      <c r="E24" s="31" t="n"/>
      <c r="F24" s="31" t="n"/>
      <c r="G24" s="31" t="n"/>
      <c r="H24" s="31" t="n"/>
      <c r="I24" s="31" t="n"/>
      <c r="J24" s="31" t="n"/>
      <c r="K24" s="31" t="n"/>
    </row>
    <row r="25">
      <c r="A25" s="37" t="inlineStr">
        <is>
          <t>Difference (should be 0)</t>
        </is>
      </c>
      <c r="B25" s="55">
        <f>B23-B24</f>
        <v/>
      </c>
      <c r="C25" s="55">
        <f>C23-C24</f>
        <v/>
      </c>
      <c r="D25" s="37" t="inlineStr">
        <is>
          <t>investigate if non-zero</t>
        </is>
      </c>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47" t="inlineStr">
        <is>
          <t>TM Legends</t>
        </is>
      </c>
      <c r="B27" s="31" t="n"/>
      <c r="C27" s="31" t="n"/>
      <c r="D27" s="31" t="n"/>
      <c r="E27" s="31" t="n"/>
      <c r="F27" s="31" t="n"/>
      <c r="G27" s="31" t="n"/>
      <c r="H27" s="31" t="n"/>
      <c r="I27" s="31" t="n"/>
      <c r="J27" s="31" t="n"/>
      <c r="K27" s="31" t="n"/>
    </row>
    <row r="28">
      <c r="A28" s="51" t="inlineStr">
        <is>
          <t>TB</t>
        </is>
      </c>
      <c r="B28" s="37" t="inlineStr">
        <is>
          <t>Agreed to trial balance</t>
        </is>
      </c>
      <c r="C28" s="52" t="n"/>
      <c r="D28" s="53" t="n"/>
      <c r="E28" s="31" t="n"/>
      <c r="F28" s="31" t="n"/>
      <c r="G28" s="31" t="n"/>
      <c r="H28" s="31" t="n"/>
      <c r="I28" s="31" t="n"/>
      <c r="J28" s="31" t="n"/>
      <c r="K28" s="31" t="n"/>
    </row>
    <row r="29">
      <c r="A29" s="51" t="inlineStr">
        <is>
          <t>GL</t>
        </is>
      </c>
      <c r="B29" s="37" t="inlineStr">
        <is>
          <t>Agreed to general ledger</t>
        </is>
      </c>
      <c r="C29" s="52" t="n"/>
      <c r="D29" s="53" t="n"/>
      <c r="E29" s="31" t="n"/>
      <c r="F29" s="31" t="n"/>
      <c r="G29" s="31" t="n"/>
      <c r="H29" s="31" t="n"/>
      <c r="I29" s="31" t="n"/>
      <c r="J29" s="31" t="n"/>
      <c r="K29" s="31" t="n"/>
    </row>
    <row r="30">
      <c r="A30" s="51" t="inlineStr">
        <is>
          <t>CF</t>
        </is>
      </c>
      <c r="B30" s="37" t="inlineStr">
        <is>
          <t>Confirmed with third party</t>
        </is>
      </c>
      <c r="C30" s="52" t="n"/>
      <c r="D30" s="53" t="n"/>
      <c r="E30" s="31" t="n"/>
      <c r="F30" s="31" t="n"/>
      <c r="G30" s="31" t="n"/>
      <c r="H30" s="31" t="n"/>
      <c r="I30" s="31" t="n"/>
      <c r="J30" s="31" t="n"/>
      <c r="K30" s="31" t="n"/>
    </row>
    <row r="31">
      <c r="A31" s="51" t="inlineStr">
        <is>
          <t>V</t>
        </is>
      </c>
      <c r="B31" s="37" t="inlineStr">
        <is>
          <t>Vouched to source document</t>
        </is>
      </c>
      <c r="C31" s="52" t="n"/>
      <c r="D31" s="53" t="n"/>
      <c r="E31" s="31" t="n"/>
      <c r="F31" s="31" t="n"/>
      <c r="G31" s="31" t="n"/>
      <c r="H31" s="31" t="n"/>
      <c r="I31" s="31" t="n"/>
      <c r="J31" s="31" t="n"/>
      <c r="K31" s="31" t="n"/>
    </row>
    <row r="32">
      <c r="A32" s="51" t="inlineStr">
        <is>
          <t>SR</t>
        </is>
      </c>
      <c r="B32" s="37" t="inlineStr">
        <is>
          <t>Agreed to subsequent bank-cleared receipt</t>
        </is>
      </c>
      <c r="C32" s="52" t="n"/>
      <c r="D32" s="53" t="n"/>
      <c r="E32" s="31" t="n"/>
      <c r="F32" s="31" t="n"/>
      <c r="G32" s="31" t="n"/>
      <c r="H32" s="31" t="n"/>
      <c r="I32" s="31" t="n"/>
      <c r="J32" s="31" t="n"/>
      <c r="K32" s="31" t="n"/>
    </row>
    <row r="33">
      <c r="A33" s="51" t="inlineStr">
        <is>
          <t>R</t>
        </is>
      </c>
      <c r="B33" s="37" t="inlineStr">
        <is>
          <t>Recalculated independently</t>
        </is>
      </c>
      <c r="C33" s="52" t="n"/>
      <c r="D33" s="53" t="n"/>
      <c r="E33" s="31" t="n"/>
      <c r="F33" s="31" t="n"/>
      <c r="G33" s="31" t="n"/>
      <c r="H33" s="31" t="n"/>
      <c r="I33" s="31" t="n"/>
      <c r="J33" s="31" t="n"/>
      <c r="K33" s="31" t="n"/>
    </row>
    <row r="34">
      <c r="A34" s="51" t="inlineStr">
        <is>
          <t>F</t>
        </is>
      </c>
      <c r="B34" s="37" t="inlineStr">
        <is>
          <t>Footed / cross-cast</t>
        </is>
      </c>
      <c r="C34" s="52" t="n"/>
      <c r="D34" s="53" t="n"/>
      <c r="E34" s="31" t="n"/>
      <c r="F34" s="31" t="n"/>
      <c r="G34" s="31" t="n"/>
      <c r="H34" s="31" t="n"/>
      <c r="I34" s="31" t="n"/>
      <c r="J34" s="31" t="n"/>
      <c r="K34" s="31" t="n"/>
    </row>
    <row r="35">
      <c r="A35" s="51" t="inlineStr">
        <is>
          <t>T</t>
        </is>
      </c>
      <c r="B35" s="37" t="inlineStr">
        <is>
          <t>Traced to downstream record</t>
        </is>
      </c>
      <c r="C35" s="52" t="n"/>
      <c r="D35" s="53" t="n"/>
      <c r="E35" s="31" t="n"/>
      <c r="F35" s="31" t="n"/>
      <c r="G35" s="31" t="n"/>
      <c r="H35" s="31" t="n"/>
      <c r="I35" s="31" t="n"/>
      <c r="J35" s="31" t="n"/>
      <c r="K35" s="31" t="n"/>
    </row>
    <row r="36">
      <c r="A36" s="51" t="inlineStr">
        <is>
          <t>PBC</t>
        </is>
      </c>
      <c r="B36" s="37" t="inlineStr">
        <is>
          <t>Prepared by client</t>
        </is>
      </c>
      <c r="C36" s="52" t="n"/>
      <c r="D36" s="53" t="n"/>
      <c r="E36" s="31" t="n"/>
      <c r="F36" s="31" t="n"/>
      <c r="G36" s="31" t="n"/>
      <c r="H36" s="31" t="n"/>
      <c r="I36" s="31" t="n"/>
      <c r="J36" s="31" t="n"/>
      <c r="K36" s="31" t="n"/>
    </row>
    <row r="37">
      <c r="A37" s="31" t="n"/>
      <c r="B37" s="31" t="n"/>
      <c r="C37" s="31" t="n"/>
      <c r="D37" s="31" t="n"/>
      <c r="E37" s="31" t="n"/>
      <c r="F37" s="31" t="n"/>
      <c r="G37" s="31" t="n"/>
      <c r="H37" s="31" t="n"/>
      <c r="I37" s="31" t="n"/>
      <c r="J37" s="31" t="n"/>
      <c r="K37" s="31" t="n"/>
    </row>
    <row r="38" ht="25.5" customHeight="1">
      <c r="A38" s="33" t="inlineStr">
        <is>
          <t>Before sign-off complete Library Procedures 2-5 (AR Lead Sheet).</t>
        </is>
      </c>
      <c r="B38" s="31" t="n"/>
      <c r="C38" s="31" t="n"/>
      <c r="D38" s="31" t="n"/>
      <c r="E38" s="31" t="n"/>
      <c r="F38" s="31" t="n"/>
      <c r="G38" s="31" t="n"/>
      <c r="H38" s="31" t="n"/>
      <c r="I38" s="31" t="n"/>
      <c r="J38" s="31" t="n"/>
      <c r="K38" s="31" t="n"/>
    </row>
  </sheetData>
  <mergeCells count="13">
    <mergeCell ref="B33:D33"/>
    <mergeCell ref="B28:D28"/>
    <mergeCell ref="B36:D36"/>
    <mergeCell ref="B34:D34"/>
    <mergeCell ref="B4:K4"/>
    <mergeCell ref="B31:D31"/>
    <mergeCell ref="B35:D35"/>
    <mergeCell ref="B32:D32"/>
    <mergeCell ref="A38:K38"/>
    <mergeCell ref="B30:D30"/>
    <mergeCell ref="B6:K6"/>
    <mergeCell ref="B29:D29"/>
    <mergeCell ref="B5:K5"/>
  </mergeCells>
  <printOptions horizontalCentered="0" verticalCentered="0"/>
  <pageMargins left="0.25" right="0.25" top="0.5" bottom="0.5" header="0.2" footer="0.2"/>
  <pageSetup orientation="landscape" paperSize="1" fitToHeight="0" fitToWidth="1" horizontalDpi="300" verticalDpi="300"/>
</worksheet>
</file>

<file path=xl/worksheets/sheet4.xml><?xml version="1.0" encoding="utf-8"?>
<worksheet xmlns="http://schemas.openxmlformats.org/spreadsheetml/2006/main">
  <sheetPr>
    <outlinePr summaryBelow="1" summaryRight="1"/>
    <pageSetUpPr autoPageBreaks="0" fitToPage="1"/>
  </sheetPr>
  <dimension ref="A1:K36"/>
  <sheetViews>
    <sheetView showGridLines="0" zoomScale="90" zoomScaleNormal="100" workbookViewId="0">
      <pane xSplit="1" ySplit="7" topLeftCell="B8" activePane="bottomRight" state="frozen"/>
      <selection pane="topRight"/>
      <selection pane="bottomLeft"/>
      <selection pane="bottomRight" activeCell="A1" sqref="A1:A1048576"/>
    </sheetView>
  </sheetViews>
  <sheetFormatPr baseColWidth="8" defaultColWidth="8.6328125" defaultRowHeight="14.5"/>
  <cols>
    <col width="28" customWidth="1" min="1" max="1"/>
    <col width="29.2" customWidth="1" min="2" max="7"/>
    <col width="13" customWidth="1" min="3" max="3"/>
    <col width="37.7" customWidth="1" min="4" max="4"/>
    <col width="13" customWidth="1" min="5" max="5"/>
    <col width="13" customWidth="1" min="6" max="6"/>
    <col width="13" customWidth="1" min="7" max="7"/>
    <col width="19.85" customWidth="1" min="8" max="9"/>
    <col width="15.6" customWidth="1" min="9" max="9"/>
    <col width="20.7" customWidth="1" min="10" max="10"/>
    <col width="24" customWidth="1" min="11" max="11"/>
  </cols>
  <sheetData>
    <row r="1" ht="17.5" customHeight="1">
      <c r="A1" s="41" t="inlineStr">
        <is>
          <t>Aging Tie-Out</t>
        </is>
      </c>
      <c r="B1" s="31" t="n"/>
      <c r="C1" s="31" t="n"/>
      <c r="D1" s="31" t="n"/>
      <c r="E1" s="31" t="n"/>
      <c r="F1" s="31" t="n"/>
      <c r="G1" s="31" t="n"/>
      <c r="H1" s="31" t="n"/>
      <c r="I1" s="31" t="n"/>
      <c r="J1" s="31" t="n"/>
      <c r="K1" s="31" t="n"/>
    </row>
    <row r="2" ht="27" customHeight="1">
      <c r="A2" s="42" t="inlineStr">
        <is>
          <t>Client / Entity</t>
        </is>
      </c>
      <c r="B2" s="32" t="inlineStr">
        <is>
          <t>Quelvox Industrial Holdings, LLC</t>
        </is>
      </c>
      <c r="C2" s="31" t="n"/>
      <c r="D2" s="42" t="inlineStr">
        <is>
          <t>Year-End</t>
        </is>
      </c>
      <c r="E2" s="43" t="n">
        <v>46022</v>
      </c>
      <c r="F2" s="31" t="n"/>
      <c r="G2" s="42" t="inlineStr">
        <is>
          <t>Currency</t>
        </is>
      </c>
      <c r="H2" s="44" t="inlineStr">
        <is>
          <t>USD</t>
        </is>
      </c>
      <c r="I2" s="31" t="n"/>
      <c r="J2" s="31" t="n"/>
      <c r="K2" s="31" t="n"/>
    </row>
    <row r="3" ht="27" customHeight="1">
      <c r="A3" s="45" t="inlineStr">
        <is>
          <t>Performance Materiality</t>
        </is>
      </c>
      <c r="B3" s="46" t="n">
        <v>32500</v>
      </c>
      <c r="C3" s="31" t="n"/>
      <c r="D3" s="45" t="inlineStr">
        <is>
          <t>Tolerable misstatement / testing threshold</t>
        </is>
      </c>
      <c r="E3" s="46" t="n">
        <v>29300</v>
      </c>
      <c r="F3" s="31" t="n"/>
      <c r="G3" s="31" t="n"/>
      <c r="H3" s="31" t="n"/>
      <c r="I3" s="31" t="n"/>
      <c r="J3" s="31" t="n"/>
      <c r="K3" s="31" t="n"/>
    </row>
    <row r="4" ht="27.75" customHeight="1">
      <c r="A4" s="47" t="inlineStr">
        <is>
          <t>Purpose:</t>
        </is>
      </c>
      <c r="B4" s="48" t="inlineStr">
        <is>
          <t>Reconcile the year-end aging / open-item support to the lead sheet, stratify by bucket, and foot.</t>
        </is>
      </c>
      <c r="C4" s="31" t="n"/>
      <c r="D4" s="31" t="n"/>
      <c r="E4" s="31" t="n"/>
      <c r="F4" s="31" t="n"/>
      <c r="G4" s="31" t="n"/>
      <c r="H4" s="31" t="n"/>
      <c r="I4" s="31" t="n"/>
      <c r="J4" s="31" t="n"/>
      <c r="K4" s="31" t="n"/>
    </row>
    <row r="5" ht="15" customHeight="1">
      <c r="A5" s="47" t="inlineStr">
        <is>
          <t>Scope:</t>
        </is>
      </c>
      <c r="B5" s="48" t="inlineStr">
        <is>
          <t>The client aging report by customer/bucket; total ties to gross AR on the lead sheet.</t>
        </is>
      </c>
      <c r="C5" s="31" t="n"/>
      <c r="D5" s="31" t="n"/>
      <c r="E5" s="31" t="n"/>
      <c r="F5" s="31" t="n"/>
      <c r="G5" s="31" t="n"/>
      <c r="H5" s="31" t="n"/>
      <c r="I5" s="31" t="n"/>
      <c r="J5" s="31" t="n"/>
      <c r="K5" s="31" t="n"/>
    </row>
    <row r="6" ht="15" customHeight="1">
      <c r="A6" s="47" t="inlineStr">
        <is>
          <t>Assertions:</t>
        </is>
      </c>
      <c r="B6" s="48" t="inlineStr">
        <is>
          <t>Accuracy; Completeness; Valuation &amp; Allocation</t>
        </is>
      </c>
      <c r="C6" s="31" t="n"/>
      <c r="D6" s="31" t="n"/>
      <c r="E6" s="31" t="n"/>
      <c r="F6" s="31" t="n"/>
      <c r="G6" s="31" t="n"/>
      <c r="H6" s="31" t="n"/>
      <c r="I6" s="31" t="n"/>
      <c r="J6" s="31" t="n"/>
      <c r="K6" s="31" t="n"/>
    </row>
    <row r="7" ht="30" customHeight="1">
      <c r="A7" s="49" t="inlineStr">
        <is>
          <t>Customer / Account</t>
        </is>
      </c>
      <c r="B7" s="49" t="inlineStr">
        <is>
          <t>Current</t>
        </is>
      </c>
      <c r="C7" s="49" t="inlineStr">
        <is>
          <t>1-30</t>
        </is>
      </c>
      <c r="D7" s="49" t="inlineStr">
        <is>
          <t>31-60</t>
        </is>
      </c>
      <c r="E7" s="49" t="inlineStr">
        <is>
          <t>61-90</t>
        </is>
      </c>
      <c r="F7" s="49" t="inlineStr">
        <is>
          <t>91-120</t>
        </is>
      </c>
      <c r="G7" s="49" t="inlineStr">
        <is>
          <t>Over 120</t>
        </is>
      </c>
      <c r="H7" s="49" t="inlineStr">
        <is>
          <t>Total (= sum buckets)</t>
        </is>
      </c>
      <c r="I7" s="49" t="inlineStr">
        <is>
          <t>Per aging report</t>
        </is>
      </c>
      <c r="J7" s="49" t="inlineStr">
        <is>
          <t>Diff</t>
        </is>
      </c>
      <c r="K7" s="49" t="inlineStr">
        <is>
          <t>Source / Comments</t>
        </is>
      </c>
    </row>
    <row r="8">
      <c r="A8" s="31" t="n"/>
      <c r="B8" s="54" t="inlineStr">
        <is>
          <t>V</t>
        </is>
      </c>
      <c r="C8" s="31" t="n"/>
      <c r="D8" s="31" t="n"/>
      <c r="E8" s="31" t="n"/>
      <c r="F8" s="31" t="n"/>
      <c r="G8" s="31" t="n"/>
      <c r="H8" s="54" t="inlineStr">
        <is>
          <t>F</t>
        </is>
      </c>
      <c r="I8" s="54" t="inlineStr">
        <is>
          <t>PBC</t>
        </is>
      </c>
      <c r="J8" s="54" t="inlineStr">
        <is>
          <t>R</t>
        </is>
      </c>
      <c r="K8" s="31" t="n"/>
    </row>
    <row r="9">
      <c r="A9" s="50" t="n"/>
      <c r="B9" s="55" t="n"/>
      <c r="C9" s="55" t="n"/>
      <c r="D9" s="55" t="n"/>
      <c r="E9" s="55" t="n"/>
      <c r="F9" s="55" t="n"/>
      <c r="G9" s="55" t="n"/>
      <c r="H9" s="55">
        <f>SUM(B9:G9)</f>
        <v/>
      </c>
      <c r="I9" s="55" t="n"/>
      <c r="J9" s="56">
        <f>IF(I9="","",H9-I9)</f>
        <v/>
      </c>
      <c r="K9" s="50" t="n"/>
    </row>
    <row r="10" ht="27" customHeight="1">
      <c r="A10" s="50" t="n"/>
      <c r="B10" s="55" t="n"/>
      <c r="C10" s="55" t="n"/>
      <c r="D10" s="55" t="n"/>
      <c r="E10" s="55" t="n"/>
      <c r="F10" s="55" t="n"/>
      <c r="G10" s="55" t="n"/>
      <c r="H10" s="55">
        <f>SUM(B10:G10)</f>
        <v/>
      </c>
      <c r="I10" s="55" t="n"/>
      <c r="J10" s="56">
        <f>IF(I10="","",H10-I10)</f>
        <v/>
      </c>
      <c r="K10" s="50" t="n"/>
    </row>
    <row r="11" ht="27" customHeight="1">
      <c r="A11" s="50" t="n"/>
      <c r="B11" s="55" t="n"/>
      <c r="C11" s="55" t="n"/>
      <c r="D11" s="55" t="n"/>
      <c r="E11" s="55" t="n"/>
      <c r="F11" s="55" t="n"/>
      <c r="G11" s="55" t="n"/>
      <c r="H11" s="55">
        <f>SUM(B11:G11)</f>
        <v/>
      </c>
      <c r="I11" s="55" t="n"/>
      <c r="J11" s="56">
        <f>IF(I11="","",H11-I11)</f>
        <v/>
      </c>
      <c r="K11" s="50" t="n"/>
    </row>
    <row r="12" ht="27" customHeight="1">
      <c r="A12" s="50" t="n"/>
      <c r="B12" s="55" t="n"/>
      <c r="C12" s="55" t="n"/>
      <c r="D12" s="55" t="n"/>
      <c r="E12" s="55" t="n"/>
      <c r="F12" s="55" t="n"/>
      <c r="G12" s="55" t="n"/>
      <c r="H12" s="55">
        <f>SUM(B12:G12)</f>
        <v/>
      </c>
      <c r="I12" s="55" t="n"/>
      <c r="J12" s="56">
        <f>IF(I12="","",H12-I12)</f>
        <v/>
      </c>
      <c r="K12" s="50" t="n"/>
    </row>
    <row r="13" ht="27" customHeight="1">
      <c r="A13" s="50" t="n"/>
      <c r="B13" s="55" t="n"/>
      <c r="C13" s="55" t="n"/>
      <c r="D13" s="55" t="n"/>
      <c r="E13" s="55" t="n"/>
      <c r="F13" s="55" t="n"/>
      <c r="G13" s="55" t="n"/>
      <c r="H13" s="55">
        <f>SUM(B13:G13)</f>
        <v/>
      </c>
      <c r="I13" s="55" t="n"/>
      <c r="J13" s="56">
        <f>IF(I13="","",H13-I13)</f>
        <v/>
      </c>
      <c r="K13" s="50" t="n"/>
    </row>
    <row r="14" ht="27" customHeight="1">
      <c r="A14" s="50" t="n"/>
      <c r="B14" s="55" t="n"/>
      <c r="C14" s="55" t="n"/>
      <c r="D14" s="55" t="n"/>
      <c r="E14" s="55" t="n"/>
      <c r="F14" s="55" t="n"/>
      <c r="G14" s="55" t="n"/>
      <c r="H14" s="55">
        <f>SUM(B14:G14)</f>
        <v/>
      </c>
      <c r="I14" s="55" t="n"/>
      <c r="J14" s="56">
        <f>IF(I14="","",H14-I14)</f>
        <v/>
      </c>
      <c r="K14" s="50" t="n"/>
    </row>
    <row r="15" ht="27" customHeight="1">
      <c r="A15" s="50" t="n"/>
      <c r="B15" s="55" t="n"/>
      <c r="C15" s="55" t="n"/>
      <c r="D15" s="55" t="n"/>
      <c r="E15" s="55" t="n"/>
      <c r="F15" s="55" t="n"/>
      <c r="G15" s="55" t="n"/>
      <c r="H15" s="55">
        <f>SUM(B15:G15)</f>
        <v/>
      </c>
      <c r="I15" s="55" t="n"/>
      <c r="J15" s="56">
        <f>IF(I15="","",H15-I15)</f>
        <v/>
      </c>
      <c r="K15" s="50" t="n"/>
    </row>
    <row r="16" ht="27" customHeight="1">
      <c r="A16" s="50" t="n"/>
      <c r="B16" s="55" t="n"/>
      <c r="C16" s="55" t="n"/>
      <c r="D16" s="55" t="n"/>
      <c r="E16" s="55" t="n"/>
      <c r="F16" s="55" t="n"/>
      <c r="G16" s="55" t="n"/>
      <c r="H16" s="55">
        <f>SUM(B16:G16)</f>
        <v/>
      </c>
      <c r="I16" s="55" t="n"/>
      <c r="J16" s="56">
        <f>IF(I16="","",H16-I16)</f>
        <v/>
      </c>
      <c r="K16" s="50" t="n"/>
    </row>
    <row r="17" ht="27" customHeight="1">
      <c r="A17" s="50" t="n"/>
      <c r="B17" s="55" t="n"/>
      <c r="C17" s="55" t="n"/>
      <c r="D17" s="55" t="n"/>
      <c r="E17" s="55" t="n"/>
      <c r="F17" s="55" t="n"/>
      <c r="G17" s="55" t="n"/>
      <c r="H17" s="55">
        <f>SUM(B17:G17)</f>
        <v/>
      </c>
      <c r="I17" s="55" t="n"/>
      <c r="J17" s="56">
        <f>IF(I17="","",H17-I17)</f>
        <v/>
      </c>
      <c r="K17" s="50" t="n"/>
    </row>
    <row r="18" ht="27" customHeight="1">
      <c r="A18" s="50" t="n"/>
      <c r="B18" s="55" t="n"/>
      <c r="C18" s="55" t="n"/>
      <c r="D18" s="55" t="n"/>
      <c r="E18" s="55" t="n"/>
      <c r="F18" s="55" t="n"/>
      <c r="G18" s="55" t="n"/>
      <c r="H18" s="55">
        <f>SUM(B18:G18)</f>
        <v/>
      </c>
      <c r="I18" s="55" t="n"/>
      <c r="J18" s="56">
        <f>IF(I18="","",H18-I18)</f>
        <v/>
      </c>
      <c r="K18" s="50" t="n"/>
    </row>
    <row r="19" ht="27" customHeight="1">
      <c r="A19" s="50" t="n"/>
      <c r="B19" s="55" t="n"/>
      <c r="C19" s="55" t="n"/>
      <c r="D19" s="55" t="n"/>
      <c r="E19" s="55" t="n"/>
      <c r="F19" s="55" t="n"/>
      <c r="G19" s="55" t="n"/>
      <c r="H19" s="55">
        <f>SUM(B19:G19)</f>
        <v/>
      </c>
      <c r="I19" s="55" t="n"/>
      <c r="J19" s="56">
        <f>IF(I19="","",H19-I19)</f>
        <v/>
      </c>
      <c r="K19" s="50" t="n"/>
    </row>
    <row r="20" ht="27" customHeight="1">
      <c r="A20" s="50" t="n"/>
      <c r="B20" s="55" t="n"/>
      <c r="C20" s="55" t="n"/>
      <c r="D20" s="55" t="n"/>
      <c r="E20" s="55" t="n"/>
      <c r="F20" s="55" t="n"/>
      <c r="G20" s="55" t="n"/>
      <c r="H20" s="55">
        <f>SUM(B20:G20)</f>
        <v/>
      </c>
      <c r="I20" s="55" t="n"/>
      <c r="J20" s="56">
        <f>IF(I20="","",H20-I20)</f>
        <v/>
      </c>
      <c r="K20" s="50" t="n"/>
    </row>
    <row r="21" ht="27" customHeight="1">
      <c r="A21" s="50" t="n"/>
      <c r="B21" s="55" t="n"/>
      <c r="C21" s="55" t="n"/>
      <c r="D21" s="55" t="n"/>
      <c r="E21" s="55" t="n"/>
      <c r="F21" s="55" t="n"/>
      <c r="G21" s="55" t="n"/>
      <c r="H21" s="55">
        <f>SUM(B21:G21)</f>
        <v/>
      </c>
      <c r="I21" s="55" t="n"/>
      <c r="J21" s="56">
        <f>IF(I21="","",H21-I21)</f>
        <v/>
      </c>
      <c r="K21" s="50" t="n"/>
    </row>
    <row r="22" ht="27" customHeight="1">
      <c r="A22" s="50" t="n"/>
      <c r="B22" s="55" t="n"/>
      <c r="C22" s="55" t="n"/>
      <c r="D22" s="55" t="n"/>
      <c r="E22" s="55" t="n"/>
      <c r="F22" s="55" t="n"/>
      <c r="G22" s="55" t="n"/>
      <c r="H22" s="55">
        <f>SUM(B22:G22)</f>
        <v/>
      </c>
      <c r="I22" s="55" t="n"/>
      <c r="J22" s="56">
        <f>IF(I22="","",H22-I22)</f>
        <v/>
      </c>
      <c r="K22" s="50" t="n"/>
    </row>
    <row r="23">
      <c r="A23" s="58" t="inlineStr">
        <is>
          <t>Total — ties to lead gross AR</t>
        </is>
      </c>
      <c r="B23" s="60">
        <f>SUM(B9:B22)</f>
        <v/>
      </c>
      <c r="C23" s="60">
        <f>SUM(C9:C22)</f>
        <v/>
      </c>
      <c r="D23" s="60">
        <f>SUM(D9:D22)</f>
        <v/>
      </c>
      <c r="E23" s="60">
        <f>SUM(E9:E22)</f>
        <v/>
      </c>
      <c r="F23" s="60">
        <f>SUM(F9:F22)</f>
        <v/>
      </c>
      <c r="G23" s="60">
        <f>SUM(G9:G22)</f>
        <v/>
      </c>
      <c r="H23" s="60">
        <f>SUM(H9:H22)</f>
        <v/>
      </c>
      <c r="I23" s="59" t="n"/>
      <c r="J23" s="59" t="n"/>
      <c r="K23" s="59" t="n"/>
    </row>
    <row r="24">
      <c r="A24" s="31" t="n"/>
      <c r="B24" s="31" t="n"/>
      <c r="C24" s="31" t="n"/>
      <c r="D24" s="31" t="n"/>
      <c r="E24" s="31" t="n"/>
      <c r="F24" s="31" t="n"/>
      <c r="G24" s="31" t="n"/>
      <c r="H24" s="31" t="n"/>
      <c r="I24" s="31" t="n"/>
      <c r="J24" s="31" t="n"/>
      <c r="K24" s="31" t="n"/>
    </row>
    <row r="25">
      <c r="A25" s="47" t="inlineStr">
        <is>
          <t>TM Legends</t>
        </is>
      </c>
      <c r="B25" s="31" t="n"/>
      <c r="C25" s="31" t="n"/>
      <c r="D25" s="31" t="n"/>
      <c r="E25" s="31" t="n"/>
      <c r="F25" s="31" t="n"/>
      <c r="G25" s="31" t="n"/>
      <c r="H25" s="31" t="n"/>
      <c r="I25" s="31" t="n"/>
      <c r="J25" s="31" t="n"/>
      <c r="K25" s="31" t="n"/>
    </row>
    <row r="26">
      <c r="A26" s="51" t="inlineStr">
        <is>
          <t>TB</t>
        </is>
      </c>
      <c r="B26" s="37" t="inlineStr">
        <is>
          <t>Agreed to trial balance</t>
        </is>
      </c>
      <c r="C26" s="52" t="n"/>
      <c r="D26" s="53" t="n"/>
      <c r="E26" s="31" t="n"/>
      <c r="F26" s="31" t="n"/>
      <c r="G26" s="31" t="n"/>
      <c r="H26" s="31" t="n"/>
      <c r="I26" s="31" t="n"/>
      <c r="J26" s="31" t="n"/>
      <c r="K26" s="31" t="n"/>
    </row>
    <row r="27">
      <c r="A27" s="51" t="inlineStr">
        <is>
          <t>GL</t>
        </is>
      </c>
      <c r="B27" s="37" t="inlineStr">
        <is>
          <t>Agreed to general ledger</t>
        </is>
      </c>
      <c r="C27" s="52" t="n"/>
      <c r="D27" s="53" t="n"/>
      <c r="E27" s="31" t="n"/>
      <c r="F27" s="31" t="n"/>
      <c r="G27" s="31" t="n"/>
      <c r="H27" s="31" t="n"/>
      <c r="I27" s="31" t="n"/>
      <c r="J27" s="31" t="n"/>
      <c r="K27" s="31" t="n"/>
    </row>
    <row r="28">
      <c r="A28" s="51" t="inlineStr">
        <is>
          <t>CF</t>
        </is>
      </c>
      <c r="B28" s="37" t="inlineStr">
        <is>
          <t>Confirmed with third party</t>
        </is>
      </c>
      <c r="C28" s="52" t="n"/>
      <c r="D28" s="53" t="n"/>
      <c r="E28" s="31" t="n"/>
      <c r="F28" s="31" t="n"/>
      <c r="G28" s="31" t="n"/>
      <c r="H28" s="31" t="n"/>
      <c r="I28" s="31" t="n"/>
      <c r="J28" s="31" t="n"/>
      <c r="K28" s="31" t="n"/>
    </row>
    <row r="29">
      <c r="A29" s="51" t="inlineStr">
        <is>
          <t>V</t>
        </is>
      </c>
      <c r="B29" s="37" t="inlineStr">
        <is>
          <t>Vouched to source document</t>
        </is>
      </c>
      <c r="C29" s="52" t="n"/>
      <c r="D29" s="53" t="n"/>
      <c r="E29" s="31" t="n"/>
      <c r="F29" s="31" t="n"/>
      <c r="G29" s="31" t="n"/>
      <c r="H29" s="31" t="n"/>
      <c r="I29" s="31" t="n"/>
      <c r="J29" s="31" t="n"/>
      <c r="K29" s="31" t="n"/>
    </row>
    <row r="30">
      <c r="A30" s="51" t="inlineStr">
        <is>
          <t>SR</t>
        </is>
      </c>
      <c r="B30" s="37" t="inlineStr">
        <is>
          <t>Agreed to subsequent bank-cleared receipt</t>
        </is>
      </c>
      <c r="C30" s="52" t="n"/>
      <c r="D30" s="53" t="n"/>
      <c r="E30" s="31" t="n"/>
      <c r="F30" s="31" t="n"/>
      <c r="G30" s="31" t="n"/>
      <c r="H30" s="31" t="n"/>
      <c r="I30" s="31" t="n"/>
      <c r="J30" s="31" t="n"/>
      <c r="K30" s="31" t="n"/>
    </row>
    <row r="31">
      <c r="A31" s="51" t="inlineStr">
        <is>
          <t>R</t>
        </is>
      </c>
      <c r="B31" s="37" t="inlineStr">
        <is>
          <t>Recalculated independently</t>
        </is>
      </c>
      <c r="C31" s="52" t="n"/>
      <c r="D31" s="53" t="n"/>
      <c r="E31" s="31" t="n"/>
      <c r="F31" s="31" t="n"/>
      <c r="G31" s="31" t="n"/>
      <c r="H31" s="31" t="n"/>
      <c r="I31" s="31" t="n"/>
      <c r="J31" s="31" t="n"/>
      <c r="K31" s="31" t="n"/>
    </row>
    <row r="32">
      <c r="A32" s="51" t="inlineStr">
        <is>
          <t>F</t>
        </is>
      </c>
      <c r="B32" s="37" t="inlineStr">
        <is>
          <t>Footed / cross-cast</t>
        </is>
      </c>
      <c r="C32" s="52" t="n"/>
      <c r="D32" s="53" t="n"/>
      <c r="E32" s="31" t="n"/>
      <c r="F32" s="31" t="n"/>
      <c r="G32" s="31" t="n"/>
      <c r="H32" s="31" t="n"/>
      <c r="I32" s="31" t="n"/>
      <c r="J32" s="31" t="n"/>
      <c r="K32" s="31" t="n"/>
    </row>
    <row r="33">
      <c r="A33" s="51" t="inlineStr">
        <is>
          <t>T</t>
        </is>
      </c>
      <c r="B33" s="37" t="inlineStr">
        <is>
          <t>Traced to downstream record</t>
        </is>
      </c>
      <c r="C33" s="52" t="n"/>
      <c r="D33" s="53" t="n"/>
      <c r="E33" s="31" t="n"/>
      <c r="F33" s="31" t="n"/>
      <c r="G33" s="31" t="n"/>
      <c r="H33" s="31" t="n"/>
      <c r="I33" s="31" t="n"/>
      <c r="J33" s="31" t="n"/>
      <c r="K33" s="31" t="n"/>
    </row>
    <row r="34">
      <c r="A34" s="51" t="inlineStr">
        <is>
          <t>PBC</t>
        </is>
      </c>
      <c r="B34" s="37" t="inlineStr">
        <is>
          <t>Prepared by client</t>
        </is>
      </c>
      <c r="C34" s="52" t="n"/>
      <c r="D34" s="53" t="n"/>
      <c r="E34" s="31" t="n"/>
      <c r="F34" s="31" t="n"/>
      <c r="G34" s="31" t="n"/>
      <c r="H34" s="31" t="n"/>
      <c r="I34" s="31" t="n"/>
      <c r="J34" s="31" t="n"/>
      <c r="K34" s="31" t="n"/>
    </row>
    <row r="35">
      <c r="A35" s="31" t="n"/>
      <c r="B35" s="31" t="n"/>
      <c r="C35" s="31" t="n"/>
      <c r="D35" s="31" t="n"/>
      <c r="E35" s="31" t="n"/>
      <c r="F35" s="31" t="n"/>
      <c r="G35" s="31" t="n"/>
      <c r="H35" s="31" t="n"/>
      <c r="I35" s="31" t="n"/>
      <c r="J35" s="31" t="n"/>
      <c r="K35" s="31" t="n"/>
    </row>
    <row r="36" ht="25.5" customHeight="1">
      <c r="A36" s="33" t="inlineStr">
        <is>
          <t>Before sign-off complete Library Procedure 6 (aging reconciliation &amp; footing). Bucket accuracy is re-tested on &lt;.3&gt;.</t>
        </is>
      </c>
      <c r="B36" s="31" t="n"/>
      <c r="C36" s="31" t="n"/>
      <c r="D36" s="31" t="n"/>
      <c r="E36" s="31" t="n"/>
      <c r="F36" s="31" t="n"/>
      <c r="G36" s="31" t="n"/>
      <c r="H36" s="31" t="n"/>
      <c r="I36" s="31" t="n"/>
      <c r="J36" s="31" t="n"/>
      <c r="K36" s="31" t="n"/>
    </row>
  </sheetData>
  <mergeCells count="13">
    <mergeCell ref="B33:D33"/>
    <mergeCell ref="B28:D28"/>
    <mergeCell ref="B34:D34"/>
    <mergeCell ref="B4:K4"/>
    <mergeCell ref="B31:D31"/>
    <mergeCell ref="B32:D32"/>
    <mergeCell ref="B26:D26"/>
    <mergeCell ref="B27:D27"/>
    <mergeCell ref="B30:D30"/>
    <mergeCell ref="B6:K6"/>
    <mergeCell ref="A36:K36"/>
    <mergeCell ref="B29:D29"/>
    <mergeCell ref="B5:K5"/>
  </mergeCells>
  <printOptions horizontalCentered="0" verticalCentered="0"/>
  <pageMargins left="0.25" right="0.25" top="0.5" bottom="0.5" header="0.2" footer="0.2"/>
  <pageSetup orientation="landscape" paperSize="1" fitToHeight="0" fitToWidth="1" horizontalDpi="300" verticalDpi="300"/>
</worksheet>
</file>

<file path=xl/worksheets/sheet5.xml><?xml version="1.0" encoding="utf-8"?>
<worksheet xmlns="http://schemas.openxmlformats.org/spreadsheetml/2006/main">
  <sheetPr>
    <outlinePr summaryBelow="1" summaryRight="1"/>
    <pageSetUpPr autoPageBreaks="0" fitToPage="1"/>
  </sheetPr>
  <dimension ref="A1:J39"/>
  <sheetViews>
    <sheetView showGridLines="0" zoomScale="90" zoomScaleNormal="100" workbookViewId="0">
      <pane xSplit="1" ySplit="7" topLeftCell="B8" activePane="bottomRight" state="frozen"/>
      <selection pane="topRight"/>
      <selection pane="bottomLeft"/>
      <selection pane="bottomRight" activeCell="A1" sqref="A1:A1048576"/>
    </sheetView>
  </sheetViews>
  <sheetFormatPr baseColWidth="8" defaultColWidth="8.6328125" defaultRowHeight="14.5"/>
  <cols>
    <col width="21.55" customWidth="1" min="1" max="1"/>
    <col width="29.2" customWidth="1" min="2" max="2"/>
    <col width="13" customWidth="1" min="3" max="4"/>
    <col width="37.7" customWidth="1" min="4" max="4"/>
    <col width="14" customWidth="1" min="5" max="5"/>
    <col width="21.55" customWidth="1" min="6" max="6"/>
    <col width="16.45" customWidth="1" min="7" max="8"/>
    <col width="42" customWidth="1" min="8" max="8"/>
    <col width="40.25" customWidth="1" min="9" max="9"/>
    <col width="26" customWidth="1" min="10" max="10"/>
  </cols>
  <sheetData>
    <row r="1" ht="17.5" customHeight="1">
      <c r="A1" s="30" t="inlineStr">
        <is>
          <t>Aging Bucket Testing</t>
        </is>
      </c>
      <c r="B1" s="31" t="n"/>
      <c r="C1" s="31" t="n"/>
      <c r="D1" s="31" t="n"/>
      <c r="E1" s="31" t="n"/>
      <c r="F1" s="31" t="n"/>
      <c r="G1" s="31" t="n"/>
      <c r="H1" s="31" t="n"/>
      <c r="I1" s="31" t="n"/>
      <c r="J1" s="31" t="n"/>
    </row>
    <row r="2" ht="27" customHeight="1">
      <c r="A2" s="42" t="inlineStr">
        <is>
          <t>Client / Entity</t>
        </is>
      </c>
      <c r="B2" s="32" t="inlineStr">
        <is>
          <t>Quelvox Industrial Holdings, LLC</t>
        </is>
      </c>
      <c r="C2" s="31" t="n"/>
      <c r="D2" s="42" t="inlineStr">
        <is>
          <t>Year-End</t>
        </is>
      </c>
      <c r="E2" s="43" t="n">
        <v>46022</v>
      </c>
      <c r="F2" s="31" t="n"/>
      <c r="G2" s="42" t="inlineStr">
        <is>
          <t>Currency</t>
        </is>
      </c>
      <c r="H2" s="44" t="inlineStr">
        <is>
          <t>USD</t>
        </is>
      </c>
      <c r="I2" s="31" t="n"/>
      <c r="J2" s="31" t="n"/>
    </row>
    <row r="3" ht="27" customHeight="1">
      <c r="A3" s="45" t="inlineStr">
        <is>
          <t>Performance Materiality</t>
        </is>
      </c>
      <c r="B3" s="46" t="n">
        <v>32500</v>
      </c>
      <c r="C3" s="31" t="n"/>
      <c r="D3" s="45" t="inlineStr">
        <is>
          <t>Tolerable misstatement / testing threshold</t>
        </is>
      </c>
      <c r="E3" s="46" t="n">
        <v>29300</v>
      </c>
      <c r="F3" s="31" t="n"/>
      <c r="G3" s="31" t="n"/>
      <c r="H3" s="31" t="n"/>
      <c r="I3" s="31" t="n"/>
      <c r="J3" s="31" t="n"/>
    </row>
    <row r="4" ht="27.75" customHeight="1">
      <c r="A4" s="47" t="inlineStr">
        <is>
          <t>Purpose:</t>
        </is>
      </c>
      <c r="B4" s="48" t="inlineStr">
        <is>
          <t>Re-age open items from invoice/due date and recompute the aging-bucket classification; test the accuracy of the aging buckets.</t>
        </is>
      </c>
      <c r="C4" s="31" t="n"/>
      <c r="D4" s="31" t="n"/>
      <c r="E4" s="31" t="n"/>
      <c r="F4" s="31" t="n"/>
      <c r="G4" s="31" t="n"/>
      <c r="H4" s="31" t="n"/>
      <c r="I4" s="31" t="n"/>
      <c r="J4" s="31" t="n"/>
    </row>
    <row r="5" ht="27.75" customHeight="1">
      <c r="A5" s="47" t="inlineStr">
        <is>
          <t>Scope:</t>
        </is>
      </c>
      <c r="B5" s="48" t="inlineStr">
        <is>
          <t>A sample of open invoices; recompute days outstanding from invoice/due date against year-end and compare to the report's bucket.</t>
        </is>
      </c>
      <c r="C5" s="31" t="n"/>
      <c r="D5" s="31" t="n"/>
      <c r="E5" s="31" t="n"/>
      <c r="F5" s="31" t="n"/>
      <c r="G5" s="31" t="n"/>
      <c r="H5" s="31" t="n"/>
      <c r="I5" s="31" t="n"/>
      <c r="J5" s="31" t="n"/>
    </row>
    <row r="6" ht="15" customHeight="1">
      <c r="A6" s="47" t="inlineStr">
        <is>
          <t>Assertions:</t>
        </is>
      </c>
      <c r="B6" s="48" t="inlineStr">
        <is>
          <t>Accuracy; Valuation &amp; Allocation</t>
        </is>
      </c>
      <c r="C6" s="31" t="n"/>
      <c r="D6" s="31" t="n"/>
      <c r="E6" s="31" t="n"/>
      <c r="F6" s="31" t="n"/>
      <c r="G6" s="31" t="n"/>
      <c r="H6" s="31" t="n"/>
      <c r="I6" s="31" t="n"/>
      <c r="J6" s="31" t="n"/>
    </row>
    <row r="7" ht="30" customHeight="1">
      <c r="A7" s="49" t="inlineStr">
        <is>
          <t>Invoice #</t>
        </is>
      </c>
      <c r="B7" s="49" t="inlineStr">
        <is>
          <t>Customer</t>
        </is>
      </c>
      <c r="C7" s="49" t="inlineStr">
        <is>
          <t>Invoice date</t>
        </is>
      </c>
      <c r="D7" s="49" t="inlineStr">
        <is>
          <t>Due date</t>
        </is>
      </c>
      <c r="E7" s="49" t="inlineStr">
        <is>
          <t>Amount</t>
        </is>
      </c>
      <c r="F7" s="49" t="inlineStr">
        <is>
          <t>Days o/s (recomputed)</t>
        </is>
      </c>
      <c r="G7" s="49" t="inlineStr">
        <is>
          <t>Bucket per report</t>
        </is>
      </c>
      <c r="H7" s="49" t="inlineStr">
        <is>
          <t>Recomputed bucket</t>
        </is>
      </c>
      <c r="I7" s="49" t="inlineStr">
        <is>
          <t>Agree (Y/N)</t>
        </is>
      </c>
      <c r="J7" s="49" t="inlineStr">
        <is>
          <t>Comments</t>
        </is>
      </c>
    </row>
    <row r="8">
      <c r="A8" s="31" t="n"/>
      <c r="B8" s="31" t="n"/>
      <c r="C8" s="31" t="n"/>
      <c r="D8" s="31" t="n"/>
      <c r="E8" s="54" t="inlineStr">
        <is>
          <t>V</t>
        </is>
      </c>
      <c r="F8" s="54" t="inlineStr">
        <is>
          <t>R</t>
        </is>
      </c>
      <c r="G8" s="31" t="n"/>
      <c r="H8" s="54" t="inlineStr">
        <is>
          <t>R</t>
        </is>
      </c>
      <c r="I8" s="31" t="n"/>
      <c r="J8" s="31" t="n"/>
    </row>
    <row r="9" ht="40.5" customHeight="1">
      <c r="A9" s="50" t="n"/>
      <c r="B9" s="50" t="n"/>
      <c r="C9" s="50" t="n"/>
      <c r="D9" s="50" t="n"/>
      <c r="E9" s="55" t="n"/>
      <c r="F9" s="62">
        <f>IF(C9="","",$E$2-C9)</f>
        <v/>
      </c>
      <c r="G9" s="50" t="n"/>
      <c r="H9" s="37">
        <f>IF(F9="","",IF(F9&lt;=0,"Current",IF(F9&lt;=30,"1-30",IF(F9&lt;=60,"31-60",IF(F9&lt;=90,"61-90",IF(F9&lt;=120,"91-120","&gt;120"))))))</f>
        <v/>
      </c>
      <c r="I9" s="37">
        <f>IF(OR(G9="",H9=""),"",IF(G9=H9,"Y","N"))</f>
        <v/>
      </c>
      <c r="J9" s="50" t="n"/>
    </row>
    <row r="10" ht="40.5" customHeight="1">
      <c r="A10" s="50" t="n"/>
      <c r="B10" s="50" t="n"/>
      <c r="C10" s="50" t="n"/>
      <c r="D10" s="50" t="n"/>
      <c r="E10" s="55" t="n"/>
      <c r="F10" s="62">
        <f>IF(C10="","",$E$2-C10)</f>
        <v/>
      </c>
      <c r="G10" s="50" t="n"/>
      <c r="H10" s="37">
        <f>IF(F10="","",IF(F10&lt;=0,"Current",IF(F10&lt;=30,"1-30",IF(F10&lt;=60,"31-60",IF(F10&lt;=90,"61-90",IF(F10&lt;=120,"91-120","&gt;120"))))))</f>
        <v/>
      </c>
      <c r="I10" s="37">
        <f>IF(OR(G10="",H10=""),"",IF(G10=H10,"Y","N"))</f>
        <v/>
      </c>
      <c r="J10" s="50" t="n"/>
    </row>
    <row r="11" ht="40.5" customHeight="1">
      <c r="A11" s="50" t="n"/>
      <c r="B11" s="50" t="n"/>
      <c r="C11" s="50" t="n"/>
      <c r="D11" s="50" t="n"/>
      <c r="E11" s="55" t="n"/>
      <c r="F11" s="62">
        <f>IF(C11="","",$E$2-C11)</f>
        <v/>
      </c>
      <c r="G11" s="50" t="n"/>
      <c r="H11" s="37">
        <f>IF(F11="","",IF(F11&lt;=0,"Current",IF(F11&lt;=30,"1-30",IF(F11&lt;=60,"31-60",IF(F11&lt;=90,"61-90",IF(F11&lt;=120,"91-120","&gt;120"))))))</f>
        <v/>
      </c>
      <c r="I11" s="37">
        <f>IF(OR(G11="",H11=""),"",IF(G11=H11,"Y","N"))</f>
        <v/>
      </c>
      <c r="J11" s="50" t="n"/>
    </row>
    <row r="12" ht="40.5" customHeight="1">
      <c r="A12" s="50" t="n"/>
      <c r="B12" s="50" t="n"/>
      <c r="C12" s="50" t="n"/>
      <c r="D12" s="50" t="n"/>
      <c r="E12" s="55" t="n"/>
      <c r="F12" s="62">
        <f>IF(C12="","",$E$2-C12)</f>
        <v/>
      </c>
      <c r="G12" s="50" t="n"/>
      <c r="H12" s="37">
        <f>IF(F12="","",IF(F12&lt;=0,"Current",IF(F12&lt;=30,"1-30",IF(F12&lt;=60,"31-60",IF(F12&lt;=90,"61-90",IF(F12&lt;=120,"91-120","&gt;120"))))))</f>
        <v/>
      </c>
      <c r="I12" s="37">
        <f>IF(OR(G12="",H12=""),"",IF(G12=H12,"Y","N"))</f>
        <v/>
      </c>
      <c r="J12" s="50" t="n"/>
    </row>
    <row r="13" ht="40.5" customHeight="1">
      <c r="A13" s="50" t="n"/>
      <c r="B13" s="50" t="n"/>
      <c r="C13" s="50" t="n"/>
      <c r="D13" s="50" t="n"/>
      <c r="E13" s="55" t="n"/>
      <c r="F13" s="62">
        <f>IF(C13="","",$E$2-C13)</f>
        <v/>
      </c>
      <c r="G13" s="50" t="n"/>
      <c r="H13" s="37">
        <f>IF(F13="","",IF(F13&lt;=0,"Current",IF(F13&lt;=30,"1-30",IF(F13&lt;=60,"31-60",IF(F13&lt;=90,"61-90",IF(F13&lt;=120,"91-120","&gt;120"))))))</f>
        <v/>
      </c>
      <c r="I13" s="37">
        <f>IF(OR(G13="",H13=""),"",IF(G13=H13,"Y","N"))</f>
        <v/>
      </c>
      <c r="J13" s="50" t="n"/>
    </row>
    <row r="14" ht="40.5" customHeight="1">
      <c r="A14" s="50" t="n"/>
      <c r="B14" s="50" t="n"/>
      <c r="C14" s="50" t="n"/>
      <c r="D14" s="50" t="n"/>
      <c r="E14" s="55" t="n"/>
      <c r="F14" s="62">
        <f>IF(C14="","",$E$2-C14)</f>
        <v/>
      </c>
      <c r="G14" s="50" t="n"/>
      <c r="H14" s="37">
        <f>IF(F14="","",IF(F14&lt;=0,"Current",IF(F14&lt;=30,"1-30",IF(F14&lt;=60,"31-60",IF(F14&lt;=90,"61-90",IF(F14&lt;=120,"91-120","&gt;120"))))))</f>
        <v/>
      </c>
      <c r="I14" s="37">
        <f>IF(OR(G14="",H14=""),"",IF(G14=H14,"Y","N"))</f>
        <v/>
      </c>
      <c r="J14" s="50" t="n"/>
    </row>
    <row r="15" ht="40.5" customHeight="1">
      <c r="A15" s="50" t="n"/>
      <c r="B15" s="50" t="n"/>
      <c r="C15" s="50" t="n"/>
      <c r="D15" s="50" t="n"/>
      <c r="E15" s="55" t="n"/>
      <c r="F15" s="62">
        <f>IF(C15="","",$E$2-C15)</f>
        <v/>
      </c>
      <c r="G15" s="50" t="n"/>
      <c r="H15" s="37">
        <f>IF(F15="","",IF(F15&lt;=0,"Current",IF(F15&lt;=30,"1-30",IF(F15&lt;=60,"31-60",IF(F15&lt;=90,"61-90",IF(F15&lt;=120,"91-120","&gt;120"))))))</f>
        <v/>
      </c>
      <c r="I15" s="37">
        <f>IF(OR(G15="",H15=""),"",IF(G15=H15,"Y","N"))</f>
        <v/>
      </c>
      <c r="J15" s="50" t="n"/>
    </row>
    <row r="16" ht="40.5" customHeight="1">
      <c r="A16" s="50" t="n"/>
      <c r="B16" s="50" t="n"/>
      <c r="C16" s="50" t="n"/>
      <c r="D16" s="50" t="n"/>
      <c r="E16" s="55" t="n"/>
      <c r="F16" s="62">
        <f>IF(C16="","",$E$2-C16)</f>
        <v/>
      </c>
      <c r="G16" s="50" t="n"/>
      <c r="H16" s="37">
        <f>IF(F16="","",IF(F16&lt;=0,"Current",IF(F16&lt;=30,"1-30",IF(F16&lt;=60,"31-60",IF(F16&lt;=90,"61-90",IF(F16&lt;=120,"91-120","&gt;120"))))))</f>
        <v/>
      </c>
      <c r="I16" s="37">
        <f>IF(OR(G16="",H16=""),"",IF(G16=H16,"Y","N"))</f>
        <v/>
      </c>
      <c r="J16" s="50" t="n"/>
    </row>
    <row r="17" ht="40.5" customHeight="1">
      <c r="A17" s="50" t="n"/>
      <c r="B17" s="50" t="n"/>
      <c r="C17" s="50" t="n"/>
      <c r="D17" s="50" t="n"/>
      <c r="E17" s="55" t="n"/>
      <c r="F17" s="62">
        <f>IF(C17="","",$E$2-C17)</f>
        <v/>
      </c>
      <c r="G17" s="50" t="n"/>
      <c r="H17" s="37">
        <f>IF(F17="","",IF(F17&lt;=0,"Current",IF(F17&lt;=30,"1-30",IF(F17&lt;=60,"31-60",IF(F17&lt;=90,"61-90",IF(F17&lt;=120,"91-120","&gt;120"))))))</f>
        <v/>
      </c>
      <c r="I17" s="37">
        <f>IF(OR(G17="",H17=""),"",IF(G17=H17,"Y","N"))</f>
        <v/>
      </c>
      <c r="J17" s="50" t="n"/>
    </row>
    <row r="18" ht="40.5" customHeight="1">
      <c r="A18" s="50" t="n"/>
      <c r="B18" s="50" t="n"/>
      <c r="C18" s="50" t="n"/>
      <c r="D18" s="50" t="n"/>
      <c r="E18" s="55" t="n"/>
      <c r="F18" s="62">
        <f>IF(C18="","",$E$2-C18)</f>
        <v/>
      </c>
      <c r="G18" s="50" t="n"/>
      <c r="H18" s="37">
        <f>IF(F18="","",IF(F18&lt;=0,"Current",IF(F18&lt;=30,"1-30",IF(F18&lt;=60,"31-60",IF(F18&lt;=90,"61-90",IF(F18&lt;=120,"91-120","&gt;120"))))))</f>
        <v/>
      </c>
      <c r="I18" s="37">
        <f>IF(OR(G18="",H18=""),"",IF(G18=H18,"Y","N"))</f>
        <v/>
      </c>
      <c r="J18" s="50" t="n"/>
    </row>
    <row r="19" ht="40.5" customHeight="1">
      <c r="A19" s="50" t="n"/>
      <c r="B19" s="50" t="n"/>
      <c r="C19" s="50" t="n"/>
      <c r="D19" s="50" t="n"/>
      <c r="E19" s="55" t="n"/>
      <c r="F19" s="62">
        <f>IF(C19="","",$E$2-C19)</f>
        <v/>
      </c>
      <c r="G19" s="50" t="n"/>
      <c r="H19" s="37">
        <f>IF(F19="","",IF(F19&lt;=0,"Current",IF(F19&lt;=30,"1-30",IF(F19&lt;=60,"31-60",IF(F19&lt;=90,"61-90",IF(F19&lt;=120,"91-120","&gt;120"))))))</f>
        <v/>
      </c>
      <c r="I19" s="37">
        <f>IF(OR(G19="",H19=""),"",IF(G19=H19,"Y","N"))</f>
        <v/>
      </c>
      <c r="J19" s="50" t="n"/>
    </row>
    <row r="20" ht="40.5" customHeight="1">
      <c r="A20" s="50" t="n"/>
      <c r="B20" s="50" t="n"/>
      <c r="C20" s="50" t="n"/>
      <c r="D20" s="50" t="n"/>
      <c r="E20" s="55" t="n"/>
      <c r="F20" s="62">
        <f>IF(C20="","",$E$2-C20)</f>
        <v/>
      </c>
      <c r="G20" s="50" t="n"/>
      <c r="H20" s="37">
        <f>IF(F20="","",IF(F20&lt;=0,"Current",IF(F20&lt;=30,"1-30",IF(F20&lt;=60,"31-60",IF(F20&lt;=90,"61-90",IF(F20&lt;=120,"91-120","&gt;120"))))))</f>
        <v/>
      </c>
      <c r="I20" s="37">
        <f>IF(OR(G20="",H20=""),"",IF(G20=H20,"Y","N"))</f>
        <v/>
      </c>
      <c r="J20" s="50" t="n"/>
    </row>
    <row r="21" ht="40.5" customHeight="1">
      <c r="A21" s="50" t="n"/>
      <c r="B21" s="50" t="n"/>
      <c r="C21" s="50" t="n"/>
      <c r="D21" s="50" t="n"/>
      <c r="E21" s="55" t="n"/>
      <c r="F21" s="62">
        <f>IF(C21="","",$E$2-C21)</f>
        <v/>
      </c>
      <c r="G21" s="50" t="n"/>
      <c r="H21" s="37">
        <f>IF(F21="","",IF(F21&lt;=0,"Current",IF(F21&lt;=30,"1-30",IF(F21&lt;=60,"31-60",IF(F21&lt;=90,"61-90",IF(F21&lt;=120,"91-120","&gt;120"))))))</f>
        <v/>
      </c>
      <c r="I21" s="37">
        <f>IF(OR(G21="",H21=""),"",IF(G21=H21,"Y","N"))</f>
        <v/>
      </c>
      <c r="J21" s="50" t="n"/>
    </row>
    <row r="22" ht="40.5" customHeight="1">
      <c r="A22" s="50" t="n"/>
      <c r="B22" s="50" t="n"/>
      <c r="C22" s="50" t="n"/>
      <c r="D22" s="50" t="n"/>
      <c r="E22" s="55" t="n"/>
      <c r="F22" s="62">
        <f>IF(C22="","",$E$2-C22)</f>
        <v/>
      </c>
      <c r="G22" s="50" t="n"/>
      <c r="H22" s="37">
        <f>IF(F22="","",IF(F22&lt;=0,"Current",IF(F22&lt;=30,"1-30",IF(F22&lt;=60,"31-60",IF(F22&lt;=90,"61-90",IF(F22&lt;=120,"91-120","&gt;120"))))))</f>
        <v/>
      </c>
      <c r="I22" s="37">
        <f>IF(OR(G22="",H22=""),"",IF(G22=H22,"Y","N"))</f>
        <v/>
      </c>
      <c r="J22" s="50" t="n"/>
    </row>
    <row r="23" ht="40.5" customHeight="1">
      <c r="A23" s="50" t="n"/>
      <c r="B23" s="50" t="n"/>
      <c r="C23" s="50" t="n"/>
      <c r="D23" s="50" t="n"/>
      <c r="E23" s="55" t="n"/>
      <c r="F23" s="62">
        <f>IF(C23="","",$E$2-C23)</f>
        <v/>
      </c>
      <c r="G23" s="50" t="n"/>
      <c r="H23" s="37">
        <f>IF(F23="","",IF(F23&lt;=0,"Current",IF(F23&lt;=30,"1-30",IF(F23&lt;=60,"31-60",IF(F23&lt;=90,"61-90",IF(F23&lt;=120,"91-120","&gt;120"))))))</f>
        <v/>
      </c>
      <c r="I23" s="37">
        <f>IF(OR(G23="",H23=""),"",IF(G23=H23,"Y","N"))</f>
        <v/>
      </c>
      <c r="J23" s="50" t="n"/>
    </row>
    <row r="24" ht="40.5" customHeight="1">
      <c r="A24" s="50" t="n"/>
      <c r="B24" s="50" t="n"/>
      <c r="C24" s="50" t="n"/>
      <c r="D24" s="50" t="n"/>
      <c r="E24" s="55" t="n"/>
      <c r="F24" s="62">
        <f>IF(C24="","",$E$2-C24)</f>
        <v/>
      </c>
      <c r="G24" s="50" t="n"/>
      <c r="H24" s="37">
        <f>IF(F24="","",IF(F24&lt;=0,"Current",IF(F24&lt;=30,"1-30",IF(F24&lt;=60,"31-60",IF(F24&lt;=90,"61-90",IF(F24&lt;=120,"91-120","&gt;120"))))))</f>
        <v/>
      </c>
      <c r="I24" s="37">
        <f>IF(OR(G24="",H24=""),"",IF(G24=H24,"Y","N"))</f>
        <v/>
      </c>
      <c r="J24" s="50" t="n"/>
    </row>
    <row r="25">
      <c r="A25" s="31" t="n"/>
      <c r="B25" s="31" t="n"/>
      <c r="C25" s="31" t="n"/>
      <c r="D25" s="31" t="n"/>
      <c r="E25" s="31" t="n"/>
      <c r="F25" s="31" t="n"/>
      <c r="G25" s="31" t="n"/>
      <c r="H25" s="31" t="n"/>
      <c r="I25" s="31" t="n"/>
      <c r="J25" s="31" t="n"/>
    </row>
    <row r="26" ht="25.5" customHeight="1">
      <c r="A26" s="33" t="inlineStr">
        <is>
          <t>Days outstanding recompute uses the Year-End date entered in cell F2. Where bucket labels contradict invoice/due dates, request a corrected ERP aging that re-ages from invoice/due date.</t>
        </is>
      </c>
      <c r="B26" s="31" t="n"/>
      <c r="C26" s="31" t="n"/>
      <c r="D26" s="31" t="n"/>
      <c r="E26" s="31" t="n"/>
      <c r="F26" s="31" t="n"/>
      <c r="G26" s="31" t="n"/>
      <c r="H26" s="31" t="n"/>
      <c r="I26" s="31" t="n"/>
      <c r="J26" s="31" t="n"/>
    </row>
    <row r="27">
      <c r="A27" s="31" t="n"/>
      <c r="B27" s="31" t="n"/>
      <c r="C27" s="31" t="n"/>
      <c r="D27" s="31" t="n"/>
      <c r="E27" s="31" t="n"/>
      <c r="F27" s="31" t="n"/>
      <c r="G27" s="31" t="n"/>
      <c r="H27" s="31" t="n"/>
      <c r="I27" s="31" t="n"/>
      <c r="J27" s="31" t="n"/>
    </row>
    <row r="28">
      <c r="A28" s="47" t="inlineStr">
        <is>
          <t>TM Legends</t>
        </is>
      </c>
      <c r="B28" s="31" t="n"/>
      <c r="C28" s="31" t="n"/>
      <c r="D28" s="31" t="n"/>
      <c r="E28" s="31" t="n"/>
      <c r="F28" s="31" t="n"/>
      <c r="G28" s="31" t="n"/>
      <c r="H28" s="31" t="n"/>
      <c r="I28" s="31" t="n"/>
      <c r="J28" s="31" t="n"/>
    </row>
    <row r="29">
      <c r="A29" s="51" t="inlineStr">
        <is>
          <t>TB</t>
        </is>
      </c>
      <c r="B29" s="37" t="inlineStr">
        <is>
          <t>Agreed to trial balance</t>
        </is>
      </c>
      <c r="C29" s="52" t="n"/>
      <c r="D29" s="53" t="n"/>
      <c r="E29" s="31" t="n"/>
      <c r="F29" s="31" t="n"/>
      <c r="G29" s="31" t="n"/>
      <c r="H29" s="31" t="n"/>
      <c r="I29" s="31" t="n"/>
      <c r="J29" s="31" t="n"/>
    </row>
    <row r="30">
      <c r="A30" s="51" t="inlineStr">
        <is>
          <t>GL</t>
        </is>
      </c>
      <c r="B30" s="37" t="inlineStr">
        <is>
          <t>Agreed to general ledger</t>
        </is>
      </c>
      <c r="C30" s="52" t="n"/>
      <c r="D30" s="53" t="n"/>
      <c r="E30" s="31" t="n"/>
      <c r="F30" s="31" t="n"/>
      <c r="G30" s="31" t="n"/>
      <c r="H30" s="31" t="n"/>
      <c r="I30" s="31" t="n"/>
      <c r="J30" s="31" t="n"/>
    </row>
    <row r="31">
      <c r="A31" s="51" t="inlineStr">
        <is>
          <t>CF</t>
        </is>
      </c>
      <c r="B31" s="37" t="inlineStr">
        <is>
          <t>Confirmed with third party</t>
        </is>
      </c>
      <c r="C31" s="52" t="n"/>
      <c r="D31" s="53" t="n"/>
      <c r="E31" s="31" t="n"/>
      <c r="F31" s="31" t="n"/>
      <c r="G31" s="31" t="n"/>
      <c r="H31" s="31" t="n"/>
      <c r="I31" s="31" t="n"/>
      <c r="J31" s="31" t="n"/>
    </row>
    <row r="32">
      <c r="A32" s="51" t="inlineStr">
        <is>
          <t>V</t>
        </is>
      </c>
      <c r="B32" s="37" t="inlineStr">
        <is>
          <t>Vouched to source document</t>
        </is>
      </c>
      <c r="C32" s="52" t="n"/>
      <c r="D32" s="53" t="n"/>
      <c r="E32" s="31" t="n"/>
      <c r="F32" s="31" t="n"/>
      <c r="G32" s="31" t="n"/>
      <c r="H32" s="31" t="n"/>
      <c r="I32" s="31" t="n"/>
      <c r="J32" s="31" t="n"/>
    </row>
    <row r="33">
      <c r="A33" s="51" t="inlineStr">
        <is>
          <t>SR</t>
        </is>
      </c>
      <c r="B33" s="37" t="inlineStr">
        <is>
          <t>Agreed to subsequent bank-cleared receipt</t>
        </is>
      </c>
      <c r="C33" s="52" t="n"/>
      <c r="D33" s="53" t="n"/>
      <c r="E33" s="31" t="n"/>
      <c r="F33" s="31" t="n"/>
      <c r="G33" s="31" t="n"/>
      <c r="H33" s="31" t="n"/>
      <c r="I33" s="31" t="n"/>
      <c r="J33" s="31" t="n"/>
    </row>
    <row r="34">
      <c r="A34" s="51" t="inlineStr">
        <is>
          <t>R</t>
        </is>
      </c>
      <c r="B34" s="37" t="inlineStr">
        <is>
          <t>Recalculated independently</t>
        </is>
      </c>
      <c r="C34" s="52" t="n"/>
      <c r="D34" s="53" t="n"/>
      <c r="E34" s="31" t="n"/>
      <c r="F34" s="31" t="n"/>
      <c r="G34" s="31" t="n"/>
      <c r="H34" s="31" t="n"/>
      <c r="I34" s="31" t="n"/>
      <c r="J34" s="31" t="n"/>
    </row>
    <row r="35">
      <c r="A35" s="51" t="inlineStr">
        <is>
          <t>F</t>
        </is>
      </c>
      <c r="B35" s="37" t="inlineStr">
        <is>
          <t>Footed / cross-cast</t>
        </is>
      </c>
      <c r="C35" s="52" t="n"/>
      <c r="D35" s="53" t="n"/>
      <c r="E35" s="31" t="n"/>
      <c r="F35" s="31" t="n"/>
      <c r="G35" s="31" t="n"/>
      <c r="H35" s="31" t="n"/>
      <c r="I35" s="31" t="n"/>
      <c r="J35" s="31" t="n"/>
    </row>
    <row r="36">
      <c r="A36" s="51" t="inlineStr">
        <is>
          <t>T</t>
        </is>
      </c>
      <c r="B36" s="37" t="inlineStr">
        <is>
          <t>Traced to downstream record</t>
        </is>
      </c>
      <c r="C36" s="52" t="n"/>
      <c r="D36" s="53" t="n"/>
      <c r="E36" s="31" t="n"/>
      <c r="F36" s="31" t="n"/>
      <c r="G36" s="31" t="n"/>
      <c r="H36" s="31" t="n"/>
      <c r="I36" s="31" t="n"/>
      <c r="J36" s="31" t="n"/>
    </row>
    <row r="37">
      <c r="A37" s="51" t="inlineStr">
        <is>
          <t>PBC</t>
        </is>
      </c>
      <c r="B37" s="37" t="inlineStr">
        <is>
          <t>Prepared by client</t>
        </is>
      </c>
      <c r="C37" s="52" t="n"/>
      <c r="D37" s="53" t="n"/>
      <c r="E37" s="31" t="n"/>
      <c r="F37" s="31" t="n"/>
      <c r="G37" s="31" t="n"/>
      <c r="H37" s="31" t="n"/>
      <c r="I37" s="31" t="n"/>
      <c r="J37" s="31" t="n"/>
    </row>
    <row r="38">
      <c r="A38" s="31" t="n"/>
      <c r="B38" s="31" t="n"/>
      <c r="C38" s="31" t="n"/>
      <c r="D38" s="31" t="n"/>
      <c r="E38" s="31" t="n"/>
      <c r="F38" s="31" t="n"/>
      <c r="G38" s="31" t="n"/>
      <c r="H38" s="31" t="n"/>
      <c r="I38" s="31" t="n"/>
      <c r="J38" s="31" t="n"/>
    </row>
    <row r="39" ht="25.5" customHeight="1">
      <c r="A39" s="33" t="inlineStr">
        <is>
          <t>Before sign-off complete Library Procedures 7-8 (re-age &amp; recompute buckets).</t>
        </is>
      </c>
      <c r="B39" s="31" t="n"/>
      <c r="C39" s="31" t="n"/>
      <c r="D39" s="31" t="n"/>
      <c r="E39" s="31" t="n"/>
      <c r="F39" s="31" t="n"/>
      <c r="G39" s="31" t="n"/>
      <c r="H39" s="31" t="n"/>
      <c r="I39" s="31" t="n"/>
      <c r="J39" s="31" t="n"/>
    </row>
  </sheetData>
  <mergeCells count="14">
    <mergeCell ref="B33:D33"/>
    <mergeCell ref="B36:D36"/>
    <mergeCell ref="B5:J5"/>
    <mergeCell ref="B37:D37"/>
    <mergeCell ref="B31:D31"/>
    <mergeCell ref="B35:D35"/>
    <mergeCell ref="B32:D32"/>
    <mergeCell ref="A39:J39"/>
    <mergeCell ref="B30:D30"/>
    <mergeCell ref="B4:J4"/>
    <mergeCell ref="A26:J26"/>
    <mergeCell ref="B29:D29"/>
    <mergeCell ref="B6:J6"/>
    <mergeCell ref="B34:D34"/>
  </mergeCells>
  <printOptions horizontalCentered="0" verticalCentered="0"/>
  <pageMargins left="0.25" right="0.25" top="0.5" bottom="0.5" header="0.2" footer="0.2"/>
  <pageSetup orientation="landscape" paperSize="1" fitToHeight="0" fitToWidth="1" horizontalDpi="300" verticalDpi="300"/>
</worksheet>
</file>

<file path=xl/worksheets/sheet6.xml><?xml version="1.0" encoding="utf-8"?>
<worksheet xmlns="http://schemas.openxmlformats.org/spreadsheetml/2006/main">
  <sheetPr>
    <outlinePr summaryBelow="1" summaryRight="1"/>
    <pageSetUpPr autoPageBreaks="0" fitToPage="1"/>
  </sheetPr>
  <dimension ref="A1:H48"/>
  <sheetViews>
    <sheetView showGridLines="0" zoomScale="90" zoomScaleNormal="100" workbookViewId="0">
      <pane ySplit="7" topLeftCell="A8" activePane="bottomLeft" state="frozen"/>
      <selection pane="bottomLeft" activeCell="A14" sqref="A14"/>
    </sheetView>
  </sheetViews>
  <sheetFormatPr baseColWidth="8" defaultColWidth="8.6328125" defaultRowHeight="14.5"/>
  <cols>
    <col width="42" customWidth="1" min="1" max="1"/>
    <col width="29.2" customWidth="1" min="2" max="2"/>
    <col width="16" customWidth="1" min="3" max="5"/>
    <col width="37.7" customWidth="1" min="4" max="4"/>
    <col width="15.6" customWidth="1" min="5" max="5"/>
    <col width="29.2" customWidth="1" min="6" max="6"/>
    <col width="26" customWidth="1" min="7" max="7"/>
    <col width="13" customWidth="1" min="8" max="8"/>
  </cols>
  <sheetData>
    <row r="1" ht="17.5" customHeight="1">
      <c r="A1" s="30" t="inlineStr">
        <is>
          <t>Allowance for Doubtful Accounts</t>
        </is>
      </c>
      <c r="B1" s="31" t="n"/>
      <c r="C1" s="31" t="n"/>
      <c r="D1" s="31" t="n"/>
      <c r="E1" s="31" t="n"/>
      <c r="F1" s="31" t="n"/>
      <c r="G1" s="31" t="n"/>
      <c r="H1" s="31" t="n"/>
    </row>
    <row r="2" ht="27" customHeight="1">
      <c r="A2" s="42" t="inlineStr">
        <is>
          <t>Client / Entity</t>
        </is>
      </c>
      <c r="B2" s="32" t="inlineStr">
        <is>
          <t>Quelvox Industrial Holdings, LLC</t>
        </is>
      </c>
      <c r="C2" s="31" t="n"/>
      <c r="D2" s="42" t="inlineStr">
        <is>
          <t>Year-End</t>
        </is>
      </c>
      <c r="E2" s="43" t="n">
        <v>46022</v>
      </c>
      <c r="F2" s="31" t="n"/>
      <c r="G2" s="42" t="inlineStr">
        <is>
          <t>Currency</t>
        </is>
      </c>
      <c r="H2" s="44" t="inlineStr">
        <is>
          <t>USD</t>
        </is>
      </c>
    </row>
    <row r="3" ht="27" customHeight="1">
      <c r="A3" s="45" t="inlineStr">
        <is>
          <t>Performance Materiality</t>
        </is>
      </c>
      <c r="B3" s="46" t="n">
        <v>32500</v>
      </c>
      <c r="C3" s="31" t="n"/>
      <c r="D3" s="45" t="inlineStr">
        <is>
          <t>Tolerable misstatement / testing threshold</t>
        </is>
      </c>
      <c r="E3" s="46" t="n">
        <v>29300</v>
      </c>
      <c r="F3" s="31" t="n"/>
      <c r="G3" s="31" t="n"/>
      <c r="H3" s="31" t="n"/>
    </row>
    <row r="4" ht="27.75" customHeight="1">
      <c r="A4" s="47" t="inlineStr">
        <is>
          <t>Purpose:</t>
        </is>
      </c>
      <c r="B4" s="48" t="inlineStr">
        <is>
          <t>Test the recorded allowance: roll it forward, evaluate specific reserves, and conclude on reasonableness.</t>
        </is>
      </c>
      <c r="C4" s="31" t="n"/>
      <c r="D4" s="31" t="n"/>
      <c r="E4" s="31" t="n"/>
      <c r="F4" s="31" t="n"/>
      <c r="G4" s="31" t="n"/>
      <c r="H4" s="31" t="n"/>
    </row>
    <row r="5" ht="27.75" customHeight="1">
      <c r="A5" s="47" t="inlineStr">
        <is>
          <t>Scope:</t>
        </is>
      </c>
      <c r="B5" s="48" t="inlineStr">
        <is>
          <t>Management's allowance roll-forward, specific-reserve schedule, and write-off / credit-memo log.</t>
        </is>
      </c>
      <c r="C5" s="31" t="n"/>
      <c r="D5" s="31" t="n"/>
      <c r="E5" s="31" t="n"/>
      <c r="F5" s="31" t="n"/>
      <c r="G5" s="31" t="n"/>
      <c r="H5" s="31" t="n"/>
    </row>
    <row r="6" ht="15" customHeight="1">
      <c r="A6" s="47" t="inlineStr">
        <is>
          <t>Assertions:</t>
        </is>
      </c>
      <c r="B6" s="48" t="inlineStr">
        <is>
          <t>Valuation &amp; Allocation; Completeness</t>
        </is>
      </c>
      <c r="C6" s="31" t="n"/>
      <c r="D6" s="31" t="n"/>
      <c r="E6" s="31" t="n"/>
      <c r="F6" s="31" t="n"/>
      <c r="G6" s="31" t="n"/>
      <c r="H6" s="31" t="n"/>
    </row>
    <row r="7">
      <c r="A7" s="63" t="inlineStr">
        <is>
          <t>A. Allowance roll-forward</t>
        </is>
      </c>
      <c r="B7" s="31" t="n"/>
      <c r="C7" s="31" t="n"/>
      <c r="D7" s="31" t="n"/>
      <c r="E7" s="31" t="n"/>
      <c r="F7" s="31" t="n"/>
      <c r="G7" s="31" t="n"/>
      <c r="H7" s="31" t="n"/>
    </row>
    <row r="8">
      <c r="A8" s="37" t="inlineStr">
        <is>
          <t>Beginning allowance</t>
        </is>
      </c>
      <c r="B8" s="55" t="n"/>
      <c r="C8" s="31" t="n"/>
      <c r="D8" s="31" t="n"/>
      <c r="E8" s="31" t="n"/>
      <c r="F8" s="31" t="n"/>
      <c r="G8" s="31" t="n"/>
      <c r="H8" s="31" t="n"/>
    </row>
    <row r="9">
      <c r="A9" s="37" t="inlineStr">
        <is>
          <t>Add: provision (bad debt expense)</t>
        </is>
      </c>
      <c r="B9" s="55" t="n"/>
      <c r="C9" s="31" t="n"/>
      <c r="D9" s="31" t="n"/>
      <c r="E9" s="31" t="n"/>
      <c r="F9" s="31" t="n"/>
      <c r="G9" s="31" t="n"/>
      <c r="H9" s="31" t="n"/>
    </row>
    <row r="10">
      <c r="A10" s="50" t="inlineStr">
        <is>
          <t>Less: write-offs</t>
        </is>
      </c>
      <c r="B10" s="55" t="n"/>
      <c r="C10" s="31" t="n"/>
      <c r="D10" s="31" t="n"/>
      <c r="E10" s="31" t="n"/>
      <c r="F10" s="31" t="n"/>
      <c r="G10" s="31" t="n"/>
      <c r="H10" s="31" t="n"/>
    </row>
    <row r="11">
      <c r="A11" s="50" t="inlineStr">
        <is>
          <t>Add: recoveries</t>
        </is>
      </c>
      <c r="B11" s="55" t="n"/>
      <c r="C11" s="31" t="n"/>
      <c r="D11" s="31" t="n"/>
      <c r="E11" s="31" t="n"/>
      <c r="F11" s="31" t="n"/>
      <c r="G11" s="31" t="n"/>
      <c r="H11" s="31" t="n"/>
    </row>
    <row r="12">
      <c r="A12" s="64" t="inlineStr">
        <is>
          <t>Ending allowance (recomputed)</t>
        </is>
      </c>
      <c r="B12" s="65">
        <f>B8+B9-B10+B11</f>
        <v/>
      </c>
      <c r="C12" s="31" t="n"/>
      <c r="D12" s="31" t="n"/>
      <c r="E12" s="31" t="n"/>
      <c r="F12" s="31" t="n"/>
      <c r="G12" s="31" t="n"/>
      <c r="H12" s="31" t="n"/>
    </row>
    <row r="13">
      <c r="A13" s="37" t="inlineStr">
        <is>
          <t>Allowance per trial balance</t>
        </is>
      </c>
      <c r="B13" s="55" t="n"/>
      <c r="C13" s="31" t="n"/>
      <c r="D13" s="31" t="n"/>
      <c r="E13" s="31" t="n"/>
      <c r="F13" s="31" t="n"/>
      <c r="G13" s="31" t="n"/>
      <c r="H13" s="31" t="n"/>
    </row>
    <row r="14">
      <c r="A14" s="64" t="inlineStr">
        <is>
          <t>Difference (should be 0)</t>
        </is>
      </c>
      <c r="B14" s="65">
        <f>B12-B13</f>
        <v/>
      </c>
      <c r="C14" s="31" t="n"/>
      <c r="D14" s="31" t="n"/>
      <c r="E14" s="31" t="n"/>
      <c r="F14" s="31" t="n"/>
      <c r="G14" s="31" t="n"/>
      <c r="H14" s="31" t="n"/>
    </row>
    <row r="15">
      <c r="A15" s="31" t="n"/>
      <c r="B15" s="31" t="n"/>
      <c r="C15" s="31" t="n"/>
      <c r="D15" s="31" t="n"/>
      <c r="E15" s="31" t="n"/>
      <c r="F15" s="31" t="n"/>
      <c r="G15" s="31" t="n"/>
      <c r="H15" s="31" t="n"/>
    </row>
    <row r="16" ht="27" customHeight="1">
      <c r="A16" s="63" t="inlineStr">
        <is>
          <t>B. Specific reserves on significant / past-due balances</t>
        </is>
      </c>
      <c r="B16" s="31" t="n"/>
      <c r="C16" s="31" t="n"/>
      <c r="D16" s="31" t="n"/>
      <c r="E16" s="31" t="n"/>
      <c r="F16" s="31" t="n"/>
      <c r="G16" s="31" t="n"/>
      <c r="H16" s="31" t="n"/>
    </row>
    <row r="17" ht="25.5" customHeight="1">
      <c r="A17" s="49" t="inlineStr">
        <is>
          <t>Customer</t>
        </is>
      </c>
      <c r="B17" s="49" t="inlineStr">
        <is>
          <t>AR balance</t>
        </is>
      </c>
      <c r="C17" s="49" t="inlineStr">
        <is>
          <t>Aging bucket</t>
        </is>
      </c>
      <c r="D17" s="49" t="inlineStr">
        <is>
          <t>Days past due</t>
        </is>
      </c>
      <c r="E17" s="49" t="inlineStr">
        <is>
          <t>Specific reserve</t>
        </is>
      </c>
      <c r="F17" s="49" t="inlineStr">
        <is>
          <t>Reserve %</t>
        </is>
      </c>
      <c r="G17" s="49" t="inlineStr">
        <is>
          <t>Basis / rationale</t>
        </is>
      </c>
      <c r="H17" s="31" t="n"/>
    </row>
    <row r="18" ht="27" customHeight="1">
      <c r="A18" s="50" t="n"/>
      <c r="B18" s="55" t="n"/>
      <c r="C18" s="50" t="n"/>
      <c r="D18" s="50" t="n"/>
      <c r="E18" s="55" t="n"/>
      <c r="F18" s="57">
        <f>IF(OR(B18="",B18=0),"",E18/B18)</f>
        <v/>
      </c>
      <c r="G18" s="50" t="n"/>
      <c r="H18" s="31" t="n"/>
    </row>
    <row r="19" ht="27" customHeight="1">
      <c r="A19" s="50" t="n"/>
      <c r="B19" s="55" t="n"/>
      <c r="C19" s="50" t="n"/>
      <c r="D19" s="50" t="n"/>
      <c r="E19" s="55" t="n"/>
      <c r="F19" s="57">
        <f>IF(OR(B19="",B19=0),"",E19/B19)</f>
        <v/>
      </c>
      <c r="G19" s="50" t="n"/>
      <c r="H19" s="31" t="n"/>
    </row>
    <row r="20" ht="27" customHeight="1">
      <c r="A20" s="50" t="n"/>
      <c r="B20" s="55" t="n"/>
      <c r="C20" s="50" t="n"/>
      <c r="D20" s="50" t="n"/>
      <c r="E20" s="55" t="n"/>
      <c r="F20" s="57">
        <f>IF(OR(B20="",B20=0),"",E20/B20)</f>
        <v/>
      </c>
      <c r="G20" s="50" t="n"/>
      <c r="H20" s="31" t="n"/>
    </row>
    <row r="21" ht="27" customHeight="1">
      <c r="A21" s="50" t="n"/>
      <c r="B21" s="55" t="n"/>
      <c r="C21" s="50" t="n"/>
      <c r="D21" s="50" t="n"/>
      <c r="E21" s="55" t="n"/>
      <c r="F21" s="57">
        <f>IF(OR(B21="",B21=0),"",E21/B21)</f>
        <v/>
      </c>
      <c r="G21" s="50" t="n"/>
      <c r="H21" s="31" t="n"/>
    </row>
    <row r="22" ht="27" customHeight="1">
      <c r="A22" s="50" t="n"/>
      <c r="B22" s="55" t="n"/>
      <c r="C22" s="50" t="n"/>
      <c r="D22" s="50" t="n"/>
      <c r="E22" s="55" t="n"/>
      <c r="F22" s="57">
        <f>IF(OR(B22="",B22=0),"",E22/B22)</f>
        <v/>
      </c>
      <c r="G22" s="50" t="n"/>
      <c r="H22" s="31" t="n"/>
    </row>
    <row r="23" ht="27" customHeight="1">
      <c r="A23" s="50" t="n"/>
      <c r="B23" s="55" t="n"/>
      <c r="C23" s="50" t="n"/>
      <c r="D23" s="50" t="n"/>
      <c r="E23" s="55" t="n"/>
      <c r="F23" s="57">
        <f>IF(OR(B23="",B23=0),"",E23/B23)</f>
        <v/>
      </c>
      <c r="G23" s="50" t="n"/>
      <c r="H23" s="31" t="n"/>
    </row>
    <row r="24" ht="27" customHeight="1">
      <c r="A24" s="50" t="n"/>
      <c r="B24" s="55" t="n"/>
      <c r="C24" s="50" t="n"/>
      <c r="D24" s="50" t="n"/>
      <c r="E24" s="55" t="n"/>
      <c r="F24" s="57">
        <f>IF(OR(B24="",B24=0),"",E24/B24)</f>
        <v/>
      </c>
      <c r="G24" s="50" t="n"/>
      <c r="H24" s="31" t="n"/>
    </row>
    <row r="25" ht="27" customHeight="1">
      <c r="A25" s="50" t="n"/>
      <c r="B25" s="55" t="n"/>
      <c r="C25" s="50" t="n"/>
      <c r="D25" s="50" t="n"/>
      <c r="E25" s="55" t="n"/>
      <c r="F25" s="57">
        <f>IF(OR(B25="",B25=0),"",E25/B25)</f>
        <v/>
      </c>
      <c r="G25" s="50" t="n"/>
      <c r="H25" s="31" t="n"/>
    </row>
    <row r="26">
      <c r="A26" s="58" t="inlineStr">
        <is>
          <t>Total specific reserve</t>
        </is>
      </c>
      <c r="B26" s="59" t="n"/>
      <c r="C26" s="59" t="n"/>
      <c r="D26" s="59" t="n"/>
      <c r="E26" s="60">
        <f>SUM(E18:E25)</f>
        <v/>
      </c>
      <c r="F26" s="59" t="n"/>
      <c r="G26" s="59" t="n"/>
      <c r="H26" s="31" t="n"/>
    </row>
    <row r="27">
      <c r="A27" s="31" t="n"/>
      <c r="B27" s="31" t="n"/>
      <c r="C27" s="31" t="n"/>
      <c r="D27" s="31" t="n"/>
      <c r="E27" s="31" t="n"/>
      <c r="F27" s="31" t="n"/>
      <c r="G27" s="31" t="n"/>
      <c r="H27" s="31" t="n"/>
    </row>
    <row r="28">
      <c r="A28" s="63" t="inlineStr">
        <is>
          <t>C. Required vs recorded</t>
        </is>
      </c>
      <c r="B28" s="31" t="n"/>
      <c r="C28" s="31" t="n"/>
      <c r="D28" s="31" t="n"/>
      <c r="E28" s="31" t="n"/>
      <c r="F28" s="31" t="n"/>
      <c r="G28" s="31" t="n"/>
      <c r="H28" s="31" t="n"/>
    </row>
    <row r="29">
      <c r="A29" s="31" t="n"/>
      <c r="B29" s="31" t="n"/>
      <c r="C29" s="31" t="n"/>
      <c r="D29" s="31" t="n"/>
      <c r="E29" s="31" t="n"/>
      <c r="F29" s="31" t="n"/>
      <c r="G29" s="31" t="n"/>
      <c r="H29" s="31" t="n"/>
    </row>
    <row r="30">
      <c r="A30" s="37" t="inlineStr">
        <is>
          <t>General reserve (per CECL tab &lt;.5&gt;)</t>
        </is>
      </c>
      <c r="B30" s="55" t="n"/>
      <c r="C30" s="31" t="n"/>
      <c r="D30" s="31" t="n"/>
      <c r="E30" s="31" t="n"/>
      <c r="F30" s="31" t="n"/>
      <c r="G30" s="31" t="n"/>
      <c r="H30" s="31" t="n"/>
    </row>
    <row r="31">
      <c r="A31" s="37" t="inlineStr">
        <is>
          <t>Specific reserves (per B above)</t>
        </is>
      </c>
      <c r="B31" s="55">
        <f>E26</f>
        <v/>
      </c>
      <c r="C31" s="31" t="n"/>
      <c r="D31" s="31" t="n"/>
      <c r="E31" s="31" t="n"/>
      <c r="F31" s="31" t="n"/>
      <c r="G31" s="31" t="n"/>
      <c r="H31" s="31" t="n"/>
    </row>
    <row r="32">
      <c r="A32" s="64" t="inlineStr">
        <is>
          <t>Total required allowance</t>
        </is>
      </c>
      <c r="B32" s="65">
        <f>B30+B31</f>
        <v/>
      </c>
      <c r="C32" s="31" t="n"/>
      <c r="D32" s="31" t="n"/>
      <c r="E32" s="31" t="n"/>
      <c r="F32" s="31" t="n"/>
      <c r="G32" s="31" t="n"/>
      <c r="H32" s="31" t="n"/>
    </row>
    <row r="33">
      <c r="A33" s="37" t="inlineStr">
        <is>
          <t>Recorded allowance (TB)</t>
        </is>
      </c>
      <c r="B33" s="55" t="n"/>
      <c r="C33" s="31" t="n"/>
      <c r="D33" s="31" t="n"/>
      <c r="E33" s="31" t="n"/>
      <c r="F33" s="31" t="n"/>
      <c r="G33" s="31" t="n"/>
      <c r="H33" s="31" t="n"/>
    </row>
    <row r="34">
      <c r="A34" s="64" t="inlineStr">
        <is>
          <t>Difference vs materiality</t>
        </is>
      </c>
      <c r="B34" s="65">
        <f>B32-B33</f>
        <v/>
      </c>
      <c r="C34" s="31" t="n"/>
      <c r="D34" s="31" t="n"/>
      <c r="E34" s="31" t="n"/>
      <c r="F34" s="31" t="n"/>
      <c r="G34" s="31" t="n"/>
      <c r="H34" s="31" t="n"/>
    </row>
    <row r="35">
      <c r="A35" s="31" t="n"/>
      <c r="B35" s="31" t="n"/>
      <c r="C35" s="31" t="n"/>
      <c r="D35" s="31" t="n"/>
      <c r="E35" s="31" t="n"/>
      <c r="F35" s="31" t="n"/>
      <c r="G35" s="31" t="n"/>
      <c r="H35" s="31" t="n"/>
    </row>
    <row r="36">
      <c r="A36" s="31" t="n"/>
      <c r="B36" s="31" t="n"/>
      <c r="C36" s="31" t="n"/>
      <c r="D36" s="31" t="n"/>
      <c r="E36" s="31" t="n"/>
      <c r="F36" s="31" t="n"/>
      <c r="G36" s="31" t="n"/>
      <c r="H36" s="31" t="n"/>
    </row>
    <row r="37">
      <c r="A37" s="47" t="inlineStr">
        <is>
          <t>TM Legends</t>
        </is>
      </c>
      <c r="B37" s="31" t="n"/>
      <c r="C37" s="31" t="n"/>
      <c r="D37" s="31" t="n"/>
      <c r="E37" s="31" t="n"/>
      <c r="F37" s="31" t="n"/>
      <c r="G37" s="31" t="n"/>
      <c r="H37" s="31" t="n"/>
    </row>
    <row r="38">
      <c r="A38" s="51" t="inlineStr">
        <is>
          <t>TB</t>
        </is>
      </c>
      <c r="B38" s="37" t="inlineStr">
        <is>
          <t>Agreed to trial balance</t>
        </is>
      </c>
      <c r="C38" s="52" t="n"/>
      <c r="D38" s="53" t="n"/>
      <c r="E38" s="31" t="n"/>
      <c r="F38" s="31" t="n"/>
      <c r="G38" s="31" t="n"/>
      <c r="H38" s="31" t="n"/>
    </row>
    <row r="39">
      <c r="A39" s="51" t="inlineStr">
        <is>
          <t>GL</t>
        </is>
      </c>
      <c r="B39" s="37" t="inlineStr">
        <is>
          <t>Agreed to general ledger</t>
        </is>
      </c>
      <c r="C39" s="52" t="n"/>
      <c r="D39" s="53" t="n"/>
      <c r="E39" s="31" t="n"/>
      <c r="F39" s="31" t="n"/>
      <c r="G39" s="31" t="n"/>
      <c r="H39" s="31" t="n"/>
    </row>
    <row r="40">
      <c r="A40" s="51" t="inlineStr">
        <is>
          <t>CF</t>
        </is>
      </c>
      <c r="B40" s="37" t="inlineStr">
        <is>
          <t>Confirmed with third party</t>
        </is>
      </c>
      <c r="C40" s="52" t="n"/>
      <c r="D40" s="53" t="n"/>
      <c r="E40" s="31" t="n"/>
      <c r="F40" s="31" t="n"/>
      <c r="G40" s="31" t="n"/>
      <c r="H40" s="31" t="n"/>
    </row>
    <row r="41">
      <c r="A41" s="51" t="inlineStr">
        <is>
          <t>V</t>
        </is>
      </c>
      <c r="B41" s="37" t="inlineStr">
        <is>
          <t>Vouched to source document</t>
        </is>
      </c>
      <c r="C41" s="52" t="n"/>
      <c r="D41" s="53" t="n"/>
      <c r="E41" s="31" t="n"/>
      <c r="F41" s="31" t="n"/>
      <c r="G41" s="31" t="n"/>
      <c r="H41" s="31" t="n"/>
    </row>
    <row r="42">
      <c r="A42" s="51" t="inlineStr">
        <is>
          <t>SR</t>
        </is>
      </c>
      <c r="B42" s="37" t="inlineStr">
        <is>
          <t>Agreed to subsequent bank-cleared receipt</t>
        </is>
      </c>
      <c r="C42" s="52" t="n"/>
      <c r="D42" s="53" t="n"/>
      <c r="E42" s="31" t="n"/>
      <c r="F42" s="31" t="n"/>
      <c r="G42" s="31" t="n"/>
      <c r="H42" s="31" t="n"/>
    </row>
    <row r="43">
      <c r="A43" s="51" t="inlineStr">
        <is>
          <t>R</t>
        </is>
      </c>
      <c r="B43" s="37" t="inlineStr">
        <is>
          <t>Recalculated independently</t>
        </is>
      </c>
      <c r="C43" s="52" t="n"/>
      <c r="D43" s="53" t="n"/>
      <c r="E43" s="31" t="n"/>
      <c r="F43" s="31" t="n"/>
      <c r="G43" s="31" t="n"/>
      <c r="H43" s="31" t="n"/>
    </row>
    <row r="44">
      <c r="A44" s="51" t="inlineStr">
        <is>
          <t>F</t>
        </is>
      </c>
      <c r="B44" s="37" t="inlineStr">
        <is>
          <t>Footed / cross-cast</t>
        </is>
      </c>
      <c r="C44" s="52" t="n"/>
      <c r="D44" s="53" t="n"/>
      <c r="E44" s="31" t="n"/>
      <c r="F44" s="31" t="n"/>
      <c r="G44" s="31" t="n"/>
      <c r="H44" s="31" t="n"/>
    </row>
    <row r="45">
      <c r="A45" s="51" t="inlineStr">
        <is>
          <t>T</t>
        </is>
      </c>
      <c r="B45" s="37" t="inlineStr">
        <is>
          <t>Traced to downstream record</t>
        </is>
      </c>
      <c r="C45" s="52" t="n"/>
      <c r="D45" s="53" t="n"/>
      <c r="E45" s="31" t="n"/>
      <c r="F45" s="31" t="n"/>
      <c r="G45" s="31" t="n"/>
      <c r="H45" s="31" t="n"/>
    </row>
    <row r="46">
      <c r="A46" s="51" t="inlineStr">
        <is>
          <t>PBC</t>
        </is>
      </c>
      <c r="B46" s="37" t="inlineStr">
        <is>
          <t>Prepared by client</t>
        </is>
      </c>
      <c r="C46" s="52" t="n"/>
      <c r="D46" s="53" t="n"/>
      <c r="E46" s="31" t="n"/>
      <c r="F46" s="31" t="n"/>
      <c r="G46" s="31" t="n"/>
      <c r="H46" s="31" t="n"/>
    </row>
    <row r="47">
      <c r="A47" s="31" t="n"/>
      <c r="B47" s="31" t="n"/>
      <c r="C47" s="31" t="n"/>
      <c r="D47" s="31" t="n"/>
      <c r="E47" s="31" t="n"/>
      <c r="F47" s="31" t="n"/>
      <c r="G47" s="31" t="n"/>
      <c r="H47" s="31" t="n"/>
    </row>
    <row r="48" ht="25.5" customHeight="1">
      <c r="A48" s="33" t="inlineStr">
        <is>
          <t>Before sign-off complete Library Procedures 9-12 (roll-forward, specific reserves, write-off log, reasonableness).</t>
        </is>
      </c>
      <c r="B48" s="31" t="n"/>
      <c r="C48" s="31" t="n"/>
      <c r="D48" s="31" t="n"/>
      <c r="E48" s="31" t="n"/>
      <c r="F48" s="31" t="n"/>
      <c r="G48" s="31" t="n"/>
      <c r="H48" s="31" t="n"/>
    </row>
  </sheetData>
  <mergeCells count="13">
    <mergeCell ref="B42:D42"/>
    <mergeCell ref="B45:D45"/>
    <mergeCell ref="B5:G5"/>
    <mergeCell ref="B41:D41"/>
    <mergeCell ref="B46:D46"/>
    <mergeCell ref="A48:G48"/>
    <mergeCell ref="B40:D40"/>
    <mergeCell ref="B4:G4"/>
    <mergeCell ref="B44:D44"/>
    <mergeCell ref="B43:D43"/>
    <mergeCell ref="B39:D39"/>
    <mergeCell ref="B38:D38"/>
    <mergeCell ref="B6:G6"/>
  </mergeCells>
  <printOptions horizontalCentered="0" verticalCentered="0"/>
  <pageMargins left="0.25" right="0.25" top="0.5" bottom="0.5" header="0.2" footer="0.2"/>
  <pageSetup orientation="portrait" paperSize="1" fitToHeight="0" fitToWidth="1" horizontalDpi="300" verticalDpi="300"/>
</worksheet>
</file>

<file path=xl/worksheets/sheet7.xml><?xml version="1.0" encoding="utf-8"?>
<worksheet xmlns="http://schemas.openxmlformats.org/spreadsheetml/2006/main">
  <sheetPr>
    <outlinePr summaryBelow="1" summaryRight="1"/>
    <pageSetUpPr autoPageBreaks="0" fitToPage="1"/>
  </sheetPr>
  <dimension ref="A1:J46"/>
  <sheetViews>
    <sheetView showGridLines="0" zoomScale="90" zoomScaleNormal="100" workbookViewId="0">
      <pane xSplit="1" ySplit="7" topLeftCell="B8" activePane="bottomRight" state="frozen"/>
      <selection pane="topRight"/>
      <selection pane="bottomLeft"/>
      <selection pane="bottomRight" activeCell="A1" sqref="A1"/>
    </sheetView>
  </sheetViews>
  <sheetFormatPr baseColWidth="8" defaultColWidth="8.6328125" defaultRowHeight="14.5"/>
  <cols>
    <col width="39.4" customWidth="1" min="1" max="1"/>
    <col width="29.2" customWidth="1" min="2" max="2"/>
    <col width="16.45" customWidth="1" min="3" max="3"/>
    <col width="37.7" customWidth="1" min="4" max="4"/>
    <col width="16.45" customWidth="1" min="5" max="5"/>
    <col width="29.2" customWidth="1" min="6" max="6"/>
    <col width="18.15" customWidth="1" min="7" max="7"/>
    <col width="16" customWidth="1" min="8" max="9"/>
    <col width="19.85" customWidth="1" min="9" max="9"/>
    <col width="14" customWidth="1" min="10" max="10"/>
  </cols>
  <sheetData>
    <row r="1" ht="17.5" customHeight="1">
      <c r="A1" s="30" t="inlineStr">
        <is>
          <t>CECL — Expected Credit Loss (ASC 326)</t>
        </is>
      </c>
      <c r="B1" s="31" t="n"/>
      <c r="C1" s="31" t="n"/>
      <c r="D1" s="31" t="n"/>
      <c r="E1" s="31" t="n"/>
      <c r="F1" s="31" t="n"/>
      <c r="G1" s="31" t="n"/>
      <c r="H1" s="31" t="n"/>
      <c r="I1" s="31" t="n"/>
      <c r="J1" s="31" t="n"/>
    </row>
    <row r="2" ht="27" customHeight="1">
      <c r="A2" s="42" t="inlineStr">
        <is>
          <t>Client / Entity</t>
        </is>
      </c>
      <c r="B2" s="32" t="inlineStr">
        <is>
          <t>Quelvox Industrial Holdings, LLC</t>
        </is>
      </c>
      <c r="C2" s="31" t="n"/>
      <c r="D2" s="42" t="inlineStr">
        <is>
          <t>Year-End</t>
        </is>
      </c>
      <c r="E2" s="43" t="n">
        <v>46022</v>
      </c>
      <c r="F2" s="31" t="n"/>
      <c r="G2" s="42" t="inlineStr">
        <is>
          <t>Currency</t>
        </is>
      </c>
      <c r="H2" s="44" t="inlineStr">
        <is>
          <t>USD</t>
        </is>
      </c>
      <c r="I2" s="31" t="n"/>
      <c r="J2" s="31" t="n"/>
    </row>
    <row r="3" ht="27" customHeight="1">
      <c r="A3" s="45" t="inlineStr">
        <is>
          <t>Performance Materiality</t>
        </is>
      </c>
      <c r="B3" s="46" t="n">
        <v>32500</v>
      </c>
      <c r="C3" s="31" t="n"/>
      <c r="D3" s="45" t="inlineStr">
        <is>
          <t>Tolerable misstatement / testing threshold</t>
        </is>
      </c>
      <c r="E3" s="46" t="n">
        <v>29300</v>
      </c>
      <c r="F3" s="31" t="n"/>
      <c r="G3" s="31" t="n"/>
      <c r="H3" s="31" t="n"/>
      <c r="I3" s="31" t="n"/>
      <c r="J3" s="31" t="n"/>
    </row>
    <row r="4" ht="27.75" customHeight="1">
      <c r="A4" s="47" t="inlineStr">
        <is>
          <t>Purpose:</t>
        </is>
      </c>
      <c r="B4" s="48" t="inlineStr">
        <is>
          <t>Recompute expected credit losses using pooled aging x historical loss rates, layer in forward-looking adjustments, and compare to the recorded allowance.</t>
        </is>
      </c>
      <c r="C4" s="31" t="n"/>
      <c r="D4" s="31" t="n"/>
      <c r="E4" s="31" t="n"/>
      <c r="F4" s="31" t="n"/>
      <c r="G4" s="31" t="n"/>
      <c r="H4" s="31" t="n"/>
      <c r="I4" s="31" t="n"/>
      <c r="J4" s="31" t="n"/>
    </row>
    <row r="5" ht="27.75" customHeight="1">
      <c r="A5" s="47" t="inlineStr">
        <is>
          <t>Scope:</t>
        </is>
      </c>
      <c r="B5" s="48" t="inlineStr">
        <is>
          <t>AR aging pools, management's loss-rate / CECL methodology, historical write-off lookback, and qualitative factors.</t>
        </is>
      </c>
      <c r="C5" s="31" t="n"/>
      <c r="D5" s="31" t="n"/>
      <c r="E5" s="31" t="n"/>
      <c r="F5" s="31" t="n"/>
      <c r="G5" s="31" t="n"/>
      <c r="H5" s="31" t="n"/>
      <c r="I5" s="31" t="n"/>
      <c r="J5" s="31" t="n"/>
    </row>
    <row r="6" ht="15" customHeight="1">
      <c r="A6" s="47" t="inlineStr">
        <is>
          <t>Assertions:</t>
        </is>
      </c>
      <c r="B6" s="48" t="inlineStr">
        <is>
          <t>Valuation &amp; Allocation</t>
        </is>
      </c>
      <c r="C6" s="31" t="n"/>
      <c r="D6" s="31" t="n"/>
      <c r="E6" s="31" t="n"/>
      <c r="F6" s="31" t="n"/>
      <c r="G6" s="31" t="n"/>
      <c r="H6" s="31" t="n"/>
      <c r="I6" s="31" t="n"/>
      <c r="J6" s="31" t="n"/>
    </row>
    <row r="7">
      <c r="A7" s="63" t="inlineStr">
        <is>
          <t>A. Pooled loss-rate recalculation</t>
        </is>
      </c>
      <c r="B7" s="31" t="n"/>
      <c r="C7" s="31" t="n"/>
      <c r="D7" s="31" t="n"/>
      <c r="E7" s="31" t="n"/>
      <c r="F7" s="31" t="n"/>
      <c r="G7" s="31" t="n"/>
      <c r="H7" s="31" t="n"/>
      <c r="I7" s="31" t="n"/>
      <c r="J7" s="31" t="n"/>
    </row>
    <row r="8" ht="30" customHeight="1">
      <c r="A8" s="49" t="inlineStr">
        <is>
          <t>Aging pool</t>
        </is>
      </c>
      <c r="B8" s="49" t="inlineStr">
        <is>
          <t>AR balance (A)</t>
        </is>
      </c>
      <c r="C8" s="49" t="inlineStr">
        <is>
          <t>Credits / adj (B)</t>
        </is>
      </c>
      <c r="D8" s="49" t="inlineStr">
        <is>
          <t>Adjusted AR</t>
        </is>
      </c>
      <c r="E8" s="49" t="inlineStr">
        <is>
          <t>Hist. loss rate %</t>
        </is>
      </c>
      <c r="F8" s="49" t="inlineStr">
        <is>
          <t>Computed ECL</t>
        </is>
      </c>
      <c r="G8" s="49" t="inlineStr">
        <is>
          <t>Forward-looking adj</t>
        </is>
      </c>
      <c r="H8" s="49" t="inlineStr">
        <is>
          <t>Expected reserve</t>
        </is>
      </c>
      <c r="I8" s="49" t="inlineStr">
        <is>
          <t>Reserve per mgmt (TB)</t>
        </is>
      </c>
      <c r="J8" s="49" t="inlineStr">
        <is>
          <t>Difference</t>
        </is>
      </c>
    </row>
    <row r="9">
      <c r="A9" s="31" t="n"/>
      <c r="B9" s="54" t="inlineStr">
        <is>
          <t>TB</t>
        </is>
      </c>
      <c r="C9" s="31" t="n"/>
      <c r="D9" s="31" t="n"/>
      <c r="E9" s="31" t="n"/>
      <c r="F9" s="54" t="inlineStr">
        <is>
          <t>R</t>
        </is>
      </c>
      <c r="G9" s="31" t="n"/>
      <c r="H9" s="54" t="inlineStr">
        <is>
          <t>R</t>
        </is>
      </c>
      <c r="I9" s="31" t="n"/>
      <c r="J9" s="31" t="n"/>
    </row>
    <row r="10">
      <c r="A10" s="50" t="inlineStr">
        <is>
          <t>Current</t>
        </is>
      </c>
      <c r="B10" s="55" t="n"/>
      <c r="C10" s="55" t="n"/>
      <c r="D10" s="55">
        <f>B10-C10</f>
        <v/>
      </c>
      <c r="E10" s="66" t="n"/>
      <c r="F10" s="56">
        <f>IF(D10="","",D10*E10)</f>
        <v/>
      </c>
      <c r="G10" s="55" t="n"/>
      <c r="H10" s="55">
        <f>F10+G10</f>
        <v/>
      </c>
      <c r="I10" s="55" t="n"/>
      <c r="J10" s="55">
        <f>H10-I10</f>
        <v/>
      </c>
    </row>
    <row r="11">
      <c r="A11" s="50" t="inlineStr">
        <is>
          <t>1-30</t>
        </is>
      </c>
      <c r="B11" s="55" t="n"/>
      <c r="C11" s="55" t="n"/>
      <c r="D11" s="55">
        <f>B11-C11</f>
        <v/>
      </c>
      <c r="E11" s="66" t="n"/>
      <c r="F11" s="56">
        <f>IF(D11="","",D11*E11)</f>
        <v/>
      </c>
      <c r="G11" s="55" t="n"/>
      <c r="H11" s="55">
        <f>F11+G11</f>
        <v/>
      </c>
      <c r="I11" s="55" t="n"/>
      <c r="J11" s="55">
        <f>H11-I11</f>
        <v/>
      </c>
    </row>
    <row r="12">
      <c r="A12" s="50" t="inlineStr">
        <is>
          <t>31-60</t>
        </is>
      </c>
      <c r="B12" s="55" t="n"/>
      <c r="C12" s="55" t="n"/>
      <c r="D12" s="55">
        <f>B12-C12</f>
        <v/>
      </c>
      <c r="E12" s="66" t="n"/>
      <c r="F12" s="56">
        <f>IF(D12="","",D12*E12)</f>
        <v/>
      </c>
      <c r="G12" s="55" t="n"/>
      <c r="H12" s="55">
        <f>F12+G12</f>
        <v/>
      </c>
      <c r="I12" s="55" t="n"/>
      <c r="J12" s="55">
        <f>H12-I12</f>
        <v/>
      </c>
    </row>
    <row r="13">
      <c r="A13" s="50" t="inlineStr">
        <is>
          <t>61-90</t>
        </is>
      </c>
      <c r="B13" s="55" t="n"/>
      <c r="C13" s="55" t="n"/>
      <c r="D13" s="55">
        <f>B13-C13</f>
        <v/>
      </c>
      <c r="E13" s="66" t="n"/>
      <c r="F13" s="56">
        <f>IF(D13="","",D13*E13)</f>
        <v/>
      </c>
      <c r="G13" s="55" t="n"/>
      <c r="H13" s="55">
        <f>F13+G13</f>
        <v/>
      </c>
      <c r="I13" s="55" t="n"/>
      <c r="J13" s="55">
        <f>H13-I13</f>
        <v/>
      </c>
    </row>
    <row r="14">
      <c r="A14" s="50" t="inlineStr">
        <is>
          <t>91-120</t>
        </is>
      </c>
      <c r="B14" s="55" t="n"/>
      <c r="C14" s="55" t="n"/>
      <c r="D14" s="55">
        <f>B14-C14</f>
        <v/>
      </c>
      <c r="E14" s="66" t="n"/>
      <c r="F14" s="56">
        <f>IF(D14="","",D14*E14)</f>
        <v/>
      </c>
      <c r="G14" s="55" t="n"/>
      <c r="H14" s="55">
        <f>F14+G14</f>
        <v/>
      </c>
      <c r="I14" s="55" t="n"/>
      <c r="J14" s="55">
        <f>H14-I14</f>
        <v/>
      </c>
    </row>
    <row r="15">
      <c r="A15" s="50" t="inlineStr">
        <is>
          <t>Over 120</t>
        </is>
      </c>
      <c r="B15" s="55" t="n"/>
      <c r="C15" s="55" t="n"/>
      <c r="D15" s="55">
        <f>B15-C15</f>
        <v/>
      </c>
      <c r="E15" s="66" t="n"/>
      <c r="F15" s="56">
        <f>IF(D15="","",D15*E15)</f>
        <v/>
      </c>
      <c r="G15" s="55" t="n"/>
      <c r="H15" s="55">
        <f>F15+G15</f>
        <v/>
      </c>
      <c r="I15" s="55" t="n"/>
      <c r="J15" s="55">
        <f>H15-I15</f>
        <v/>
      </c>
    </row>
    <row r="16">
      <c r="A16" s="59" t="inlineStr">
        <is>
          <t>Total</t>
        </is>
      </c>
      <c r="B16" s="60">
        <f>SUM(B10:B15)</f>
        <v/>
      </c>
      <c r="C16" s="60">
        <f>SUM(C10:C15)</f>
        <v/>
      </c>
      <c r="D16" s="60">
        <f>SUM(D10:D15)</f>
        <v/>
      </c>
      <c r="E16" s="59" t="n"/>
      <c r="F16" s="60">
        <f>SUM(F10:F15)</f>
        <v/>
      </c>
      <c r="G16" s="59" t="n"/>
      <c r="H16" s="60">
        <f>SUM(H10:H15)</f>
        <v/>
      </c>
      <c r="I16" s="60">
        <f>SUM(I10:I15)</f>
        <v/>
      </c>
      <c r="J16" s="60">
        <f>SUM(J10:J15)</f>
        <v/>
      </c>
    </row>
    <row r="17">
      <c r="A17" s="31" t="n"/>
      <c r="B17" s="31" t="n"/>
      <c r="C17" s="31" t="n"/>
      <c r="D17" s="31" t="n"/>
      <c r="E17" s="31" t="n"/>
      <c r="F17" s="31" t="n"/>
      <c r="G17" s="31" t="n"/>
      <c r="H17" s="31" t="n"/>
      <c r="I17" s="31" t="n"/>
      <c r="J17" s="31" t="n"/>
    </row>
    <row r="18" ht="27" customHeight="1">
      <c r="A18" s="63" t="inlineStr">
        <is>
          <t>B. Historical write-off / loss-rate lookback</t>
        </is>
      </c>
      <c r="B18" s="31" t="n"/>
      <c r="C18" s="31" t="n"/>
      <c r="D18" s="31" t="n"/>
      <c r="E18" s="31" t="n"/>
      <c r="F18" s="31" t="n"/>
      <c r="G18" s="31" t="n"/>
      <c r="H18" s="31" t="n"/>
      <c r="I18" s="31" t="n"/>
      <c r="J18" s="31" t="n"/>
    </row>
    <row r="19" ht="25.5" customHeight="1">
      <c r="A19" s="49" t="inlineStr">
        <is>
          <t>Year</t>
        </is>
      </c>
      <c r="B19" s="49" t="inlineStr">
        <is>
          <t>Gross AR</t>
        </is>
      </c>
      <c r="C19" s="49" t="inlineStr">
        <is>
          <t>Write-offs</t>
        </is>
      </c>
      <c r="D19" s="49" t="inlineStr">
        <is>
          <t>Write-off rate %</t>
        </is>
      </c>
      <c r="E19" s="49" t="inlineStr">
        <is>
          <t>Reserve</t>
        </is>
      </c>
      <c r="F19" s="49" t="inlineStr">
        <is>
          <t>Reserve as % of AR</t>
        </is>
      </c>
      <c r="G19" s="31" t="n"/>
      <c r="H19" s="31" t="n"/>
      <c r="I19" s="31" t="n"/>
      <c r="J19" s="31" t="n"/>
    </row>
    <row r="20" ht="27" customHeight="1">
      <c r="A20" s="50" t="n"/>
      <c r="B20" s="55" t="n"/>
      <c r="C20" s="55" t="n"/>
      <c r="D20" s="57">
        <f>IF(OR(B20="",B20=0),"",C20/B20)</f>
        <v/>
      </c>
      <c r="E20" s="55" t="n"/>
      <c r="F20" s="57">
        <f>IF(OR(B20="",B20=0),"",E20/B20)</f>
        <v/>
      </c>
      <c r="G20" s="31" t="n"/>
      <c r="H20" s="31" t="n"/>
      <c r="I20" s="31" t="n"/>
      <c r="J20" s="31" t="n"/>
    </row>
    <row r="21" ht="27" customHeight="1">
      <c r="A21" s="50" t="n"/>
      <c r="B21" s="55" t="n"/>
      <c r="C21" s="55" t="n"/>
      <c r="D21" s="57">
        <f>IF(OR(B21="",B21=0),"",C21/B21)</f>
        <v/>
      </c>
      <c r="E21" s="55" t="n"/>
      <c r="F21" s="57">
        <f>IF(OR(B21="",B21=0),"",E21/B21)</f>
        <v/>
      </c>
      <c r="G21" s="31" t="n"/>
      <c r="H21" s="31" t="n"/>
      <c r="I21" s="31" t="n"/>
      <c r="J21" s="31" t="n"/>
    </row>
    <row r="22" ht="27" customHeight="1">
      <c r="A22" s="50" t="n"/>
      <c r="B22" s="55" t="n"/>
      <c r="C22" s="55" t="n"/>
      <c r="D22" s="57">
        <f>IF(OR(B22="",B22=0),"",C22/B22)</f>
        <v/>
      </c>
      <c r="E22" s="55" t="n"/>
      <c r="F22" s="57">
        <f>IF(OR(B22="",B22=0),"",E22/B22)</f>
        <v/>
      </c>
      <c r="G22" s="31" t="n"/>
      <c r="H22" s="31" t="n"/>
      <c r="I22" s="31" t="n"/>
      <c r="J22" s="31" t="n"/>
    </row>
    <row r="23" ht="27" customHeight="1">
      <c r="A23" s="50" t="n"/>
      <c r="B23" s="55" t="n"/>
      <c r="C23" s="55" t="n"/>
      <c r="D23" s="57">
        <f>IF(OR(B23="",B23=0),"",C23/B23)</f>
        <v/>
      </c>
      <c r="E23" s="55" t="n"/>
      <c r="F23" s="57">
        <f>IF(OR(B23="",B23=0),"",E23/B23)</f>
        <v/>
      </c>
      <c r="G23" s="31" t="n"/>
      <c r="H23" s="31" t="n"/>
      <c r="I23" s="31" t="n"/>
      <c r="J23" s="31" t="n"/>
    </row>
    <row r="24" ht="27" customHeight="1">
      <c r="A24" s="50" t="n"/>
      <c r="B24" s="55" t="n"/>
      <c r="C24" s="55" t="n"/>
      <c r="D24" s="57">
        <f>IF(OR(B24="",B24=0),"",C24/B24)</f>
        <v/>
      </c>
      <c r="E24" s="55" t="n"/>
      <c r="F24" s="57">
        <f>IF(OR(B24="",B24=0),"",E24/B24)</f>
        <v/>
      </c>
      <c r="G24" s="31" t="n"/>
      <c r="H24" s="31" t="n"/>
      <c r="I24" s="31" t="n"/>
      <c r="J24" s="31" t="n"/>
    </row>
    <row r="25" ht="27" customHeight="1">
      <c r="A25" s="50" t="n"/>
      <c r="B25" s="55" t="n"/>
      <c r="C25" s="55" t="n"/>
      <c r="D25" s="57">
        <f>IF(OR(B25="",B25=0),"",C25/B25)</f>
        <v/>
      </c>
      <c r="E25" s="55" t="n"/>
      <c r="F25" s="57">
        <f>IF(OR(B25="",B25=0),"",E25/B25)</f>
        <v/>
      </c>
      <c r="G25" s="31" t="n"/>
      <c r="H25" s="31" t="n"/>
      <c r="I25" s="31" t="n"/>
      <c r="J25" s="31" t="n"/>
    </row>
    <row r="26">
      <c r="A26" s="31" t="n"/>
      <c r="B26" s="31" t="n"/>
      <c r="C26" s="31" t="n"/>
      <c r="D26" s="31" t="n"/>
      <c r="E26" s="31" t="n"/>
      <c r="F26" s="31" t="n"/>
      <c r="G26" s="31" t="n"/>
      <c r="H26" s="31" t="n"/>
      <c r="I26" s="31" t="n"/>
      <c r="J26" s="31" t="n"/>
    </row>
    <row r="27">
      <c r="A27" s="63" t="inlineStr">
        <is>
          <t>C. Forward-looking / qualitative factors</t>
        </is>
      </c>
      <c r="B27" s="31" t="n"/>
      <c r="C27" s="31" t="n"/>
      <c r="D27" s="31" t="n"/>
      <c r="E27" s="31" t="n"/>
      <c r="F27" s="31" t="n"/>
      <c r="G27" s="31" t="n"/>
      <c r="H27" s="31" t="n"/>
      <c r="I27" s="31" t="n"/>
      <c r="J27" s="31" t="n"/>
    </row>
    <row r="28" ht="19.5" customHeight="1">
      <c r="A28" s="49" t="inlineStr">
        <is>
          <t>Factor</t>
        </is>
      </c>
      <c r="B28" s="49" t="inlineStr">
        <is>
          <t>Direction (incr/decr)</t>
        </is>
      </c>
      <c r="C28" s="49" t="inlineStr">
        <is>
          <t>Basis / evidence</t>
        </is>
      </c>
      <c r="D28" s="49" t="inlineStr">
        <is>
          <t>Adjustment</t>
        </is>
      </c>
      <c r="E28" s="31" t="n"/>
      <c r="F28" s="31" t="n"/>
      <c r="G28" s="31" t="n"/>
      <c r="H28" s="31" t="n"/>
      <c r="I28" s="31" t="n"/>
      <c r="J28" s="31" t="n"/>
    </row>
    <row r="29">
      <c r="A29" s="50" t="n"/>
      <c r="B29" s="50" t="n"/>
      <c r="C29" s="50" t="n"/>
      <c r="D29" s="55" t="n"/>
      <c r="E29" s="31" t="n"/>
      <c r="F29" s="31" t="n"/>
      <c r="G29" s="31" t="n"/>
      <c r="H29" s="31" t="n"/>
      <c r="I29" s="31" t="n"/>
      <c r="J29" s="31" t="n"/>
    </row>
    <row r="30">
      <c r="A30" s="50" t="n"/>
      <c r="B30" s="50" t="n"/>
      <c r="C30" s="50" t="n"/>
      <c r="D30" s="55" t="n"/>
      <c r="E30" s="31" t="n"/>
      <c r="F30" s="31" t="n"/>
      <c r="G30" s="31" t="n"/>
      <c r="H30" s="31" t="n"/>
      <c r="I30" s="31" t="n"/>
      <c r="J30" s="31" t="n"/>
    </row>
    <row r="31">
      <c r="A31" s="50" t="n"/>
      <c r="B31" s="50" t="n"/>
      <c r="C31" s="50" t="n"/>
      <c r="D31" s="55" t="n"/>
      <c r="E31" s="31" t="n"/>
      <c r="F31" s="31" t="n"/>
      <c r="G31" s="31" t="n"/>
      <c r="H31" s="31" t="n"/>
      <c r="I31" s="31" t="n"/>
      <c r="J31" s="31" t="n"/>
    </row>
    <row r="32">
      <c r="A32" s="50" t="n"/>
      <c r="B32" s="50" t="n"/>
      <c r="C32" s="50" t="n"/>
      <c r="D32" s="55" t="n"/>
      <c r="E32" s="31" t="n"/>
      <c r="F32" s="31" t="n"/>
      <c r="G32" s="31" t="n"/>
      <c r="H32" s="31" t="n"/>
      <c r="I32" s="31" t="n"/>
      <c r="J32" s="31" t="n"/>
    </row>
    <row r="33">
      <c r="A33" s="50" t="n"/>
      <c r="B33" s="50" t="n"/>
      <c r="C33" s="50" t="n"/>
      <c r="D33" s="55" t="n"/>
      <c r="E33" s="31" t="n"/>
      <c r="F33" s="31" t="n"/>
      <c r="G33" s="31" t="n"/>
      <c r="H33" s="31" t="n"/>
      <c r="I33" s="31" t="n"/>
      <c r="J33" s="31" t="n"/>
    </row>
    <row r="34">
      <c r="A34" s="31" t="n"/>
      <c r="B34" s="31" t="n"/>
      <c r="C34" s="31" t="n"/>
      <c r="D34" s="31" t="n"/>
      <c r="E34" s="31" t="n"/>
      <c r="F34" s="31" t="n"/>
      <c r="G34" s="31" t="n"/>
      <c r="H34" s="31" t="n"/>
      <c r="I34" s="31" t="n"/>
      <c r="J34" s="31" t="n"/>
    </row>
    <row r="35">
      <c r="A35" s="47" t="inlineStr">
        <is>
          <t>TM Legends</t>
        </is>
      </c>
      <c r="B35" s="31" t="n"/>
      <c r="C35" s="31" t="n"/>
      <c r="D35" s="31" t="n"/>
      <c r="E35" s="31" t="n"/>
      <c r="F35" s="31" t="n"/>
      <c r="G35" s="31" t="n"/>
      <c r="H35" s="31" t="n"/>
      <c r="I35" s="31" t="n"/>
      <c r="J35" s="31" t="n"/>
    </row>
    <row r="36">
      <c r="A36" s="51" t="inlineStr">
        <is>
          <t>TB</t>
        </is>
      </c>
      <c r="B36" s="37" t="inlineStr">
        <is>
          <t>Agreed to trial balance</t>
        </is>
      </c>
      <c r="C36" s="52" t="n"/>
      <c r="D36" s="53" t="n"/>
      <c r="E36" s="31" t="n"/>
      <c r="F36" s="31" t="n"/>
      <c r="G36" s="31" t="n"/>
      <c r="H36" s="31" t="n"/>
      <c r="I36" s="31" t="n"/>
      <c r="J36" s="31" t="n"/>
    </row>
    <row r="37">
      <c r="A37" s="51" t="inlineStr">
        <is>
          <t>GL</t>
        </is>
      </c>
      <c r="B37" s="37" t="inlineStr">
        <is>
          <t>Agreed to general ledger</t>
        </is>
      </c>
      <c r="C37" s="52" t="n"/>
      <c r="D37" s="53" t="n"/>
      <c r="E37" s="31" t="n"/>
      <c r="F37" s="31" t="n"/>
      <c r="G37" s="31" t="n"/>
      <c r="H37" s="31" t="n"/>
      <c r="I37" s="31" t="n"/>
      <c r="J37" s="31" t="n"/>
    </row>
    <row r="38">
      <c r="A38" s="51" t="inlineStr">
        <is>
          <t>CF</t>
        </is>
      </c>
      <c r="B38" s="37" t="inlineStr">
        <is>
          <t>Confirmed with third party</t>
        </is>
      </c>
      <c r="C38" s="52" t="n"/>
      <c r="D38" s="53" t="n"/>
      <c r="E38" s="31" t="n"/>
      <c r="F38" s="31" t="n"/>
      <c r="G38" s="31" t="n"/>
      <c r="H38" s="31" t="n"/>
      <c r="I38" s="31" t="n"/>
      <c r="J38" s="31" t="n"/>
    </row>
    <row r="39">
      <c r="A39" s="51" t="inlineStr">
        <is>
          <t>V</t>
        </is>
      </c>
      <c r="B39" s="37" t="inlineStr">
        <is>
          <t>Vouched to source document</t>
        </is>
      </c>
      <c r="C39" s="52" t="n"/>
      <c r="D39" s="53" t="n"/>
      <c r="E39" s="31" t="n"/>
      <c r="F39" s="31" t="n"/>
      <c r="G39" s="31" t="n"/>
      <c r="H39" s="31" t="n"/>
      <c r="I39" s="31" t="n"/>
      <c r="J39" s="31" t="n"/>
    </row>
    <row r="40">
      <c r="A40" s="51" t="inlineStr">
        <is>
          <t>SR</t>
        </is>
      </c>
      <c r="B40" s="37" t="inlineStr">
        <is>
          <t>Agreed to subsequent bank-cleared receipt</t>
        </is>
      </c>
      <c r="C40" s="52" t="n"/>
      <c r="D40" s="53" t="n"/>
      <c r="E40" s="31" t="n"/>
      <c r="F40" s="31" t="n"/>
      <c r="G40" s="31" t="n"/>
      <c r="H40" s="31" t="n"/>
      <c r="I40" s="31" t="n"/>
      <c r="J40" s="31" t="n"/>
    </row>
    <row r="41">
      <c r="A41" s="51" t="inlineStr">
        <is>
          <t>R</t>
        </is>
      </c>
      <c r="B41" s="37" t="inlineStr">
        <is>
          <t>Recalculated independently</t>
        </is>
      </c>
      <c r="C41" s="52" t="n"/>
      <c r="D41" s="53" t="n"/>
      <c r="E41" s="31" t="n"/>
      <c r="F41" s="31" t="n"/>
      <c r="G41" s="31" t="n"/>
      <c r="H41" s="31" t="n"/>
      <c r="I41" s="31" t="n"/>
      <c r="J41" s="31" t="n"/>
    </row>
    <row r="42">
      <c r="A42" s="51" t="inlineStr">
        <is>
          <t>F</t>
        </is>
      </c>
      <c r="B42" s="37" t="inlineStr">
        <is>
          <t>Footed / cross-cast</t>
        </is>
      </c>
      <c r="C42" s="52" t="n"/>
      <c r="D42" s="53" t="n"/>
      <c r="E42" s="31" t="n"/>
      <c r="F42" s="31" t="n"/>
      <c r="G42" s="31" t="n"/>
      <c r="H42" s="31" t="n"/>
      <c r="I42" s="31" t="n"/>
      <c r="J42" s="31" t="n"/>
    </row>
    <row r="43">
      <c r="A43" s="51" t="inlineStr">
        <is>
          <t>T</t>
        </is>
      </c>
      <c r="B43" s="37" t="inlineStr">
        <is>
          <t>Traced to downstream record</t>
        </is>
      </c>
      <c r="C43" s="52" t="n"/>
      <c r="D43" s="53" t="n"/>
      <c r="E43" s="31" t="n"/>
      <c r="F43" s="31" t="n"/>
      <c r="G43" s="31" t="n"/>
      <c r="H43" s="31" t="n"/>
      <c r="I43" s="31" t="n"/>
      <c r="J43" s="31" t="n"/>
    </row>
    <row r="44">
      <c r="A44" s="51" t="inlineStr">
        <is>
          <t>PBC</t>
        </is>
      </c>
      <c r="B44" s="37" t="inlineStr">
        <is>
          <t>Prepared by client</t>
        </is>
      </c>
      <c r="C44" s="52" t="n"/>
      <c r="D44" s="53" t="n"/>
      <c r="E44" s="31" t="n"/>
      <c r="F44" s="31" t="n"/>
      <c r="G44" s="31" t="n"/>
      <c r="H44" s="31" t="n"/>
      <c r="I44" s="31" t="n"/>
      <c r="J44" s="31" t="n"/>
    </row>
    <row r="45">
      <c r="A45" s="31" t="n"/>
      <c r="B45" s="31" t="n"/>
      <c r="C45" s="31" t="n"/>
      <c r="D45" s="31" t="n"/>
      <c r="E45" s="31" t="n"/>
      <c r="F45" s="31" t="n"/>
      <c r="G45" s="31" t="n"/>
      <c r="H45" s="31" t="n"/>
      <c r="I45" s="31" t="n"/>
      <c r="J45" s="31" t="n"/>
    </row>
    <row r="46" ht="25.5" customHeight="1">
      <c r="A46" s="33" t="inlineStr">
        <is>
          <t>Before sign-off complete Library Procedures 13-16 (methodology memo, ECL recompute, loss-rate lookback, forward-looking factors). The general reserve total flows to &lt;.4&gt; Required vs recorded.</t>
        </is>
      </c>
      <c r="B46" s="31" t="n"/>
      <c r="C46" s="31" t="n"/>
      <c r="D46" s="31" t="n"/>
      <c r="E46" s="31" t="n"/>
      <c r="F46" s="31" t="n"/>
      <c r="G46" s="31" t="n"/>
      <c r="H46" s="31" t="n"/>
      <c r="I46" s="31" t="n"/>
      <c r="J46" s="31" t="n"/>
    </row>
  </sheetData>
  <mergeCells count="13">
    <mergeCell ref="B42:D42"/>
    <mergeCell ref="A46:J46"/>
    <mergeCell ref="B36:D36"/>
    <mergeCell ref="B37:D37"/>
    <mergeCell ref="B5:J5"/>
    <mergeCell ref="B41:D41"/>
    <mergeCell ref="B40:D40"/>
    <mergeCell ref="B38:D38"/>
    <mergeCell ref="B44:D44"/>
    <mergeCell ref="B4:J4"/>
    <mergeCell ref="B43:D43"/>
    <mergeCell ref="B39:D39"/>
    <mergeCell ref="B6:J6"/>
  </mergeCells>
  <printOptions horizontalCentered="0" verticalCentered="0"/>
  <pageMargins left="0.25" right="0.25" top="0.5" bottom="0.5" header="0.2" footer="0.2"/>
  <pageSetup orientation="landscape" paperSize="1" fitToHeight="0" fitToWidth="1" horizontalDpi="300" verticalDpi="300"/>
</worksheet>
</file>

<file path=xl/worksheets/sheet8.xml><?xml version="1.0" encoding="utf-8"?>
<worksheet xmlns="http://schemas.openxmlformats.org/spreadsheetml/2006/main">
  <sheetPr>
    <outlinePr summaryBelow="1" summaryRight="1"/>
    <pageSetUpPr autoPageBreaks="0" fitToPage="1"/>
  </sheetPr>
  <dimension ref="A1:AG39"/>
  <sheetViews>
    <sheetView showGridLines="0" zoomScale="90" zoomScaleNormal="100" workbookViewId="0">
      <pane xSplit="1" ySplit="7" topLeftCell="B8" activePane="bottomRight" state="frozen"/>
      <selection pane="topRight"/>
      <selection pane="bottomLeft"/>
      <selection pane="bottomRight" activeCell="D1" sqref="D1"/>
      <selection pane="bottomLeft" activeCell="A10" sqref="A10"/>
      <selection pane="bottomRight" activeCell="A1" sqref="A1"/>
    </sheetView>
  </sheetViews>
  <sheetFormatPr baseColWidth="8" defaultColWidth="8.6328125" defaultRowHeight="14.5"/>
  <cols>
    <col width="31.75" customWidth="1" min="1" max="1"/>
    <col width="29.2" customWidth="1" min="2" max="2"/>
    <col width="16" customWidth="1" min="3" max="3"/>
    <col width="37.7" customWidth="1" min="4" max="4"/>
    <col width="26.65" customWidth="1" min="5" max="5"/>
    <col width="12" customWidth="1" min="6" max="8"/>
    <col width="13" customWidth="1" min="7" max="7"/>
    <col width="13" customWidth="1" min="8" max="8"/>
    <col width="16.45" customWidth="1" min="9" max="9"/>
    <col width="16.45" customWidth="1" min="10" max="10"/>
    <col width="40.25" customWidth="1" min="11" max="11"/>
    <col width="16.45" customWidth="1" min="12" max="12"/>
    <col width="21.55" customWidth="1" min="13" max="15"/>
    <col width="13.05" customWidth="1" min="14" max="14"/>
    <col width="13.9" customWidth="1" min="15" max="15"/>
    <col width="33.45" customWidth="1" min="16" max="16"/>
    <col width="21.55" customWidth="1" min="17" max="17"/>
    <col width="30.05" customWidth="1" min="18" max="18"/>
    <col width="22" customWidth="1" min="19" max="19"/>
    <col width="26.65" customWidth="1" min="20" max="20"/>
    <col width="21.55" customWidth="1" min="21" max="25"/>
    <col width="22.4" customWidth="1" min="22" max="22"/>
    <col width="24.1" customWidth="1" min="23" max="23"/>
    <col width="18.15" customWidth="1" min="24" max="24"/>
    <col width="23.25" customWidth="1" min="25" max="25"/>
    <col width="19" customWidth="1" min="26" max="26"/>
    <col width="25.8" customWidth="1" min="27" max="28"/>
    <col width="13" customWidth="1" min="28" max="28"/>
    <col width="12" customWidth="1" min="29" max="29"/>
    <col width="24.95" customWidth="1" min="30" max="30"/>
    <col width="17.3" customWidth="1" min="31" max="32"/>
    <col width="19.85" customWidth="1" min="32" max="32"/>
    <col width="26" customWidth="1" min="33" max="33"/>
  </cols>
  <sheetData>
    <row r="1" ht="27" customHeight="1">
      <c r="A1" s="30" t="inlineStr">
        <is>
          <t>Confirmation &amp; Subsequent Clearance</t>
        </is>
      </c>
      <c r="B1" s="31" t="n"/>
      <c r="C1" s="31" t="n"/>
      <c r="D1" s="31" t="n"/>
      <c r="E1" s="31" t="n"/>
      <c r="F1" s="31" t="n"/>
      <c r="G1" s="31" t="n"/>
      <c r="H1" s="31" t="n"/>
      <c r="I1" s="31" t="n"/>
      <c r="J1" s="31" t="n"/>
      <c r="K1" s="31" t="n"/>
      <c r="L1" s="31" t="n"/>
      <c r="M1" s="31" t="n"/>
      <c r="N1" s="31" t="n"/>
      <c r="O1" s="31" t="n"/>
      <c r="P1" s="31" t="n"/>
      <c r="Q1" s="31" t="n"/>
      <c r="R1" s="31" t="n"/>
      <c r="S1" s="31" t="n"/>
      <c r="T1" s="31" t="n"/>
      <c r="U1" s="31" t="n"/>
      <c r="V1" s="31" t="n"/>
      <c r="W1" s="31" t="n"/>
      <c r="X1" s="31" t="n"/>
      <c r="Y1" s="31" t="n"/>
      <c r="Z1" s="31" t="n"/>
      <c r="AA1" s="31" t="n"/>
      <c r="AB1" s="31" t="n"/>
      <c r="AC1" s="31" t="n"/>
      <c r="AD1" s="31" t="n"/>
      <c r="AE1" s="31" t="n"/>
      <c r="AF1" s="31" t="n"/>
      <c r="AG1" s="31" t="n"/>
    </row>
    <row r="2" ht="27" customHeight="1">
      <c r="A2" s="42" t="inlineStr">
        <is>
          <t>Client / Entity</t>
        </is>
      </c>
      <c r="B2" s="32" t="inlineStr">
        <is>
          <t>Quelvox Industrial Holdings, LLC</t>
        </is>
      </c>
      <c r="C2" s="31" t="n"/>
      <c r="D2" s="42" t="inlineStr">
        <is>
          <t>Year-End</t>
        </is>
      </c>
      <c r="E2" s="43" t="n">
        <v>46022</v>
      </c>
      <c r="F2" s="31" t="n"/>
      <c r="G2" s="42" t="inlineStr">
        <is>
          <t>Currency</t>
        </is>
      </c>
      <c r="H2" s="44" t="inlineStr">
        <is>
          <t>USD</t>
        </is>
      </c>
      <c r="I2" s="31" t="n"/>
      <c r="J2" s="31" t="n"/>
      <c r="K2" s="31" t="n"/>
      <c r="L2" s="31" t="n"/>
      <c r="M2" s="31" t="n"/>
      <c r="N2" s="31" t="n"/>
      <c r="O2" s="31" t="n"/>
      <c r="P2" s="31" t="n"/>
      <c r="Q2" s="31" t="n"/>
      <c r="R2" s="31" t="n"/>
      <c r="S2" s="31" t="n"/>
      <c r="T2" s="31" t="n"/>
      <c r="U2" s="31" t="n"/>
      <c r="V2" s="31" t="n"/>
      <c r="W2" s="31" t="n"/>
      <c r="X2" s="31" t="n"/>
      <c r="Y2" s="31" t="n"/>
      <c r="Z2" s="31" t="n"/>
      <c r="AA2" s="31" t="n"/>
      <c r="AB2" s="31" t="n"/>
      <c r="AC2" s="31" t="n"/>
      <c r="AD2" s="31" t="n"/>
      <c r="AE2" s="31" t="n"/>
      <c r="AF2" s="31" t="n"/>
      <c r="AG2" s="31" t="n"/>
    </row>
    <row r="3" ht="27" customHeight="1">
      <c r="A3" s="45" t="inlineStr">
        <is>
          <t>Performance Materiality</t>
        </is>
      </c>
      <c r="B3" s="46" t="n">
        <v>32500</v>
      </c>
      <c r="C3" s="31" t="n"/>
      <c r="D3" s="45" t="inlineStr">
        <is>
          <t>Tolerable misstatement / testing threshold</t>
        </is>
      </c>
      <c r="E3" s="46" t="n">
        <v>29300</v>
      </c>
      <c r="F3" s="31" t="n"/>
      <c r="G3" s="31" t="n"/>
      <c r="H3" s="31" t="n"/>
      <c r="I3" s="31" t="n"/>
      <c r="J3" s="31" t="n"/>
      <c r="K3" s="31" t="n"/>
      <c r="L3" s="31" t="n"/>
      <c r="M3" s="31" t="n"/>
      <c r="N3" s="31" t="n"/>
      <c r="O3" s="31" t="n"/>
      <c r="P3" s="31" t="n"/>
      <c r="Q3" s="31" t="n"/>
      <c r="R3" s="31" t="n"/>
      <c r="S3" s="31" t="n"/>
      <c r="T3" s="31" t="n"/>
      <c r="U3" s="31" t="n"/>
      <c r="V3" s="31" t="n"/>
      <c r="W3" s="31" t="n"/>
      <c r="X3" s="31" t="n"/>
      <c r="Y3" s="31" t="n"/>
      <c r="Z3" s="31" t="n"/>
      <c r="AA3" s="31" t="n"/>
      <c r="AB3" s="31" t="n"/>
      <c r="AC3" s="31" t="n"/>
      <c r="AD3" s="31" t="n"/>
      <c r="AE3" s="31" t="n"/>
      <c r="AF3" s="31" t="n"/>
      <c r="AG3" s="31" t="n"/>
    </row>
    <row r="4" ht="42" customHeight="1">
      <c r="A4" s="47" t="inlineStr">
        <is>
          <t>Purpose:</t>
        </is>
      </c>
      <c r="B4" s="48" t="inlineStr">
        <is>
          <t>Confirm AR directly with significant customers (with a control log and reliability testing); for non-replies, perform alternative procedures — subsequent bank-cleared receipt plus invoice, purchase order and bill of lading support.</t>
        </is>
      </c>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row>
    <row r="5" ht="27.75" customHeight="1">
      <c r="A5" s="47" t="inlineStr">
        <is>
          <t>Scope:</t>
        </is>
      </c>
      <c r="B5" s="48" t="inlineStr">
        <is>
          <t>Significant customer balances selected for positive confirmation; alternative procedures for non-replies/exceptions.</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row>
    <row r="6" ht="15" customHeight="1">
      <c r="A6" s="47" t="inlineStr">
        <is>
          <t>Assertions:</t>
        </is>
      </c>
      <c r="B6" s="48" t="inlineStr">
        <is>
          <t>Existence; Rights &amp; Obligations; Accuracy; Valuation &amp; Allocation</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row>
    <row r="7">
      <c r="A7" s="67" t="inlineStr">
        <is>
          <t>CONFIRMATION REQUEST</t>
        </is>
      </c>
      <c r="B7" s="52" t="n"/>
      <c r="C7" s="52" t="n"/>
      <c r="D7" s="52" t="n"/>
      <c r="E7" s="52" t="n"/>
      <c r="F7" s="52" t="n"/>
      <c r="G7" s="52" t="n"/>
      <c r="H7" s="52" t="n"/>
      <c r="I7" s="52" t="n"/>
      <c r="J7" s="52" t="n"/>
      <c r="K7" s="53" t="n"/>
      <c r="L7" s="67" t="inlineStr">
        <is>
          <t>CONFIRMATION RESPONSE</t>
        </is>
      </c>
      <c r="M7" s="52" t="n"/>
      <c r="N7" s="52" t="n"/>
      <c r="O7" s="52" t="n"/>
      <c r="P7" s="52" t="n"/>
      <c r="Q7" s="52" t="n"/>
      <c r="R7" s="53" t="n"/>
      <c r="S7" s="67" t="inlineStr">
        <is>
          <t>ALT. PROCEDURE — SUBSEQUENT RECEIPT</t>
        </is>
      </c>
      <c r="T7" s="52" t="n"/>
      <c r="U7" s="52" t="n"/>
      <c r="V7" s="52" t="n"/>
      <c r="W7" s="52" t="n"/>
      <c r="X7" s="52" t="n"/>
      <c r="Y7" s="53" t="n"/>
      <c r="Z7" s="68" t="inlineStr">
        <is>
          <t>ALT. PROCEDURE — SUPPORTING DOCS</t>
        </is>
      </c>
      <c r="AA7" s="69" t="n"/>
      <c r="AB7" s="69" t="n"/>
      <c r="AC7" s="69" t="n"/>
      <c r="AD7" s="69" t="n"/>
      <c r="AE7" s="69" t="n"/>
      <c r="AF7" s="69" t="n"/>
      <c r="AG7" s="70" t="inlineStr">
        <is>
          <t>CONCLUSION</t>
        </is>
      </c>
    </row>
    <row r="8" ht="45.75" customHeight="1">
      <c r="A8" s="49" t="inlineStr">
        <is>
          <t>Conf. Control #</t>
        </is>
      </c>
      <c r="B8" s="49" t="inlineStr">
        <is>
          <t>Customer (name)</t>
        </is>
      </c>
      <c r="C8" s="49" t="inlineStr">
        <is>
          <t>Contact name</t>
        </is>
      </c>
      <c r="D8" s="49" t="inlineStr">
        <is>
          <t>Email (if any)</t>
        </is>
      </c>
      <c r="E8" s="49" t="inlineStr">
        <is>
          <t>Addr. validation tested (Y/N)</t>
        </is>
      </c>
      <c r="F8" s="49" t="inlineStr">
        <is>
          <t>AVT result</t>
        </is>
      </c>
      <c r="G8" s="49" t="inlineStr">
        <is>
          <t>Invoice #</t>
        </is>
      </c>
      <c r="H8" s="49" t="inlineStr">
        <is>
          <t>Invoice date</t>
        </is>
      </c>
      <c r="I8" s="49" t="inlineStr">
        <is>
          <t>Amount to confirm</t>
        </is>
      </c>
      <c r="J8" s="49" t="inlineStr">
        <is>
          <t>Date request sent</t>
        </is>
      </c>
      <c r="K8" s="49" t="inlineStr">
        <is>
          <t>Method sent (email/physical/Confirmation.com)</t>
        </is>
      </c>
      <c r="L8" s="49" t="inlineStr">
        <is>
          <t>Follow-up date(s)</t>
        </is>
      </c>
      <c r="M8" s="49" t="inlineStr">
        <is>
          <t>Response received (Y/N)</t>
        </is>
      </c>
      <c r="N8" s="49" t="inlineStr">
        <is>
          <t>Hard-copy ref</t>
        </is>
      </c>
      <c r="O8" s="49" t="inlineStr">
        <is>
          <t>Electronic ref</t>
        </is>
      </c>
      <c r="P8" s="49" t="inlineStr">
        <is>
          <t>Reliability/authenticity tested (Y/N)</t>
        </is>
      </c>
      <c r="Q8" s="49" t="inlineStr">
        <is>
          <t>Amount per confirmation</t>
        </is>
      </c>
      <c r="R8" s="49" t="inlineStr">
        <is>
          <t>Exception (diff)</t>
        </is>
      </c>
      <c r="S8" s="49" t="inlineStr">
        <is>
          <t>Resolution of exception</t>
        </is>
      </c>
      <c r="T8" s="49" t="inlineStr">
        <is>
          <t>Amount per subsequent receipt</t>
        </is>
      </c>
      <c r="U8" s="49" t="inlineStr">
        <is>
          <t>Applied to this invoice</t>
        </is>
      </c>
      <c r="V8" s="49" t="inlineStr">
        <is>
          <t>Credit memos / discounts</t>
        </is>
      </c>
      <c r="W8" s="49" t="inlineStr">
        <is>
          <t>Date of subsequent receipt</t>
        </is>
      </c>
      <c r="X8" s="49" t="inlineStr">
        <is>
          <t>Receipt reference #</t>
        </is>
      </c>
      <c r="Y8" s="49" t="inlineStr">
        <is>
          <t>Date of deposit into bank</t>
        </is>
      </c>
      <c r="Z8" s="49" t="inlineStr">
        <is>
          <t>Agreed to bank (Y/N)</t>
        </is>
      </c>
      <c r="AA8" s="49" t="inlineStr">
        <is>
          <t>Amount per support (invoice)</t>
        </is>
      </c>
      <c r="AB8" s="49" t="inlineStr">
        <is>
          <t>PO reference</t>
        </is>
      </c>
      <c r="AC8" s="49" t="inlineStr">
        <is>
          <t>PO date</t>
        </is>
      </c>
      <c r="AD8" s="49" t="inlineStr">
        <is>
          <t>BOL / Sea Waybill reference</t>
        </is>
      </c>
      <c r="AE8" s="49" t="inlineStr">
        <is>
          <t>BOL / Waybill date</t>
        </is>
      </c>
      <c r="AF8" s="49" t="inlineStr">
        <is>
          <t>Quantity agreed (Y/N)</t>
        </is>
      </c>
      <c r="AG8" s="49" t="inlineStr">
        <is>
          <t>Conclusion / ET notes</t>
        </is>
      </c>
    </row>
    <row r="9">
      <c r="A9" s="31" t="n"/>
      <c r="B9" s="31" t="n"/>
      <c r="C9" s="31" t="n"/>
      <c r="D9" s="31" t="n"/>
      <c r="E9" s="31" t="n"/>
      <c r="F9" s="31" t="n"/>
      <c r="G9" s="31" t="n"/>
      <c r="H9" s="31" t="n"/>
      <c r="I9" s="54" t="inlineStr">
        <is>
          <t>TB</t>
        </is>
      </c>
      <c r="J9" s="31" t="n"/>
      <c r="K9" s="31" t="n"/>
      <c r="L9" s="31" t="n"/>
      <c r="M9" s="31" t="n"/>
      <c r="N9" s="31" t="n"/>
      <c r="O9" s="31" t="n"/>
      <c r="P9" s="31" t="n"/>
      <c r="Q9" s="54" t="inlineStr">
        <is>
          <t>CF</t>
        </is>
      </c>
      <c r="R9" s="31" t="n"/>
      <c r="S9" s="31" t="n"/>
      <c r="T9" s="54" t="inlineStr">
        <is>
          <t>SR</t>
        </is>
      </c>
      <c r="U9" s="31" t="n"/>
      <c r="V9" s="31" t="n"/>
      <c r="W9" s="31" t="n"/>
      <c r="X9" s="31" t="n"/>
      <c r="Y9" s="54" t="inlineStr">
        <is>
          <t>V</t>
        </is>
      </c>
      <c r="Z9" s="54" t="inlineStr">
        <is>
          <t>SR</t>
        </is>
      </c>
      <c r="AA9" s="31" t="n"/>
      <c r="AB9" s="31" t="n"/>
      <c r="AC9" s="31" t="n"/>
      <c r="AD9" s="31" t="n"/>
      <c r="AE9" s="31" t="n"/>
      <c r="AF9" s="31" t="n"/>
      <c r="AG9" s="31" t="n"/>
    </row>
    <row r="10" ht="27" customHeight="1">
      <c r="A10" s="50" t="n"/>
      <c r="B10" s="50" t="n"/>
      <c r="C10" s="50" t="n"/>
      <c r="D10" s="50" t="n"/>
      <c r="E10" s="50" t="n"/>
      <c r="F10" s="50" t="n"/>
      <c r="G10" s="50" t="n"/>
      <c r="H10" s="50" t="n"/>
      <c r="I10" s="55" t="n"/>
      <c r="J10" s="50" t="n"/>
      <c r="K10" s="50" t="n"/>
      <c r="L10" s="50" t="n"/>
      <c r="M10" s="50" t="n"/>
      <c r="N10" s="50" t="n"/>
      <c r="O10" s="50" t="n"/>
      <c r="P10" s="50" t="n"/>
      <c r="Q10" s="55" t="n"/>
      <c r="R10" s="56">
        <f>IF(OR(I10="",Q10=""),"",I10-Q10)</f>
        <v/>
      </c>
      <c r="S10" s="50" t="n"/>
      <c r="T10" s="55" t="n"/>
      <c r="U10" s="55" t="n"/>
      <c r="V10" s="55" t="n"/>
      <c r="W10" s="50" t="n"/>
      <c r="X10" s="50" t="n"/>
      <c r="Y10" s="50" t="n"/>
      <c r="Z10" s="50" t="n"/>
      <c r="AA10" s="50" t="n"/>
      <c r="AB10" s="50" t="n"/>
      <c r="AC10" s="50" t="n"/>
      <c r="AD10" s="50" t="n"/>
      <c r="AE10" s="50" t="n"/>
      <c r="AF10" s="50" t="n"/>
      <c r="AG10" s="50" t="n"/>
    </row>
    <row r="11" ht="27" customHeight="1">
      <c r="A11" s="50" t="n"/>
      <c r="B11" s="50" t="n"/>
      <c r="C11" s="50" t="n"/>
      <c r="D11" s="50" t="n"/>
      <c r="E11" s="50" t="n"/>
      <c r="F11" s="50" t="n"/>
      <c r="G11" s="50" t="n"/>
      <c r="H11" s="50" t="n"/>
      <c r="I11" s="55" t="n"/>
      <c r="J11" s="50" t="n"/>
      <c r="K11" s="50" t="n"/>
      <c r="L11" s="50" t="n"/>
      <c r="M11" s="50" t="n"/>
      <c r="N11" s="50" t="n"/>
      <c r="O11" s="50" t="n"/>
      <c r="P11" s="50" t="n"/>
      <c r="Q11" s="55" t="n"/>
      <c r="R11" s="56">
        <f>IF(OR(I11="",Q11=""),"",I11-Q11)</f>
        <v/>
      </c>
      <c r="S11" s="50" t="n"/>
      <c r="T11" s="55" t="n"/>
      <c r="U11" s="55" t="n"/>
      <c r="V11" s="55" t="n"/>
      <c r="W11" s="50" t="n"/>
      <c r="X11" s="50" t="n"/>
      <c r="Y11" s="50" t="n"/>
      <c r="Z11" s="50" t="n"/>
      <c r="AA11" s="50" t="n"/>
      <c r="AB11" s="50" t="n"/>
      <c r="AC11" s="50" t="n"/>
      <c r="AD11" s="50" t="n"/>
      <c r="AE11" s="50" t="n"/>
      <c r="AF11" s="50" t="n"/>
      <c r="AG11" s="50" t="n"/>
    </row>
    <row r="12" ht="27" customHeight="1">
      <c r="A12" s="50" t="n"/>
      <c r="B12" s="50" t="n"/>
      <c r="C12" s="50" t="n"/>
      <c r="D12" s="50" t="n"/>
      <c r="E12" s="50" t="n"/>
      <c r="F12" s="50" t="n"/>
      <c r="G12" s="50" t="n"/>
      <c r="H12" s="50" t="n"/>
      <c r="I12" s="55" t="n"/>
      <c r="J12" s="50" t="n"/>
      <c r="K12" s="50" t="n"/>
      <c r="L12" s="50" t="n"/>
      <c r="M12" s="50" t="n"/>
      <c r="N12" s="50" t="n"/>
      <c r="O12" s="50" t="n"/>
      <c r="P12" s="50" t="n"/>
      <c r="Q12" s="55" t="n"/>
      <c r="R12" s="56">
        <f>IF(OR(I12="",Q12=""),"",I12-Q12)</f>
        <v/>
      </c>
      <c r="S12" s="50" t="n"/>
      <c r="T12" s="55" t="n"/>
      <c r="U12" s="55" t="n"/>
      <c r="V12" s="55" t="n"/>
      <c r="W12" s="50" t="n"/>
      <c r="X12" s="50" t="n"/>
      <c r="Y12" s="50" t="n"/>
      <c r="Z12" s="50" t="n"/>
      <c r="AA12" s="50" t="n"/>
      <c r="AB12" s="50" t="n"/>
      <c r="AC12" s="50" t="n"/>
      <c r="AD12" s="50" t="n"/>
      <c r="AE12" s="50" t="n"/>
      <c r="AF12" s="50" t="n"/>
      <c r="AG12" s="50" t="n"/>
    </row>
    <row r="13" ht="27" customHeight="1">
      <c r="A13" s="50" t="n"/>
      <c r="B13" s="50" t="n"/>
      <c r="C13" s="50" t="n"/>
      <c r="D13" s="50" t="n"/>
      <c r="E13" s="50" t="n"/>
      <c r="F13" s="50" t="n"/>
      <c r="G13" s="50" t="n"/>
      <c r="H13" s="50" t="n"/>
      <c r="I13" s="55" t="n"/>
      <c r="J13" s="50" t="n"/>
      <c r="K13" s="50" t="n"/>
      <c r="L13" s="50" t="n"/>
      <c r="M13" s="50" t="n"/>
      <c r="N13" s="50" t="n"/>
      <c r="O13" s="50" t="n"/>
      <c r="P13" s="50" t="n"/>
      <c r="Q13" s="55" t="n"/>
      <c r="R13" s="56">
        <f>IF(OR(I13="",Q13=""),"",I13-Q13)</f>
        <v/>
      </c>
      <c r="S13" s="50" t="n"/>
      <c r="T13" s="55" t="n"/>
      <c r="U13" s="55" t="n"/>
      <c r="V13" s="55" t="n"/>
      <c r="W13" s="50" t="n"/>
      <c r="X13" s="50" t="n"/>
      <c r="Y13" s="50" t="n"/>
      <c r="Z13" s="50" t="n"/>
      <c r="AA13" s="50" t="n"/>
      <c r="AB13" s="50" t="n"/>
      <c r="AC13" s="50" t="n"/>
      <c r="AD13" s="50" t="n"/>
      <c r="AE13" s="50" t="n"/>
      <c r="AF13" s="50" t="n"/>
      <c r="AG13" s="50" t="n"/>
    </row>
    <row r="14" ht="27" customHeight="1">
      <c r="A14" s="50" t="n"/>
      <c r="B14" s="50" t="n"/>
      <c r="C14" s="50" t="n"/>
      <c r="D14" s="50" t="n"/>
      <c r="E14" s="50" t="n"/>
      <c r="F14" s="50" t="n"/>
      <c r="G14" s="50" t="n"/>
      <c r="H14" s="50" t="n"/>
      <c r="I14" s="55" t="n"/>
      <c r="J14" s="50" t="n"/>
      <c r="K14" s="50" t="n"/>
      <c r="L14" s="50" t="n"/>
      <c r="M14" s="50" t="n"/>
      <c r="N14" s="50" t="n"/>
      <c r="O14" s="50" t="n"/>
      <c r="P14" s="50" t="n"/>
      <c r="Q14" s="55" t="n"/>
      <c r="R14" s="56">
        <f>IF(OR(I14="",Q14=""),"",I14-Q14)</f>
        <v/>
      </c>
      <c r="S14" s="50" t="n"/>
      <c r="T14" s="55" t="n"/>
      <c r="U14" s="55" t="n"/>
      <c r="V14" s="55" t="n"/>
      <c r="W14" s="50" t="n"/>
      <c r="X14" s="50" t="n"/>
      <c r="Y14" s="50" t="n"/>
      <c r="Z14" s="50" t="n"/>
      <c r="AA14" s="50" t="n"/>
      <c r="AB14" s="50" t="n"/>
      <c r="AC14" s="50" t="n"/>
      <c r="AD14" s="50" t="n"/>
      <c r="AE14" s="50" t="n"/>
      <c r="AF14" s="50" t="n"/>
      <c r="AG14" s="50" t="n"/>
    </row>
    <row r="15" ht="27" customHeight="1">
      <c r="A15" s="50" t="n"/>
      <c r="B15" s="50" t="n"/>
      <c r="C15" s="50" t="n"/>
      <c r="D15" s="50" t="n"/>
      <c r="E15" s="50" t="n"/>
      <c r="F15" s="50" t="n"/>
      <c r="G15" s="50" t="n"/>
      <c r="H15" s="50" t="n"/>
      <c r="I15" s="55" t="n"/>
      <c r="J15" s="50" t="n"/>
      <c r="K15" s="50" t="n"/>
      <c r="L15" s="50" t="n"/>
      <c r="M15" s="50" t="n"/>
      <c r="N15" s="50" t="n"/>
      <c r="O15" s="50" t="n"/>
      <c r="P15" s="50" t="n"/>
      <c r="Q15" s="55" t="n"/>
      <c r="R15" s="56">
        <f>IF(OR(I15="",Q15=""),"",I15-Q15)</f>
        <v/>
      </c>
      <c r="S15" s="50" t="n"/>
      <c r="T15" s="55" t="n"/>
      <c r="U15" s="55" t="n"/>
      <c r="V15" s="55" t="n"/>
      <c r="W15" s="50" t="n"/>
      <c r="X15" s="50" t="n"/>
      <c r="Y15" s="50" t="n"/>
      <c r="Z15" s="50" t="n"/>
      <c r="AA15" s="50" t="n"/>
      <c r="AB15" s="50" t="n"/>
      <c r="AC15" s="50" t="n"/>
      <c r="AD15" s="50" t="n"/>
      <c r="AE15" s="50" t="n"/>
      <c r="AF15" s="50" t="n"/>
      <c r="AG15" s="50" t="n"/>
    </row>
    <row r="16" ht="27" customHeight="1">
      <c r="A16" s="50" t="n"/>
      <c r="B16" s="50" t="n"/>
      <c r="C16" s="50" t="n"/>
      <c r="D16" s="50" t="n"/>
      <c r="E16" s="50" t="n"/>
      <c r="F16" s="50" t="n"/>
      <c r="G16" s="50" t="n"/>
      <c r="H16" s="50" t="n"/>
      <c r="I16" s="55" t="n"/>
      <c r="J16" s="50" t="n"/>
      <c r="K16" s="50" t="n"/>
      <c r="L16" s="50" t="n"/>
      <c r="M16" s="50" t="n"/>
      <c r="N16" s="50" t="n"/>
      <c r="O16" s="50" t="n"/>
      <c r="P16" s="50" t="n"/>
      <c r="Q16" s="55" t="n"/>
      <c r="R16" s="56">
        <f>IF(OR(I16="",Q16=""),"",I16-Q16)</f>
        <v/>
      </c>
      <c r="S16" s="50" t="n"/>
      <c r="T16" s="55" t="n"/>
      <c r="U16" s="55" t="n"/>
      <c r="V16" s="55" t="n"/>
      <c r="W16" s="50" t="n"/>
      <c r="X16" s="50" t="n"/>
      <c r="Y16" s="50" t="n"/>
      <c r="Z16" s="50" t="n"/>
      <c r="AA16" s="50" t="n"/>
      <c r="AB16" s="50" t="n"/>
      <c r="AC16" s="50" t="n"/>
      <c r="AD16" s="50" t="n"/>
      <c r="AE16" s="50" t="n"/>
      <c r="AF16" s="50" t="n"/>
      <c r="AG16" s="50" t="n"/>
    </row>
    <row r="17" ht="27" customHeight="1">
      <c r="A17" s="50" t="n"/>
      <c r="B17" s="50" t="n"/>
      <c r="C17" s="50" t="n"/>
      <c r="D17" s="50" t="n"/>
      <c r="E17" s="50" t="n"/>
      <c r="F17" s="50" t="n"/>
      <c r="G17" s="50" t="n"/>
      <c r="H17" s="50" t="n"/>
      <c r="I17" s="55" t="n"/>
      <c r="J17" s="50" t="n"/>
      <c r="K17" s="50" t="n"/>
      <c r="L17" s="50" t="n"/>
      <c r="M17" s="50" t="n"/>
      <c r="N17" s="50" t="n"/>
      <c r="O17" s="50" t="n"/>
      <c r="P17" s="50" t="n"/>
      <c r="Q17" s="55" t="n"/>
      <c r="R17" s="56">
        <f>IF(OR(I17="",Q17=""),"",I17-Q17)</f>
        <v/>
      </c>
      <c r="S17" s="50" t="n"/>
      <c r="T17" s="55" t="n"/>
      <c r="U17" s="55" t="n"/>
      <c r="V17" s="55" t="n"/>
      <c r="W17" s="50" t="n"/>
      <c r="X17" s="50" t="n"/>
      <c r="Y17" s="50" t="n"/>
      <c r="Z17" s="50" t="n"/>
      <c r="AA17" s="50" t="n"/>
      <c r="AB17" s="50" t="n"/>
      <c r="AC17" s="50" t="n"/>
      <c r="AD17" s="50" t="n"/>
      <c r="AE17" s="50" t="n"/>
      <c r="AF17" s="50" t="n"/>
      <c r="AG17" s="50" t="n"/>
    </row>
    <row r="18" ht="27" customHeight="1">
      <c r="A18" s="50" t="n"/>
      <c r="B18" s="50" t="n"/>
      <c r="C18" s="50" t="n"/>
      <c r="D18" s="50" t="n"/>
      <c r="E18" s="50" t="n"/>
      <c r="F18" s="50" t="n"/>
      <c r="G18" s="50" t="n"/>
      <c r="H18" s="50" t="n"/>
      <c r="I18" s="55" t="n"/>
      <c r="J18" s="50" t="n"/>
      <c r="K18" s="50" t="n"/>
      <c r="L18" s="50" t="n"/>
      <c r="M18" s="50" t="n"/>
      <c r="N18" s="50" t="n"/>
      <c r="O18" s="50" t="n"/>
      <c r="P18" s="50" t="n"/>
      <c r="Q18" s="55" t="n"/>
      <c r="R18" s="56">
        <f>IF(OR(I18="",Q18=""),"",I18-Q18)</f>
        <v/>
      </c>
      <c r="S18" s="50" t="n"/>
      <c r="T18" s="55" t="n"/>
      <c r="U18" s="55" t="n"/>
      <c r="V18" s="55" t="n"/>
      <c r="W18" s="50" t="n"/>
      <c r="X18" s="50" t="n"/>
      <c r="Y18" s="50" t="n"/>
      <c r="Z18" s="50" t="n"/>
      <c r="AA18" s="50" t="n"/>
      <c r="AB18" s="50" t="n"/>
      <c r="AC18" s="50" t="n"/>
      <c r="AD18" s="50" t="n"/>
      <c r="AE18" s="50" t="n"/>
      <c r="AF18" s="50" t="n"/>
      <c r="AG18" s="50" t="n"/>
    </row>
    <row r="19" ht="27" customHeight="1">
      <c r="A19" s="50" t="n"/>
      <c r="B19" s="50" t="n"/>
      <c r="C19" s="50" t="n"/>
      <c r="D19" s="50" t="n"/>
      <c r="E19" s="50" t="n"/>
      <c r="F19" s="50" t="n"/>
      <c r="G19" s="50" t="n"/>
      <c r="H19" s="50" t="n"/>
      <c r="I19" s="55" t="n"/>
      <c r="J19" s="50" t="n"/>
      <c r="K19" s="50" t="n"/>
      <c r="L19" s="50" t="n"/>
      <c r="M19" s="50" t="n"/>
      <c r="N19" s="50" t="n"/>
      <c r="O19" s="50" t="n"/>
      <c r="P19" s="50" t="n"/>
      <c r="Q19" s="55" t="n"/>
      <c r="R19" s="56">
        <f>IF(OR(I19="",Q19=""),"",I19-Q19)</f>
        <v/>
      </c>
      <c r="S19" s="50" t="n"/>
      <c r="T19" s="55" t="n"/>
      <c r="U19" s="55" t="n"/>
      <c r="V19" s="55" t="n"/>
      <c r="W19" s="50" t="n"/>
      <c r="X19" s="50" t="n"/>
      <c r="Y19" s="50" t="n"/>
      <c r="Z19" s="50" t="n"/>
      <c r="AA19" s="50" t="n"/>
      <c r="AB19" s="50" t="n"/>
      <c r="AC19" s="50" t="n"/>
      <c r="AD19" s="50" t="n"/>
      <c r="AE19" s="50" t="n"/>
      <c r="AF19" s="50" t="n"/>
      <c r="AG19" s="50" t="n"/>
    </row>
    <row r="20" ht="27" customHeight="1">
      <c r="A20" s="50" t="n"/>
      <c r="B20" s="50" t="n"/>
      <c r="C20" s="50" t="n"/>
      <c r="D20" s="50" t="n"/>
      <c r="E20" s="50" t="n"/>
      <c r="F20" s="50" t="n"/>
      <c r="G20" s="50" t="n"/>
      <c r="H20" s="50" t="n"/>
      <c r="I20" s="55" t="n"/>
      <c r="J20" s="50" t="n"/>
      <c r="K20" s="50" t="n"/>
      <c r="L20" s="50" t="n"/>
      <c r="M20" s="50" t="n"/>
      <c r="N20" s="50" t="n"/>
      <c r="O20" s="50" t="n"/>
      <c r="P20" s="50" t="n"/>
      <c r="Q20" s="55" t="n"/>
      <c r="R20" s="56">
        <f>IF(OR(I20="",Q20=""),"",I20-Q20)</f>
        <v/>
      </c>
      <c r="S20" s="50" t="n"/>
      <c r="T20" s="55" t="n"/>
      <c r="U20" s="55" t="n"/>
      <c r="V20" s="55" t="n"/>
      <c r="W20" s="50" t="n"/>
      <c r="X20" s="50" t="n"/>
      <c r="Y20" s="50" t="n"/>
      <c r="Z20" s="50" t="n"/>
      <c r="AA20" s="50" t="n"/>
      <c r="AB20" s="50" t="n"/>
      <c r="AC20" s="50" t="n"/>
      <c r="AD20" s="50" t="n"/>
      <c r="AE20" s="50" t="n"/>
      <c r="AF20" s="50" t="n"/>
      <c r="AG20" s="50" t="n"/>
    </row>
    <row r="21" ht="27" customHeight="1">
      <c r="A21" s="50" t="n"/>
      <c r="B21" s="50" t="n"/>
      <c r="C21" s="50" t="n"/>
      <c r="D21" s="50" t="n"/>
      <c r="E21" s="50" t="n"/>
      <c r="F21" s="50" t="n"/>
      <c r="G21" s="50" t="n"/>
      <c r="H21" s="50" t="n"/>
      <c r="I21" s="55" t="n"/>
      <c r="J21" s="50" t="n"/>
      <c r="K21" s="50" t="n"/>
      <c r="L21" s="50" t="n"/>
      <c r="M21" s="50" t="n"/>
      <c r="N21" s="50" t="n"/>
      <c r="O21" s="50" t="n"/>
      <c r="P21" s="50" t="n"/>
      <c r="Q21" s="55" t="n"/>
      <c r="R21" s="56">
        <f>IF(OR(I21="",Q21=""),"",I21-Q21)</f>
        <v/>
      </c>
      <c r="S21" s="50" t="n"/>
      <c r="T21" s="55" t="n"/>
      <c r="U21" s="55" t="n"/>
      <c r="V21" s="55" t="n"/>
      <c r="W21" s="50" t="n"/>
      <c r="X21" s="50" t="n"/>
      <c r="Y21" s="50" t="n"/>
      <c r="Z21" s="50" t="n"/>
      <c r="AA21" s="50" t="n"/>
      <c r="AB21" s="50" t="n"/>
      <c r="AC21" s="50" t="n"/>
      <c r="AD21" s="50" t="n"/>
      <c r="AE21" s="50" t="n"/>
      <c r="AF21" s="50" t="n"/>
      <c r="AG21" s="50" t="n"/>
    </row>
    <row r="22" ht="27" customHeight="1">
      <c r="A22" s="50" t="n"/>
      <c r="B22" s="50" t="n"/>
      <c r="C22" s="50" t="n"/>
      <c r="D22" s="50" t="n"/>
      <c r="E22" s="50" t="n"/>
      <c r="F22" s="50" t="n"/>
      <c r="G22" s="50" t="n"/>
      <c r="H22" s="50" t="n"/>
      <c r="I22" s="55" t="n"/>
      <c r="J22" s="50" t="n"/>
      <c r="K22" s="50" t="n"/>
      <c r="L22" s="50" t="n"/>
      <c r="M22" s="50" t="n"/>
      <c r="N22" s="50" t="n"/>
      <c r="O22" s="50" t="n"/>
      <c r="P22" s="50" t="n"/>
      <c r="Q22" s="55" t="n"/>
      <c r="R22" s="56">
        <f>IF(OR(I22="",Q22=""),"",I22-Q22)</f>
        <v/>
      </c>
      <c r="S22" s="50" t="n"/>
      <c r="T22" s="55" t="n"/>
      <c r="U22" s="55" t="n"/>
      <c r="V22" s="55" t="n"/>
      <c r="W22" s="50" t="n"/>
      <c r="X22" s="50" t="n"/>
      <c r="Y22" s="50" t="n"/>
      <c r="Z22" s="50" t="n"/>
      <c r="AA22" s="50" t="n"/>
      <c r="AB22" s="50" t="n"/>
      <c r="AC22" s="50" t="n"/>
      <c r="AD22" s="50" t="n"/>
      <c r="AE22" s="50" t="n"/>
      <c r="AF22" s="50" t="n"/>
      <c r="AG22" s="50" t="n"/>
    </row>
    <row r="23" ht="27" customHeight="1">
      <c r="A23" s="50" t="n"/>
      <c r="B23" s="50" t="n"/>
      <c r="C23" s="50" t="n"/>
      <c r="D23" s="50" t="n"/>
      <c r="E23" s="50" t="n"/>
      <c r="F23" s="50" t="n"/>
      <c r="G23" s="50" t="n"/>
      <c r="H23" s="50" t="n"/>
      <c r="I23" s="55" t="n"/>
      <c r="J23" s="50" t="n"/>
      <c r="K23" s="50" t="n"/>
      <c r="L23" s="50" t="n"/>
      <c r="M23" s="50" t="n"/>
      <c r="N23" s="50" t="n"/>
      <c r="O23" s="50" t="n"/>
      <c r="P23" s="50" t="n"/>
      <c r="Q23" s="55" t="n"/>
      <c r="R23" s="56">
        <f>IF(OR(I23="",Q23=""),"",I23-Q23)</f>
        <v/>
      </c>
      <c r="S23" s="50" t="n"/>
      <c r="T23" s="55" t="n"/>
      <c r="U23" s="55" t="n"/>
      <c r="V23" s="55" t="n"/>
      <c r="W23" s="50" t="n"/>
      <c r="X23" s="50" t="n"/>
      <c r="Y23" s="50" t="n"/>
      <c r="Z23" s="50" t="n"/>
      <c r="AA23" s="50" t="n"/>
      <c r="AB23" s="50" t="n"/>
      <c r="AC23" s="50" t="n"/>
      <c r="AD23" s="50" t="n"/>
      <c r="AE23" s="50" t="n"/>
      <c r="AF23" s="50" t="n"/>
      <c r="AG23" s="50" t="n"/>
    </row>
    <row r="24">
      <c r="A24" s="58" t="inlineStr">
        <is>
          <t>Totals / response rate</t>
        </is>
      </c>
      <c r="B24" s="59" t="n"/>
      <c r="C24" s="59" t="n"/>
      <c r="D24" s="59" t="n"/>
      <c r="E24" s="59" t="n"/>
      <c r="F24" s="59" t="n"/>
      <c r="G24" s="59" t="n"/>
      <c r="H24" s="59" t="n"/>
      <c r="I24" s="60" t="n"/>
      <c r="J24" s="59" t="n"/>
      <c r="K24" s="59" t="n"/>
      <c r="L24" s="59" t="n"/>
      <c r="M24" s="59" t="n"/>
      <c r="N24" s="59" t="n"/>
      <c r="O24" s="59" t="n"/>
      <c r="P24" s="59" t="n"/>
      <c r="Q24" s="60" t="n"/>
      <c r="R24" s="59" t="n"/>
      <c r="S24" s="59" t="n"/>
      <c r="T24" s="59" t="n"/>
      <c r="U24" s="59" t="n"/>
      <c r="V24" s="59" t="n"/>
      <c r="W24" s="59" t="n"/>
      <c r="X24" s="59" t="n"/>
      <c r="Y24" s="59" t="n"/>
      <c r="Z24" s="59" t="n"/>
      <c r="AA24" s="59" t="n"/>
      <c r="AB24" s="59" t="n"/>
      <c r="AC24" s="59" t="n"/>
      <c r="AD24" s="59" t="n"/>
      <c r="AE24" s="59" t="n"/>
      <c r="AF24" s="59" t="n"/>
      <c r="AG24" s="59" t="n"/>
    </row>
    <row r="25">
      <c r="A25" s="31" t="n"/>
      <c r="B25" s="31" t="n"/>
      <c r="C25" s="31" t="n"/>
      <c r="D25" s="31" t="n"/>
      <c r="E25" s="31" t="n"/>
      <c r="F25" s="31" t="n"/>
      <c r="G25" s="31" t="n"/>
      <c r="H25" s="31" t="n"/>
      <c r="I25" s="31" t="n"/>
      <c r="J25" s="31" t="n"/>
      <c r="K25" s="31" t="n"/>
      <c r="L25" s="31" t="n"/>
      <c r="M25" s="31" t="n"/>
      <c r="N25" s="31" t="n"/>
      <c r="O25" s="31" t="n"/>
      <c r="P25" s="31" t="n"/>
      <c r="Q25" s="31" t="n"/>
      <c r="R25" s="31" t="n"/>
      <c r="S25" s="31" t="n"/>
      <c r="T25" s="31" t="n"/>
      <c r="U25" s="31" t="n"/>
      <c r="V25" s="31" t="n"/>
      <c r="W25" s="31" t="n"/>
      <c r="X25" s="31" t="n"/>
      <c r="Y25" s="31" t="n"/>
      <c r="Z25" s="31" t="n"/>
      <c r="AA25" s="31" t="n"/>
      <c r="AB25" s="31" t="n"/>
      <c r="AC25" s="31" t="n"/>
      <c r="AD25" s="31" t="n"/>
      <c r="AE25" s="31" t="n"/>
      <c r="AF25" s="31" t="n"/>
      <c r="AG25" s="31" t="n"/>
    </row>
    <row r="26" ht="25.5" customHeight="1">
      <c r="A26" s="33" t="inlineStr">
        <is>
          <t>Subsequent clearance tests the invoice, the cash cleared into the bank in the subsequent period (date of deposit + agreed-to-bank), the purchase order, and the bill of lading / sea waybill evidencing delivery. Reliability/authenticity testing and address validation apply to confirmation responses (esp. electronic).</t>
        </is>
      </c>
      <c r="B26" s="31" t="n"/>
      <c r="C26" s="31" t="n"/>
      <c r="D26" s="31" t="n"/>
      <c r="E26" s="31" t="n"/>
      <c r="F26" s="31" t="n"/>
      <c r="G26" s="31" t="n"/>
      <c r="H26" s="31" t="n"/>
      <c r="I26" s="31" t="n"/>
      <c r="J26" s="31" t="n"/>
      <c r="K26" s="31" t="n"/>
      <c r="L26" s="31" t="n"/>
      <c r="M26" s="31" t="n"/>
      <c r="N26" s="31" t="n"/>
      <c r="O26" s="31" t="n"/>
      <c r="P26" s="31" t="n"/>
      <c r="Q26" s="31" t="n"/>
      <c r="R26" s="31" t="n"/>
      <c r="S26" s="31" t="n"/>
      <c r="T26" s="31" t="n"/>
      <c r="U26" s="31" t="n"/>
      <c r="V26" s="31" t="n"/>
      <c r="W26" s="31" t="n"/>
      <c r="X26" s="31" t="n"/>
      <c r="Y26" s="31" t="n"/>
      <c r="Z26" s="31" t="n"/>
      <c r="AA26" s="31" t="n"/>
      <c r="AB26" s="31" t="n"/>
      <c r="AC26" s="31" t="n"/>
      <c r="AD26" s="31" t="n"/>
      <c r="AE26" s="31" t="n"/>
      <c r="AF26" s="31" t="n"/>
      <c r="AG26" s="31" t="n"/>
    </row>
    <row r="27">
      <c r="A27" s="31" t="n"/>
      <c r="B27" s="31" t="n"/>
      <c r="C27" s="31" t="n"/>
      <c r="D27" s="31" t="n"/>
      <c r="E27" s="31" t="n"/>
      <c r="F27" s="31" t="n"/>
      <c r="G27" s="31" t="n"/>
      <c r="H27" s="31" t="n"/>
      <c r="I27" s="31" t="n"/>
      <c r="J27" s="31" t="n"/>
      <c r="K27" s="31" t="n"/>
      <c r="L27" s="31" t="n"/>
      <c r="M27" s="31" t="n"/>
      <c r="N27" s="31" t="n"/>
      <c r="O27" s="31" t="n"/>
      <c r="P27" s="31" t="n"/>
      <c r="Q27" s="31" t="n"/>
      <c r="R27" s="31" t="n"/>
      <c r="S27" s="31" t="n"/>
      <c r="T27" s="31" t="n"/>
      <c r="U27" s="31" t="n"/>
      <c r="V27" s="31" t="n"/>
      <c r="W27" s="31" t="n"/>
      <c r="X27" s="31" t="n"/>
      <c r="Y27" s="31" t="n"/>
      <c r="Z27" s="31" t="n"/>
      <c r="AA27" s="31" t="n"/>
      <c r="AB27" s="31" t="n"/>
      <c r="AC27" s="31" t="n"/>
      <c r="AD27" s="31" t="n"/>
      <c r="AE27" s="31" t="n"/>
      <c r="AF27" s="31" t="n"/>
      <c r="AG27" s="31" t="n"/>
    </row>
    <row r="28">
      <c r="A28" s="47" t="inlineStr">
        <is>
          <t>TM Legends</t>
        </is>
      </c>
      <c r="B28" s="31" t="n"/>
      <c r="C28" s="31" t="n"/>
      <c r="D28" s="31" t="n"/>
      <c r="E28" s="31" t="n"/>
      <c r="F28" s="31" t="n"/>
      <c r="G28" s="31" t="n"/>
      <c r="H28" s="31" t="n"/>
      <c r="I28" s="31" t="n"/>
      <c r="J28" s="31" t="n"/>
      <c r="K28" s="31" t="n"/>
      <c r="L28" s="31" t="n"/>
      <c r="M28" s="31" t="n"/>
      <c r="N28" s="31" t="n"/>
      <c r="O28" s="31" t="n"/>
      <c r="P28" s="31" t="n"/>
      <c r="Q28" s="31" t="n"/>
      <c r="R28" s="31" t="n"/>
      <c r="S28" s="31" t="n"/>
      <c r="T28" s="31" t="n"/>
      <c r="U28" s="31" t="n"/>
      <c r="V28" s="31" t="n"/>
      <c r="W28" s="31" t="n"/>
      <c r="X28" s="31" t="n"/>
      <c r="Y28" s="31" t="n"/>
      <c r="Z28" s="31" t="n"/>
      <c r="AA28" s="31" t="n"/>
      <c r="AB28" s="31" t="n"/>
      <c r="AC28" s="31" t="n"/>
      <c r="AD28" s="31" t="n"/>
      <c r="AE28" s="31" t="n"/>
      <c r="AF28" s="31" t="n"/>
      <c r="AG28" s="31" t="n"/>
    </row>
    <row r="29">
      <c r="A29" s="51" t="inlineStr">
        <is>
          <t>TB</t>
        </is>
      </c>
      <c r="B29" s="37" t="inlineStr">
        <is>
          <t>Agreed to trial balance</t>
        </is>
      </c>
      <c r="C29" s="52" t="n"/>
      <c r="D29" s="53" t="n"/>
      <c r="E29" s="31" t="n"/>
      <c r="F29" s="31" t="n"/>
      <c r="G29" s="31" t="n"/>
      <c r="H29" s="31" t="n"/>
      <c r="I29" s="31" t="n"/>
      <c r="J29" s="31" t="n"/>
      <c r="K29" s="31" t="n"/>
      <c r="L29" s="31" t="n"/>
      <c r="M29" s="31" t="n"/>
      <c r="N29" s="31" t="n"/>
      <c r="O29" s="31" t="n"/>
      <c r="P29" s="31" t="n"/>
      <c r="Q29" s="31" t="n"/>
      <c r="R29" s="31" t="n"/>
      <c r="S29" s="31" t="n"/>
      <c r="T29" s="31" t="n"/>
      <c r="U29" s="31" t="n"/>
      <c r="V29" s="31" t="n"/>
      <c r="W29" s="31" t="n"/>
      <c r="X29" s="31" t="n"/>
      <c r="Y29" s="31" t="n"/>
      <c r="Z29" s="31" t="n"/>
      <c r="AA29" s="31" t="n"/>
      <c r="AB29" s="31" t="n"/>
      <c r="AC29" s="31" t="n"/>
      <c r="AD29" s="31" t="n"/>
      <c r="AE29" s="31" t="n"/>
      <c r="AF29" s="31" t="n"/>
      <c r="AG29" s="31" t="n"/>
    </row>
    <row r="30">
      <c r="A30" s="51" t="inlineStr">
        <is>
          <t>GL</t>
        </is>
      </c>
      <c r="B30" s="37" t="inlineStr">
        <is>
          <t>Agreed to general ledger</t>
        </is>
      </c>
      <c r="C30" s="52" t="n"/>
      <c r="D30" s="53" t="n"/>
      <c r="E30" s="31" t="n"/>
      <c r="F30" s="31" t="n"/>
      <c r="G30" s="31" t="n"/>
      <c r="H30" s="31" t="n"/>
      <c r="I30" s="31" t="n"/>
      <c r="J30" s="31" t="n"/>
      <c r="K30" s="31" t="n"/>
      <c r="L30" s="31" t="n"/>
      <c r="M30" s="31" t="n"/>
      <c r="N30" s="31" t="n"/>
      <c r="O30" s="31" t="n"/>
      <c r="P30" s="31" t="n"/>
      <c r="Q30" s="31" t="n"/>
      <c r="R30" s="31" t="n"/>
      <c r="S30" s="31" t="n"/>
      <c r="T30" s="31" t="n"/>
      <c r="U30" s="31" t="n"/>
      <c r="V30" s="31" t="n"/>
      <c r="W30" s="31" t="n"/>
      <c r="X30" s="31" t="n"/>
      <c r="Y30" s="31" t="n"/>
      <c r="Z30" s="31" t="n"/>
      <c r="AA30" s="31" t="n"/>
      <c r="AB30" s="31" t="n"/>
      <c r="AC30" s="31" t="n"/>
      <c r="AD30" s="31" t="n"/>
      <c r="AE30" s="31" t="n"/>
      <c r="AF30" s="31" t="n"/>
      <c r="AG30" s="31" t="n"/>
    </row>
    <row r="31">
      <c r="A31" s="51" t="inlineStr">
        <is>
          <t>CF</t>
        </is>
      </c>
      <c r="B31" s="37" t="inlineStr">
        <is>
          <t>Confirmed with third party</t>
        </is>
      </c>
      <c r="C31" s="52" t="n"/>
      <c r="D31" s="53" t="n"/>
      <c r="E31" s="31" t="n"/>
      <c r="F31" s="31" t="n"/>
      <c r="G31" s="31" t="n"/>
      <c r="H31" s="31" t="n"/>
      <c r="I31" s="31" t="n"/>
      <c r="J31" s="31" t="n"/>
      <c r="K31" s="31" t="n"/>
      <c r="L31" s="31" t="n"/>
      <c r="M31" s="31" t="n"/>
      <c r="N31" s="31" t="n"/>
      <c r="O31" s="31" t="n"/>
      <c r="P31" s="31" t="n"/>
      <c r="Q31" s="31" t="n"/>
      <c r="R31" s="31" t="n"/>
      <c r="S31" s="31" t="n"/>
      <c r="T31" s="31" t="n"/>
      <c r="U31" s="31" t="n"/>
      <c r="V31" s="31" t="n"/>
      <c r="W31" s="31" t="n"/>
      <c r="X31" s="31" t="n"/>
      <c r="Y31" s="31" t="n"/>
      <c r="Z31" s="31" t="n"/>
      <c r="AA31" s="31" t="n"/>
      <c r="AB31" s="31" t="n"/>
      <c r="AC31" s="31" t="n"/>
      <c r="AD31" s="31" t="n"/>
      <c r="AE31" s="31" t="n"/>
      <c r="AF31" s="31" t="n"/>
      <c r="AG31" s="31" t="n"/>
    </row>
    <row r="32">
      <c r="A32" s="51" t="inlineStr">
        <is>
          <t>V</t>
        </is>
      </c>
      <c r="B32" s="37" t="inlineStr">
        <is>
          <t>Vouched to source document</t>
        </is>
      </c>
      <c r="C32" s="52" t="n"/>
      <c r="D32" s="53" t="n"/>
      <c r="E32" s="31" t="n"/>
      <c r="F32" s="31" t="n"/>
      <c r="G32" s="31" t="n"/>
      <c r="H32" s="31" t="n"/>
      <c r="I32" s="31" t="n"/>
      <c r="J32" s="31" t="n"/>
      <c r="K32" s="31" t="n"/>
      <c r="L32" s="31" t="n"/>
      <c r="M32" s="31" t="n"/>
      <c r="N32" s="31" t="n"/>
      <c r="O32" s="31" t="n"/>
      <c r="P32" s="31" t="n"/>
      <c r="Q32" s="31" t="n"/>
      <c r="R32" s="31" t="n"/>
      <c r="S32" s="31" t="n"/>
      <c r="T32" s="31" t="n"/>
      <c r="U32" s="31" t="n"/>
      <c r="V32" s="31" t="n"/>
      <c r="W32" s="31" t="n"/>
      <c r="X32" s="31" t="n"/>
      <c r="Y32" s="31" t="n"/>
      <c r="Z32" s="31" t="n"/>
      <c r="AA32" s="31" t="n"/>
      <c r="AB32" s="31" t="n"/>
      <c r="AC32" s="31" t="n"/>
      <c r="AD32" s="31" t="n"/>
      <c r="AE32" s="31" t="n"/>
      <c r="AF32" s="31" t="n"/>
      <c r="AG32" s="31" t="n"/>
    </row>
    <row r="33">
      <c r="A33" s="51" t="inlineStr">
        <is>
          <t>SR</t>
        </is>
      </c>
      <c r="B33" s="37" t="inlineStr">
        <is>
          <t>Agreed to subsequent bank-cleared receipt</t>
        </is>
      </c>
      <c r="C33" s="52" t="n"/>
      <c r="D33" s="53" t="n"/>
      <c r="E33" s="31" t="n"/>
      <c r="F33" s="31" t="n"/>
      <c r="G33" s="31" t="n"/>
      <c r="H33" s="31" t="n"/>
      <c r="I33" s="31" t="n"/>
      <c r="J33" s="31" t="n"/>
      <c r="K33" s="31" t="n"/>
      <c r="L33" s="31" t="n"/>
      <c r="M33" s="31" t="n"/>
      <c r="N33" s="31" t="n"/>
      <c r="O33" s="31" t="n"/>
      <c r="P33" s="31" t="n"/>
      <c r="Q33" s="31" t="n"/>
      <c r="R33" s="31" t="n"/>
      <c r="S33" s="31" t="n"/>
      <c r="T33" s="31" t="n"/>
      <c r="U33" s="31" t="n"/>
      <c r="V33" s="31" t="n"/>
      <c r="W33" s="31" t="n"/>
      <c r="X33" s="31" t="n"/>
      <c r="Y33" s="31" t="n"/>
      <c r="Z33" s="31" t="n"/>
      <c r="AA33" s="31" t="n"/>
      <c r="AB33" s="31" t="n"/>
      <c r="AC33" s="31" t="n"/>
      <c r="AD33" s="31" t="n"/>
      <c r="AE33" s="31" t="n"/>
      <c r="AF33" s="31" t="n"/>
      <c r="AG33" s="31" t="n"/>
    </row>
    <row r="34">
      <c r="A34" s="51" t="inlineStr">
        <is>
          <t>R</t>
        </is>
      </c>
      <c r="B34" s="37" t="inlineStr">
        <is>
          <t>Recalculated independently</t>
        </is>
      </c>
      <c r="C34" s="52" t="n"/>
      <c r="D34" s="53" t="n"/>
      <c r="E34" s="31" t="n"/>
      <c r="F34" s="31" t="n"/>
      <c r="G34" s="31" t="n"/>
      <c r="H34" s="31" t="n"/>
      <c r="I34" s="31" t="n"/>
      <c r="J34" s="31" t="n"/>
      <c r="K34" s="31" t="n"/>
      <c r="L34" s="31" t="n"/>
      <c r="M34" s="31" t="n"/>
      <c r="N34" s="31" t="n"/>
      <c r="O34" s="31" t="n"/>
      <c r="P34" s="31" t="n"/>
      <c r="Q34" s="31" t="n"/>
      <c r="R34" s="31" t="n"/>
      <c r="S34" s="31" t="n"/>
      <c r="T34" s="31" t="n"/>
      <c r="U34" s="31" t="n"/>
      <c r="V34" s="31" t="n"/>
      <c r="W34" s="31" t="n"/>
      <c r="X34" s="31" t="n"/>
      <c r="Y34" s="31" t="n"/>
      <c r="Z34" s="31" t="n"/>
      <c r="AA34" s="31" t="n"/>
      <c r="AB34" s="31" t="n"/>
      <c r="AC34" s="31" t="n"/>
      <c r="AD34" s="31" t="n"/>
      <c r="AE34" s="31" t="n"/>
      <c r="AF34" s="31" t="n"/>
      <c r="AG34" s="31" t="n"/>
    </row>
    <row r="35">
      <c r="A35" s="51" t="inlineStr">
        <is>
          <t>F</t>
        </is>
      </c>
      <c r="B35" s="37" t="inlineStr">
        <is>
          <t>Footed / cross-cast</t>
        </is>
      </c>
      <c r="C35" s="52" t="n"/>
      <c r="D35" s="53" t="n"/>
      <c r="E35" s="31" t="n"/>
      <c r="F35" s="31" t="n"/>
      <c r="G35" s="31" t="n"/>
      <c r="H35" s="31" t="n"/>
      <c r="I35" s="31" t="n"/>
      <c r="J35" s="31" t="n"/>
      <c r="K35" s="31" t="n"/>
      <c r="L35" s="31" t="n"/>
      <c r="M35" s="31" t="n"/>
      <c r="N35" s="31" t="n"/>
      <c r="O35" s="31" t="n"/>
      <c r="P35" s="31" t="n"/>
      <c r="Q35" s="31" t="n"/>
      <c r="R35" s="31" t="n"/>
      <c r="S35" s="31" t="n"/>
      <c r="T35" s="31" t="n"/>
      <c r="U35" s="31" t="n"/>
      <c r="V35" s="31" t="n"/>
      <c r="W35" s="31" t="n"/>
      <c r="X35" s="31" t="n"/>
      <c r="Y35" s="31" t="n"/>
      <c r="Z35" s="31" t="n"/>
      <c r="AA35" s="31" t="n"/>
      <c r="AB35" s="31" t="n"/>
      <c r="AC35" s="31" t="n"/>
      <c r="AD35" s="31" t="n"/>
      <c r="AE35" s="31" t="n"/>
      <c r="AF35" s="31" t="n"/>
      <c r="AG35" s="31" t="n"/>
    </row>
    <row r="36">
      <c r="A36" s="51" t="inlineStr">
        <is>
          <t>T</t>
        </is>
      </c>
      <c r="B36" s="37" t="inlineStr">
        <is>
          <t>Traced to downstream record</t>
        </is>
      </c>
      <c r="C36" s="52" t="n"/>
      <c r="D36" s="53" t="n"/>
      <c r="E36" s="31" t="n"/>
      <c r="F36" s="31" t="n"/>
      <c r="G36" s="31" t="n"/>
      <c r="H36" s="31" t="n"/>
      <c r="I36" s="31" t="n"/>
      <c r="J36" s="31" t="n"/>
      <c r="K36" s="31" t="n"/>
      <c r="L36" s="31" t="n"/>
      <c r="M36" s="31" t="n"/>
      <c r="N36" s="31" t="n"/>
      <c r="O36" s="31" t="n"/>
      <c r="P36" s="31" t="n"/>
      <c r="Q36" s="31" t="n"/>
      <c r="R36" s="31" t="n"/>
      <c r="S36" s="31" t="n"/>
      <c r="T36" s="31" t="n"/>
      <c r="U36" s="31" t="n"/>
      <c r="V36" s="31" t="n"/>
      <c r="W36" s="31" t="n"/>
      <c r="X36" s="31" t="n"/>
      <c r="Y36" s="31" t="n"/>
      <c r="Z36" s="31" t="n"/>
      <c r="AA36" s="31" t="n"/>
      <c r="AB36" s="31" t="n"/>
      <c r="AC36" s="31" t="n"/>
      <c r="AD36" s="31" t="n"/>
      <c r="AE36" s="31" t="n"/>
      <c r="AF36" s="31" t="n"/>
      <c r="AG36" s="31" t="n"/>
    </row>
    <row r="37">
      <c r="A37" s="51" t="inlineStr">
        <is>
          <t>PBC</t>
        </is>
      </c>
      <c r="B37" s="37" t="inlineStr">
        <is>
          <t>Prepared by client</t>
        </is>
      </c>
      <c r="C37" s="52" t="n"/>
      <c r="D37" s="53" t="n"/>
      <c r="E37" s="31" t="n"/>
      <c r="F37" s="31" t="n"/>
      <c r="G37" s="31" t="n"/>
      <c r="H37" s="31" t="n"/>
      <c r="I37" s="31" t="n"/>
      <c r="J37" s="31" t="n"/>
      <c r="K37" s="31" t="n"/>
      <c r="L37" s="31" t="n"/>
      <c r="M37" s="31" t="n"/>
      <c r="N37" s="31" t="n"/>
      <c r="O37" s="31" t="n"/>
      <c r="P37" s="31" t="n"/>
      <c r="Q37" s="31" t="n"/>
      <c r="R37" s="31" t="n"/>
      <c r="S37" s="31" t="n"/>
      <c r="T37" s="31" t="n"/>
      <c r="U37" s="31" t="n"/>
      <c r="V37" s="31" t="n"/>
      <c r="W37" s="31" t="n"/>
      <c r="X37" s="31" t="n"/>
      <c r="Y37" s="31" t="n"/>
      <c r="Z37" s="31" t="n"/>
      <c r="AA37" s="31" t="n"/>
      <c r="AB37" s="31" t="n"/>
      <c r="AC37" s="31" t="n"/>
      <c r="AD37" s="31" t="n"/>
      <c r="AE37" s="31" t="n"/>
      <c r="AF37" s="31" t="n"/>
      <c r="AG37" s="31" t="n"/>
    </row>
    <row r="38">
      <c r="A38" s="31" t="n"/>
      <c r="B38" s="31" t="n"/>
      <c r="C38" s="31" t="n"/>
      <c r="D38" s="31" t="n"/>
      <c r="E38" s="31" t="n"/>
      <c r="F38" s="31" t="n"/>
      <c r="G38" s="31" t="n"/>
      <c r="H38" s="31" t="n"/>
      <c r="I38" s="31" t="n"/>
      <c r="J38" s="31" t="n"/>
      <c r="K38" s="31" t="n"/>
      <c r="L38" s="31" t="n"/>
      <c r="M38" s="31" t="n"/>
      <c r="N38" s="31" t="n"/>
      <c r="O38" s="31" t="n"/>
      <c r="P38" s="31" t="n"/>
      <c r="Q38" s="31" t="n"/>
      <c r="R38" s="31" t="n"/>
      <c r="S38" s="31" t="n"/>
      <c r="T38" s="31" t="n"/>
      <c r="U38" s="31" t="n"/>
      <c r="V38" s="31" t="n"/>
      <c r="W38" s="31" t="n"/>
      <c r="X38" s="31" t="n"/>
      <c r="Y38" s="31" t="n"/>
      <c r="Z38" s="31" t="n"/>
      <c r="AA38" s="31" t="n"/>
      <c r="AB38" s="31" t="n"/>
      <c r="AC38" s="31" t="n"/>
      <c r="AD38" s="31" t="n"/>
      <c r="AE38" s="31" t="n"/>
      <c r="AF38" s="31" t="n"/>
      <c r="AG38" s="31" t="n"/>
    </row>
    <row r="39" ht="25.5" customHeight="1">
      <c r="A39" s="33" t="inlineStr">
        <is>
          <t>Before sign-off complete Library Procedures 17-22 (confirmation control, reliability/AVT, exceptions, subsequent receipt to bank, invoice/PO/BOL support, statement reconciliation).</t>
        </is>
      </c>
      <c r="B39" s="31" t="n"/>
      <c r="C39" s="31" t="n"/>
      <c r="D39" s="31" t="n"/>
      <c r="E39" s="31" t="n"/>
      <c r="F39" s="31" t="n"/>
      <c r="G39" s="31" t="n"/>
      <c r="H39" s="31" t="n"/>
      <c r="I39" s="31" t="n"/>
      <c r="J39" s="31" t="n"/>
      <c r="K39" s="31" t="n"/>
      <c r="L39" s="31" t="n"/>
      <c r="M39" s="31" t="n"/>
      <c r="N39" s="31" t="n"/>
      <c r="O39" s="31" t="n"/>
      <c r="P39" s="31" t="n"/>
      <c r="Q39" s="31" t="n"/>
      <c r="R39" s="31" t="n"/>
      <c r="S39" s="31" t="n"/>
      <c r="T39" s="31" t="n"/>
      <c r="U39" s="31" t="n"/>
      <c r="V39" s="31" t="n"/>
      <c r="W39" s="31" t="n"/>
      <c r="X39" s="31" t="n"/>
      <c r="Y39" s="31" t="n"/>
      <c r="Z39" s="31" t="n"/>
      <c r="AA39" s="31" t="n"/>
      <c r="AB39" s="31" t="n"/>
      <c r="AC39" s="31" t="n"/>
      <c r="AD39" s="31" t="n"/>
      <c r="AE39" s="31" t="n"/>
      <c r="AF39" s="31" t="n"/>
      <c r="AG39" s="31" t="n"/>
    </row>
  </sheetData>
  <autoFilter ref="A8:AG23"/>
  <mergeCells count="18">
    <mergeCell ref="B33:D33"/>
    <mergeCell ref="B36:D36"/>
    <mergeCell ref="B37:D37"/>
    <mergeCell ref="B5:AG5"/>
    <mergeCell ref="B31:D31"/>
    <mergeCell ref="A39:AG39"/>
    <mergeCell ref="A7:K7"/>
    <mergeCell ref="B35:D35"/>
    <mergeCell ref="A26:AG26"/>
    <mergeCell ref="B32:D32"/>
    <mergeCell ref="B4:AG4"/>
    <mergeCell ref="Z7:AF7"/>
    <mergeCell ref="B30:D30"/>
    <mergeCell ref="L7:R7"/>
    <mergeCell ref="B29:D29"/>
    <mergeCell ref="S7:Y7"/>
    <mergeCell ref="B6:AG6"/>
    <mergeCell ref="B34:D34"/>
  </mergeCells>
  <printOptions horizontalCentered="0" verticalCentered="0"/>
  <pageMargins left="0.25" right="0.25" top="0.5" bottom="0.5" header="0.2" footer="0.2"/>
  <pageSetup orientation="landscape" paperSize="1" fitToHeight="0" fitToWidth="2" horizontalDpi="300" verticalDpi="300"/>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autoPageBreaks="0" fitToPage="1"/>
  </sheetPr>
  <dimension ref="A1:H46"/>
  <sheetViews>
    <sheetView showGridLines="0" zoomScale="90" zoomScaleNormal="100" workbookViewId="0">
      <pane ySplit="7" topLeftCell="A8" activePane="bottomLeft" state="frozen"/>
      <selection pane="bottomLeft" activeCell="A1" sqref="A1:A1048576"/>
    </sheetView>
  </sheetViews>
  <sheetFormatPr baseColWidth="8" defaultColWidth="8.6328125" defaultRowHeight="14.5"/>
  <cols>
    <col width="42" customWidth="1" min="1" max="1"/>
    <col width="29.2" customWidth="1" min="2" max="3"/>
    <col width="13.05" customWidth="1" min="3" max="3"/>
    <col width="37.7" customWidth="1" min="4" max="4"/>
    <col width="34" customWidth="1" min="5" max="5"/>
    <col width="13" customWidth="1" min="6" max="6"/>
    <col width="13" customWidth="1" min="7" max="7"/>
    <col width="13" customWidth="1" min="8" max="8"/>
  </cols>
  <sheetData>
    <row r="1" ht="17.5" customHeight="1">
      <c r="A1" s="30" t="inlineStr">
        <is>
          <t>Ratios &amp; Disclosures</t>
        </is>
      </c>
      <c r="B1" s="31" t="n"/>
      <c r="C1" s="31" t="n"/>
      <c r="D1" s="31" t="n"/>
      <c r="E1" s="31" t="n"/>
      <c r="F1" s="31" t="n"/>
      <c r="G1" s="31" t="n"/>
      <c r="H1" s="31" t="n"/>
    </row>
    <row r="2" ht="27" customHeight="1">
      <c r="A2" s="42" t="inlineStr">
        <is>
          <t>Client / Entity</t>
        </is>
      </c>
      <c r="B2" s="32" t="inlineStr">
        <is>
          <t>Quelvox Industrial Holdings, LLC</t>
        </is>
      </c>
      <c r="C2" s="31" t="n"/>
      <c r="D2" s="42" t="inlineStr">
        <is>
          <t>Year-End</t>
        </is>
      </c>
      <c r="E2" s="43" t="n">
        <v>46022</v>
      </c>
      <c r="F2" s="31" t="n"/>
      <c r="G2" s="42" t="inlineStr">
        <is>
          <t>Currency</t>
        </is>
      </c>
      <c r="H2" s="44" t="inlineStr">
        <is>
          <t>USD</t>
        </is>
      </c>
    </row>
    <row r="3" ht="27" customHeight="1">
      <c r="A3" s="45" t="inlineStr">
        <is>
          <t>Performance Materiality</t>
        </is>
      </c>
      <c r="B3" s="46" t="n">
        <v>32500</v>
      </c>
      <c r="C3" s="31" t="n"/>
      <c r="D3" s="45" t="inlineStr">
        <is>
          <t>Tolerable misstatement / testing threshold</t>
        </is>
      </c>
      <c r="E3" s="46" t="n">
        <v>29300</v>
      </c>
      <c r="F3" s="31" t="n"/>
      <c r="G3" s="31" t="n"/>
      <c r="H3" s="31" t="n"/>
    </row>
    <row r="4" ht="15" customHeight="1">
      <c r="A4" s="47" t="inlineStr">
        <is>
          <t>Purpose:</t>
        </is>
      </c>
      <c r="B4" s="48" t="inlineStr">
        <is>
          <t>Compute AR analytics and evaluate concentration and disclosure matters.</t>
        </is>
      </c>
      <c r="C4" s="31" t="n"/>
      <c r="D4" s="31" t="n"/>
      <c r="E4" s="31" t="n"/>
      <c r="F4" s="31" t="n"/>
      <c r="G4" s="31" t="n"/>
      <c r="H4" s="31" t="n"/>
    </row>
    <row r="5" ht="15" customHeight="1">
      <c r="A5" s="47" t="inlineStr">
        <is>
          <t>Scope:</t>
        </is>
      </c>
      <c r="B5" s="48" t="inlineStr">
        <is>
          <t>Lead-sheet, aging and allowance results; sales and prior-year data for ratios.</t>
        </is>
      </c>
      <c r="C5" s="31" t="n"/>
      <c r="D5" s="31" t="n"/>
      <c r="E5" s="31" t="n"/>
      <c r="F5" s="31" t="n"/>
      <c r="G5" s="31" t="n"/>
      <c r="H5" s="31" t="n"/>
    </row>
    <row r="6" ht="15" customHeight="1">
      <c r="A6" s="47" t="inlineStr">
        <is>
          <t>Assertions:</t>
        </is>
      </c>
      <c r="B6" s="48" t="inlineStr">
        <is>
          <t>Presentation &amp; Disclosure; Valuation; Classification</t>
        </is>
      </c>
      <c r="C6" s="31" t="n"/>
      <c r="D6" s="31" t="n"/>
      <c r="E6" s="31" t="n"/>
      <c r="F6" s="31" t="n"/>
      <c r="G6" s="31" t="n"/>
      <c r="H6" s="31" t="n"/>
    </row>
    <row r="7">
      <c r="A7" s="61" t="inlineStr">
        <is>
          <t>A. Analytics</t>
        </is>
      </c>
      <c r="B7" s="31" t="n"/>
      <c r="C7" s="31" t="n"/>
      <c r="D7" s="31" t="n"/>
      <c r="E7" s="31" t="n"/>
      <c r="F7" s="31" t="n"/>
      <c r="G7" s="31" t="n"/>
      <c r="H7" s="31" t="n"/>
    </row>
    <row r="8" ht="18" customHeight="1">
      <c r="A8" s="49" t="inlineStr">
        <is>
          <t>Metric</t>
        </is>
      </c>
      <c r="B8" s="49" t="inlineStr">
        <is>
          <t>CY</t>
        </is>
      </c>
      <c r="C8" s="49" t="inlineStr">
        <is>
          <t>PY</t>
        </is>
      </c>
      <c r="D8" s="49" t="inlineStr">
        <is>
          <t>Change</t>
        </is>
      </c>
      <c r="E8" s="49" t="inlineStr">
        <is>
          <t>Note</t>
        </is>
      </c>
      <c r="F8" s="31" t="n"/>
      <c r="G8" s="31" t="n"/>
      <c r="H8" s="31" t="n"/>
    </row>
    <row r="9">
      <c r="A9" s="37" t="inlineStr">
        <is>
          <t>Days sales outstanding (DSO)</t>
        </is>
      </c>
      <c r="B9" s="50" t="n"/>
      <c r="C9" s="50" t="n"/>
      <c r="D9" s="37">
        <f>IF(OR(B9="",C9=""),"",B9-C9)</f>
        <v/>
      </c>
      <c r="E9" s="50" t="n"/>
      <c r="F9" s="31" t="n"/>
      <c r="G9" s="31" t="n"/>
      <c r="H9" s="31" t="n"/>
    </row>
    <row r="10">
      <c r="A10" s="50" t="inlineStr">
        <is>
          <t>AR turnover</t>
        </is>
      </c>
      <c r="B10" s="50" t="n"/>
      <c r="C10" s="50" t="n"/>
      <c r="D10" s="37">
        <f>IF(OR(B10="",C10=""),"",B10-C10)</f>
        <v/>
      </c>
      <c r="E10" s="50" t="n"/>
      <c r="F10" s="31" t="n"/>
      <c r="G10" s="31" t="n"/>
      <c r="H10" s="31" t="n"/>
    </row>
    <row r="11">
      <c r="A11" s="37" t="inlineStr">
        <is>
          <t>Allowance as % of gross AR</t>
        </is>
      </c>
      <c r="B11" s="50" t="n"/>
      <c r="C11" s="50" t="n"/>
      <c r="D11" s="37">
        <f>IF(OR(B11="",C11=""),"",B11-C11)</f>
        <v/>
      </c>
      <c r="E11" s="50" t="n"/>
      <c r="F11" s="31" t="n"/>
      <c r="G11" s="31" t="n"/>
      <c r="H11" s="31" t="n"/>
    </row>
    <row r="12">
      <c r="A12" s="37" t="inlineStr">
        <is>
          <t>Bad-debt expense as % of sales</t>
        </is>
      </c>
      <c r="B12" s="50" t="n"/>
      <c r="C12" s="50" t="n"/>
      <c r="D12" s="37">
        <f>IF(OR(B12="",C12=""),"",B12-C12)</f>
        <v/>
      </c>
      <c r="E12" s="50" t="n"/>
      <c r="F12" s="31" t="n"/>
      <c r="G12" s="31" t="n"/>
      <c r="H12" s="31" t="n"/>
    </row>
    <row r="13">
      <c r="A13" s="50" t="inlineStr">
        <is>
          <t>Gross AR</t>
        </is>
      </c>
      <c r="B13" s="50" t="n"/>
      <c r="C13" s="50" t="n"/>
      <c r="D13" s="37">
        <f>IF(OR(B13="",C13=""),"",B13-C13)</f>
        <v/>
      </c>
      <c r="E13" s="50" t="n"/>
      <c r="F13" s="31" t="n"/>
      <c r="G13" s="31" t="n"/>
      <c r="H13" s="31" t="n"/>
    </row>
    <row r="14">
      <c r="A14" s="50" t="inlineStr">
        <is>
          <t>Net AR</t>
        </is>
      </c>
      <c r="B14" s="50" t="n"/>
      <c r="C14" s="50" t="n"/>
      <c r="D14" s="37">
        <f>IF(OR(B14="",C14=""),"",B14-C14)</f>
        <v/>
      </c>
      <c r="E14" s="50" t="n"/>
      <c r="F14" s="31" t="n"/>
      <c r="G14" s="31" t="n"/>
      <c r="H14" s="31" t="n"/>
    </row>
    <row r="15">
      <c r="A15" s="31" t="n"/>
      <c r="B15" s="31" t="n"/>
      <c r="C15" s="31" t="n"/>
      <c r="D15" s="31" t="n"/>
      <c r="E15" s="31" t="n"/>
      <c r="F15" s="31" t="n"/>
      <c r="G15" s="31" t="n"/>
      <c r="H15" s="31" t="n"/>
    </row>
    <row r="16">
      <c r="A16" s="63" t="inlineStr">
        <is>
          <t>B. Customer concentration</t>
        </is>
      </c>
      <c r="B16" s="31" t="n"/>
      <c r="C16" s="31" t="n"/>
      <c r="D16" s="31" t="n"/>
      <c r="E16" s="31" t="n"/>
      <c r="F16" s="31" t="n"/>
      <c r="G16" s="31" t="n"/>
      <c r="H16" s="31" t="n"/>
    </row>
    <row r="17" ht="18" customHeight="1">
      <c r="A17" s="49" t="inlineStr">
        <is>
          <t>Customer</t>
        </is>
      </c>
      <c r="B17" s="49" t="inlineStr">
        <is>
          <t>Balance</t>
        </is>
      </c>
      <c r="C17" s="49" t="inlineStr">
        <is>
          <t>% of total AR</t>
        </is>
      </c>
      <c r="D17" s="49" t="n"/>
      <c r="E17" s="49" t="inlineStr">
        <is>
          <t>Note</t>
        </is>
      </c>
      <c r="F17" s="31" t="n"/>
      <c r="G17" s="31" t="n"/>
      <c r="H17" s="31" t="n"/>
    </row>
    <row r="18">
      <c r="A18" s="50" t="n"/>
      <c r="B18" s="55" t="n"/>
      <c r="C18" s="66" t="n"/>
      <c r="D18" s="50" t="n"/>
      <c r="E18" s="50" t="n"/>
      <c r="F18" s="31" t="n"/>
      <c r="G18" s="31" t="n"/>
      <c r="H18" s="31" t="n"/>
    </row>
    <row r="19">
      <c r="A19" s="50" t="n"/>
      <c r="B19" s="55" t="n"/>
      <c r="C19" s="66" t="n"/>
      <c r="D19" s="50" t="n"/>
      <c r="E19" s="50" t="n"/>
      <c r="F19" s="31" t="n"/>
      <c r="G19" s="31" t="n"/>
      <c r="H19" s="31" t="n"/>
    </row>
    <row r="20">
      <c r="A20" s="50" t="n"/>
      <c r="B20" s="55" t="n"/>
      <c r="C20" s="66" t="n"/>
      <c r="D20" s="50" t="n"/>
      <c r="E20" s="50" t="n"/>
      <c r="F20" s="31" t="n"/>
      <c r="G20" s="31" t="n"/>
      <c r="H20" s="31" t="n"/>
    </row>
    <row r="21">
      <c r="A21" s="50" t="n"/>
      <c r="B21" s="55" t="n"/>
      <c r="C21" s="66" t="n"/>
      <c r="D21" s="50" t="n"/>
      <c r="E21" s="50" t="n"/>
      <c r="F21" s="31" t="n"/>
      <c r="G21" s="31" t="n"/>
      <c r="H21" s="31" t="n"/>
    </row>
    <row r="22">
      <c r="A22" s="50" t="n"/>
      <c r="B22" s="55" t="n"/>
      <c r="C22" s="66" t="n"/>
      <c r="D22" s="50" t="n"/>
      <c r="E22" s="50" t="n"/>
      <c r="F22" s="31" t="n"/>
      <c r="G22" s="31" t="n"/>
      <c r="H22" s="31" t="n"/>
    </row>
    <row r="23">
      <c r="A23" s="50" t="n"/>
      <c r="B23" s="55" t="n"/>
      <c r="C23" s="66" t="n"/>
      <c r="D23" s="50" t="n"/>
      <c r="E23" s="50" t="n"/>
      <c r="F23" s="31" t="n"/>
      <c r="G23" s="31" t="n"/>
      <c r="H23" s="31" t="n"/>
    </row>
    <row r="24">
      <c r="A24" s="50" t="n"/>
      <c r="B24" s="55" t="n"/>
      <c r="C24" s="66" t="n"/>
      <c r="D24" s="50" t="n"/>
      <c r="E24" s="50" t="n"/>
      <c r="F24" s="31" t="n"/>
      <c r="G24" s="31" t="n"/>
      <c r="H24" s="31" t="n"/>
    </row>
    <row r="25">
      <c r="A25" s="50" t="n"/>
      <c r="B25" s="55" t="n"/>
      <c r="C25" s="66" t="n"/>
      <c r="D25" s="50" t="n"/>
      <c r="E25" s="50" t="n"/>
      <c r="F25" s="31" t="n"/>
      <c r="G25" s="31" t="n"/>
      <c r="H25" s="31" t="n"/>
    </row>
    <row r="26">
      <c r="A26" s="31" t="n"/>
      <c r="B26" s="31" t="n"/>
      <c r="C26" s="31" t="n"/>
      <c r="D26" s="31" t="n"/>
      <c r="E26" s="31" t="n"/>
      <c r="F26" s="31" t="n"/>
      <c r="G26" s="31" t="n"/>
      <c r="H26" s="31" t="n"/>
    </row>
    <row r="27">
      <c r="A27" s="63" t="inlineStr">
        <is>
          <t>C. Disclosure matters</t>
        </is>
      </c>
      <c r="B27" s="31" t="n"/>
      <c r="C27" s="31" t="n"/>
      <c r="D27" s="31" t="n"/>
      <c r="E27" s="31" t="n"/>
      <c r="F27" s="31" t="n"/>
      <c r="G27" s="31" t="n"/>
      <c r="H27" s="31" t="n"/>
    </row>
    <row r="28" ht="18" customHeight="1">
      <c r="A28" s="49" t="inlineStr">
        <is>
          <t>Area</t>
        </is>
      </c>
      <c r="B28" s="49" t="inlineStr">
        <is>
          <t>Conclusion / status</t>
        </is>
      </c>
      <c r="C28" s="49" t="n"/>
      <c r="D28" s="49" t="n"/>
      <c r="E28" s="49" t="inlineStr">
        <is>
          <t>Source / comments</t>
        </is>
      </c>
      <c r="F28" s="31" t="n"/>
      <c r="G28" s="31" t="n"/>
      <c r="H28" s="31" t="n"/>
    </row>
    <row r="29" ht="27" customHeight="1">
      <c r="A29" s="37" t="inlineStr">
        <is>
          <t>Related-party / employee / officer receivables</t>
        </is>
      </c>
      <c r="B29" s="50" t="n"/>
      <c r="C29" s="50" t="n"/>
      <c r="D29" s="50" t="n"/>
      <c r="E29" s="50" t="n"/>
      <c r="F29" s="31" t="n"/>
      <c r="G29" s="31" t="n"/>
      <c r="H29" s="31" t="n"/>
    </row>
    <row r="30">
      <c r="A30" s="37" t="inlineStr">
        <is>
          <t>Pledged / factored / assigned AR</t>
        </is>
      </c>
      <c r="B30" s="50" t="n"/>
      <c r="C30" s="50" t="n"/>
      <c r="D30" s="50" t="n"/>
      <c r="E30" s="50" t="n"/>
      <c r="F30" s="31" t="n"/>
      <c r="G30" s="31" t="n"/>
      <c r="H30" s="31" t="n"/>
    </row>
    <row r="31" ht="27" customHeight="1">
      <c r="A31" s="37" t="inlineStr">
        <is>
          <t>Credit (negative) balances reclassified to liabilities</t>
        </is>
      </c>
      <c r="B31" s="50" t="n"/>
      <c r="C31" s="50" t="n"/>
      <c r="D31" s="50" t="n"/>
      <c r="E31" s="50" t="n"/>
      <c r="F31" s="31" t="n"/>
      <c r="G31" s="31" t="n"/>
      <c r="H31" s="31" t="n"/>
    </row>
    <row r="32" ht="27" customHeight="1">
      <c r="A32" s="37" t="inlineStr">
        <is>
          <t>Significant terms (consignment / bill-and-hold)</t>
        </is>
      </c>
      <c r="B32" s="50" t="n"/>
      <c r="C32" s="50" t="n"/>
      <c r="D32" s="50" t="n"/>
      <c r="E32" s="50" t="n"/>
      <c r="F32" s="31" t="n"/>
      <c r="G32" s="31" t="n"/>
      <c r="H32" s="31" t="n"/>
    </row>
    <row r="33">
      <c r="A33" s="37" t="inlineStr">
        <is>
          <t>Foreign-currency AR</t>
        </is>
      </c>
      <c r="B33" s="50" t="n"/>
      <c r="C33" s="50" t="n"/>
      <c r="D33" s="50" t="n"/>
      <c r="E33" s="50" t="n"/>
      <c r="F33" s="31" t="n"/>
      <c r="G33" s="31" t="n"/>
      <c r="H33" s="31" t="n"/>
    </row>
    <row r="34">
      <c r="A34" s="31" t="n"/>
      <c r="B34" s="31" t="n"/>
      <c r="C34" s="31" t="n"/>
      <c r="D34" s="31" t="n"/>
      <c r="E34" s="31" t="n"/>
      <c r="F34" s="31" t="n"/>
      <c r="G34" s="31" t="n"/>
      <c r="H34" s="31" t="n"/>
    </row>
    <row r="35">
      <c r="A35" s="47" t="inlineStr">
        <is>
          <t>TM Legends</t>
        </is>
      </c>
      <c r="B35" s="31" t="n"/>
      <c r="C35" s="31" t="n"/>
      <c r="D35" s="31" t="n"/>
      <c r="E35" s="31" t="n"/>
      <c r="F35" s="31" t="n"/>
      <c r="G35" s="31" t="n"/>
      <c r="H35" s="31" t="n"/>
    </row>
    <row r="36">
      <c r="A36" s="51" t="inlineStr">
        <is>
          <t>TB</t>
        </is>
      </c>
      <c r="B36" s="37" t="inlineStr">
        <is>
          <t>Agreed to trial balance</t>
        </is>
      </c>
      <c r="C36" s="52" t="n"/>
      <c r="D36" s="53" t="n"/>
      <c r="E36" s="31" t="n"/>
      <c r="F36" s="31" t="n"/>
      <c r="G36" s="31" t="n"/>
      <c r="H36" s="31" t="n"/>
    </row>
    <row r="37">
      <c r="A37" s="51" t="inlineStr">
        <is>
          <t>GL</t>
        </is>
      </c>
      <c r="B37" s="37" t="inlineStr">
        <is>
          <t>Agreed to general ledger</t>
        </is>
      </c>
      <c r="C37" s="52" t="n"/>
      <c r="D37" s="53" t="n"/>
      <c r="E37" s="31" t="n"/>
      <c r="F37" s="31" t="n"/>
      <c r="G37" s="31" t="n"/>
      <c r="H37" s="31" t="n"/>
    </row>
    <row r="38">
      <c r="A38" s="51" t="inlineStr">
        <is>
          <t>CF</t>
        </is>
      </c>
      <c r="B38" s="37" t="inlineStr">
        <is>
          <t>Confirmed with third party</t>
        </is>
      </c>
      <c r="C38" s="52" t="n"/>
      <c r="D38" s="53" t="n"/>
      <c r="E38" s="31" t="n"/>
      <c r="F38" s="31" t="n"/>
      <c r="G38" s="31" t="n"/>
      <c r="H38" s="31" t="n"/>
    </row>
    <row r="39">
      <c r="A39" s="51" t="inlineStr">
        <is>
          <t>V</t>
        </is>
      </c>
      <c r="B39" s="37" t="inlineStr">
        <is>
          <t>Vouched to source document</t>
        </is>
      </c>
      <c r="C39" s="52" t="n"/>
      <c r="D39" s="53" t="n"/>
      <c r="E39" s="31" t="n"/>
      <c r="F39" s="31" t="n"/>
      <c r="G39" s="31" t="n"/>
      <c r="H39" s="31" t="n"/>
    </row>
    <row r="40">
      <c r="A40" s="51" t="inlineStr">
        <is>
          <t>SR</t>
        </is>
      </c>
      <c r="B40" s="37" t="inlineStr">
        <is>
          <t>Agreed to subsequent bank-cleared receipt</t>
        </is>
      </c>
      <c r="C40" s="52" t="n"/>
      <c r="D40" s="53" t="n"/>
      <c r="E40" s="31" t="n"/>
      <c r="F40" s="31" t="n"/>
      <c r="G40" s="31" t="n"/>
      <c r="H40" s="31" t="n"/>
    </row>
    <row r="41">
      <c r="A41" s="51" t="inlineStr">
        <is>
          <t>R</t>
        </is>
      </c>
      <c r="B41" s="37" t="inlineStr">
        <is>
          <t>Recalculated independently</t>
        </is>
      </c>
      <c r="C41" s="52" t="n"/>
      <c r="D41" s="53" t="n"/>
      <c r="E41" s="31" t="n"/>
      <c r="F41" s="31" t="n"/>
      <c r="G41" s="31" t="n"/>
      <c r="H41" s="31" t="n"/>
    </row>
    <row r="42">
      <c r="A42" s="51" t="inlineStr">
        <is>
          <t>F</t>
        </is>
      </c>
      <c r="B42" s="37" t="inlineStr">
        <is>
          <t>Footed / cross-cast</t>
        </is>
      </c>
      <c r="C42" s="52" t="n"/>
      <c r="D42" s="53" t="n"/>
      <c r="E42" s="31" t="n"/>
      <c r="F42" s="31" t="n"/>
      <c r="G42" s="31" t="n"/>
      <c r="H42" s="31" t="n"/>
    </row>
    <row r="43">
      <c r="A43" s="51" t="inlineStr">
        <is>
          <t>T</t>
        </is>
      </c>
      <c r="B43" s="37" t="inlineStr">
        <is>
          <t>Traced to downstream record</t>
        </is>
      </c>
      <c r="C43" s="52" t="n"/>
      <c r="D43" s="53" t="n"/>
      <c r="E43" s="31" t="n"/>
      <c r="F43" s="31" t="n"/>
      <c r="G43" s="31" t="n"/>
      <c r="H43" s="31" t="n"/>
    </row>
    <row r="44">
      <c r="A44" s="51" t="inlineStr">
        <is>
          <t>PBC</t>
        </is>
      </c>
      <c r="B44" s="37" t="inlineStr">
        <is>
          <t>Prepared by client</t>
        </is>
      </c>
      <c r="C44" s="52" t="n"/>
      <c r="D44" s="53" t="n"/>
      <c r="E44" s="31" t="n"/>
      <c r="F44" s="31" t="n"/>
      <c r="G44" s="31" t="n"/>
      <c r="H44" s="31" t="n"/>
    </row>
    <row r="45">
      <c r="A45" s="31" t="n"/>
      <c r="B45" s="31" t="n"/>
      <c r="C45" s="31" t="n"/>
      <c r="D45" s="31" t="n"/>
      <c r="E45" s="31" t="n"/>
      <c r="F45" s="31" t="n"/>
      <c r="G45" s="31" t="n"/>
      <c r="H45" s="31" t="n"/>
    </row>
    <row r="46" ht="25.5" customHeight="1">
      <c r="A46" s="33" t="inlineStr">
        <is>
          <t>Before sign-off complete Library Procedures 23-26 (analytics, concentration, related-party, presentation &amp; disclosure).</t>
        </is>
      </c>
      <c r="B46" s="31" t="n"/>
      <c r="C46" s="31" t="n"/>
      <c r="D46" s="31" t="n"/>
      <c r="E46" s="31" t="n"/>
      <c r="F46" s="31" t="n"/>
      <c r="G46" s="31" t="n"/>
      <c r="H46" s="31" t="n"/>
    </row>
  </sheetData>
  <mergeCells count="13">
    <mergeCell ref="B42:D42"/>
    <mergeCell ref="B36:D36"/>
    <mergeCell ref="B37:D37"/>
    <mergeCell ref="B4:E4"/>
    <mergeCell ref="B41:D41"/>
    <mergeCell ref="B6:E6"/>
    <mergeCell ref="B40:D40"/>
    <mergeCell ref="A46:E46"/>
    <mergeCell ref="B44:D44"/>
    <mergeCell ref="B5:E5"/>
    <mergeCell ref="B43:D43"/>
    <mergeCell ref="B39:D39"/>
    <mergeCell ref="B38:D38"/>
  </mergeCells>
  <printOptions horizontalCentered="0" verticalCentered="0"/>
  <pageMargins left="0.25" right="0.25" top="0.5" bottom="0.5" header="0.2" footer="0.2"/>
  <pageSetup orientation="portrait" paperSize="1" fitToHeight="0" fitToWidth="1" horizontalDpi="300" verticalDpi="300"/>
</worksheet>
</file>

<file path=xl/worksheets/sheet10.xml><?xml version="1.0" encoding="utf-8"?>
<worksheet xmlns="http://schemas.openxmlformats.org/spreadsheetml/2006/main">
  <sheetPr>
    <outlinePr summaryBelow="1" summaryRight="1"/>
    <pageSetUpPr autoPageBreaks="0" fitToPage="1"/>
  </sheetPr>
  <dimension ref="A1:B21"/>
  <sheetViews>
    <sheetView showGridLines="0" zoomScale="90" zoomScaleNormal="100" workbookViewId="0">
      <pane ySplit="7" topLeftCell="A8" activePane="bottomLeft" state="frozen"/>
      <selection pane="bottomLeft" activeCell="A1" sqref="A1"/>
    </sheetView>
  </sheetViews>
  <sheetFormatPr baseColWidth="8" defaultRowHeight="15"/>
  <cols>
    <col width="36" customWidth="1" min="1" max="1"/>
    <col width="90" customWidth="1" min="2" max="2"/>
  </cols>
  <sheetData>
    <row r="1">
      <c r="A1" s="71" t="inlineStr">
        <is>
          <t>AUTHORITATIVE PLANNING CONTEXT</t>
        </is>
      </c>
      <c r="B1" s="31" t="n"/>
    </row>
    <row r="2">
      <c r="A2" s="31" t="inlineStr">
        <is>
          <t>Field</t>
        </is>
      </c>
      <c r="B2" s="31" t="inlineStr">
        <is>
          <t>Value</t>
        </is>
      </c>
    </row>
    <row r="3">
      <c r="A3" s="31" t="inlineStr">
        <is>
          <t>Entity Name</t>
        </is>
      </c>
      <c r="B3" s="71" t="inlineStr">
        <is>
          <t>Quelvox Industrial Holdings, LLC</t>
        </is>
      </c>
    </row>
    <row r="4">
      <c r="A4" s="71" t="inlineStr">
        <is>
          <t>Financial Statement Date</t>
        </is>
      </c>
      <c r="B4" s="72" t="n">
        <v>46022</v>
      </c>
    </row>
    <row r="5">
      <c r="A5" s="71" t="inlineStr">
        <is>
          <t>Reporting Currency</t>
        </is>
      </c>
      <c r="B5" s="31" t="inlineStr">
        <is>
          <t>USD</t>
        </is>
      </c>
    </row>
    <row r="6">
      <c r="A6" s="71" t="inlineStr">
        <is>
          <t>Overall Materiality</t>
        </is>
      </c>
      <c r="B6" s="73" t="n">
        <v>43300</v>
      </c>
    </row>
    <row r="7">
      <c r="A7" s="71" t="inlineStr">
        <is>
          <t>Performance Materiality</t>
        </is>
      </c>
      <c r="B7" s="73" t="n">
        <v>32500</v>
      </c>
    </row>
    <row r="8">
      <c r="A8" s="71" t="inlineStr">
        <is>
          <t>Tolerable Misstatement</t>
        </is>
      </c>
      <c r="B8" s="73" t="n">
        <v>29300</v>
      </c>
    </row>
    <row r="9">
      <c r="A9" s="71" t="inlineStr">
        <is>
          <t>Individually Significant Threshold</t>
        </is>
      </c>
      <c r="B9" s="73" t="n">
        <v>16300</v>
      </c>
    </row>
    <row r="10">
      <c r="A10" s="31" t="inlineStr">
        <is>
          <t>Posting Threshold</t>
        </is>
      </c>
      <c r="B10" s="73" t="n">
        <v>1300</v>
      </c>
    </row>
    <row r="11">
      <c r="A11" s="71" t="inlineStr">
        <is>
          <t>Clearly Trivial Threshold</t>
        </is>
      </c>
      <c r="B11" s="73" t="n">
        <v>1300</v>
      </c>
    </row>
    <row r="12">
      <c r="A12" s="71" t="inlineStr">
        <is>
          <t>Analytical Precision</t>
        </is>
      </c>
      <c r="B12" s="73" t="n">
        <v>29300</v>
      </c>
    </row>
    <row r="13">
      <c r="A13" s="31" t="n"/>
      <c r="B13" s="31" t="n"/>
    </row>
    <row r="14">
      <c r="A14" s="71" t="inlineStr">
        <is>
          <t>Bound planning records</t>
        </is>
      </c>
      <c r="B14" s="31" t="inlineStr">
        <is>
          <t>Canonical IDs</t>
        </is>
      </c>
    </row>
    <row r="15">
      <c r="A15" s="31" t="inlineStr">
        <is>
          <t>Sampling plan ID</t>
        </is>
      </c>
      <c r="B15" s="71" t="inlineStr">
        <is>
          <t>SAMPLE-ACCOUNTS-RECEIVABLE</t>
        </is>
      </c>
    </row>
    <row r="16" ht="40.5" customHeight="1">
      <c r="A16" s="31" t="inlineStr">
        <is>
          <t>Selection IDs</t>
        </is>
      </c>
      <c r="B16" s="71" t="inlineStr">
        <is>
          <t>PROC-Confirmation reference Confirm:INV-53304; PROC-Confirmation reference Confirm:INV-53323; PROC-Confirmation reference Confirm:INV-53299; PROC-Confirmation reference Confirm:INV-53221; PROC-Confirmation reference Confirm:INV-53186; PROC-Confirmation reference Confirm:INV-53291</t>
        </is>
      </c>
    </row>
    <row r="17">
      <c r="A17" s="71" t="inlineStr">
        <is>
          <t>Selection requirements</t>
        </is>
      </c>
      <c r="B17" s="71" t="inlineStr">
        <is>
          <t>qualitative mandatory items; individually significant items</t>
        </is>
      </c>
    </row>
    <row r="18">
      <c r="A18" s="31" t="inlineStr">
        <is>
          <t>Procedure IDs</t>
        </is>
      </c>
      <c r="B18" s="71" t="inlineStr">
        <is>
          <t>PROC-ACCOUNTS-RECEIVABLE</t>
        </is>
      </c>
    </row>
    <row r="19">
      <c r="A19" s="71" t="inlineStr">
        <is>
          <t>Procedure window IDs</t>
        </is>
      </c>
      <c r="B19" s="71" t="inlineStr">
        <is>
          <t>WIN-Confirmation reference Subsequent Receipts</t>
        </is>
      </c>
    </row>
    <row r="20">
      <c r="A20" s="71" t="inlineStr">
        <is>
          <t>Significant-risk response IDs</t>
        </is>
      </c>
      <c r="B20" s="31" t="inlineStr"/>
    </row>
    <row r="21">
      <c r="A21" s="71" t="inlineStr">
        <is>
          <t>Audit team assignments</t>
        </is>
      </c>
      <c r="B21" s="71" t="inlineStr">
        <is>
          <t>preparer: Audit Senior B377; reviewer: Audit Manager 4104</t>
        </is>
      </c>
    </row>
  </sheetData>
  <printOptions horizontalCentered="0" verticalCentered="0"/>
  <pageMargins left="0.25" right="0.25" top="0.5" bottom="0.5" header="0.2" footer="0.2"/>
  <pageSetup orientation="portrait" paperSize="1" fitToHeight="0" fitToWidth="1"/>
</worksheet>
</file>

<file path=xl/worksheets/sheet11.xml><?xml version="1.0" encoding="utf-8"?>
<worksheet xmlns="http://schemas.openxmlformats.org/spreadsheetml/2006/main">
  <sheetPr>
    <outlinePr summaryBelow="1" summaryRight="1"/>
    <pageSetUpPr autoPageBreaks="0" fitToPage="1"/>
  </sheetPr>
  <dimension ref="A1:F12"/>
  <sheetViews>
    <sheetView showGridLines="0" zoomScale="90" zoomScaleNormal="100" workbookViewId="0">
      <pane ySplit="2" topLeftCell="A3" activePane="bottomLeft" state="frozen"/>
      <selection pane="bottomLeft" activeCell="A1" sqref="A1"/>
    </sheetView>
  </sheetViews>
  <sheetFormatPr baseColWidth="8" defaultRowHeight="15"/>
  <cols>
    <col width="28" customWidth="1" min="1" max="1"/>
    <col width="42" customWidth="1" min="2" max="2"/>
    <col width="8.5" customWidth="1" min="3" max="3"/>
    <col width="25" customWidth="1" min="4" max="4"/>
    <col width="34" customWidth="1" min="5" max="5"/>
    <col width="8.5" customWidth="1" min="6" max="6"/>
  </cols>
  <sheetData>
    <row r="1" ht="24" customHeight="1">
      <c r="A1" s="74" t="inlineStr">
        <is>
          <t>WORKPAPER COMPLETION AND SIGN-OFF</t>
        </is>
      </c>
      <c r="B1" s="31" t="n"/>
      <c r="C1" s="31" t="n"/>
      <c r="D1" s="31" t="n"/>
      <c r="E1" s="31" t="n"/>
      <c r="F1" s="31" t="n"/>
    </row>
    <row r="2">
      <c r="A2" s="31" t="n"/>
      <c r="B2" s="31" t="n"/>
      <c r="C2" s="31" t="n"/>
      <c r="D2" s="31" t="n"/>
      <c r="E2" s="31" t="n"/>
      <c r="F2" s="31" t="n"/>
    </row>
    <row r="3" ht="27" customHeight="1">
      <c r="A3" s="31" t="inlineStr">
        <is>
          <t>Workpaper</t>
        </is>
      </c>
      <c r="B3" s="71" t="inlineStr">
        <is>
          <t>accounts_receivable/accounts_receivable_workpaper.xlsx</t>
        </is>
      </c>
      <c r="C3" s="31" t="n"/>
      <c r="D3" s="31" t="n"/>
      <c r="E3" s="31" t="n"/>
      <c r="F3" s="31" t="n"/>
    </row>
    <row r="4">
      <c r="A4" s="71" t="inlineStr">
        <is>
          <t>Required completion stage</t>
        </is>
      </c>
      <c r="B4" s="31" t="inlineStr">
        <is>
          <t>prepared</t>
        </is>
      </c>
      <c r="C4" s="31" t="n"/>
      <c r="D4" s="31" t="inlineStr">
        <is>
          <t>Contract version</t>
        </is>
      </c>
      <c r="E4" s="71" t="inlineStr">
        <is>
          <t>workpaper-signoff-v2.1.0</t>
        </is>
      </c>
      <c r="F4" s="31" t="n"/>
    </row>
    <row r="5">
      <c r="A5" s="31" t="n"/>
      <c r="B5" s="31" t="n"/>
      <c r="C5" s="31" t="n"/>
      <c r="D5" s="31" t="n"/>
      <c r="E5" s="31" t="n"/>
      <c r="F5" s="31" t="n"/>
    </row>
    <row r="6">
      <c r="A6" s="75" t="inlineStr">
        <is>
          <t>Assigned preparer</t>
        </is>
      </c>
      <c r="B6" s="76" t="inlineStr">
        <is>
          <t>Audit Senior B377</t>
        </is>
      </c>
      <c r="C6" s="31" t="n"/>
      <c r="D6" s="75" t="inlineStr">
        <is>
          <t>Assigned reviewer</t>
        </is>
      </c>
      <c r="E6" s="77" t="inlineStr">
        <is>
          <t>Audit Manager 4104</t>
        </is>
      </c>
      <c r="F6" s="31" t="n"/>
    </row>
    <row r="7">
      <c r="A7" s="75" t="inlineStr">
        <is>
          <t>Preparation state</t>
        </is>
      </c>
      <c r="B7" s="76" t="inlineStr">
        <is>
          <t>Unsigned</t>
        </is>
      </c>
      <c r="C7" s="31" t="n"/>
      <c r="D7" s="75" t="inlineStr">
        <is>
          <t>Review state</t>
        </is>
      </c>
      <c r="E7" s="76" t="inlineStr">
        <is>
          <t>Unsigned</t>
        </is>
      </c>
      <c r="F7" s="31" t="n"/>
    </row>
    <row r="8">
      <c r="A8" s="75" t="inlineStr">
        <is>
          <t>Prepared by</t>
        </is>
      </c>
      <c r="B8" s="76" t="n"/>
      <c r="C8" s="31" t="n"/>
      <c r="D8" s="75" t="inlineStr">
        <is>
          <t>Reviewed by</t>
        </is>
      </c>
      <c r="E8" s="76" t="n"/>
      <c r="F8" s="31" t="n"/>
    </row>
    <row r="9">
      <c r="A9" s="75" t="inlineStr">
        <is>
          <t>Preparation date</t>
        </is>
      </c>
      <c r="B9" s="78" t="n"/>
      <c r="C9" s="31" t="n"/>
      <c r="D9" s="75" t="inlineStr">
        <is>
          <t>Review date</t>
        </is>
      </c>
      <c r="E9" s="78" t="n"/>
      <c r="F9" s="31" t="n"/>
    </row>
    <row r="10">
      <c r="A10" s="31" t="n"/>
      <c r="B10" s="31" t="n"/>
      <c r="C10" s="31" t="n"/>
      <c r="D10" s="31" t="n"/>
      <c r="E10" s="31" t="n"/>
      <c r="F10" s="31" t="n"/>
    </row>
    <row r="11">
      <c r="A11" s="31" t="n"/>
      <c r="B11" s="31" t="n"/>
      <c r="C11" s="31" t="n"/>
      <c r="D11" s="31" t="n"/>
      <c r="E11" s="31" t="n"/>
      <c r="F11" s="31" t="n"/>
    </row>
    <row r="12" ht="50" customHeight="1">
      <c r="A12" s="79" t="inlineStr">
        <is>
          <t>Assignment identifies responsibility but is not sign-off. The assigned preparer records Prepared, their exact assigned identity, and the date only after all applicable procedures and exceptions are dispositioned. Leave review Unsigned unless the task expressly requires a separate review stage. Preparation and review bind to the external content/dependency digest; any substantive workbook or dependency change supersedes both records.</t>
        </is>
      </c>
      <c r="B12" s="31" t="n"/>
      <c r="C12" s="31" t="n"/>
      <c r="D12" s="31" t="n"/>
      <c r="E12" s="31" t="n"/>
      <c r="F12" s="31" t="n"/>
    </row>
  </sheetData>
  <mergeCells count="2">
    <mergeCell ref="A1:F1"/>
    <mergeCell ref="A12:F12"/>
  </mergeCells>
  <dataValidations count="2">
    <dataValidation sqref="B7" showDropDown="0" showInputMessage="0" showErrorMessage="0" allowBlank="0" type="list">
      <formula1>"Unsigned,Prepared,Superseded"</formula1>
    </dataValidation>
    <dataValidation sqref="E7" showDropDown="0" showInputMessage="0" showErrorMessage="0" allowBlank="0" type="list">
      <formula1>"Unsigned,Reviewed,Superseded"</formula1>
    </dataValidation>
  </dataValidations>
  <printOptions horizontalCentered="0" verticalCentered="0"/>
  <pageMargins left="0.25" right="0.25" top="0.5" bottom="0.5" header="0.2" footer="0.2"/>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2026-06-30T15:42:56Z</dcterms:created>
  <dcterms:modified xmlns:dcterms="http://purl.org/dc/terms/" xmlns:xsi="http://www.w3.org/2001/XMLSchema-instance" xsi:type="dcterms:W3CDTF">2026-06-30T15:48:16Z</dcterms:modified>
  <cp:lastModifiedBy>jerry.huang@modusaudit.com</cp:lastModifiedBy>
  <cp:revision>0</cp:revision>
</cp:coreProperties>
</file>