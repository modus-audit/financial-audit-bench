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Costing &amp; Test Period" sheetId="3" state="visible" r:id="rId3"/>
    <sheet xmlns:r="http://schemas.openxmlformats.org/officeDocument/2006/relationships" name="&lt;.2&gt; RM Cost - Standard" sheetId="4" state="visible" r:id="rId4"/>
    <sheet xmlns:r="http://schemas.openxmlformats.org/officeDocument/2006/relationships" name="&lt;.3&gt; RM Cost - Weighted Avg" sheetId="5" state="visible" r:id="rId5"/>
    <sheet xmlns:r="http://schemas.openxmlformats.org/officeDocument/2006/relationships" name="&lt;.4&gt; Capitalized Variance" sheetId="6" state="visible" r:id="rId6"/>
    <sheet xmlns:r="http://schemas.openxmlformats.org/officeDocument/2006/relationships" name="&lt;.5&gt; Labor &amp; OH Variance" sheetId="7" state="visible" r:id="rId7"/>
    <sheet xmlns:r="http://schemas.openxmlformats.org/officeDocument/2006/relationships" name="&lt;.6&gt; FG Cost Buildup &amp; BOM" sheetId="8" state="visible" r:id="rId8"/>
    <sheet xmlns:r="http://schemas.openxmlformats.org/officeDocument/2006/relationships" name="&lt;.7&gt; Obsolescence &amp; Reserve" sheetId="9" state="visible" r:id="rId9"/>
    <sheet xmlns:r="http://schemas.openxmlformats.org/officeDocument/2006/relationships" name="&lt;.8&gt; NRV Testing" sheetId="10" state="visible" r:id="rId10"/>
    <sheet xmlns:r="http://schemas.openxmlformats.org/officeDocument/2006/relationships" name="&lt;.9&gt; Analytics &amp; Disclosures" sheetId="11" state="visible" r:id="rId11"/>
    <sheet xmlns:r="http://schemas.openxmlformats.org/officeDocument/2006/relationships" name="Planning Context" sheetId="12" state="visible" r:id="rId12"/>
    <sheet xmlns:r="http://schemas.openxmlformats.org/officeDocument/2006/relationships" name="Workpaper Sign-off" sheetId="13" state="visible" r:id="rId13"/>
    <sheet xmlns:r="http://schemas.openxmlformats.org/officeDocument/2006/relationships" name="Labor &amp; OH Application" sheetId="14" state="visible" r:id="rId14"/>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COSTING_TEST_PERIOD_ENTITY_NAME">'&lt;.1&gt; Costing &amp; Test Period'!$B$2</definedName>
    <definedName name="WP_PLAN_S003_1_COSTING_TEST_PERIOD_FINANCIAL_STATEMENT_DATE">'&lt;.1&gt; Costing &amp; Test Period'!$E$2</definedName>
    <definedName name="WP_PLAN_S003_1_COSTING_TEST_PERIOD_REPORTING_CURRENCY">'&lt;.1&gt; Costing &amp; Test Period'!$H$2</definedName>
    <definedName name="WP_PLAN_S003_1_COSTING_TEST_PERIOD_PERFORMANCE_MATERIALITY">'&lt;.1&gt; Costing &amp; Test Period'!$B$3</definedName>
    <definedName name="WP_PLAN_S003_1_COSTING_TEST_PERIOD_TOLERABLE_MISSTATEMENT">'&lt;.1&gt; Costing &amp; Test Period'!$E$3</definedName>
    <definedName name="WP_PLAN_S004_2_RM_COST_STANDARD_ENTITY_NAME">'&lt;.2&gt; RM Cost - Standard'!$B$2</definedName>
    <definedName name="WP_PLAN_S004_2_RM_COST_STANDARD_FINANCIAL_STATEMENT_DATE">'&lt;.2&gt; RM Cost - Standard'!$E$2</definedName>
    <definedName name="WP_PLAN_S004_2_RM_COST_STANDARD_REPORTING_CURRENCY">'&lt;.2&gt; RM Cost - Standard'!$H$2</definedName>
    <definedName name="WP_PLAN_S004_2_RM_COST_STANDARD_PERFORMANCE_MATERIALITY">'&lt;.2&gt; RM Cost - Standard'!$B$3</definedName>
    <definedName name="WP_PLAN_S004_2_RM_COST_STANDARD_TOLERABLE_MISSTATEMENT">'&lt;.2&gt; RM Cost - Standard'!$E$3</definedName>
    <definedName name="WP_PLAN_S005_3_RM_COST_WEIGHTED_AVG_ENTITY_NAME">'&lt;.3&gt; RM Cost - Weighted Avg'!$B$2</definedName>
    <definedName name="WP_PLAN_S005_3_RM_COST_WEIGHTED_AVG_FINANCIAL_STATEMENT_DATE">'&lt;.3&gt; RM Cost - Weighted Avg'!$E$2</definedName>
    <definedName name="WP_PLAN_S005_3_RM_COST_WEIGHTED_AVG_REPORTING_CURRENCY">'&lt;.3&gt; RM Cost - Weighted Avg'!$H$2</definedName>
    <definedName name="WP_PLAN_S005_3_RM_COST_WEIGHTED_AVG_PERFORMANCE_MATERIALITY">'&lt;.3&gt; RM Cost - Weighted Avg'!$B$3</definedName>
    <definedName name="WP_PLAN_S005_3_RM_COST_WEIGHTED_AVG_TOLERABLE_MISSTATEMENT">'&lt;.3&gt; RM Cost - Weighted Avg'!$E$3</definedName>
    <definedName name="WP_PLAN_S006_4_CAPITALIZED_VARIANCE_ENTITY_NAME">'&lt;.4&gt; Capitalized Variance'!$B$2</definedName>
    <definedName name="WP_PLAN_S006_4_CAPITALIZED_VARIANCE_FINANCIAL_STATEMENT_DATE">'&lt;.4&gt; Capitalized Variance'!$E$2</definedName>
    <definedName name="WP_PLAN_S006_4_CAPITALIZED_VARIANCE_REPORTING_CURRENCY">'&lt;.4&gt; Capitalized Variance'!$H$2</definedName>
    <definedName name="WP_PLAN_S006_4_CAPITALIZED_VARIANCE_PERFORMANCE_MATERIALITY">'&lt;.4&gt; Capitalized Variance'!$B$3</definedName>
    <definedName name="WP_PLAN_S006_4_CAPITALIZED_VARIANCE_TOLERABLE_MISSTATEMENT">'&lt;.4&gt; Capitalized Variance'!$E$3</definedName>
    <definedName name="WP_PLAN_S007_5_LABOR_OH_VARIANCE_ENTITY_NAME">'&lt;.5&gt; Labor &amp; OH Variance'!$B$2</definedName>
    <definedName name="WP_PLAN_S007_5_LABOR_OH_VARIANCE_FINANCIAL_STATEMENT_DATE">'&lt;.5&gt; Labor &amp; OH Variance'!$E$2</definedName>
    <definedName name="WP_PLAN_S007_5_LABOR_OH_VARIANCE_REPORTING_CURRENCY">'&lt;.5&gt; Labor &amp; OH Variance'!$H$2</definedName>
    <definedName name="WP_PLAN_S007_5_LABOR_OH_VARIANCE_PERFORMANCE_MATERIALITY">'&lt;.5&gt; Labor &amp; OH Variance'!$B$3</definedName>
    <definedName name="WP_PLAN_S007_5_LABOR_OH_VARIANCE_TOLERABLE_MISSTATEMENT">'&lt;.5&gt; Labor &amp; OH Variance'!$E$3</definedName>
    <definedName name="WP_PLAN_S008_6_FG_COST_BUILDUP_BOM_ENTITY_NAME">'&lt;.6&gt; FG Cost Buildup &amp; BOM'!$B$2</definedName>
    <definedName name="WP_PLAN_S008_6_FG_COST_BUILDUP_BOM_FINANCIAL_STATEMENT_DATE">'&lt;.6&gt; FG Cost Buildup &amp; BOM'!$E$2</definedName>
    <definedName name="WP_PLAN_S008_6_FG_COST_BUILDUP_BOM_REPORTING_CURRENCY">'&lt;.6&gt; FG Cost Buildup &amp; BOM'!$H$2</definedName>
    <definedName name="WP_PLAN_S008_6_FG_COST_BUILDUP_BOM_PERFORMANCE_MATERIALITY">'&lt;.6&gt; FG Cost Buildup &amp; BOM'!$B$3</definedName>
    <definedName name="WP_PLAN_S008_6_FG_COST_BUILDUP_BOM_TOLERABLE_MISSTATEMENT">'&lt;.6&gt; FG Cost Buildup &amp; BOM'!$E$3</definedName>
    <definedName name="WP_PLAN_S009_7_OBSOLESCENCE_RESERVE_ENTITY_NAME">'&lt;.7&gt; Obsolescence &amp; Reserve'!$B$2</definedName>
    <definedName name="WP_PLAN_S009_7_OBSOLESCENCE_RESERVE_FINANCIAL_STATEMENT_DATE">'&lt;.7&gt; Obsolescence &amp; Reserve'!$E$2</definedName>
    <definedName name="WP_PLAN_S009_7_OBSOLESCENCE_RESERVE_REPORTING_CURRENCY">'&lt;.7&gt; Obsolescence &amp; Reserve'!$H$2</definedName>
    <definedName name="WP_PLAN_S009_7_OBSOLESCENCE_RESERVE_PERFORMANCE_MATERIALITY">'&lt;.7&gt; Obsolescence &amp; Reserve'!$B$3</definedName>
    <definedName name="WP_PLAN_S009_7_OBSOLESCENCE_RESERVE_TOLERABLE_MISSTATEMENT">'&lt;.7&gt; Obsolescence &amp; Reserve'!$E$3</definedName>
    <definedName name="WP_PLAN_S010_8_NRV_TESTING_ENTITY_NAME">'&lt;.8&gt; NRV Testing'!$B$2</definedName>
    <definedName name="WP_PLAN_S010_8_NRV_TESTING_FINANCIAL_STATEMENT_DATE">'&lt;.8&gt; NRV Testing'!$E$2</definedName>
    <definedName name="WP_PLAN_S010_8_NRV_TESTING_REPORTING_CURRENCY">'&lt;.8&gt; NRV Testing'!$H$2</definedName>
    <definedName name="WP_PLAN_S010_8_NRV_TESTING_PERFORMANCE_MATERIALITY">'&lt;.8&gt; NRV Testing'!$B$3</definedName>
    <definedName name="WP_PLAN_S010_8_NRV_TESTING_TOLERABLE_MISSTATEMENT">'&lt;.8&gt; NRV Testing'!$E$3</definedName>
    <definedName name="WP_PLAN_S011_9_ANALYTICS_DISCLOSURES_ENTITY_NAME">'&lt;.9&gt; Analytics &amp; Disclosures'!$B$2</definedName>
    <definedName name="WP_PLAN_S011_9_ANALYTICS_DISCLOSURES_FINANCIAL_STATEMENT_DATE">'&lt;.9&gt; Analytics &amp; Disclosures'!$E$2</definedName>
    <definedName name="WP_PLAN_S011_9_ANALYTICS_DISCLOSURES_REPORTING_CURRENCY">'&lt;.9&gt; Analytics &amp; Disclosures'!$H$2</definedName>
    <definedName name="WP_PLAN_S011_9_ANALYTICS_DISCLOSURES_PERFORMANCE_MATERIALITY">'&lt;.9&gt; Analytics &amp; Disclosures'!$B$3</definedName>
    <definedName name="WP_PLAN_S011_9_ANALYTICS_DISCLOSURES_TOLERABLE_MISSTATEMENT">'&lt;.9&gt; Analytics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Procedures'!$A$13</definedName>
    <definedName name="WP_PROC_004_REQUIREMENT">'Library Procedures'!$B$13</definedName>
    <definedName name="WP_PROC_004_EXECUTION_STATE">'Library Procedures'!$C$13</definedName>
    <definedName name="WP_PROC_004_EVIDENCE_STATE">'Library Procedures'!$D$13</definedName>
    <definedName name="WP_PROC_004_RESULT_STATE">'Library Procedures'!$E$13</definedName>
    <definedName name="WP_PROC_004_ISSUE_STATE">'Library Procedures'!$F$13</definedName>
    <definedName name="WP_PROC_004_SIGNOFF_STATE">'Library Procedures'!$G$13</definedName>
    <definedName name="WP_PROC_004_DERIVED_OUTCOME">'Library Procedures'!$H$13</definedName>
    <definedName name="WP_PROC_004_PROCEDURE">'Library Procedures'!$I$13</definedName>
    <definedName name="WP_PROC_004_ASSERTION_S">'Library Procedures'!$J$13</definedName>
    <definedName name="WP_PROC_004_W_P_REF">'Library Procedures'!$K$13</definedName>
    <definedName name="WP_PROC_004_PERFORMED_BY">'Library Procedures'!$L$13</definedName>
    <definedName name="WP_PROC_004_DATE">'Library Procedures'!$M$13</definedName>
    <definedName name="WP_PROC_004_REASON_CODE">'Library Procedures'!$N$13</definedName>
    <definedName name="WP_PROC_004_SOURCE_FACT_EVIDENCE">'Library Procedures'!$O$13</definedName>
    <definedName name="WP_PROC_004_ISSUE_DEPENDENCY_IDS">'Library Procedures'!$P$13</definedName>
    <definedName name="WP_PROC_004_COMMENT_WORK_PERFORMED">'Library Procedures'!$Q$13</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Procedures'!$A$19</definedName>
    <definedName name="WP_PROC_009_REQUIREMENT">'Library Procedures'!$B$19</definedName>
    <definedName name="WP_PROC_009_EXECUTION_STATE">'Library Procedures'!$C$19</definedName>
    <definedName name="WP_PROC_009_EVIDENCE_STATE">'Library Procedures'!$D$19</definedName>
    <definedName name="WP_PROC_009_RESULT_STATE">'Library Procedures'!$E$19</definedName>
    <definedName name="WP_PROC_009_ISSUE_STATE">'Library Procedures'!$F$19</definedName>
    <definedName name="WP_PROC_009_SIGNOFF_STATE">'Library Procedures'!$G$19</definedName>
    <definedName name="WP_PROC_009_DERIVED_OUTCOME">'Library Procedures'!$H$19</definedName>
    <definedName name="WP_PROC_009_PROCEDURE">'Library Procedures'!$I$19</definedName>
    <definedName name="WP_PROC_009_ASSERTION_S">'Library Procedures'!$J$19</definedName>
    <definedName name="WP_PROC_009_W_P_REF">'Library Procedures'!$K$19</definedName>
    <definedName name="WP_PROC_009_PERFORMED_BY">'Library Procedures'!$L$19</definedName>
    <definedName name="WP_PROC_009_DATE">'Library Procedures'!$M$19</definedName>
    <definedName name="WP_PROC_009_REASON_CODE">'Library Procedures'!$N$19</definedName>
    <definedName name="WP_PROC_009_SOURCE_FACT_EVIDENCE">'Library Procedures'!$O$19</definedName>
    <definedName name="WP_PROC_009_ISSUE_DEPENDENCY_IDS">'Library Procedures'!$P$19</definedName>
    <definedName name="WP_PROC_009_COMMENT_WORK_PERFORMED">'Library Procedures'!$Q$19</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Procedures'!$A$29</definedName>
    <definedName name="WP_PROC_016_REQUIREMENT">'Library Procedures'!$B$29</definedName>
    <definedName name="WP_PROC_016_EXECUTION_STATE">'Library Procedures'!$C$29</definedName>
    <definedName name="WP_PROC_016_EVIDENCE_STATE">'Library Procedures'!$D$29</definedName>
    <definedName name="WP_PROC_016_RESULT_STATE">'Library Procedures'!$E$29</definedName>
    <definedName name="WP_PROC_016_ISSUE_STATE">'Library Procedures'!$F$29</definedName>
    <definedName name="WP_PROC_016_SIGNOFF_STATE">'Library Procedures'!$G$29</definedName>
    <definedName name="WP_PROC_016_DERIVED_OUTCOME">'Library Procedures'!$H$29</definedName>
    <definedName name="WP_PROC_016_PROCEDURE">'Library Procedures'!$I$29</definedName>
    <definedName name="WP_PROC_016_ASSERTION_S">'Library Procedures'!$J$29</definedName>
    <definedName name="WP_PROC_016_W_P_REF">'Library Procedures'!$K$29</definedName>
    <definedName name="WP_PROC_016_PERFORMED_BY">'Library Procedures'!$L$29</definedName>
    <definedName name="WP_PROC_016_DATE">'Library Procedures'!$M$29</definedName>
    <definedName name="WP_PROC_016_REASON_CODE">'Library Procedures'!$N$29</definedName>
    <definedName name="WP_PROC_016_SOURCE_FACT_EVIDENCE">'Library Procedures'!$O$29</definedName>
    <definedName name="WP_PROC_016_ISSUE_DEPENDENCY_IDS">'Library Procedures'!$P$29</definedName>
    <definedName name="WP_PROC_016_COMMENT_WORK_PERFORMED">'Library Procedures'!$Q$29</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Procedures'!$A$32</definedName>
    <definedName name="WP_PROC_018_REQUIREMENT">'Library Procedures'!$B$32</definedName>
    <definedName name="WP_PROC_018_EXECUTION_STATE">'Library Procedures'!$C$32</definedName>
    <definedName name="WP_PROC_018_EVIDENCE_STATE">'Library Procedures'!$D$32</definedName>
    <definedName name="WP_PROC_018_RESULT_STATE">'Library Procedures'!$E$32</definedName>
    <definedName name="WP_PROC_018_ISSUE_STATE">'Library Procedures'!$F$32</definedName>
    <definedName name="WP_PROC_018_SIGNOFF_STATE">'Library Procedures'!$G$32</definedName>
    <definedName name="WP_PROC_018_DERIVED_OUTCOME">'Library Procedures'!$H$32</definedName>
    <definedName name="WP_PROC_018_PROCEDURE">'Library Procedures'!$I$32</definedName>
    <definedName name="WP_PROC_018_ASSERTION_S">'Library Procedures'!$J$32</definedName>
    <definedName name="WP_PROC_018_W_P_REF">'Library Procedures'!$K$32</definedName>
    <definedName name="WP_PROC_018_PERFORMED_BY">'Library Procedures'!$L$32</definedName>
    <definedName name="WP_PROC_018_DATE">'Library Procedures'!$M$32</definedName>
    <definedName name="WP_PROC_018_REASON_CODE">'Library Procedures'!$N$32</definedName>
    <definedName name="WP_PROC_018_SOURCE_FACT_EVIDENCE">'Library Procedures'!$O$32</definedName>
    <definedName name="WP_PROC_018_ISSUE_DEPENDENCY_IDS">'Library Procedures'!$P$32</definedName>
    <definedName name="WP_PROC_018_COMMENT_WORK_PERFORMED">'Library Procedures'!$Q$32</definedName>
    <definedName name="WP_PROC_019_APPLICABILITY">'Library Procedures'!$A$33</definedName>
    <definedName name="WP_PROC_019_REQUIREMENT">'Library Procedures'!$B$33</definedName>
    <definedName name="WP_PROC_019_EXECUTION_STATE">'Library Procedures'!$C$33</definedName>
    <definedName name="WP_PROC_019_EVIDENCE_STATE">'Library Procedures'!$D$33</definedName>
    <definedName name="WP_PROC_019_RESULT_STATE">'Library Procedures'!$E$33</definedName>
    <definedName name="WP_PROC_019_ISSUE_STATE">'Library Procedures'!$F$33</definedName>
    <definedName name="WP_PROC_019_SIGNOFF_STATE">'Library Procedures'!$G$33</definedName>
    <definedName name="WP_PROC_019_DERIVED_OUTCOME">'Library Procedures'!$H$33</definedName>
    <definedName name="WP_PROC_019_PROCEDURE">'Library Procedures'!$I$33</definedName>
    <definedName name="WP_PROC_019_ASSERTION_S">'Library Procedures'!$J$33</definedName>
    <definedName name="WP_PROC_019_W_P_REF">'Library Procedures'!$K$33</definedName>
    <definedName name="WP_PROC_019_PERFORMED_BY">'Library Procedures'!$L$33</definedName>
    <definedName name="WP_PROC_019_DATE">'Library Procedures'!$M$33</definedName>
    <definedName name="WP_PROC_019_REASON_CODE">'Library Procedures'!$N$33</definedName>
    <definedName name="WP_PROC_019_SOURCE_FACT_EVIDENCE">'Library Procedures'!$O$33</definedName>
    <definedName name="WP_PROC_019_ISSUE_DEPENDENCY_IDS">'Library Procedures'!$P$33</definedName>
    <definedName name="WP_PROC_019_COMMENT_WORK_PERFORMED">'Library Procedures'!$Q$33</definedName>
    <definedName name="WP_PROC_020_APPLICABILITY">'Library Procedures'!$A$35</definedName>
    <definedName name="WP_PROC_020_REQUIREMENT">'Library Procedures'!$B$35</definedName>
    <definedName name="WP_PROC_020_EXECUTION_STATE">'Library Procedures'!$C$35</definedName>
    <definedName name="WP_PROC_020_EVIDENCE_STATE">'Library Procedures'!$D$35</definedName>
    <definedName name="WP_PROC_020_RESULT_STATE">'Library Procedures'!$E$35</definedName>
    <definedName name="WP_PROC_020_ISSUE_STATE">'Library Procedures'!$F$35</definedName>
    <definedName name="WP_PROC_020_SIGNOFF_STATE">'Library Procedures'!$G$35</definedName>
    <definedName name="WP_PROC_020_DERIVED_OUTCOME">'Library Procedures'!$H$35</definedName>
    <definedName name="WP_PROC_020_PROCEDURE">'Library Procedures'!$I$35</definedName>
    <definedName name="WP_PROC_020_ASSERTION_S">'Library Procedures'!$J$35</definedName>
    <definedName name="WP_PROC_020_W_P_REF">'Library Procedures'!$K$35</definedName>
    <definedName name="WP_PROC_020_PERFORMED_BY">'Library Procedures'!$L$35</definedName>
    <definedName name="WP_PROC_020_DATE">'Library Procedures'!$M$35</definedName>
    <definedName name="WP_PROC_020_REASON_CODE">'Library Procedures'!$N$35</definedName>
    <definedName name="WP_PROC_020_SOURCE_FACT_EVIDENCE">'Library Procedures'!$O$35</definedName>
    <definedName name="WP_PROC_020_ISSUE_DEPENDENCY_IDS">'Library Procedures'!$P$35</definedName>
    <definedName name="WP_PROC_020_COMMENT_WORK_PERFORMED">'Library Procedures'!$Q$35</definedName>
    <definedName name="WP_PROC_021_APPLICABILITY">'Library Procedures'!$A$36</definedName>
    <definedName name="WP_PROC_021_REQUIREMENT">'Library Procedures'!$B$36</definedName>
    <definedName name="WP_PROC_021_EXECUTION_STATE">'Library Procedures'!$C$36</definedName>
    <definedName name="WP_PROC_021_EVIDENCE_STATE">'Library Procedures'!$D$36</definedName>
    <definedName name="WP_PROC_021_RESULT_STATE">'Library Procedures'!$E$36</definedName>
    <definedName name="WP_PROC_021_ISSUE_STATE">'Library Procedures'!$F$36</definedName>
    <definedName name="WP_PROC_021_SIGNOFF_STATE">'Library Procedures'!$G$36</definedName>
    <definedName name="WP_PROC_021_DERIVED_OUTCOME">'Library Procedures'!$H$36</definedName>
    <definedName name="WP_PROC_021_PROCEDURE">'Library Procedures'!$I$36</definedName>
    <definedName name="WP_PROC_021_ASSERTION_S">'Library Procedures'!$J$36</definedName>
    <definedName name="WP_PROC_021_W_P_REF">'Library Procedures'!$K$36</definedName>
    <definedName name="WP_PROC_021_PERFORMED_BY">'Library Procedures'!$L$36</definedName>
    <definedName name="WP_PROC_021_DATE">'Library Procedures'!$M$36</definedName>
    <definedName name="WP_PROC_021_REASON_CODE">'Library Procedures'!$N$36</definedName>
    <definedName name="WP_PROC_021_SOURCE_FACT_EVIDENCE">'Library Procedures'!$O$36</definedName>
    <definedName name="WP_PROC_021_ISSUE_DEPENDENCY_IDS">'Library Procedures'!$P$36</definedName>
    <definedName name="WP_PROC_021_COMMENT_WORK_PERFORMED">'Library Procedures'!$Q$36</definedName>
    <definedName name="WP_PROC_022_APPLICABILITY">'Library Procedures'!$A$38</definedName>
    <definedName name="WP_PROC_022_REQUIREMENT">'Library Procedures'!$B$38</definedName>
    <definedName name="WP_PROC_022_EXECUTION_STATE">'Library Procedures'!$C$38</definedName>
    <definedName name="WP_PROC_022_EVIDENCE_STATE">'Library Procedures'!$D$38</definedName>
    <definedName name="WP_PROC_022_RESULT_STATE">'Library Procedures'!$E$38</definedName>
    <definedName name="WP_PROC_022_ISSUE_STATE">'Library Procedures'!$F$38</definedName>
    <definedName name="WP_PROC_022_SIGNOFF_STATE">'Library Procedures'!$G$38</definedName>
    <definedName name="WP_PROC_022_DERIVED_OUTCOME">'Library Procedures'!$H$38</definedName>
    <definedName name="WP_PROC_022_PROCEDURE">'Library Procedures'!$I$38</definedName>
    <definedName name="WP_PROC_022_ASSERTION_S">'Library Procedures'!$J$38</definedName>
    <definedName name="WP_PROC_022_W_P_REF">'Library Procedures'!$K$38</definedName>
    <definedName name="WP_PROC_022_PERFORMED_BY">'Library Procedures'!$L$38</definedName>
    <definedName name="WP_PROC_022_DATE">'Library Procedures'!$M$38</definedName>
    <definedName name="WP_PROC_022_REASON_CODE">'Library Procedures'!$N$38</definedName>
    <definedName name="WP_PROC_022_SOURCE_FACT_EVIDENCE">'Library Procedures'!$O$38</definedName>
    <definedName name="WP_PROC_022_ISSUE_DEPENDENCY_IDS">'Library Procedures'!$P$38</definedName>
    <definedName name="WP_PROC_022_COMMENT_WORK_PERFORMED">'Library Procedures'!$Q$38</definedName>
    <definedName name="WP_PROC_023_APPLICABILITY">'Library Procedures'!$A$39</definedName>
    <definedName name="WP_PROC_023_REQUIREMENT">'Library Procedures'!$B$39</definedName>
    <definedName name="WP_PROC_023_EXECUTION_STATE">'Library Procedures'!$C$39</definedName>
    <definedName name="WP_PROC_023_EVIDENCE_STATE">'Library Procedures'!$D$39</definedName>
    <definedName name="WP_PROC_023_RESULT_STATE">'Library Procedures'!$E$39</definedName>
    <definedName name="WP_PROC_023_ISSUE_STATE">'Library Procedures'!$F$39</definedName>
    <definedName name="WP_PROC_023_SIGNOFF_STATE">'Library Procedures'!$G$39</definedName>
    <definedName name="WP_PROC_023_DERIVED_OUTCOME">'Library Procedures'!$H$39</definedName>
    <definedName name="WP_PROC_023_PROCEDURE">'Library Procedures'!$I$39</definedName>
    <definedName name="WP_PROC_023_ASSERTION_S">'Library Procedures'!$J$39</definedName>
    <definedName name="WP_PROC_023_W_P_REF">'Library Procedures'!$K$39</definedName>
    <definedName name="WP_PROC_023_PERFORMED_BY">'Library Procedures'!$L$39</definedName>
    <definedName name="WP_PROC_023_DATE">'Library Procedures'!$M$39</definedName>
    <definedName name="WP_PROC_023_REASON_CODE">'Library Procedures'!$N$39</definedName>
    <definedName name="WP_PROC_023_SOURCE_FACT_EVIDENCE">'Library Procedures'!$O$39</definedName>
    <definedName name="WP_PROC_023_ISSUE_DEPENDENCY_IDS">'Library Procedures'!$P$39</definedName>
    <definedName name="WP_PROC_023_COMMENT_WORK_PERFORMED">'Library Procedures'!$Q$39</definedName>
    <definedName name="WP_PROC_024_APPLICABILITY">'Library Procedures'!$A$41</definedName>
    <definedName name="WP_PROC_024_REQUIREMENT">'Library Procedures'!$B$41</definedName>
    <definedName name="WP_PROC_024_EXECUTION_STATE">'Library Procedures'!$C$41</definedName>
    <definedName name="WP_PROC_024_EVIDENCE_STATE">'Library Procedures'!$D$41</definedName>
    <definedName name="WP_PROC_024_RESULT_STATE">'Library Procedures'!$E$41</definedName>
    <definedName name="WP_PROC_024_ISSUE_STATE">'Library Procedures'!$F$41</definedName>
    <definedName name="WP_PROC_024_SIGNOFF_STATE">'Library Procedures'!$G$41</definedName>
    <definedName name="WP_PROC_024_DERIVED_OUTCOME">'Library Procedures'!$H$41</definedName>
    <definedName name="WP_PROC_024_PROCEDURE">'Library Procedures'!$I$41</definedName>
    <definedName name="WP_PROC_024_ASSERTION_S">'Library Procedures'!$J$41</definedName>
    <definedName name="WP_PROC_024_W_P_REF">'Library Procedures'!$K$41</definedName>
    <definedName name="WP_PROC_024_PERFORMED_BY">'Library Procedures'!$L$41</definedName>
    <definedName name="WP_PROC_024_DATE">'Library Procedures'!$M$41</definedName>
    <definedName name="WP_PROC_024_REASON_CODE">'Library Procedures'!$N$41</definedName>
    <definedName name="WP_PROC_024_SOURCE_FACT_EVIDENCE">'Library Procedures'!$O$41</definedName>
    <definedName name="WP_PROC_024_ISSUE_DEPENDENCY_IDS">'Library Procedures'!$P$41</definedName>
    <definedName name="WP_PROC_024_COMMENT_WORK_PERFORMED">'Library Procedures'!$Q$41</definedName>
    <definedName name="WP_PROC_025_APPLICABILITY">'Library Procedures'!$A$42</definedName>
    <definedName name="WP_PROC_025_REQUIREMENT">'Library Procedures'!$B$42</definedName>
    <definedName name="WP_PROC_025_EXECUTION_STATE">'Library Procedures'!$C$42</definedName>
    <definedName name="WP_PROC_025_EVIDENCE_STATE">'Library Procedures'!$D$42</definedName>
    <definedName name="WP_PROC_025_RESULT_STATE">'Library Procedures'!$E$42</definedName>
    <definedName name="WP_PROC_025_ISSUE_STATE">'Library Procedures'!$F$42</definedName>
    <definedName name="WP_PROC_025_SIGNOFF_STATE">'Library Procedures'!$G$42</definedName>
    <definedName name="WP_PROC_025_DERIVED_OUTCOME">'Library Procedures'!$H$42</definedName>
    <definedName name="WP_PROC_025_PROCEDURE">'Library Procedures'!$I$42</definedName>
    <definedName name="WP_PROC_025_ASSERTION_S">'Library Procedures'!$J$42</definedName>
    <definedName name="WP_PROC_025_W_P_REF">'Library Procedures'!$K$42</definedName>
    <definedName name="WP_PROC_025_PERFORMED_BY">'Library Procedures'!$L$42</definedName>
    <definedName name="WP_PROC_025_DATE">'Library Procedures'!$M$42</definedName>
    <definedName name="WP_PROC_025_REASON_CODE">'Library Procedures'!$N$42</definedName>
    <definedName name="WP_PROC_025_SOURCE_FACT_EVIDENCE">'Library Procedures'!$O$42</definedName>
    <definedName name="WP_PROC_025_ISSUE_DEPENDENCY_IDS">'Library Procedures'!$P$42</definedName>
    <definedName name="WP_PROC_025_COMMENT_WORK_PERFORMED">'Library Procedures'!$Q$42</definedName>
    <definedName name="WP_PROC_026_APPLICABILITY">'Library Procedures'!$A$44</definedName>
    <definedName name="WP_PROC_026_REQUIREMENT">'Library Procedures'!$B$44</definedName>
    <definedName name="WP_PROC_026_EXECUTION_STATE">'Library Procedures'!$C$44</definedName>
    <definedName name="WP_PROC_026_EVIDENCE_STATE">'Library Procedures'!$D$44</definedName>
    <definedName name="WP_PROC_026_RESULT_STATE">'Library Procedures'!$E$44</definedName>
    <definedName name="WP_PROC_026_ISSUE_STATE">'Library Procedures'!$F$44</definedName>
    <definedName name="WP_PROC_026_SIGNOFF_STATE">'Library Procedures'!$G$44</definedName>
    <definedName name="WP_PROC_026_DERIVED_OUTCOME">'Library Procedures'!$H$44</definedName>
    <definedName name="WP_PROC_026_PROCEDURE">'Library Procedures'!$I$44</definedName>
    <definedName name="WP_PROC_026_ASSERTION_S">'Library Procedures'!$J$44</definedName>
    <definedName name="WP_PROC_026_W_P_REF">'Library Procedures'!$K$44</definedName>
    <definedName name="WP_PROC_026_PERFORMED_BY">'Library Procedures'!$L$44</definedName>
    <definedName name="WP_PROC_026_DATE">'Library Procedures'!$M$44</definedName>
    <definedName name="WP_PROC_026_REASON_CODE">'Library Procedures'!$N$44</definedName>
    <definedName name="WP_PROC_026_SOURCE_FACT_EVIDENCE">'Library Procedures'!$O$44</definedName>
    <definedName name="WP_PROC_026_ISSUE_DEPENDENCY_IDS">'Library Procedures'!$P$44</definedName>
    <definedName name="WP_PROC_026_COMMENT_WORK_PERFORMED">'Library Procedures'!$Q$44</definedName>
    <definedName name="WP_INV_SOURCE_INDEX_CONTROLS">'&lt;.0&gt; Source Index'!$A$8:$L$20</definedName>
    <definedName name="WP_TABLE_INV_RM_STANDARD_SELECTIONS_DATA">'&lt;.2&gt; RM Cost - Standard'!$A$9:$Q$30</definedName>
    <definedName name="WP_TABLE_INV_RM_STANDARD_SELECTIONS_TOTAL">'&lt;.2&gt; RM Cost - Standard'!$A$31:$Q$31</definedName>
    <definedName name="WP_TABLE_INV_RM_WEIGHTED_AVERAGE_SELECTIONS_DATA">'&lt;.3&gt; RM Cost - Weighted Avg'!$A$9:$P$30</definedName>
    <definedName name="WP_TABLE_INV_RM_WEIGHTED_AVERAGE_SELECTIONS_TOTAL">'&lt;.3&gt; RM Cost - Weighted Avg'!$A$31:$P$31</definedName>
    <definedName name="WP_TABLE_INV_NRV_SELECTIONS_DATA">'&lt;.8&gt; NRV Testing'!$A$9:$O$30</definedName>
    <definedName name="WP_TABLE_INV_NRV_SELECTIONS_TOTAL">'&lt;.8&gt; NRV Testing'!$A$31:$O$31</definedName>
    <definedName name="WP_ANALYTIC_INVENTORY_TURNOVER_TEST_PERIOD_ANCHOR">'&lt;.1&gt; Costing &amp; Test Period'!$A$17</definedName>
    <definedName name="WP_ANALYTIC_INVENTORY_TURNOVER_TEST_PERIOD_VALUE">'&lt;.1&gt; Costing &amp; Test Period'!$B$17</definedName>
    <definedName name="WP_ANALYTIC_INVENTORY_TURNOVER_TEST_PERIOD_SOURCE_REFERENCE">'&lt;.1&gt; Costing &amp; Test Period'!$C$17</definedName>
    <definedName name="WP_ANALYTIC_INVENTORY_TURNS_ANCHOR">'&lt;.9&gt; Analytics &amp; Disclosures'!$A$9</definedName>
    <definedName name="WP_ANALYTIC_INVENTORY_TURNS_CURRENT_VALUE">'&lt;.9&gt; Analytics &amp; Disclosures'!$B$9</definedName>
    <definedName name="WP_ANALYTIC_INVENTORY_TURNS_COMPARATOR_VALUE">'&lt;.9&gt; Analytics &amp; Disclosures'!$C$9</definedName>
    <definedName name="WP_ANALYTIC_INVENTORY_TURNS_CHANGE">'&lt;.9&gt; Analytics &amp; Disclosures'!$D$9</definedName>
    <definedName name="WP_ANALYTIC_INVENTORY_TURNS_EXPLANATION">'&lt;.9&gt; Analytics &amp; Disclosures'!$E$9</definedName>
    <definedName name="WP_ANALYTIC_INVENTORY_DAYS_ON_HAND_ANCHOR">'&lt;.9&gt; Analytics &amp; Disclosures'!$A$10</definedName>
    <definedName name="WP_ANALYTIC_INVENTORY_DAYS_ON_HAND_CURRENT_VALUE">'&lt;.9&gt; Analytics &amp; Disclosures'!$B$10</definedName>
    <definedName name="WP_ANALYTIC_INVENTORY_DAYS_ON_HAND_COMPARATOR_VALUE">'&lt;.9&gt; Analytics &amp; Disclosures'!$C$10</definedName>
    <definedName name="WP_ANALYTIC_INVENTORY_DAYS_ON_HAND_CHANGE">'&lt;.9&gt; Analytics &amp; Disclosures'!$D$10</definedName>
    <definedName name="WP_ANALYTIC_INVENTORY_DAYS_ON_HAND_EXPLANATION">'&lt;.9&gt; Analytics &amp; Disclosures'!$E$10</definedName>
    <definedName name="WP_ANALYTIC_INVENTORY_GROSS_MARGIN_ANCHOR">'&lt;.9&gt; Analytics &amp; Disclosures'!$A$11</definedName>
    <definedName name="WP_ANALYTIC_INVENTORY_GROSS_MARGIN_CURRENT_VALUE">'&lt;.9&gt; Analytics &amp; Disclosures'!$B$11</definedName>
    <definedName name="WP_ANALYTIC_INVENTORY_GROSS_MARGIN_COMPARATOR_VALUE">'&lt;.9&gt; Analytics &amp; Disclosures'!$C$11</definedName>
    <definedName name="WP_ANALYTIC_INVENTORY_GROSS_MARGIN_CHANGE">'&lt;.9&gt; Analytics &amp; Disclosures'!$D$11</definedName>
    <definedName name="WP_ANALYTIC_INVENTORY_GROSS_MARGIN_EXPLANATION">'&lt;.9&gt; Analytics &amp; Disclosures'!$E$11</definedName>
    <definedName name="WP_ANALYTIC_INVENTORY_RESERVE_PCT_ANCHOR">'&lt;.9&gt; Analytics &amp; Disclosures'!$A$12</definedName>
    <definedName name="WP_ANALYTIC_INVENTORY_RESERVE_PCT_CURRENT_VALUE">'&lt;.9&gt; Analytics &amp; Disclosures'!$B$12</definedName>
    <definedName name="WP_ANALYTIC_INVENTORY_RESERVE_PCT_COMPARATOR_VALUE">'&lt;.9&gt; Analytics &amp; Disclosures'!$C$12</definedName>
    <definedName name="WP_ANALYTIC_INVENTORY_RESERVE_PCT_CHANGE">'&lt;.9&gt; Analytics &amp; Disclosures'!$D$12</definedName>
    <definedName name="WP_ANALYTIC_INVENTORY_RESERVE_PCT_EXPLANATION">'&lt;.9&gt; Analytics &amp; Disclosures'!$E$12</definedName>
    <definedName name="WP_ANALYTIC_INVENTORY_INVENTORY_TO_ASSETS_ANCHOR">'&lt;.9&gt; Analytics &amp; Disclosures'!$A$13</definedName>
    <definedName name="WP_ANALYTIC_INVENTORY_INVENTORY_TO_ASSETS_CURRENT_VALUE">'&lt;.9&gt; Analytics &amp; Disclosures'!$B$13</definedName>
    <definedName name="WP_ANALYTIC_INVENTORY_INVENTORY_TO_ASSETS_COMPARATOR_VALUE">'&lt;.9&gt; Analytics &amp; Disclosures'!$C$13</definedName>
    <definedName name="WP_ANALYTIC_INVENTORY_INVENTORY_TO_ASSETS_CHANGE">'&lt;.9&gt; Analytics &amp; Disclosures'!$D$13</definedName>
    <definedName name="WP_ANALYTIC_INVENTORY_INVENTORY_TO_ASSETS_EXPLANATION">'&lt;.9&gt; Analytics &amp; Disclosures'!$E$13</definedName>
    <definedName name="WP_ANALYTIC_INVENTORY_VARIANCE_TO_PURCHASES_ANCHOR">'&lt;.9&gt; Analytics &amp; Disclosures'!$A$14</definedName>
    <definedName name="WP_ANALYTIC_INVENTORY_VARIANCE_TO_PURCHASES_CURRENT_VALUE">'&lt;.9&gt; Analytics &amp; Disclosures'!$B$14</definedName>
    <definedName name="WP_ANALYTIC_INVENTORY_VARIANCE_TO_PURCHASES_COMPARATOR_VALUE">'&lt;.9&gt; Analytics &amp; Disclosures'!$C$14</definedName>
    <definedName name="WP_ANALYTIC_INVENTORY_VARIANCE_TO_PURCHASES_CHANGE">'&lt;.9&gt; Analytics &amp; Disclosures'!$D$14</definedName>
    <definedName name="WP_ANALYTIC_INVENTORY_VARIANCE_TO_PURCHASES_EXPLANATION">'&lt;.9&gt; Analytics &amp; Disclosures'!$E$14</definedName>
    <definedName name="WP_DISCLOSURE_INVENTORY_RETAINED_BLOCK">'&lt;.9&gt; Analytics &amp; Disclosures'!$A$18:$E$24</definedName>
    <definedName name="WP_DISCLOSURE_INVENTORY_COST_FLOW_ANCHOR">'&lt;.9&gt; Analytics &amp; Disclosures'!$A$18</definedName>
    <definedName name="WP_DISCLOSURE_INVENTORY_COST_FLOW_RELEVANT">'&lt;.9&gt; Analytics &amp; Disclosures'!$B$18</definedName>
    <definedName name="WP_DISCLOSURE_INVENTORY_COST_FLOW_SOURCE_REFERENCE">'&lt;.9&gt; Analytics &amp; Disclosures'!$C$18</definedName>
    <definedName name="WP_DISCLOSURE_INVENTORY_COST_FLOW_CONCLUSION">'&lt;.9&gt; Analytics &amp; Disclosures'!$D$18</definedName>
    <definedName name="WP_DISCLOSURE_INVENTORY_COST_FLOW_COMMENTS">'&lt;.9&gt; Analytics &amp; Disclosures'!$E$18</definedName>
    <definedName name="WP_DISCLOSURE_INVENTORY_LCNRV_ANCHOR">'&lt;.9&gt; Analytics &amp; Disclosures'!$A$19</definedName>
    <definedName name="WP_DISCLOSURE_INVENTORY_LCNRV_RELEVANT">'&lt;.9&gt; Analytics &amp; Disclosures'!$B$19</definedName>
    <definedName name="WP_DISCLOSURE_INVENTORY_LCNRV_SOURCE_REFERENCE">'&lt;.9&gt; Analytics &amp; Disclosures'!$C$19</definedName>
    <definedName name="WP_DISCLOSURE_INVENTORY_LCNRV_CONCLUSION">'&lt;.9&gt; Analytics &amp; Disclosures'!$D$19</definedName>
    <definedName name="WP_DISCLOSURE_INVENTORY_LCNRV_COMMENTS">'&lt;.9&gt; Analytics &amp; Disclosures'!$E$19</definedName>
    <definedName name="WP_DISCLOSURE_INVENTORY_CAPITALIZED_VARIANCE_ANCHOR">'&lt;.9&gt; Analytics &amp; Disclosures'!$A$20</definedName>
    <definedName name="WP_DISCLOSURE_INVENTORY_CAPITALIZED_VARIANCE_RELEVANT">'&lt;.9&gt; Analytics &amp; Disclosures'!$B$20</definedName>
    <definedName name="WP_DISCLOSURE_INVENTORY_CAPITALIZED_VARIANCE_SOURCE_REFERENCE">'&lt;.9&gt; Analytics &amp; Disclosures'!$C$20</definedName>
    <definedName name="WP_DISCLOSURE_INVENTORY_CAPITALIZED_VARIANCE_CONCLUSION">'&lt;.9&gt; Analytics &amp; Disclosures'!$D$20</definedName>
    <definedName name="WP_DISCLOSURE_INVENTORY_CAPITALIZED_VARIANCE_COMMENTS">'&lt;.9&gt; Analytics &amp; Disclosures'!$E$20</definedName>
    <definedName name="WP_DISCLOSURE_INVENTORY_PLEDGED_ANCHOR">'&lt;.9&gt; Analytics &amp; Disclosures'!$A$21</definedName>
    <definedName name="WP_DISCLOSURE_INVENTORY_PLEDGED_RELEVANT">'&lt;.9&gt; Analytics &amp; Disclosures'!$B$21</definedName>
    <definedName name="WP_DISCLOSURE_INVENTORY_PLEDGED_SOURCE_REFERENCE">'&lt;.9&gt; Analytics &amp; Disclosures'!$C$21</definedName>
    <definedName name="WP_DISCLOSURE_INVENTORY_PLEDGED_CONCLUSION">'&lt;.9&gt; Analytics &amp; Disclosures'!$D$21</definedName>
    <definedName name="WP_DISCLOSURE_INVENTORY_PLEDGED_COMMENTS">'&lt;.9&gt; Analytics &amp; Disclosures'!$E$21</definedName>
    <definedName name="WP_DISCLOSURE_INVENTORY_CONSIGNMENT_ANCHOR">'&lt;.9&gt; Analytics &amp; Disclosures'!$A$22</definedName>
    <definedName name="WP_DISCLOSURE_INVENTORY_CONSIGNMENT_RELEVANT">'&lt;.9&gt; Analytics &amp; Disclosures'!$B$22</definedName>
    <definedName name="WP_DISCLOSURE_INVENTORY_CONSIGNMENT_SOURCE_REFERENCE">'&lt;.9&gt; Analytics &amp; Disclosures'!$C$22</definedName>
    <definedName name="WP_DISCLOSURE_INVENTORY_CONSIGNMENT_CONCLUSION">'&lt;.9&gt; Analytics &amp; Disclosures'!$D$22</definedName>
    <definedName name="WP_DISCLOSURE_INVENTORY_CONSIGNMENT_COMMENTS">'&lt;.9&gt; Analytics &amp; Disclosures'!$E$22</definedName>
    <definedName name="WP_DISCLOSURE_INVENTORY_COMMITMENTS_ANCHOR">'&lt;.9&gt; Analytics &amp; Disclosures'!$A$23</definedName>
    <definedName name="WP_DISCLOSURE_INVENTORY_COMMITMENTS_RELEVANT">'&lt;.9&gt; Analytics &amp; Disclosures'!$B$23</definedName>
    <definedName name="WP_DISCLOSURE_INVENTORY_COMMITMENTS_SOURCE_REFERENCE">'&lt;.9&gt; Analytics &amp; Disclosures'!$C$23</definedName>
    <definedName name="WP_DISCLOSURE_INVENTORY_COMMITMENTS_CONCLUSION">'&lt;.9&gt; Analytics &amp; Disclosures'!$D$23</definedName>
    <definedName name="WP_DISCLOSURE_INVENTORY_COMMITMENTS_COMMENTS">'&lt;.9&gt; Analytics &amp; Disclosures'!$E$23</definedName>
    <definedName name="WP_DISCLOSURE_INVENTORY_LIFO_ANCHOR">'&lt;.9&gt; Analytics &amp; Disclosures'!$A$24</definedName>
    <definedName name="WP_DISCLOSURE_INVENTORY_LIFO_RELEVANT">'&lt;.9&gt; Analytics &amp; Disclosures'!$B$24</definedName>
    <definedName name="WP_DISCLOSURE_INVENTORY_LIFO_SOURCE_REFERENCE">'&lt;.9&gt; Analytics &amp; Disclosures'!$C$24</definedName>
    <definedName name="WP_DISCLOSURE_INVENTORY_LIFO_CONCLUSION">'&lt;.9&gt; Analytics &amp; Disclosures'!$D$24</definedName>
    <definedName name="WP_DISCLOSURE_INVENTORY_LIFO_COMMENTS">'&lt;.9&gt; Analytics &amp; Disclosures'!$E$24</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Procedures'!$A$6:$Q$44</definedName>
    <definedName name="_xlnm.Print_Titles" localSheetId="0">'Library Procedures'!$1:$6</definedName>
    <definedName name="_xlnm.Print_Area" localSheetId="0">'Library Procedures'!$A$1:$Q$44</definedName>
    <definedName name="_xlnm.Print_Area" localSheetId="1">'&lt;.0&gt; Source Index'!$A$1:$L$32</definedName>
    <definedName name="_xlnm.Print_Area" localSheetId="2">'&lt;.1&gt; Costing &amp; Test Period'!$A$1:$H$36</definedName>
    <definedName name="_xlnm._FilterDatabase" localSheetId="3" hidden="1">'&lt;.2&gt; RM Cost - Standard'!$A$7:$Q$30</definedName>
    <definedName name="_xlnm.Print_Titles" localSheetId="3">'&lt;.2&gt; RM Cost - Standard'!$1:$7</definedName>
    <definedName name="_xlnm.Print_Area" localSheetId="3">'&lt;.2&gt; RM Cost - Standard'!$A$1:$Q$46</definedName>
    <definedName name="_xlnm._FilterDatabase" localSheetId="4" hidden="1">'&lt;.3&gt; RM Cost - Weighted Avg'!$A$7:$P$30</definedName>
    <definedName name="_xlnm.Print_Titles" localSheetId="4">'&lt;.3&gt; RM Cost - Weighted Avg'!$1:$7</definedName>
    <definedName name="_xlnm.Print_Area" localSheetId="4">'&lt;.3&gt; RM Cost - Weighted Avg'!$A$1:$P$46</definedName>
    <definedName name="_xlnm.Print_Titles" localSheetId="5">'&lt;.4&gt; Capitalized Variance'!$1:$7</definedName>
    <definedName name="_xlnm.Print_Area" localSheetId="5">'&lt;.4&gt; Capitalized Variance'!$A$1:$H$43</definedName>
    <definedName name="_xlnm.Print_Titles" localSheetId="6">'&lt;.5&gt; Labor &amp; OH Variance'!$1:$7</definedName>
    <definedName name="_xlnm.Print_Area" localSheetId="6">'&lt;.5&gt; Labor &amp; OH Variance'!$A$1:$H$42</definedName>
    <definedName name="_xlnm.Print_Titles" localSheetId="7">'&lt;.6&gt; FG Cost Buildup &amp; BOM'!$1:$7</definedName>
    <definedName name="_xlnm.Print_Area" localSheetId="7">'&lt;.6&gt; FG Cost Buildup &amp; BOM'!$A$1:$J$50</definedName>
    <definedName name="_xlnm.Print_Area" localSheetId="8">'&lt;.7&gt; Obsolescence &amp; Reserve'!$A$1:$H$34</definedName>
    <definedName name="_xlnm._FilterDatabase" localSheetId="9" hidden="1">'&lt;.8&gt; NRV Testing'!$A$7:$O$30</definedName>
    <definedName name="_xlnm.Print_Titles" localSheetId="9">'&lt;.8&gt; NRV Testing'!$1:$7</definedName>
    <definedName name="_xlnm.Print_Area" localSheetId="9">'&lt;.8&gt; NRV Testing'!$A$1:$O$46</definedName>
    <definedName name="_xlnm.Print_Area" localSheetId="10">'&lt;.9&gt; Analytics &amp; Disclosures'!$A$1:$H$37</definedName>
    <definedName name="_xlnm.Print_Area" localSheetId="11">'Planning Context'!$A$1:$B$21</definedName>
    <definedName name="_xlnm.Print_Area" localSheetId="12">'Workpaper Sign-off'!$A$1:$F$12</definedName>
    <definedName name="_xlnm.Print_Area" localSheetId="13">'Labor &amp; OH Application'!$A$1:$L$11</definedName>
  </definedNames>
  <calcPr calcId="191029" fullCalcOnLoad="1" iterateDelta="0.0001"/>
</workbook>
</file>

<file path=xl/styles.xml><?xml version="1.0" encoding="utf-8"?>
<styleSheet xmlns="http://schemas.openxmlformats.org/spreadsheetml/2006/main">
  <numFmts count="4">
    <numFmt numFmtId="164" formatCode="yyyy\-mm\-dd"/>
    <numFmt numFmtId="165" formatCode="#,##0.000"/>
    <numFmt numFmtId="166" formatCode="yyyy-mm-dd"/>
    <numFmt numFmtId="167" formatCode="m/d/yyyy"/>
  </numFmts>
  <fonts count="34">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A32020"/>
      <sz val="10"/>
    </font>
    <font>
      <name val="Georgia"/>
      <charset val="1"/>
      <b val="1"/>
      <color rgb="FFDC6900"/>
      <sz val="8"/>
    </font>
    <font>
      <name val="Georgia"/>
      <charset val="1"/>
      <b val="1"/>
      <color rgb="FF1A1A1A"/>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Calibri"/>
      <charset val="1"/>
      <family val="2"/>
      <b val="1"/>
      <color theme="1"/>
      <sz val="11"/>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A32020"/>
      <sz val="10"/>
    </font>
    <font>
      <name val="SourceSans3"/>
      <charset val="1"/>
      <b val="1"/>
      <color rgb="FFDC6900"/>
      <sz val="8"/>
    </font>
    <font>
      <name val="SourceSans3"/>
      <charset val="1"/>
      <b val="1"/>
      <color rgb="FF1A1A1A"/>
      <sz val="10"/>
    </font>
    <font>
      <name val="SourceSans3"/>
      <b val="1"/>
      <color rgb="00FFFFFF"/>
      <sz val="14"/>
    </font>
    <font>
      <name val="SourceSans3"/>
      <b val="1"/>
      <color rgb="00404040"/>
    </font>
    <font>
      <name val="SourceSans3"/>
      <sz val="11"/>
    </font>
    <font>
      <name val="SourceSans3"/>
      <i val="1"/>
      <color rgb="001F1F1F"/>
      <sz val="10"/>
    </font>
    <font>
      <name val="SourceSans3"/>
      <charset val="1"/>
      <family val="2"/>
      <b val="1"/>
      <color theme="1"/>
      <sz val="11"/>
    </font>
  </fonts>
  <fills count="7">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1F4E78"/>
      </patternFill>
    </fill>
    <fill>
      <patternFill patternType="solid">
        <fgColor rgb="00E7E6E6"/>
      </patternFill>
    </fill>
    <fill>
      <patternFill patternType="solid">
        <fgColor rgb="00D9EAF7"/>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95">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pivotButton="0" quotePrefix="0" xfId="0"/>
    <xf numFmtId="4" fontId="3" fillId="0" borderId="1" pivotButton="0" quotePrefix="0" xfId="0"/>
    <xf numFmtId="0" fontId="2" fillId="0" borderId="1" pivotButton="0" quotePrefix="0" xfId="0"/>
    <xf numFmtId="2" fontId="2" fillId="3" borderId="1" pivotButton="0" quotePrefix="0" xfId="0"/>
    <xf numFmtId="1" fontId="2" fillId="3" borderId="1" pivotButton="0" quotePrefix="0" xfId="0"/>
    <xf numFmtId="164" fontId="3" fillId="0" borderId="1" pivotButton="0" quotePrefix="0" xfId="0"/>
    <xf numFmtId="0" fontId="9" fillId="0" borderId="0" applyAlignment="1" pivotButton="0" quotePrefix="0" xfId="0">
      <alignment horizontal="center" vertical="center"/>
    </xf>
    <xf numFmtId="0" fontId="3" fillId="0" borderId="1" applyAlignment="1" pivotButton="0" quotePrefix="0" xfId="0">
      <alignment horizontal="center" vertical="center"/>
    </xf>
    <xf numFmtId="3" fontId="3" fillId="0" borderId="1" pivotButton="0" quotePrefix="0" xfId="0"/>
    <xf numFmtId="0" fontId="10" fillId="3" borderId="1" pivotButton="0" quotePrefix="0" xfId="0"/>
    <xf numFmtId="4" fontId="10" fillId="3" borderId="1" pivotButton="0" quotePrefix="0" xfId="0"/>
    <xf numFmtId="4" fontId="2" fillId="3" borderId="1" pivotButton="0" quotePrefix="0" xfId="0"/>
    <xf numFmtId="10" fontId="2" fillId="3" borderId="1" pivotButton="0" quotePrefix="0" xfId="0"/>
    <xf numFmtId="0" fontId="2" fillId="3" borderId="1" pivotButton="0" quotePrefix="0" xfId="0"/>
    <xf numFmtId="0" fontId="3" fillId="0" borderId="1" applyAlignment="1" pivotButton="0" quotePrefix="0" xfId="0">
      <alignment horizontal="left" vertical="center" wrapText="1"/>
    </xf>
    <xf numFmtId="165" fontId="3" fillId="0" borderId="1" pivotButton="0" quotePrefix="0" xfId="0"/>
    <xf numFmtId="10" fontId="3" fillId="0"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0" fillId="3" borderId="1" applyAlignment="1" pivotButton="0" quotePrefix="0" xfId="0">
      <alignment horizontal="center" vertical="center"/>
    </xf>
    <xf numFmtId="0" fontId="5" fillId="2" borderId="3" applyAlignment="1" pivotButton="0" quotePrefix="0" xfId="0">
      <alignment horizontal="center" vertical="center" wrapText="1"/>
    </xf>
    <xf numFmtId="0" fontId="4" fillId="0" borderId="2" pivotButton="0" quotePrefix="0" xfId="0"/>
    <xf numFmtId="0" fontId="3" fillId="0" borderId="2" applyAlignment="1" pivotButton="0" quotePrefix="0" xfId="0">
      <alignment horizontal="left" vertical="center" wrapText="1"/>
    </xf>
    <xf numFmtId="0" fontId="17" fillId="0" borderId="0" applyAlignment="1" pivotButton="0" quotePrefix="0" xfId="0">
      <alignment vertical="top" wrapText="1"/>
    </xf>
    <xf numFmtId="0" fontId="21" fillId="0"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20" fillId="2" borderId="1" applyAlignment="1" pivotButton="0" quotePrefix="0" xfId="0">
      <alignment horizontal="left" vertical="center" wrapText="1"/>
    </xf>
    <xf numFmtId="0" fontId="20" fillId="2" borderId="1" pivotButton="0" quotePrefix="0" xfId="0"/>
    <xf numFmtId="0" fontId="20" fillId="2" borderId="0" pivotButton="0" quotePrefix="0" xfId="0"/>
    <xf numFmtId="0" fontId="18" fillId="0" borderId="1" applyAlignment="1" pivotButton="0" quotePrefix="0" xfId="0">
      <alignment vertical="top" wrapText="1"/>
    </xf>
    <xf numFmtId="0" fontId="21" fillId="0" borderId="1" applyAlignment="1" pivotButton="0" quotePrefix="0" xfId="0">
      <alignment vertical="top" wrapText="1"/>
    </xf>
    <xf numFmtId="167" fontId="21" fillId="0" borderId="1" applyAlignment="1" pivotButton="0" quotePrefix="0" xfId="0">
      <alignment vertical="top" wrapText="1"/>
    </xf>
    <xf numFmtId="0" fontId="20" fillId="2" borderId="0" applyAlignment="1" pivotButton="0" quotePrefix="0" xfId="0">
      <alignment vertical="top" wrapText="1"/>
    </xf>
    <xf numFmtId="0" fontId="17" fillId="0" borderId="0" pivotButton="0" quotePrefix="0" xfId="0"/>
    <xf numFmtId="0" fontId="22" fillId="0" borderId="0" pivotButton="0" quotePrefix="0" xfId="0"/>
    <xf numFmtId="167" fontId="18" fillId="0" borderId="0" pivotButton="0" quotePrefix="0" xfId="0"/>
    <xf numFmtId="0" fontId="18" fillId="0" borderId="0" pivotButton="0" quotePrefix="0" xfId="0"/>
    <xf numFmtId="0" fontId="22" fillId="0" borderId="0" applyAlignment="1" pivotButton="0" quotePrefix="0" xfId="0">
      <alignment vertical="top" wrapText="1"/>
    </xf>
    <xf numFmtId="4" fontId="18" fillId="0" borderId="0" pivotButton="0" quotePrefix="0" xfId="0"/>
    <xf numFmtId="0" fontId="23" fillId="0" borderId="2" pivotButton="0" quotePrefix="0" xfId="0"/>
    <xf numFmtId="0" fontId="18" fillId="0" borderId="2" applyAlignment="1" pivotButton="0" quotePrefix="0" xfId="0">
      <alignment horizontal="left" vertical="center" wrapText="1"/>
    </xf>
    <xf numFmtId="0" fontId="21" fillId="0" borderId="10" pivotButton="0" quotePrefix="0" xfId="0"/>
    <xf numFmtId="0" fontId="21" fillId="0" borderId="11" pivotButton="0" quotePrefix="0" xfId="0"/>
    <xf numFmtId="0" fontId="24" fillId="2" borderId="3" applyAlignment="1" pivotButton="0" quotePrefix="0" xfId="0">
      <alignment horizontal="center" vertical="center" wrapText="1"/>
    </xf>
    <xf numFmtId="0" fontId="18" fillId="0" borderId="1" pivotButton="0" quotePrefix="0" xfId="0"/>
    <xf numFmtId="0" fontId="23" fillId="0" borderId="0" pivotButton="0" quotePrefix="0" xfId="0"/>
    <xf numFmtId="0" fontId="25" fillId="0" borderId="1" applyAlignment="1" pivotButton="0" quotePrefix="0" xfId="0">
      <alignment horizontal="center" vertical="center"/>
    </xf>
    <xf numFmtId="0" fontId="21" fillId="0" borderId="6" pivotButton="0" quotePrefix="0" xfId="0"/>
    <xf numFmtId="0" fontId="21" fillId="0" borderId="7" pivotButton="0" quotePrefix="0" xfId="0"/>
    <xf numFmtId="0" fontId="26" fillId="0" borderId="0" applyAlignment="1" pivotButton="0" quotePrefix="0" xfId="0">
      <alignment vertical="top" wrapText="1"/>
    </xf>
    <xf numFmtId="0" fontId="24" fillId="2" borderId="1" applyAlignment="1" pivotButton="0" quotePrefix="0" xfId="0">
      <alignment horizontal="center" vertical="center" wrapText="1"/>
    </xf>
    <xf numFmtId="4" fontId="18" fillId="0" borderId="1" pivotButton="0" quotePrefix="0" xfId="0"/>
    <xf numFmtId="0" fontId="22" fillId="0" borderId="1" applyAlignment="1" pivotButton="0" quotePrefix="0" xfId="0">
      <alignment vertical="top" wrapText="1"/>
    </xf>
    <xf numFmtId="2" fontId="22" fillId="3" borderId="1" applyAlignment="1" pivotButton="0" quotePrefix="0" xfId="0">
      <alignment vertical="top" wrapText="1"/>
    </xf>
    <xf numFmtId="1" fontId="22" fillId="3" borderId="1" applyAlignment="1" pivotButton="0" quotePrefix="0" xfId="0">
      <alignment vertical="top" wrapText="1"/>
    </xf>
    <xf numFmtId="164" fontId="18" fillId="0" borderId="1" pivotButton="0" quotePrefix="0" xfId="0"/>
    <xf numFmtId="164" fontId="18" fillId="0" borderId="1" applyAlignment="1" pivotButton="0" quotePrefix="0" xfId="0">
      <alignment vertical="top" wrapText="1"/>
    </xf>
    <xf numFmtId="0" fontId="27" fillId="0" borderId="0" applyAlignment="1" pivotButton="0" quotePrefix="0" xfId="0">
      <alignment horizontal="center" vertical="center"/>
    </xf>
    <xf numFmtId="0" fontId="18" fillId="0" borderId="1" applyAlignment="1" pivotButton="0" quotePrefix="0" xfId="0">
      <alignment horizontal="center" vertical="center"/>
    </xf>
    <xf numFmtId="3" fontId="18" fillId="0" borderId="1" pivotButton="0" quotePrefix="0" xfId="0"/>
    <xf numFmtId="4" fontId="18" fillId="0" borderId="1" applyAlignment="1" pivotButton="0" quotePrefix="0" xfId="0">
      <alignment vertical="top" wrapText="1"/>
    </xf>
    <xf numFmtId="0" fontId="28" fillId="3" borderId="1" pivotButton="0" quotePrefix="0" xfId="0"/>
    <xf numFmtId="4" fontId="28" fillId="3" borderId="1" pivotButton="0" quotePrefix="0" xfId="0"/>
    <xf numFmtId="4" fontId="22" fillId="3" borderId="1" pivotButton="0" quotePrefix="0" xfId="0"/>
    <xf numFmtId="10" fontId="22" fillId="3" borderId="1" applyAlignment="1" pivotButton="0" quotePrefix="0" xfId="0">
      <alignment vertical="top" wrapText="1"/>
    </xf>
    <xf numFmtId="4" fontId="22" fillId="3" borderId="1" applyAlignment="1" pivotButton="0" quotePrefix="0" xfId="0">
      <alignment vertical="top" wrapText="1"/>
    </xf>
    <xf numFmtId="0" fontId="22" fillId="3" borderId="1" applyAlignment="1" pivotButton="0" quotePrefix="0" xfId="0">
      <alignment vertical="top" wrapText="1"/>
    </xf>
    <xf numFmtId="0" fontId="22" fillId="3" borderId="1" pivotButton="0" quotePrefix="0" xfId="0"/>
    <xf numFmtId="0" fontId="18" fillId="0" borderId="1" applyAlignment="1" pivotButton="0" quotePrefix="0" xfId="0">
      <alignment horizontal="left" vertical="center" wrapText="1"/>
    </xf>
    <xf numFmtId="165" fontId="18" fillId="0" borderId="1" pivotButton="0" quotePrefix="0" xfId="0"/>
    <xf numFmtId="10" fontId="18" fillId="0" borderId="1" pivotButton="0" quotePrefix="0" xfId="0"/>
    <xf numFmtId="0" fontId="26" fillId="0" borderId="0" pivotButton="0" quotePrefix="0" xfId="0"/>
    <xf numFmtId="0" fontId="21" fillId="0" borderId="0" applyAlignment="1" pivotButton="0" quotePrefix="0" xfId="0">
      <alignment vertical="top" wrapText="1"/>
    </xf>
    <xf numFmtId="167" fontId="21" fillId="0" borderId="0" pivotButton="0" quotePrefix="0" xfId="0"/>
    <xf numFmtId="4" fontId="21" fillId="0" borderId="0" pivotButton="0" quotePrefix="0" xfId="0"/>
    <xf numFmtId="0" fontId="29" fillId="4" borderId="0" applyAlignment="1" pivotButton="0" quotePrefix="0" xfId="0">
      <alignment horizontal="left" vertical="center" wrapText="1"/>
    </xf>
    <xf numFmtId="0" fontId="30" fillId="5" borderId="12" pivotButton="0" quotePrefix="0" xfId="0"/>
    <xf numFmtId="0" fontId="31" fillId="0" borderId="12" pivotButton="0" quotePrefix="0" xfId="0"/>
    <xf numFmtId="0" fontId="31" fillId="0" borderId="12" applyAlignment="1" pivotButton="0" quotePrefix="0" xfId="0">
      <alignment vertical="top" wrapText="1"/>
    </xf>
    <xf numFmtId="167" fontId="31" fillId="0" borderId="12" pivotButton="0" quotePrefix="0" xfId="0"/>
    <xf numFmtId="0" fontId="32" fillId="6" borderId="0" applyAlignment="1" pivotButton="0" quotePrefix="0" xfId="0">
      <alignment vertical="top" wrapText="1"/>
    </xf>
    <xf numFmtId="0" fontId="33" fillId="0" borderId="0" pivotButton="0" quotePrefix="0" xfId="0"/>
    <xf numFmtId="0" fontId="33" fillId="0"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WP_INV_RM_STANDARD_SELECTIONS" displayName="WP_INV_RM_STANDARD_SELECTIONS" ref="A7:Q30" headerRowCount="1">
  <autoFilter ref="A7:Q30"/>
  <tableColumns count="17">
    <tableColumn id="1" name="Sel #"/>
    <tableColumn id="2" name="Item / SKU"/>
    <tableColumn id="3" name="Description"/>
    <tableColumn id="4" name="UoM"/>
    <tableColumn id="5" name="Qty per YE listing"/>
    <tableColumn id="6" name="Standard unit cost"/>
    <tableColumn id="7" name="Extended standard cost"/>
    <tableColumn id="8" name="Qty per purchase report (period)"/>
    <tableColumn id="9" name="Coverage OK (qty ≥ YE qty)"/>
    <tableColumn id="10" name="Invoice ref tested"/>
    <tableColumn id="11" name="Invoice qty"/>
    <tableColumn id="12" name="Actual unit cost per invoice"/>
    <tableColumn id="13" name="Actual extended (invoice)"/>
    <tableColumn id="14" name="Std vs actual difference"/>
    <tableColumn id="15" name="PPV recorded on purchase"/>
    <tableColumn id="16" name="PPV recompute diff (should be 0)"/>
    <tableColumn id="17" name="Comments"/>
  </tableColumns>
</table>
</file>

<file path=xl/tables/table2.xml><?xml version="1.0" encoding="utf-8"?>
<table xmlns="http://schemas.openxmlformats.org/spreadsheetml/2006/main" id="2" name="WP_INV_RM_WEIGHTED_AVERAGE_SELECTIONS" displayName="WP_INV_RM_WEIGHTED_AVERAGE_SELECTIONS" ref="A7:P30" headerRowCount="1">
  <autoFilter ref="A7:P30"/>
  <tableColumns count="16">
    <tableColumn id="1" name="Sel #"/>
    <tableColumn id="2" name="Item / SKU"/>
    <tableColumn id="3" name="Description"/>
    <tableColumn id="4" name="UoM"/>
    <tableColumn id="5" name="Qty per YE listing"/>
    <tableColumn id="6" name="Unit cost per listing"/>
    <tableColumn id="7" name="Extended per listing"/>
    <tableColumn id="8" name="Purchase report: total qty (period)"/>
    <tableColumn id="9" name="Purchase report: total cost (period)"/>
    <tableColumn id="10" name="Recomputed WA unit cost"/>
    <tableColumn id="11" name="Coverage OK (qty ≥ YE qty)"/>
    <tableColumn id="12" name="WA vs listing diff / unit"/>
    <tableColumn id="13" name="Extended difference"/>
    <tableColumn id="14" name="Invoice tested (ref)"/>
    <tableColumn id="15" name="Invoice unit cost agrees (Y/N)"/>
    <tableColumn id="16" name="Comments"/>
  </tableColumns>
</table>
</file>

<file path=xl/tables/table3.xml><?xml version="1.0" encoding="utf-8"?>
<table xmlns="http://schemas.openxmlformats.org/spreadsheetml/2006/main" id="3" name="WP_INV_NRV_SELECTIONS" displayName="WP_INV_NRV_SELECTIONS" ref="A7:O30" headerRowCount="1">
  <autoFilter ref="A7:O30"/>
  <tableColumns count="15">
    <tableColumn id="1" name="Sel #"/>
    <tableColumn id="2" name="SKU"/>
    <tableColumn id="3" name="Description"/>
    <tableColumn id="4" name="Qty"/>
    <tableColumn id="5" name="Unit cost"/>
    <tableColumn id="6" name="Selling price (recent / committed)"/>
    <tableColumn id="7" name="Costs to complete"/>
    <tableColumn id="8" name="Costs to sell / transport"/>
    <tableColumn id="9" name="NRV per unit"/>
    <tableColumn id="10" name="Write-down per unit (= max(0, cost − NRV))"/>
    <tableColumn id="11" name="Extended write-down"/>
    <tableColumn id="12" name="Comments"/>
    <tableColumn id="13" name="Selling-price evidence ref"/>
    <tableColumn id="14" name="Evidence SKU / mapped FG SKU"/>
    <tableColumn id="15" name="Mapping basis (exact SKU / approved BOM)"/>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autoPageBreaks="0" fitToPage="1"/>
  </sheetPr>
  <dimension ref="A1:Q44"/>
  <sheetViews>
    <sheetView showGridLines="0" tabSelected="1" zoomScale="90" zoomScaleNormal="100" workbookViewId="0">
      <pane xSplit="8" ySplit="6" topLeftCell="I7" activePane="bottomRight" state="frozen"/>
      <selection pane="topRight"/>
      <selection pane="bottomLeft"/>
      <selection pane="bottomRight" activeCell="A22" sqref="A22"/>
    </sheetView>
  </sheetViews>
  <sheetFormatPr baseColWidth="8" defaultColWidth="8.6328125" defaultRowHeight="14.5"/>
  <cols>
    <col width="42" customWidth="1" min="1" max="1"/>
    <col width="15" customWidth="1" min="2" max="2"/>
    <col width="15" customWidth="1" min="3" max="3"/>
    <col width="17" bestFit="1" customWidth="1" min="4" max="4"/>
    <col width="18" customWidth="1" min="5" max="5"/>
    <col width="14" customWidth="1" min="6" max="6"/>
    <col width="14" customWidth="1" min="7" max="7"/>
    <col width="42" customWidth="1" min="8" max="8"/>
    <col width="88" customWidth="1" min="9" max="9"/>
    <col width="34.3" customWidth="1" min="10" max="10"/>
    <col width="18.15"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4" t="inlineStr">
        <is>
          <t>Inventory (Costing &amp; Valuation) — Library of Audit Procedures</t>
        </is>
      </c>
      <c r="B1" s="35" t="n"/>
      <c r="C1" s="35" t="n"/>
      <c r="D1" s="35" t="n"/>
      <c r="E1" s="35" t="n"/>
      <c r="F1" s="35" t="n"/>
      <c r="G1" s="35" t="n"/>
      <c r="H1" s="35" t="n"/>
      <c r="I1" s="35" t="n"/>
      <c r="J1" s="35" t="n"/>
      <c r="K1" s="35" t="n"/>
      <c r="L1" s="35" t="n"/>
      <c r="M1" s="35" t="n"/>
      <c r="N1" s="35" t="n"/>
      <c r="O1" s="35" t="n"/>
      <c r="P1" s="35" t="n"/>
      <c r="Q1" s="35" t="n"/>
    </row>
    <row r="2" ht="27" customHeight="1">
      <c r="A2" s="36" t="inlineStr">
        <is>
          <t>Client / Entity: Zephirax Industrial Holdings, LLC</t>
        </is>
      </c>
      <c r="B2" s="35" t="n"/>
      <c r="C2" s="35" t="n"/>
      <c r="D2" s="35" t="n"/>
      <c r="E2" s="35" t="n"/>
      <c r="F2" s="35" t="n"/>
      <c r="G2" s="35" t="n"/>
      <c r="H2" s="35" t="n"/>
      <c r="I2" s="35" t="n"/>
      <c r="J2" s="35" t="n"/>
      <c r="K2" s="35" t="n"/>
      <c r="L2" s="35" t="n"/>
      <c r="M2" s="35" t="n"/>
      <c r="N2" s="35" t="n"/>
      <c r="O2" s="35" t="n"/>
      <c r="P2" s="35" t="n"/>
      <c r="Q2" s="35" t="n"/>
    </row>
    <row r="3" ht="40.5" customHeight="1">
      <c r="A3" s="36" t="inlineStr">
        <is>
          <t>Prepared by: Audit Senior 28BD (assigned)      Reviewed by: Audit Manager 508F (assigned)</t>
        </is>
      </c>
      <c r="B3" s="35" t="n"/>
      <c r="C3" s="35" t="n"/>
      <c r="D3" s="35" t="n"/>
      <c r="E3" s="35" t="n"/>
      <c r="F3" s="35" t="n"/>
      <c r="G3" s="35" t="n"/>
      <c r="H3" s="35" t="n"/>
      <c r="I3" s="35" t="n"/>
      <c r="J3" s="35" t="n"/>
      <c r="K3" s="35" t="n"/>
      <c r="L3" s="35" t="n"/>
      <c r="M3" s="35" t="n"/>
      <c r="N3" s="35" t="n"/>
      <c r="O3" s="35" t="n"/>
      <c r="P3" s="35" t="n"/>
      <c r="Q3" s="35" t="n"/>
    </row>
    <row r="4" ht="25.5" customHeight="1">
      <c r="A4" s="37"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5" t="n"/>
      <c r="C4" s="35" t="n"/>
      <c r="D4" s="35" t="n"/>
      <c r="E4" s="35" t="n"/>
      <c r="F4" s="35" t="n"/>
      <c r="G4" s="35" t="n"/>
      <c r="H4" s="35" t="n"/>
      <c r="I4" s="35" t="n"/>
      <c r="J4" s="35" t="n"/>
      <c r="K4" s="35" t="n"/>
      <c r="L4" s="35" t="n"/>
      <c r="M4" s="35" t="n"/>
      <c r="N4" s="35" t="n"/>
      <c r="O4" s="35" t="n"/>
      <c r="P4" s="35" t="n"/>
      <c r="Q4" s="35" t="n"/>
    </row>
    <row r="5">
      <c r="A5" s="35" t="n"/>
      <c r="B5" s="35" t="n"/>
      <c r="C5" s="35" t="n"/>
      <c r="D5" s="35" t="n"/>
      <c r="E5" s="35" t="n"/>
      <c r="F5" s="35" t="n"/>
      <c r="G5" s="35" t="n"/>
      <c r="H5" s="35" t="n"/>
      <c r="I5" s="35" t="n"/>
      <c r="J5" s="35" t="n"/>
      <c r="K5" s="35" t="n"/>
      <c r="L5" s="35" t="n"/>
      <c r="M5" s="35" t="n"/>
      <c r="N5" s="35" t="n"/>
      <c r="O5" s="35" t="n"/>
      <c r="P5" s="35" t="n"/>
      <c r="Q5" s="35" t="n"/>
    </row>
    <row r="6" ht="19.5" customHeight="1">
      <c r="A6" s="38" t="inlineStr">
        <is>
          <t>Applicability</t>
        </is>
      </c>
      <c r="B6" s="38" t="inlineStr">
        <is>
          <t>Requirement</t>
        </is>
      </c>
      <c r="C6" s="38" t="inlineStr">
        <is>
          <t>Execution state</t>
        </is>
      </c>
      <c r="D6" s="38" t="inlineStr">
        <is>
          <t>Evidence state</t>
        </is>
      </c>
      <c r="E6" s="38" t="inlineStr">
        <is>
          <t>Result state</t>
        </is>
      </c>
      <c r="F6" s="38" t="inlineStr">
        <is>
          <t>Issue state</t>
        </is>
      </c>
      <c r="G6" s="38" t="inlineStr">
        <is>
          <t>Signoff state</t>
        </is>
      </c>
      <c r="H6" s="38" t="inlineStr">
        <is>
          <t>Derived outcome</t>
        </is>
      </c>
      <c r="I6" s="38" t="inlineStr">
        <is>
          <t>Procedure</t>
        </is>
      </c>
      <c r="J6" s="38" t="inlineStr">
        <is>
          <t>Assertion(s)</t>
        </is>
      </c>
      <c r="K6" s="38" t="inlineStr">
        <is>
          <t>W/P Ref</t>
        </is>
      </c>
      <c r="L6" s="38" t="inlineStr">
        <is>
          <t>Performed by</t>
        </is>
      </c>
      <c r="M6" s="38" t="inlineStr">
        <is>
          <t>Date</t>
        </is>
      </c>
      <c r="N6" s="38" t="inlineStr">
        <is>
          <t>Reason code</t>
        </is>
      </c>
      <c r="O6" s="38" t="inlineStr">
        <is>
          <t>Source fact / evidence</t>
        </is>
      </c>
      <c r="P6" s="38" t="inlineStr">
        <is>
          <t>Issue / dependency IDs</t>
        </is>
      </c>
      <c r="Q6" s="38" t="inlineStr">
        <is>
          <t>Comment / Work performed</t>
        </is>
      </c>
    </row>
    <row r="7">
      <c r="A7" s="39" t="n"/>
      <c r="B7" s="35" t="n"/>
      <c r="C7" s="35" t="n"/>
      <c r="D7" s="35" t="n"/>
      <c r="E7" s="35" t="n"/>
      <c r="F7" s="35" t="n"/>
      <c r="G7" s="35" t="n"/>
      <c r="H7" s="35" t="n"/>
      <c r="I7" s="40" t="inlineStr">
        <is>
          <t>&lt;.0&gt; Source Index</t>
        </is>
      </c>
      <c r="J7" s="35" t="n"/>
      <c r="K7" s="35" t="n"/>
      <c r="L7" s="35" t="n"/>
      <c r="M7" s="35" t="n"/>
      <c r="N7" s="35" t="n"/>
      <c r="O7" s="35" t="n"/>
      <c r="P7" s="35" t="n"/>
      <c r="Q7" s="35" t="n"/>
    </row>
    <row r="8" ht="120" customHeight="1">
      <c r="A8" s="41" t="inlineStr">
        <is>
          <t>Applicable</t>
        </is>
      </c>
      <c r="B8" s="41" t="inlineStr">
        <is>
          <t>Required</t>
        </is>
      </c>
      <c r="C8" s="41" t="inlineStr">
        <is>
          <t>Not Started</t>
        </is>
      </c>
      <c r="D8" s="41" t="inlineStr">
        <is>
          <t>Missing</t>
        </is>
      </c>
      <c r="E8" s="41" t="inlineStr">
        <is>
          <t>Unable to Conclude</t>
        </is>
      </c>
      <c r="F8" s="41" t="inlineStr">
        <is>
          <t>None</t>
        </is>
      </c>
      <c r="G8" s="42" t="inlineStr">
        <is>
          <t>Unsigned</t>
        </is>
      </c>
      <c r="H8" s="42">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2" t="inlineStr">
        <is>
          <t>1. Obtain and index all costing / valuation PBC sources (YE listing, costing policy, standard masters, purchase reports &amp; invoices, variance detail, BOMs, labor &amp; OH rates, aging / usage, selling-price and cost-to-complete support); document limitations.</t>
        </is>
      </c>
      <c r="J8" s="42" t="inlineStr">
        <is>
          <t>Completeness</t>
        </is>
      </c>
      <c r="K8" s="42" t="inlineStr">
        <is>
          <t>&lt;.0&gt;</t>
        </is>
      </c>
      <c r="L8" s="42" t="n"/>
      <c r="M8" s="43" t="n"/>
      <c r="N8" s="42" t="n"/>
      <c r="O8" s="42" t="n"/>
      <c r="P8" s="42" t="inlineStr">
        <is>
          <t>PROC:PROC-INVENTORY; PROC:RESP-INVENTORY-INVENTORY</t>
        </is>
      </c>
      <c r="Q8" s="42" t="n"/>
    </row>
    <row r="9">
      <c r="A9" s="39" t="n"/>
      <c r="B9" s="35" t="n"/>
      <c r="C9" s="35" t="n"/>
      <c r="D9" s="35" t="n"/>
      <c r="E9" s="35" t="n"/>
      <c r="F9" s="35" t="n"/>
      <c r="G9" s="35" t="n"/>
      <c r="H9" s="35" t="n"/>
      <c r="I9" s="44" t="inlineStr">
        <is>
          <t>&lt;.1&gt; Costing &amp; Test Period</t>
        </is>
      </c>
      <c r="J9" s="35" t="n"/>
      <c r="K9" s="35" t="n"/>
      <c r="L9" s="35" t="n"/>
      <c r="M9" s="35" t="n"/>
      <c r="N9" s="35" t="n"/>
      <c r="O9" s="35" t="n"/>
      <c r="P9" s="35" t="n"/>
      <c r="Q9" s="35" t="n"/>
    </row>
    <row r="10" ht="120" customHeight="1">
      <c r="A10" s="41" t="inlineStr">
        <is>
          <t>Applicable</t>
        </is>
      </c>
      <c r="B10" s="41" t="inlineStr">
        <is>
          <t>Required</t>
        </is>
      </c>
      <c r="C10" s="41" t="inlineStr">
        <is>
          <t>Not Started</t>
        </is>
      </c>
      <c r="D10" s="41" t="inlineStr">
        <is>
          <t>Missing</t>
        </is>
      </c>
      <c r="E10" s="41" t="inlineStr">
        <is>
          <t>Unable to Conclude</t>
        </is>
      </c>
      <c r="F10" s="41" t="inlineStr">
        <is>
          <t>None</t>
        </is>
      </c>
      <c r="G10" s="42" t="inlineStr">
        <is>
          <t>Unsigned</t>
        </is>
      </c>
      <c r="H10" s="42">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2" t="inlineStr">
        <is>
          <t>2. Document the costing convention per category (standard / weighted average / FIFO), check policy and PY consistency, and route each category to the correct test tab.</t>
        </is>
      </c>
      <c r="J10" s="42" t="inlineStr">
        <is>
          <t>Valuation &amp; Allocation; Classification</t>
        </is>
      </c>
      <c r="K10" s="42" t="inlineStr">
        <is>
          <t>&lt;.1&gt;</t>
        </is>
      </c>
      <c r="L10" s="42" t="n"/>
      <c r="M10" s="43" t="n"/>
      <c r="N10" s="42" t="n"/>
      <c r="O10" s="42" t="n"/>
      <c r="P10" s="42" t="inlineStr">
        <is>
          <t>PROC:PROC-INVENTORY; PROC:RESP-INVENTORY-INVENTORY</t>
        </is>
      </c>
      <c r="Q10" s="42" t="n"/>
    </row>
    <row r="11" ht="120" customHeight="1">
      <c r="A11" s="41" t="inlineStr">
        <is>
          <t>Applicable</t>
        </is>
      </c>
      <c r="B11" s="41" t="inlineStr">
        <is>
          <t>Required</t>
        </is>
      </c>
      <c r="C11" s="41" t="inlineStr">
        <is>
          <t>Not Started</t>
        </is>
      </c>
      <c r="D11" s="41" t="inlineStr">
        <is>
          <t>Missing</t>
        </is>
      </c>
      <c r="E11" s="41" t="inlineStr">
        <is>
          <t>Unable to Conclude</t>
        </is>
      </c>
      <c r="F11" s="41" t="inlineStr">
        <is>
          <t>None</t>
        </is>
      </c>
      <c r="G11" s="42" t="inlineStr">
        <is>
          <t>Unsigned</t>
        </is>
      </c>
      <c r="H11" s="42">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2" t="inlineStr">
        <is>
          <t>3. Compute the period subject to testing from inventory turnover (turns = COGS / net inventory; days on hand = 365 / turns; period = YE − DOH).</t>
        </is>
      </c>
      <c r="J11" s="42" t="inlineStr">
        <is>
          <t>Valuation &amp; Allocation</t>
        </is>
      </c>
      <c r="K11" s="42" t="inlineStr">
        <is>
          <t>&lt;.1&gt;</t>
        </is>
      </c>
      <c r="L11" s="42" t="n"/>
      <c r="M11" s="43" t="n"/>
      <c r="N11" s="42" t="n"/>
      <c r="O11" s="42" t="n"/>
      <c r="P11" s="42" t="inlineStr">
        <is>
          <t>PROC:PROC-INVENTORY; PROC:RESP-INVENTORY-INVENTORY</t>
        </is>
      </c>
      <c r="Q11" s="42" t="n"/>
    </row>
    <row r="12">
      <c r="A12" s="39" t="n"/>
      <c r="B12" s="35" t="n"/>
      <c r="C12" s="35" t="n"/>
      <c r="D12" s="35" t="n"/>
      <c r="E12" s="35" t="n"/>
      <c r="F12" s="35" t="n"/>
      <c r="G12" s="35" t="n"/>
      <c r="H12" s="35" t="n"/>
      <c r="I12" s="44" t="inlineStr">
        <is>
          <t>&lt;.2&gt; RM Cost — Standard</t>
        </is>
      </c>
      <c r="J12" s="35" t="n"/>
      <c r="K12" s="35" t="n"/>
      <c r="L12" s="35" t="n"/>
      <c r="M12" s="35" t="n"/>
      <c r="N12" s="35" t="n"/>
      <c r="O12" s="35" t="n"/>
      <c r="P12" s="35" t="n"/>
      <c r="Q12" s="35" t="n"/>
    </row>
    <row r="13" ht="120" customHeight="1">
      <c r="A13" s="41" t="inlineStr">
        <is>
          <t>Applicable</t>
        </is>
      </c>
      <c r="B13" s="41" t="inlineStr">
        <is>
          <t>Required</t>
        </is>
      </c>
      <c r="C13" s="41" t="inlineStr">
        <is>
          <t>Not Started</t>
        </is>
      </c>
      <c r="D13" s="41" t="inlineStr">
        <is>
          <t>Missing</t>
        </is>
      </c>
      <c r="E13" s="41" t="inlineStr">
        <is>
          <t>Unable to Conclude</t>
        </is>
      </c>
      <c r="F13" s="41" t="inlineStr">
        <is>
          <t>None</t>
        </is>
      </c>
      <c r="G13" s="42" t="inlineStr">
        <is>
          <t>Unsigned</t>
        </is>
      </c>
      <c r="H13" s="42">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42" t="inlineStr">
        <is>
          <t>4. Select raw materials from the YE inventory listing (above the testing threshold) and obtain the purchase report over the test period; confirm the purchased quantity covers (≥) the YE listing quantity, extending the period where it does not.</t>
        </is>
      </c>
      <c r="J13" s="42" t="inlineStr">
        <is>
          <t>Valuation &amp; Allocation; Existence</t>
        </is>
      </c>
      <c r="K13" s="42" t="inlineStr">
        <is>
          <t>&lt;.2&gt;</t>
        </is>
      </c>
      <c r="L13" s="42" t="n"/>
      <c r="M13" s="43" t="n"/>
      <c r="N13" s="42" t="n"/>
      <c r="O13" s="42" t="n"/>
      <c r="P13" s="42" t="inlineStr">
        <is>
          <t>PROC:PROC-INVENTORY; PROC:RESP-INVENTORY-INVENTORY</t>
        </is>
      </c>
      <c r="Q13" s="42" t="n"/>
    </row>
    <row r="14" ht="120" customHeight="1">
      <c r="A14" s="41" t="inlineStr">
        <is>
          <t>Applicable</t>
        </is>
      </c>
      <c r="B14" s="41" t="inlineStr">
        <is>
          <t>Required</t>
        </is>
      </c>
      <c r="C14" s="41" t="inlineStr">
        <is>
          <t>Not Started</t>
        </is>
      </c>
      <c r="D14" s="41" t="inlineStr">
        <is>
          <t>Missing</t>
        </is>
      </c>
      <c r="E14" s="41" t="inlineStr">
        <is>
          <t>Unable to Conclude</t>
        </is>
      </c>
      <c r="F14" s="41" t="inlineStr">
        <is>
          <t>None</t>
        </is>
      </c>
      <c r="G14" s="42" t="inlineStr">
        <is>
          <t>Unsigned</t>
        </is>
      </c>
      <c r="H14" s="42">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2" t="inlineStr">
        <is>
          <t>5. For each selection vouch one invoice from the purchase report — agree quantity, unit of measure and actual unit cost.</t>
        </is>
      </c>
      <c r="J14" s="42" t="inlineStr">
        <is>
          <t>Accuracy; Valuation &amp; Allocation</t>
        </is>
      </c>
      <c r="K14" s="42" t="inlineStr">
        <is>
          <t>&lt;.2&gt;</t>
        </is>
      </c>
      <c r="L14" s="42" t="n"/>
      <c r="M14" s="43" t="n"/>
      <c r="N14" s="42" t="n"/>
      <c r="O14" s="42" t="n"/>
      <c r="P14" s="42" t="inlineStr">
        <is>
          <t>PROC:PROC-INVENTORY; PROC:RESP-INVENTORY-INVENTORY</t>
        </is>
      </c>
      <c r="Q14" s="42" t="n"/>
    </row>
    <row r="15" ht="120" customHeight="1">
      <c r="A15" s="41" t="inlineStr">
        <is>
          <t>Applicable</t>
        </is>
      </c>
      <c r="B15" s="41" t="inlineStr">
        <is>
          <t>Required</t>
        </is>
      </c>
      <c r="C15" s="41" t="inlineStr">
        <is>
          <t>Not Started</t>
        </is>
      </c>
      <c r="D15" s="41" t="inlineStr">
        <is>
          <t>Missing</t>
        </is>
      </c>
      <c r="E15" s="41" t="inlineStr">
        <is>
          <t>Unable to Conclude</t>
        </is>
      </c>
      <c r="F15" s="41" t="inlineStr">
        <is>
          <t>None</t>
        </is>
      </c>
      <c r="G15" s="42" t="inlineStr">
        <is>
          <t>Unsigned</t>
        </is>
      </c>
      <c r="H15" s="42">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2" t="inlineStr">
        <is>
          <t>6. Recompute the standard-vs-actual difference ((actual − standard) × invoice quantity) and agree it to the recorded purchase price variance (PPV recompute difference = 0); route unabsorbed differences to the capitalized-variance test.</t>
        </is>
      </c>
      <c r="J15" s="42" t="inlineStr">
        <is>
          <t>Valuation &amp; Allocation; Accuracy</t>
        </is>
      </c>
      <c r="K15" s="42" t="inlineStr">
        <is>
          <t>&lt;.2&gt;/&lt;.4&gt;</t>
        </is>
      </c>
      <c r="L15" s="42" t="n"/>
      <c r="M15" s="43" t="n"/>
      <c r="N15" s="42" t="n"/>
      <c r="O15" s="42" t="n"/>
      <c r="P15" s="42" t="inlineStr">
        <is>
          <t>PROC:PROC-INVENTORY; PROC:RESP-INVENTORY-INVENTORY</t>
        </is>
      </c>
      <c r="Q15" s="42" t="n"/>
    </row>
    <row r="16">
      <c r="A16" s="39" t="n"/>
      <c r="B16" s="35" t="n"/>
      <c r="C16" s="35" t="n"/>
      <c r="D16" s="35" t="n"/>
      <c r="E16" s="35" t="n"/>
      <c r="F16" s="35" t="n"/>
      <c r="G16" s="35" t="n"/>
      <c r="H16" s="35" t="n"/>
      <c r="I16" s="44" t="inlineStr">
        <is>
          <t>&lt;.3&gt; RM Cost — Weighted Average</t>
        </is>
      </c>
      <c r="J16" s="35" t="n"/>
      <c r="K16" s="35" t="n"/>
      <c r="L16" s="35" t="n"/>
      <c r="M16" s="35" t="n"/>
      <c r="N16" s="35" t="n"/>
      <c r="O16" s="35" t="n"/>
      <c r="P16" s="35" t="n"/>
      <c r="Q16" s="35" t="n"/>
    </row>
    <row r="17" ht="120" customHeight="1">
      <c r="A17" s="41" t="inlineStr">
        <is>
          <t>Applicable</t>
        </is>
      </c>
      <c r="B17" s="41" t="inlineStr">
        <is>
          <t>Required</t>
        </is>
      </c>
      <c r="C17" s="41" t="inlineStr">
        <is>
          <t>Not Started</t>
        </is>
      </c>
      <c r="D17" s="41" t="inlineStr">
        <is>
          <t>Missing</t>
        </is>
      </c>
      <c r="E17" s="41" t="inlineStr">
        <is>
          <t>Unable to Conclude</t>
        </is>
      </c>
      <c r="F17" s="41" t="inlineStr">
        <is>
          <t>None</t>
        </is>
      </c>
      <c r="G17" s="42" t="inlineStr">
        <is>
          <t>Unsigned</t>
        </is>
      </c>
      <c r="H17" s="42">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2" t="inlineStr">
        <is>
          <t>7. Select raw materials from the YE inventory listing and obtain the purchase history over the test period; confirm quantity coverage (≥ YE quantity).</t>
        </is>
      </c>
      <c r="J17" s="42" t="inlineStr">
        <is>
          <t>Valuation &amp; Allocation; Existence</t>
        </is>
      </c>
      <c r="K17" s="42" t="inlineStr">
        <is>
          <t>&lt;.3&gt;</t>
        </is>
      </c>
      <c r="L17" s="42" t="n"/>
      <c r="M17" s="43" t="n"/>
      <c r="N17" s="42" t="n"/>
      <c r="O17" s="42" t="n"/>
      <c r="P17" s="42" t="inlineStr">
        <is>
          <t>PROC:PROC-INVENTORY; PROC:RESP-INVENTORY-INVENTORY</t>
        </is>
      </c>
      <c r="Q17" s="42" t="n"/>
    </row>
    <row r="18" ht="120" customHeight="1">
      <c r="A18" s="41" t="inlineStr">
        <is>
          <t>Applicable</t>
        </is>
      </c>
      <c r="B18" s="41" t="inlineStr">
        <is>
          <t>Required</t>
        </is>
      </c>
      <c r="C18" s="41" t="inlineStr">
        <is>
          <t>Not Started</t>
        </is>
      </c>
      <c r="D18" s="41" t="inlineStr">
        <is>
          <t>Missing</t>
        </is>
      </c>
      <c r="E18" s="41" t="inlineStr">
        <is>
          <t>Unable to Conclude</t>
        </is>
      </c>
      <c r="F18" s="41" t="inlineStr">
        <is>
          <t>None</t>
        </is>
      </c>
      <c r="G18" s="42" t="inlineStr">
        <is>
          <t>Unsigned</t>
        </is>
      </c>
      <c r="H18" s="42">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2" t="inlineStr">
        <is>
          <t>8. Recompute the weighted-average unit cost (total period purchase cost ÷ total period purchase quantity), compare to the listing unit cost, and extend the per-unit difference over the YE quantity.</t>
        </is>
      </c>
      <c r="J18" s="42" t="inlineStr">
        <is>
          <t>Valuation &amp; Allocation; Accuracy</t>
        </is>
      </c>
      <c r="K18" s="42" t="inlineStr">
        <is>
          <t>&lt;.3&gt;</t>
        </is>
      </c>
      <c r="L18" s="42" t="n"/>
      <c r="M18" s="43" t="n"/>
      <c r="N18" s="42" t="n"/>
      <c r="O18" s="42" t="n"/>
      <c r="P18" s="42" t="inlineStr">
        <is>
          <t>PROC:PROC-INVENTORY; PROC:RESP-INVENTORY-INVENTORY</t>
        </is>
      </c>
      <c r="Q18" s="42" t="n"/>
    </row>
    <row r="19" ht="120" customHeight="1">
      <c r="A19" s="41" t="inlineStr">
        <is>
          <t>Applicable</t>
        </is>
      </c>
      <c r="B19" s="41" t="inlineStr">
        <is>
          <t>Required</t>
        </is>
      </c>
      <c r="C19" s="41" t="inlineStr">
        <is>
          <t>Not Started</t>
        </is>
      </c>
      <c r="D19" s="41" t="inlineStr">
        <is>
          <t>Missing</t>
        </is>
      </c>
      <c r="E19" s="41" t="inlineStr">
        <is>
          <t>Unable to Conclude</t>
        </is>
      </c>
      <c r="F19" s="41" t="inlineStr">
        <is>
          <t>None</t>
        </is>
      </c>
      <c r="G19" s="42" t="inlineStr">
        <is>
          <t>Unsigned</t>
        </is>
      </c>
      <c r="H19" s="42">
        <f>IF(A19="Not Applicable - Fact Driven",IF(AND(C19="Not Performed",D19="Not Required",OR(F19="None",F19="Resolved",F19="Passed"),OR(G19="Prepared",G19="Reviewed"),LEFT(O19,6)="FACT:/",Q19&lt;&gt;""),"Valid N/A","Blocked"),IF(AND(B19="Recommended",C19="Not Performed",D19="Not Required",OR(F19="None",F19="Resolved",F19="Passed")),"Recommended - Not Performed",IF(C19&lt;&gt;"Performed","Open - "&amp;C19,IF(D19&lt;&gt;"Sufficient","Open - "&amp;D19&amp;" Evidence",IF(E19="Unable to Conclude","Open - Unable to Conclude",IF(AND(E19="Exception Identified",ISERROR(SEARCH("ISSUE:",P19))),"Open - Missing Issue ID",IF(AND(F19="Open",ISERROR(SEARCH("ISSUE:",P19))),"Open - Missing Issue ID",IF(OR(F19="Open",F19="Superseded"),"Open - "&amp;F19&amp;" Issue",IF(AND(E19="Exception Identified",NOT(OR(F19="Adjusted",F19="Passed",F19="Resolved"))),"Open - Undispositioned Exception",IF(OR(G19="Prepared",G19="Reviewed"),"Passed","Open - Unsigned"))))))))))</f>
        <v/>
      </c>
      <c r="I19" s="42" t="inlineStr">
        <is>
          <t>9. Vouch one invoice per selection from the purchase report for cost accuracy.</t>
        </is>
      </c>
      <c r="J19" s="42" t="inlineStr">
        <is>
          <t>Accuracy</t>
        </is>
      </c>
      <c r="K19" s="42" t="inlineStr">
        <is>
          <t>&lt;.3&gt;</t>
        </is>
      </c>
      <c r="L19" s="42" t="n"/>
      <c r="M19" s="43" t="n"/>
      <c r="N19" s="42" t="n"/>
      <c r="O19" s="42" t="n"/>
      <c r="P19" s="42" t="inlineStr">
        <is>
          <t>PROC:PROC-INVENTORY; PROC:RESP-INVENTORY-INVENTORY</t>
        </is>
      </c>
      <c r="Q19" s="42" t="n"/>
    </row>
    <row r="20">
      <c r="A20" s="39" t="n"/>
      <c r="B20" s="35" t="n"/>
      <c r="C20" s="35" t="n"/>
      <c r="D20" s="35" t="n"/>
      <c r="E20" s="35" t="n"/>
      <c r="F20" s="35" t="n"/>
      <c r="G20" s="35" t="n"/>
      <c r="H20" s="35" t="n"/>
      <c r="I20" s="44" t="inlineStr">
        <is>
          <t>&lt;.4&gt; Capitalized Variance</t>
        </is>
      </c>
      <c r="J20" s="35" t="n"/>
      <c r="K20" s="35" t="n"/>
      <c r="L20" s="35" t="n"/>
      <c r="M20" s="35" t="n"/>
      <c r="N20" s="35" t="n"/>
      <c r="O20" s="35" t="n"/>
      <c r="P20" s="35" t="n"/>
      <c r="Q20" s="35" t="n"/>
    </row>
    <row r="21" ht="120" customHeight="1">
      <c r="A21" s="41" t="inlineStr">
        <is>
          <t>Applicable</t>
        </is>
      </c>
      <c r="B21" s="41" t="inlineStr">
        <is>
          <t>Required</t>
        </is>
      </c>
      <c r="C21" s="41" t="inlineStr">
        <is>
          <t>Not Started</t>
        </is>
      </c>
      <c r="D21" s="41" t="inlineStr">
        <is>
          <t>Missing</t>
        </is>
      </c>
      <c r="E21" s="41" t="inlineStr">
        <is>
          <t>Unable to Conclude</t>
        </is>
      </c>
      <c r="F21" s="41" t="inlineStr">
        <is>
          <t>None</t>
        </is>
      </c>
      <c r="G21" s="42" t="inlineStr">
        <is>
          <t>Unsigned</t>
        </is>
      </c>
      <c r="H21" s="42">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2" t="inlineStr">
        <is>
          <t>10. Compile the full-period variance pool (PPV, usage, labor rate / efficiency, OH spend / volume) from the GL and split out ABNORMAL amounts (idle facility, excess spoilage, double freight, rehandling) as period costs.</t>
        </is>
      </c>
      <c r="J21" s="42" t="inlineStr">
        <is>
          <t>Valuation &amp; Allocation; Completeness</t>
        </is>
      </c>
      <c r="K21" s="42" t="inlineStr">
        <is>
          <t>&lt;.4&gt;</t>
        </is>
      </c>
      <c r="L21" s="42" t="n"/>
      <c r="M21" s="43" t="n"/>
      <c r="N21" s="42" t="n"/>
      <c r="O21" s="42" t="n"/>
      <c r="P21" s="42" t="inlineStr">
        <is>
          <t>PROC:PROC-INVENTORY; PROC:RESP-INVENTORY-INVENTORY</t>
        </is>
      </c>
      <c r="Q21" s="42" t="n"/>
    </row>
    <row r="22" ht="120" customHeight="1">
      <c r="A22" s="41" t="inlineStr">
        <is>
          <t>Applicable</t>
        </is>
      </c>
      <c r="B22" s="41" t="inlineStr">
        <is>
          <t>Required</t>
        </is>
      </c>
      <c r="C22" s="41" t="inlineStr">
        <is>
          <t>Not Started</t>
        </is>
      </c>
      <c r="D22" s="41" t="inlineStr">
        <is>
          <t>Missing</t>
        </is>
      </c>
      <c r="E22" s="41" t="inlineStr">
        <is>
          <t>Unable to Conclude</t>
        </is>
      </c>
      <c r="F22" s="41" t="inlineStr">
        <is>
          <t>None</t>
        </is>
      </c>
      <c r="G22" s="42" t="inlineStr">
        <is>
          <t>Unsigned</t>
        </is>
      </c>
      <c r="H22" s="42">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42" t="inlineStr">
        <is>
          <t>11. Compute the inventory-on-hand ratio (ending inventory at standard ÷ total throughput at standard) and the variance to capitalize (normal pool × ratio).</t>
        </is>
      </c>
      <c r="J22" s="42" t="inlineStr">
        <is>
          <t>Valuation &amp; Allocation; Accuracy</t>
        </is>
      </c>
      <c r="K22" s="42" t="inlineStr">
        <is>
          <t>&lt;.4&gt;</t>
        </is>
      </c>
      <c r="L22" s="42" t="n"/>
      <c r="M22" s="43" t="n"/>
      <c r="N22" s="42" t="n"/>
      <c r="O22" s="42" t="n"/>
      <c r="P22" s="42" t="inlineStr">
        <is>
          <t>PROC:PROC-INVENTORY; PROC:RESP-INVENTORY-INVENTORY</t>
        </is>
      </c>
      <c r="Q22" s="42" t="n"/>
    </row>
    <row r="23" ht="120" customHeight="1">
      <c r="A23" s="41" t="inlineStr">
        <is>
          <t>Applicable</t>
        </is>
      </c>
      <c r="B23" s="41" t="inlineStr">
        <is>
          <t>Required</t>
        </is>
      </c>
      <c r="C23" s="41" t="inlineStr">
        <is>
          <t>Not Started</t>
        </is>
      </c>
      <c r="D23" s="41" t="inlineStr">
        <is>
          <t>Missing</t>
        </is>
      </c>
      <c r="E23" s="41" t="inlineStr">
        <is>
          <t>Unable to Conclude</t>
        </is>
      </c>
      <c r="F23" s="41" t="inlineStr">
        <is>
          <t>None</t>
        </is>
      </c>
      <c r="G23" s="42" t="inlineStr">
        <is>
          <t>Unsigned</t>
        </is>
      </c>
      <c r="H23" s="42">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2" t="inlineStr">
        <is>
          <t>12. Compare the recomputed capitalizable variance to the capitalized variance recorded on the balance sheet and propose an adjustment for the difference, so that year-end standard cost approximates actual (ASC 330; PwC IV 1.3 / 1.4.2).</t>
        </is>
      </c>
      <c r="J23" s="42" t="inlineStr">
        <is>
          <t>Valuation &amp; Allocation</t>
        </is>
      </c>
      <c r="K23" s="42" t="inlineStr">
        <is>
          <t>&lt;.4&gt;</t>
        </is>
      </c>
      <c r="L23" s="42" t="n"/>
      <c r="M23" s="43" t="n"/>
      <c r="N23" s="42" t="n"/>
      <c r="O23" s="42" t="n"/>
      <c r="P23" s="42" t="inlineStr">
        <is>
          <t>PROC:PROC-INVENTORY; PROC:RESP-INVENTORY-INVENTORY</t>
        </is>
      </c>
      <c r="Q23" s="42" t="n"/>
    </row>
    <row r="24">
      <c r="A24" s="39" t="n"/>
      <c r="B24" s="35" t="n"/>
      <c r="C24" s="35" t="n"/>
      <c r="D24" s="35" t="n"/>
      <c r="E24" s="35" t="n"/>
      <c r="F24" s="35" t="n"/>
      <c r="G24" s="35" t="n"/>
      <c r="H24" s="35" t="n"/>
      <c r="I24" s="44" t="inlineStr">
        <is>
          <t>&lt;.5&gt; Labor &amp; OH Variance</t>
        </is>
      </c>
      <c r="J24" s="35" t="n"/>
      <c r="K24" s="35" t="n"/>
      <c r="L24" s="35" t="n"/>
      <c r="M24" s="35" t="n"/>
      <c r="N24" s="35" t="n"/>
      <c r="O24" s="35" t="n"/>
      <c r="P24" s="35" t="n"/>
      <c r="Q24" s="35" t="n"/>
    </row>
    <row r="25" ht="120" customHeight="1">
      <c r="A25" s="41" t="inlineStr">
        <is>
          <t>Applicable</t>
        </is>
      </c>
      <c r="B25" s="41" t="inlineStr">
        <is>
          <t>Required</t>
        </is>
      </c>
      <c r="C25" s="41" t="inlineStr">
        <is>
          <t>Not Started</t>
        </is>
      </c>
      <c r="D25" s="41" t="inlineStr">
        <is>
          <t>Missing</t>
        </is>
      </c>
      <c r="E25" s="41" t="inlineStr">
        <is>
          <t>Unable to Conclude</t>
        </is>
      </c>
      <c r="F25" s="41" t="inlineStr">
        <is>
          <t>None</t>
        </is>
      </c>
      <c r="G25" s="42" t="inlineStr">
        <is>
          <t>Unsigned</t>
        </is>
      </c>
      <c r="H25" s="42">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42" t="inlineStr">
        <is>
          <t>13. Recompute labor rate and efficiency variances (standard vs actual rates and hours) to supporting payroll / routing data.</t>
        </is>
      </c>
      <c r="J25" s="42" t="inlineStr">
        <is>
          <t>Valuation &amp; Allocation; Accuracy</t>
        </is>
      </c>
      <c r="K25" s="42" t="inlineStr">
        <is>
          <t>&lt;.5&gt;</t>
        </is>
      </c>
      <c r="L25" s="42" t="n"/>
      <c r="M25" s="43" t="n"/>
      <c r="N25" s="42" t="n"/>
      <c r="O25" s="42" t="n"/>
      <c r="P25" s="42" t="inlineStr">
        <is>
          <t>PROC:PROC-INVENTORY; PROC:RESP-INVENTORY-INVENTORY</t>
        </is>
      </c>
      <c r="Q25" s="42" t="n"/>
    </row>
    <row r="26" ht="120" customHeight="1">
      <c r="A26" s="41" t="inlineStr">
        <is>
          <t>Applicable</t>
        </is>
      </c>
      <c r="B26" s="41" t="inlineStr">
        <is>
          <t>Required</t>
        </is>
      </c>
      <c r="C26" s="41" t="inlineStr">
        <is>
          <t>Not Started</t>
        </is>
      </c>
      <c r="D26" s="41" t="inlineStr">
        <is>
          <t>Missing</t>
        </is>
      </c>
      <c r="E26" s="41" t="inlineStr">
        <is>
          <t>Unable to Conclude</t>
        </is>
      </c>
      <c r="F26" s="41" t="inlineStr">
        <is>
          <t>None</t>
        </is>
      </c>
      <c r="G26" s="42" t="inlineStr">
        <is>
          <t>Unsigned</t>
        </is>
      </c>
      <c r="H26" s="42">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2" t="inlineStr">
        <is>
          <t>14. Recompute overhead absorption (application rate × actual driver vs actual overhead incurred) and quantify over / under-absorption.</t>
        </is>
      </c>
      <c r="J26" s="42" t="inlineStr">
        <is>
          <t>Valuation &amp; Allocation; Accuracy</t>
        </is>
      </c>
      <c r="K26" s="42" t="inlineStr">
        <is>
          <t>&lt;.5&gt;</t>
        </is>
      </c>
      <c r="L26" s="42" t="n"/>
      <c r="M26" s="43" t="n"/>
      <c r="N26" s="42" t="n"/>
      <c r="O26" s="42" t="n"/>
      <c r="P26" s="42" t="inlineStr">
        <is>
          <t>PROC:PROC-INVENTORY; PROC:RESP-INVENTORY-INVENTORY</t>
        </is>
      </c>
      <c r="Q26" s="42" t="n"/>
    </row>
    <row r="27" ht="120" customHeight="1">
      <c r="A27" s="41" t="inlineStr">
        <is>
          <t>Applicable</t>
        </is>
      </c>
      <c r="B27" s="41" t="inlineStr">
        <is>
          <t>Required</t>
        </is>
      </c>
      <c r="C27" s="41" t="inlineStr">
        <is>
          <t>Not Started</t>
        </is>
      </c>
      <c r="D27" s="41" t="inlineStr">
        <is>
          <t>Missing</t>
        </is>
      </c>
      <c r="E27" s="41" t="inlineStr">
        <is>
          <t>Unable to Conclude</t>
        </is>
      </c>
      <c r="F27" s="41" t="inlineStr">
        <is>
          <t>None</t>
        </is>
      </c>
      <c r="G27" s="42" t="inlineStr">
        <is>
          <t>Unsigned</t>
        </is>
      </c>
      <c r="H27" s="42">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42" t="inlineStr">
        <is>
          <t>15. Evaluate normal capacity: with abnormally LOW production, fixed OH per unit is NOT increased (unallocated OH expensed); abnormal costs are expensed as incurred (ASC 330-10-30-3 to 30-8); route normal variances to the &lt;.4&gt; pool.</t>
        </is>
      </c>
      <c r="J27" s="42" t="inlineStr">
        <is>
          <t>Valuation &amp; Allocation</t>
        </is>
      </c>
      <c r="K27" s="42" t="inlineStr">
        <is>
          <t>&lt;.5&gt;/&lt;.4&gt;</t>
        </is>
      </c>
      <c r="L27" s="42" t="n"/>
      <c r="M27" s="43" t="n"/>
      <c r="N27" s="42" t="n"/>
      <c r="O27" s="42" t="n"/>
      <c r="P27" s="42" t="inlineStr">
        <is>
          <t>PROC:PROC-INVENTORY; PROC:RESP-INVENTORY-INVENTORY</t>
        </is>
      </c>
      <c r="Q27" s="42" t="n"/>
    </row>
    <row r="28">
      <c r="A28" s="39" t="n"/>
      <c r="B28" s="35" t="n"/>
      <c r="C28" s="35" t="n"/>
      <c r="D28" s="35" t="n"/>
      <c r="E28" s="35" t="n"/>
      <c r="F28" s="35" t="n"/>
      <c r="G28" s="35" t="n"/>
      <c r="H28" s="35" t="n"/>
      <c r="I28" s="44" t="inlineStr">
        <is>
          <t>&lt;.6&gt; FG Cost Buildup &amp; BOM</t>
        </is>
      </c>
      <c r="J28" s="35" t="n"/>
      <c r="K28" s="35" t="n"/>
      <c r="L28" s="35" t="n"/>
      <c r="M28" s="35" t="n"/>
      <c r="N28" s="35" t="n"/>
      <c r="O28" s="35" t="n"/>
      <c r="P28" s="35" t="n"/>
      <c r="Q28" s="35" t="n"/>
    </row>
    <row r="29" ht="120" customHeight="1">
      <c r="A29" s="41" t="inlineStr">
        <is>
          <t>Applicable</t>
        </is>
      </c>
      <c r="B29" s="41" t="inlineStr">
        <is>
          <t>Required</t>
        </is>
      </c>
      <c r="C29" s="41" t="inlineStr">
        <is>
          <t>Not Started</t>
        </is>
      </c>
      <c r="D29" s="41" t="inlineStr">
        <is>
          <t>Missing</t>
        </is>
      </c>
      <c r="E29" s="41" t="inlineStr">
        <is>
          <t>Unable to Conclude</t>
        </is>
      </c>
      <c r="F29" s="41" t="inlineStr">
        <is>
          <t>None</t>
        </is>
      </c>
      <c r="G29" s="42" t="inlineStr">
        <is>
          <t>Unsigned</t>
        </is>
      </c>
      <c r="H29" s="42">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2" t="inlineStr">
        <is>
          <t>16. Select finished goods from the YE listing, obtain the cost breakup (RM + labor + OH), and verify the breakup sums to the FG unit cost per the listing.</t>
        </is>
      </c>
      <c r="J29" s="42" t="inlineStr">
        <is>
          <t>Valuation &amp; Allocation; Accuracy</t>
        </is>
      </c>
      <c r="K29" s="42" t="inlineStr">
        <is>
          <t>&lt;.6&gt;</t>
        </is>
      </c>
      <c r="L29" s="42" t="n"/>
      <c r="M29" s="43" t="n"/>
      <c r="N29" s="42" t="n"/>
      <c r="O29" s="42" t="n"/>
      <c r="P29" s="42" t="inlineStr">
        <is>
          <t>PROC:PROC-INVENTORY; PROC:RESP-INVENTORY-INVENTORY</t>
        </is>
      </c>
      <c r="Q29" s="42" t="n"/>
    </row>
    <row r="30" ht="120" customHeight="1">
      <c r="A30" s="41" t="inlineStr">
        <is>
          <t>Applicable</t>
        </is>
      </c>
      <c r="B30" s="41" t="inlineStr">
        <is>
          <t>Required</t>
        </is>
      </c>
      <c r="C30" s="41" t="inlineStr">
        <is>
          <t>Not Started</t>
        </is>
      </c>
      <c r="D30" s="41" t="inlineStr">
        <is>
          <t>Missing</t>
        </is>
      </c>
      <c r="E30" s="41" t="inlineStr">
        <is>
          <t>Unable to Conclude</t>
        </is>
      </c>
      <c r="F30" s="41" t="inlineStr">
        <is>
          <t>None</t>
        </is>
      </c>
      <c r="G30" s="42" t="inlineStr">
        <is>
          <t>Unsigned</t>
        </is>
      </c>
      <c r="H30" s="42">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42" t="inlineStr">
        <is>
          <t>17. Verify the RM content from the bill of materials: BOM quantity × the RM unit cost per the tested RM inventory listing = the RM element of the buildup; agree labor hours × rates and OH driver × rate to &lt;.5&gt; support.</t>
        </is>
      </c>
      <c r="J30" s="42" t="inlineStr">
        <is>
          <t>Valuation &amp; Allocation; Accuracy</t>
        </is>
      </c>
      <c r="K30" s="42" t="inlineStr">
        <is>
          <t>&lt;.6&gt;/&lt;.2&gt;/&lt;.3&gt;/&lt;.5&gt;</t>
        </is>
      </c>
      <c r="L30" s="42" t="n"/>
      <c r="M30" s="43" t="n"/>
      <c r="N30" s="42" t="n"/>
      <c r="O30" s="42" t="n"/>
      <c r="P30" s="42" t="inlineStr">
        <is>
          <t>PROC:PROC-INVENTORY; PROC:RESP-INVENTORY-INVENTORY</t>
        </is>
      </c>
      <c r="Q30" s="42" t="n"/>
    </row>
    <row r="31">
      <c r="A31" s="39" t="n"/>
      <c r="B31" s="35" t="n"/>
      <c r="C31" s="35" t="n"/>
      <c r="D31" s="35" t="n"/>
      <c r="E31" s="35" t="n"/>
      <c r="F31" s="35" t="n"/>
      <c r="G31" s="35" t="n"/>
      <c r="H31" s="35" t="n"/>
      <c r="I31" s="44" t="inlineStr">
        <is>
          <t>&lt;.7&gt; Obsolescence &amp; Reserve</t>
        </is>
      </c>
      <c r="J31" s="35" t="n"/>
      <c r="K31" s="35" t="n"/>
      <c r="L31" s="35" t="n"/>
      <c r="M31" s="35" t="n"/>
      <c r="N31" s="35" t="n"/>
      <c r="O31" s="35" t="n"/>
      <c r="P31" s="35" t="n"/>
      <c r="Q31" s="35" t="n"/>
    </row>
    <row r="32" ht="120" customHeight="1">
      <c r="A32" s="41" t="inlineStr">
        <is>
          <t>Applicable</t>
        </is>
      </c>
      <c r="B32" s="41" t="inlineStr">
        <is>
          <t>Required</t>
        </is>
      </c>
      <c r="C32" s="41" t="inlineStr">
        <is>
          <t>Not Started</t>
        </is>
      </c>
      <c r="D32" s="41" t="inlineStr">
        <is>
          <t>Missing</t>
        </is>
      </c>
      <c r="E32" s="41" t="inlineStr">
        <is>
          <t>Unable to Conclude</t>
        </is>
      </c>
      <c r="F32" s="41" t="inlineStr">
        <is>
          <t>None</t>
        </is>
      </c>
      <c r="G32" s="42" t="inlineStr">
        <is>
          <t>Unsigned</t>
        </is>
      </c>
      <c r="H32" s="42">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2" t="inlineStr">
        <is>
          <t>18. Age the inventory by last usage / last sale, recompute the excess / obsolete reserve per the methodology, corroborate the percentages against historical scrap / sell-through, and compare to the recorded reserve.</t>
        </is>
      </c>
      <c r="J32" s="42" t="inlineStr">
        <is>
          <t>Valuation &amp; Allocation</t>
        </is>
      </c>
      <c r="K32" s="42" t="inlineStr">
        <is>
          <t>&lt;.7&gt;</t>
        </is>
      </c>
      <c r="L32" s="42" t="n"/>
      <c r="M32" s="43" t="n"/>
      <c r="N32" s="42" t="n"/>
      <c r="O32" s="42" t="n"/>
      <c r="P32" s="42" t="inlineStr">
        <is>
          <t>PROC:PROC-INVENTORY; PROC:RESP-INVENTORY-INVENTORY</t>
        </is>
      </c>
      <c r="Q32" s="42" t="n"/>
    </row>
    <row r="33" ht="120" customHeight="1">
      <c r="A33" s="41" t="inlineStr">
        <is>
          <t>Applicable</t>
        </is>
      </c>
      <c r="B33" s="41" t="inlineStr">
        <is>
          <t>Required</t>
        </is>
      </c>
      <c r="C33" s="41" t="inlineStr">
        <is>
          <t>Not Started</t>
        </is>
      </c>
      <c r="D33" s="41" t="inlineStr">
        <is>
          <t>Missing</t>
        </is>
      </c>
      <c r="E33" s="41" t="inlineStr">
        <is>
          <t>Unable to Conclude</t>
        </is>
      </c>
      <c r="F33" s="41" t="inlineStr">
        <is>
          <t>None</t>
        </is>
      </c>
      <c r="G33" s="42" t="inlineStr">
        <is>
          <t>Unsigned</t>
        </is>
      </c>
      <c r="H33" s="42">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2" t="inlineStr">
        <is>
          <t>19. Identify discontinued / superseded items and evaluate specific reserves.</t>
        </is>
      </c>
      <c r="J33" s="42" t="inlineStr">
        <is>
          <t>Valuation &amp; Allocation</t>
        </is>
      </c>
      <c r="K33" s="42" t="inlineStr">
        <is>
          <t>&lt;.7&gt;</t>
        </is>
      </c>
      <c r="L33" s="42" t="n"/>
      <c r="M33" s="43" t="n"/>
      <c r="N33" s="42" t="n"/>
      <c r="O33" s="42" t="n"/>
      <c r="P33" s="42" t="inlineStr">
        <is>
          <t>PROC:PROC-INVENTORY; PROC:RESP-INVENTORY-INVENTORY</t>
        </is>
      </c>
      <c r="Q33" s="42" t="n"/>
    </row>
    <row r="34">
      <c r="A34" s="39" t="n"/>
      <c r="B34" s="35" t="n"/>
      <c r="C34" s="35" t="n"/>
      <c r="D34" s="35" t="n"/>
      <c r="E34" s="35" t="n"/>
      <c r="F34" s="35" t="n"/>
      <c r="G34" s="35" t="n"/>
      <c r="H34" s="35" t="n"/>
      <c r="I34" s="40" t="inlineStr">
        <is>
          <t>&lt;.8&gt; NRV Testing</t>
        </is>
      </c>
      <c r="J34" s="35" t="n"/>
      <c r="K34" s="35" t="n"/>
      <c r="L34" s="35" t="n"/>
      <c r="M34" s="35" t="n"/>
      <c r="N34" s="35" t="n"/>
      <c r="O34" s="35" t="n"/>
      <c r="P34" s="35" t="n"/>
      <c r="Q34" s="35" t="n"/>
    </row>
    <row r="35" ht="120" customHeight="1">
      <c r="A35" s="41" t="inlineStr">
        <is>
          <t>Applicable</t>
        </is>
      </c>
      <c r="B35" s="41" t="inlineStr">
        <is>
          <t>Required</t>
        </is>
      </c>
      <c r="C35" s="41" t="inlineStr">
        <is>
          <t>Not Started</t>
        </is>
      </c>
      <c r="D35" s="41" t="inlineStr">
        <is>
          <t>Missing</t>
        </is>
      </c>
      <c r="E35" s="41" t="inlineStr">
        <is>
          <t>Unable to Conclude</t>
        </is>
      </c>
      <c r="F35" s="41" t="inlineStr">
        <is>
          <t>None</t>
        </is>
      </c>
      <c r="G35" s="42" t="inlineStr">
        <is>
          <t>Unsigned</t>
        </is>
      </c>
      <c r="H35" s="42">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2" t="inlineStr">
        <is>
          <t>20. Test lower of cost and NRV per selection — NRV = estimated selling price − costs to complete − costs to sell / dispose / transport — vouching selling prices to recent invoices or committed orders, and compute the write-down (max(0, cost − NRV)).</t>
        </is>
      </c>
      <c r="J35" s="42" t="inlineStr">
        <is>
          <t>Valuation &amp; Allocation</t>
        </is>
      </c>
      <c r="K35" s="42" t="inlineStr">
        <is>
          <t>&lt;.8&gt;</t>
        </is>
      </c>
      <c r="L35" s="42" t="n"/>
      <c r="M35" s="43" t="n"/>
      <c r="N35" s="42" t="n"/>
      <c r="O35" s="42" t="n"/>
      <c r="P35" s="42" t="inlineStr">
        <is>
          <t>PROC:PROC-INVENTORY; PROC:RESP-INVENTORY-INVENTORY</t>
        </is>
      </c>
      <c r="Q35" s="42" t="n"/>
    </row>
    <row r="36" ht="120" customHeight="1">
      <c r="A36" s="41" t="inlineStr">
        <is>
          <t>Applicable</t>
        </is>
      </c>
      <c r="B36" s="41" t="inlineStr">
        <is>
          <t>Required</t>
        </is>
      </c>
      <c r="C36" s="41" t="inlineStr">
        <is>
          <t>Not Started</t>
        </is>
      </c>
      <c r="D36" s="41" t="inlineStr">
        <is>
          <t>Missing</t>
        </is>
      </c>
      <c r="E36" s="41" t="inlineStr">
        <is>
          <t>Unable to Conclude</t>
        </is>
      </c>
      <c r="F36" s="41" t="inlineStr">
        <is>
          <t>None</t>
        </is>
      </c>
      <c r="G36" s="42" t="inlineStr">
        <is>
          <t>Unsigned</t>
        </is>
      </c>
      <c r="H36" s="42">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2" t="inlineStr">
        <is>
          <t>21. Apply the correct unit of account and evaluate RM / WIP based on the finished product they will become (no write-down where the finished product sells at or above cost).</t>
        </is>
      </c>
      <c r="J36" s="42" t="inlineStr">
        <is>
          <t>Valuation &amp; Allocation</t>
        </is>
      </c>
      <c r="K36" s="42" t="inlineStr">
        <is>
          <t>&lt;.8&gt;</t>
        </is>
      </c>
      <c r="L36" s="42" t="n"/>
      <c r="M36" s="43" t="n"/>
      <c r="N36" s="42" t="n"/>
      <c r="O36" s="42" t="n"/>
      <c r="P36" s="42" t="inlineStr">
        <is>
          <t>PROC:PROC-INVENTORY; PROC:RESP-INVENTORY-INVENTORY</t>
        </is>
      </c>
      <c r="Q36" s="42" t="n"/>
    </row>
    <row r="37">
      <c r="A37" s="39" t="n"/>
      <c r="B37" s="35" t="n"/>
      <c r="C37" s="35" t="n"/>
      <c r="D37" s="35" t="n"/>
      <c r="E37" s="35" t="n"/>
      <c r="F37" s="35" t="n"/>
      <c r="G37" s="35" t="n"/>
      <c r="H37" s="35" t="n"/>
      <c r="I37" s="44" t="inlineStr">
        <is>
          <t>&lt;.9&gt; Analytics &amp; Disclosures</t>
        </is>
      </c>
      <c r="J37" s="35" t="n"/>
      <c r="K37" s="35" t="n"/>
      <c r="L37" s="35" t="n"/>
      <c r="M37" s="35" t="n"/>
      <c r="N37" s="35" t="n"/>
      <c r="O37" s="35" t="n"/>
      <c r="P37" s="35" t="n"/>
      <c r="Q37" s="35" t="n"/>
    </row>
    <row r="38" ht="120" customHeight="1">
      <c r="A38" s="41" t="inlineStr">
        <is>
          <t>Applicable</t>
        </is>
      </c>
      <c r="B38" s="41" t="inlineStr">
        <is>
          <t>Required</t>
        </is>
      </c>
      <c r="C38" s="41" t="inlineStr">
        <is>
          <t>Not Started</t>
        </is>
      </c>
      <c r="D38" s="41" t="inlineStr">
        <is>
          <t>Missing</t>
        </is>
      </c>
      <c r="E38" s="41" t="inlineStr">
        <is>
          <t>Unable to Conclude</t>
        </is>
      </c>
      <c r="F38" s="41" t="inlineStr">
        <is>
          <t>None</t>
        </is>
      </c>
      <c r="G38" s="42" t="inlineStr">
        <is>
          <t>Unsigned</t>
        </is>
      </c>
      <c r="H38" s="42">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2" t="inlineStr">
        <is>
          <t>22. Perform inventory analytics (turns, days on hand, margin, reserve %, variance % of purchases) and investigate unusual movements.</t>
        </is>
      </c>
      <c r="J38" s="42" t="inlineStr">
        <is>
          <t>Valuation &amp; Allocation</t>
        </is>
      </c>
      <c r="K38" s="42" t="inlineStr">
        <is>
          <t>&lt;.9&gt;</t>
        </is>
      </c>
      <c r="L38" s="42" t="n"/>
      <c r="M38" s="43" t="n"/>
      <c r="N38" s="42" t="n"/>
      <c r="O38" s="42" t="n"/>
      <c r="P38" s="42" t="inlineStr">
        <is>
          <t>PROC:PROC-INVENTORY; PROC:RESP-INVENTORY-INVENTORY</t>
        </is>
      </c>
      <c r="Q38" s="42" t="n"/>
    </row>
    <row r="39" ht="120" customHeight="1">
      <c r="A39" s="41" t="inlineStr">
        <is>
          <t>Applicable</t>
        </is>
      </c>
      <c r="B39" s="41" t="inlineStr">
        <is>
          <t>Required</t>
        </is>
      </c>
      <c r="C39" s="41" t="inlineStr">
        <is>
          <t>Not Started</t>
        </is>
      </c>
      <c r="D39" s="41" t="inlineStr">
        <is>
          <t>Missing</t>
        </is>
      </c>
      <c r="E39" s="41" t="inlineStr">
        <is>
          <t>Unable to Conclude</t>
        </is>
      </c>
      <c r="F39" s="41" t="inlineStr">
        <is>
          <t>None</t>
        </is>
      </c>
      <c r="G39" s="42" t="inlineStr">
        <is>
          <t>Unsigned</t>
        </is>
      </c>
      <c r="H39" s="42">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42" t="inlineStr">
        <is>
          <t>23. Evaluate presentation and disclosure — cost-flow method, LCNRV policy and write-downs, capitalized-variance policy, pledged inventory, consignment, purchase commitments and losses (ASC 330-10-35-17).</t>
        </is>
      </c>
      <c r="J39" s="42" t="inlineStr">
        <is>
          <t>Presentation &amp; Disclosure</t>
        </is>
      </c>
      <c r="K39" s="42" t="inlineStr">
        <is>
          <t>&lt;.9&gt;</t>
        </is>
      </c>
      <c r="L39" s="42" t="n"/>
      <c r="M39" s="43" t="n"/>
      <c r="N39" s="42" t="n"/>
      <c r="O39" s="42" t="n"/>
      <c r="P39" s="42" t="inlineStr">
        <is>
          <t>PROC:PROC-INVENTORY; PROC:RESP-INVENTORY-INVENTORY</t>
        </is>
      </c>
      <c r="Q39" s="42" t="n"/>
    </row>
    <row r="40">
      <c r="A40" s="39" t="n"/>
      <c r="B40" s="35" t="n"/>
      <c r="C40" s="35" t="n"/>
      <c r="D40" s="35" t="n"/>
      <c r="E40" s="35" t="n"/>
      <c r="F40" s="35" t="n"/>
      <c r="G40" s="35" t="n"/>
      <c r="H40" s="35" t="n"/>
      <c r="I40" s="44" t="inlineStr">
        <is>
          <t>Documentation &amp; Review</t>
        </is>
      </c>
      <c r="J40" s="35" t="n"/>
      <c r="K40" s="35" t="n"/>
      <c r="L40" s="35" t="n"/>
      <c r="M40" s="35" t="n"/>
      <c r="N40" s="35" t="n"/>
      <c r="O40" s="35" t="n"/>
      <c r="P40" s="35" t="n"/>
      <c r="Q40" s="35" t="n"/>
    </row>
    <row r="41" ht="120" customHeight="1">
      <c r="A41" s="41" t="inlineStr">
        <is>
          <t>Applicable</t>
        </is>
      </c>
      <c r="B41" s="41" t="inlineStr">
        <is>
          <t>Required</t>
        </is>
      </c>
      <c r="C41" s="41" t="inlineStr">
        <is>
          <t>Not Started</t>
        </is>
      </c>
      <c r="D41" s="41" t="inlineStr">
        <is>
          <t>Missing</t>
        </is>
      </c>
      <c r="E41" s="41" t="inlineStr">
        <is>
          <t>Unable to Conclude</t>
        </is>
      </c>
      <c r="F41" s="41" t="inlineStr">
        <is>
          <t>None</t>
        </is>
      </c>
      <c r="G41" s="42" t="inlineStr">
        <is>
          <t>Unsigned</t>
        </is>
      </c>
      <c r="H41" s="42">
        <f>IF(A41="Not Applicable - Fact Driven",IF(AND(C41="Not Performed",D41="Not Required",OR(F41="None",F41="Resolved",F41="Passed"),OR(G41="Prepared",G41="Reviewed"),LEFT(O41,6)="FACT:/",Q41&lt;&gt;""),"Valid N/A","Blocked"),IF(AND(B41="Recommended",C41="Not Performed",D41="Not Required",OR(F41="None",F41="Resolved",F41="Passed")),"Recommended - Not Performed",IF(C41&lt;&gt;"Performed","Open - "&amp;C41,IF(D41&lt;&gt;"Sufficient","Open - "&amp;D41&amp;" Evidence",IF(E41="Unable to Conclude","Open - Unable to Conclude",IF(AND(E41="Exception Identified",ISERROR(SEARCH("ISSUE:",P41))),"Open - Missing Issue ID",IF(AND(F41="Open",ISERROR(SEARCH("ISSUE:",P41))),"Open - Missing Issue ID",IF(OR(F41="Open",F41="Superseded"),"Open - "&amp;F41&amp;" Issue",IF(AND(E41="Exception Identified",NOT(OR(F41="Adjusted",F41="Passed",F41="Resolved"))),"Open - Undispositioned Exception",IF(OR(G41="Prepared",G41="Reviewed"),"Passed","Open - Unsigned"))))))))))</f>
        <v/>
      </c>
      <c r="I41" s="42" t="inlineStr">
        <is>
          <t>24. Cross-reference each procedure to its workpaper tab and link it to the relevant assertion(s).</t>
        </is>
      </c>
      <c r="J41" s="42" t="inlineStr">
        <is>
          <t>Overall</t>
        </is>
      </c>
      <c r="K41" s="42" t="inlineStr">
        <is>
          <t>&lt;.0&gt;-&lt;.9&gt;</t>
        </is>
      </c>
      <c r="L41" s="42" t="n"/>
      <c r="M41" s="43" t="n"/>
      <c r="N41" s="42" t="n"/>
      <c r="O41" s="42" t="n"/>
      <c r="P41" s="42" t="inlineStr">
        <is>
          <t>PROC:PROC-INVENTORY; PROC:RESP-INVENTORY-INVENTORY</t>
        </is>
      </c>
      <c r="Q41" s="42" t="n"/>
    </row>
    <row r="42" ht="120" customHeight="1">
      <c r="A42" s="41" t="inlineStr">
        <is>
          <t>Applicable</t>
        </is>
      </c>
      <c r="B42" s="41" t="inlineStr">
        <is>
          <t>Required</t>
        </is>
      </c>
      <c r="C42" s="41" t="inlineStr">
        <is>
          <t>Not Started</t>
        </is>
      </c>
      <c r="D42" s="41" t="inlineStr">
        <is>
          <t>Missing</t>
        </is>
      </c>
      <c r="E42" s="41" t="inlineStr">
        <is>
          <t>Unable to Conclude</t>
        </is>
      </c>
      <c r="F42" s="41" t="inlineStr">
        <is>
          <t>None</t>
        </is>
      </c>
      <c r="G42" s="42" t="inlineStr">
        <is>
          <t>Unsigned</t>
        </is>
      </c>
      <c r="H42" s="42">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42" t="inlineStr">
        <is>
          <t>25. Verify coverage, PPV, capitalization, buildup, reserve and NRV formulas foot correctly and the workbook source trail is complete.</t>
        </is>
      </c>
      <c r="J42" s="42" t="inlineStr">
        <is>
          <t>Accuracy; Completeness</t>
        </is>
      </c>
      <c r="K42" s="42" t="inlineStr">
        <is>
          <t>&lt;.2&gt;-&lt;.8&gt;</t>
        </is>
      </c>
      <c r="L42" s="42" t="n"/>
      <c r="M42" s="43" t="n"/>
      <c r="N42" s="42" t="n"/>
      <c r="O42" s="42" t="n"/>
      <c r="P42" s="42" t="inlineStr">
        <is>
          <t>PROC:PROC-INVENTORY; PROC:RESP-INVENTORY-INVENTORY</t>
        </is>
      </c>
      <c r="Q42" s="42" t="n"/>
    </row>
    <row r="43">
      <c r="A43" s="39" t="n"/>
      <c r="B43" s="35" t="n"/>
      <c r="C43" s="35" t="n"/>
      <c r="D43" s="35" t="n"/>
      <c r="E43" s="35" t="n"/>
      <c r="F43" s="35" t="n"/>
      <c r="G43" s="35" t="n"/>
      <c r="H43" s="35" t="n"/>
      <c r="I43" s="40" t="inlineStr">
        <is>
          <t>Conclusion</t>
        </is>
      </c>
      <c r="J43" s="35" t="n"/>
      <c r="K43" s="35" t="n"/>
      <c r="L43" s="35" t="n"/>
      <c r="M43" s="35" t="n"/>
      <c r="N43" s="35" t="n"/>
      <c r="O43" s="35" t="n"/>
      <c r="P43" s="35" t="n"/>
      <c r="Q43" s="35" t="n"/>
    </row>
    <row r="44" ht="120" customHeight="1">
      <c r="A44" s="41" t="inlineStr">
        <is>
          <t>Applicable</t>
        </is>
      </c>
      <c r="B44" s="41" t="inlineStr">
        <is>
          <t>Required</t>
        </is>
      </c>
      <c r="C44" s="41" t="inlineStr">
        <is>
          <t>Not Started</t>
        </is>
      </c>
      <c r="D44" s="41" t="inlineStr">
        <is>
          <t>Missing</t>
        </is>
      </c>
      <c r="E44" s="41" t="inlineStr">
        <is>
          <t>Unable to Conclude</t>
        </is>
      </c>
      <c r="F44" s="41" t="inlineStr">
        <is>
          <t>None</t>
        </is>
      </c>
      <c r="G44" s="42" t="inlineStr">
        <is>
          <t>Unsigned</t>
        </is>
      </c>
      <c r="H44" s="42">
        <f>IF(A44="Not Applicable - Fact Driven",IF(AND(C44="Not Performed",D44="Not Required",OR(F44="None",F44="Resolved",F44="Passed"),OR(G44="Prepared",G44="Reviewed"),LEFT(O44,6)="FACT:/",Q44&lt;&gt;""),"Valid N/A","Blocked"),IF(AND(B44="Recommended",C44="Not Performed",D44="Not Required",OR(F44="None",F44="Resolved",F44="Passed")),"Recommended - Not Performed",IF(C44&lt;&gt;"Performed","Open - "&amp;C44,IF(D44&lt;&gt;"Sufficient","Open - "&amp;D44&amp;" Evidence",IF(E44="Unable to Conclude","Open - Unable to Conclude",IF(AND(E44="Exception Identified",ISERROR(SEARCH("ISSUE:",P44))),"Open - Missing Issue ID",IF(AND(F44="Open",ISERROR(SEARCH("ISSUE:",P44))),"Open - Missing Issue ID",IF(OR(F44="Open",F44="Superseded"),"Open - "&amp;F44&amp;" Issue",IF(AND(E44="Exception Identified",NOT(OR(F44="Adjusted",F44="Passed",F44="Resolved"))),"Open - Undispositioned Exception",IF(OR(G44="Prepared",G44="Reviewed"),"Passed","Open - Unsigned"))))))))))</f>
        <v/>
      </c>
      <c r="I44" s="42" t="inlineStr">
        <is>
          <t>26. All planned costing and valuation procedures above were performed; results support inventory cost (approximating actual under the stated conventions) and net realizable value, subject to documented open items. Existence, completeness and cutoff are concluded on the companion workpaper.</t>
        </is>
      </c>
      <c r="J44" s="42" t="inlineStr">
        <is>
          <t>Overall</t>
        </is>
      </c>
      <c r="K44" s="42" t="inlineStr">
        <is>
          <t>&lt;.0&gt;-&lt;.9&gt;</t>
        </is>
      </c>
      <c r="L44" s="42" t="n"/>
      <c r="M44" s="43" t="n"/>
      <c r="N44" s="42" t="n"/>
      <c r="O44" s="42" t="n"/>
      <c r="P44" s="42" t="inlineStr">
        <is>
          <t>PROC:PROC-INVENTORY; PROC:RESP-INVENTORY-INVENTORY; WINDOW:WIN-INVENTORY-CUTOFF</t>
        </is>
      </c>
      <c r="Q44" s="42" t="n"/>
    </row>
  </sheetData>
  <autoFilter ref="A6:Q44"/>
  <mergeCells count="13">
    <mergeCell ref="I20:Q20"/>
    <mergeCell ref="I16:Q16"/>
    <mergeCell ref="I7:Q7"/>
    <mergeCell ref="I37:Q37"/>
    <mergeCell ref="I28:Q28"/>
    <mergeCell ref="I31:Q31"/>
    <mergeCell ref="I40:Q40"/>
    <mergeCell ref="I9:Q9"/>
    <mergeCell ref="I34:Q34"/>
    <mergeCell ref="I12:Q12"/>
    <mergeCell ref="I43:Q43"/>
    <mergeCell ref="I24:Q24"/>
    <mergeCell ref="A4:Q4"/>
  </mergeCells>
  <conditionalFormatting sqref="A8:Q44">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3 A14 A15 A17 A18 A19 A21 A22 A23 A25 A26 A27 A29 A30 A32 A33 A35 A36 A38 A39 A41 A42 A44" showDropDown="0" showInputMessage="0" showErrorMessage="0" allowBlank="0" type="list">
      <formula1>"Applicable,Not Applicable - Fact Driven"</formula1>
    </dataValidation>
    <dataValidation sqref="B8 B10 B11 B13 B14 B15 B17 B18 B19 B21 B22 B23 B25 B26 B27 B29 B30 B32 B33 B35 B36 B38 B39 B41 B42 B44" showDropDown="0" showInputMessage="0" showErrorMessage="0" allowBlank="0" type="list">
      <formula1>"Required,Recommended"</formula1>
    </dataValidation>
    <dataValidation sqref="C8 C10 C11 C13 C14 C15 C17 C18 C19 C21 C22 C23 C25 C26 C27 C29 C30 C32 C33 C35 C36 C38 C39 C41 C42 C44" showDropDown="0" showInputMessage="0" showErrorMessage="0" allowBlank="0" type="list">
      <formula1>"Not Started,In Progress,Performed,Not Performed"</formula1>
    </dataValidation>
    <dataValidation sqref="D8 D10 D11 D13 D14 D15 D17 D18 D19 D21 D22 D23 D25 D26 D27 D29 D30 D32 D33 D35 D36 D38 D39 D41 D42 D44" showDropDown="0" showInputMessage="0" showErrorMessage="0" allowBlank="0" type="list">
      <formula1>"Sufficient,Missing,Unreadable,Unreliable,Contradictory,Not Required"</formula1>
    </dataValidation>
    <dataValidation sqref="E8 E10 E11 E13 E14 E15 E17 E18 E19 E21 E22 E23 E25 E26 E27 E29 E30 E32 E33 E35 E36 E38 E39 E41 E42 E44" showDropDown="0" showInputMessage="0" showErrorMessage="0" allowBlank="0" type="list">
      <formula1>"No Exception,Exception Identified,Unable to Conclude"</formula1>
    </dataValidation>
    <dataValidation sqref="F8 F10 F11 F13 F14 F15 F17 F18 F19 F21 F22 F23 F25 F26 F27 F29 F30 F32 F33 F35 F36 F38 F39 F41 F42 F44" showDropDown="0" showInputMessage="0" showErrorMessage="0" allowBlank="0" type="list">
      <formula1>"None,Open,Adjusted,Passed,Resolved,Superseded"</formula1>
    </dataValidation>
    <dataValidation sqref="G8 G10 G11 G13 G14 G15 G17 G18 G19 G21 G22 G23 G25 G26 G27 G29 G30 G32 G33 G35 G36 G38 G39 G41 G42 G44"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L32"/>
  <sheetViews>
    <sheetView showGridLines="0" zoomScale="90" zoomScaleNormal="100" workbookViewId="0">
      <pane xSplit="1" ySplit="7" topLeftCell="B8" activePane="bottomRight" state="frozen"/>
      <selection pane="topRight"/>
      <selection pane="bottomLeft"/>
      <selection pane="bottomRight" activeCell="A6" sqref="A6"/>
    </sheetView>
  </sheetViews>
  <sheetFormatPr baseColWidth="8" defaultColWidth="8.6328125" defaultRowHeight="14.5"/>
  <cols>
    <col width="21.90625" bestFit="1" customWidth="1" min="1" max="1"/>
    <col width="38" customWidth="1" min="2" max="2"/>
    <col width="20" customWidth="1" min="3" max="3"/>
    <col width="37.7" customWidth="1" min="4" max="4"/>
    <col width="12" customWidth="1" min="5" max="5"/>
    <col width="24" customWidth="1" min="6" max="6"/>
    <col width="34" customWidth="1" min="7" max="7"/>
    <col width="18.15" customWidth="1" min="8" max="8"/>
    <col width="24" customWidth="1" min="9" max="9"/>
    <col width="24" customWidth="1" min="10" max="10"/>
    <col width="18" customWidth="1" min="11" max="11"/>
    <col width="24" customWidth="1" min="12" max="12"/>
  </cols>
  <sheetData>
    <row r="1" ht="17.5" customHeight="1">
      <c r="A1" s="45" t="inlineStr">
        <is>
          <t>Source Index</t>
        </is>
      </c>
      <c r="B1" s="35" t="n"/>
      <c r="C1" s="35" t="n"/>
      <c r="D1" s="35" t="n"/>
      <c r="E1" s="35" t="n"/>
      <c r="F1" s="35" t="n"/>
      <c r="G1" s="35" t="n"/>
      <c r="H1" s="35" t="n"/>
      <c r="I1" s="35" t="n"/>
      <c r="J1" s="35" t="n"/>
      <c r="K1" s="35" t="n"/>
      <c r="L1" s="35" t="n"/>
    </row>
    <row r="2">
      <c r="A2" s="46" t="inlineStr">
        <is>
          <t>Client / Entity</t>
        </is>
      </c>
      <c r="B2" s="36" t="inlineStr">
        <is>
          <t>Zephirax Industrial Holdings, LLC</t>
        </is>
      </c>
      <c r="C2" s="35" t="n"/>
      <c r="D2" s="46" t="inlineStr">
        <is>
          <t>Year-End</t>
        </is>
      </c>
      <c r="E2" s="47" t="n">
        <v>46022</v>
      </c>
      <c r="F2" s="35" t="n"/>
      <c r="G2" s="46" t="inlineStr">
        <is>
          <t>Currency</t>
        </is>
      </c>
      <c r="H2" s="48" t="inlineStr">
        <is>
          <t>USD</t>
        </is>
      </c>
      <c r="I2" s="35" t="n"/>
      <c r="J2" s="35" t="n"/>
      <c r="K2" s="35" t="n"/>
      <c r="L2" s="35" t="n"/>
    </row>
    <row r="3" ht="27" customHeight="1">
      <c r="A3" s="49" t="inlineStr">
        <is>
          <t>Performance Materiality</t>
        </is>
      </c>
      <c r="B3" s="50" t="n">
        <v>19100</v>
      </c>
      <c r="C3" s="35" t="n"/>
      <c r="D3" s="49" t="inlineStr">
        <is>
          <t>Tolerable misstatement / testing threshold</t>
        </is>
      </c>
      <c r="E3" s="50" t="n">
        <v>14400</v>
      </c>
      <c r="F3" s="35" t="n"/>
      <c r="G3" s="35" t="n"/>
      <c r="H3" s="35" t="n"/>
      <c r="I3" s="35" t="n"/>
      <c r="J3" s="35" t="n"/>
      <c r="K3" s="35" t="n"/>
      <c r="L3" s="35" t="n"/>
    </row>
    <row r="4" ht="27.75" customHeight="1">
      <c r="A4" s="51" t="inlineStr">
        <is>
          <t>Purpose:</t>
        </is>
      </c>
      <c r="B4" s="52" t="inlineStr">
        <is>
          <t>Map every costing / valuation PBC source and its limitations so the evidence trail is complete and traceable.</t>
        </is>
      </c>
      <c r="C4" s="53" t="n"/>
      <c r="D4" s="53" t="n"/>
      <c r="E4" s="53" t="n"/>
      <c r="F4" s="53" t="n"/>
      <c r="G4" s="53" t="n"/>
      <c r="H4" s="53" t="n"/>
      <c r="I4" s="53" t="n"/>
      <c r="J4" s="53" t="n"/>
      <c r="K4" s="53" t="n"/>
      <c r="L4" s="54" t="n"/>
    </row>
    <row r="5" ht="42" customHeight="1">
      <c r="A5" s="51" t="inlineStr">
        <is>
          <t>Scope:</t>
        </is>
      </c>
      <c r="B5" s="52" t="inlineStr">
        <is>
          <t>YE inventory listing, costing policy, standard-cost masters, purchase reports &amp; invoices, variance (PPV / labor / OH) account detail, BOMs, labor &amp; OH rate support, aging / usage reports, selling-price and cost-to-complete support.</t>
        </is>
      </c>
      <c r="C5" s="53" t="n"/>
      <c r="D5" s="53" t="n"/>
      <c r="E5" s="53" t="n"/>
      <c r="F5" s="53" t="n"/>
      <c r="G5" s="53" t="n"/>
      <c r="H5" s="53" t="n"/>
      <c r="I5" s="53" t="n"/>
      <c r="J5" s="53" t="n"/>
      <c r="K5" s="53" t="n"/>
      <c r="L5" s="54" t="n"/>
    </row>
    <row r="6" ht="15" customHeight="1">
      <c r="A6" s="51" t="inlineStr">
        <is>
          <t>Assertions:</t>
        </is>
      </c>
      <c r="B6" s="52" t="inlineStr">
        <is>
          <t>Completeness</t>
        </is>
      </c>
      <c r="C6" s="53" t="n"/>
      <c r="D6" s="53" t="n"/>
      <c r="E6" s="53" t="n"/>
      <c r="F6" s="53" t="n"/>
      <c r="G6" s="53" t="n"/>
      <c r="H6" s="53" t="n"/>
      <c r="I6" s="53" t="n"/>
      <c r="J6" s="53" t="n"/>
      <c r="K6" s="53" t="n"/>
      <c r="L6" s="54" t="n"/>
    </row>
    <row r="7" ht="30" customHeight="1">
      <c r="A7" s="55" t="inlineStr">
        <is>
          <t>Ref</t>
        </is>
      </c>
      <c r="B7" s="55" t="inlineStr">
        <is>
          <t>Source document / PBC</t>
        </is>
      </c>
      <c r="C7" s="55" t="inlineStr">
        <is>
          <t>Provided by</t>
        </is>
      </c>
      <c r="D7" s="55" t="inlineStr">
        <is>
          <t>Date received</t>
        </is>
      </c>
      <c r="E7" s="55" t="inlineStr">
        <is>
          <t>Format</t>
        </is>
      </c>
      <c r="F7" s="55" t="inlineStr">
        <is>
          <t>Used in tab(s)</t>
        </is>
      </c>
      <c r="G7" s="55" t="inlineStr">
        <is>
          <t>Limitations / notes</t>
        </is>
      </c>
      <c r="H7" s="55" t="inlineStr">
        <is>
          <t>Source record count</t>
        </is>
      </c>
      <c r="I7" s="55" t="inlineStr">
        <is>
          <t>Categories covered</t>
        </is>
      </c>
      <c r="J7" s="55" t="inlineStr">
        <is>
          <t>Source key field(s)</t>
        </is>
      </c>
      <c r="K7" s="55" t="inlineStr">
        <is>
          <t>Unique key count</t>
        </is>
      </c>
      <c r="L7" s="55" t="inlineStr">
        <is>
          <t>Control total(s)</t>
        </is>
      </c>
    </row>
    <row r="8">
      <c r="A8" s="56" t="n"/>
      <c r="B8" s="56" t="n"/>
      <c r="C8" s="56" t="n"/>
      <c r="D8" s="56" t="n"/>
      <c r="E8" s="56" t="n"/>
      <c r="F8" s="56" t="n"/>
      <c r="G8" s="56" t="n"/>
      <c r="H8" s="56" t="n"/>
      <c r="I8" s="56" t="n"/>
      <c r="J8" s="56" t="n"/>
      <c r="K8" s="56" t="n"/>
      <c r="L8" s="56" t="n"/>
    </row>
    <row r="9">
      <c r="A9" s="56" t="n"/>
      <c r="B9" s="56" t="n"/>
      <c r="C9" s="56" t="n"/>
      <c r="D9" s="56" t="n"/>
      <c r="E9" s="56" t="n"/>
      <c r="F9" s="56" t="n"/>
      <c r="G9" s="56" t="n"/>
      <c r="H9" s="56" t="n"/>
      <c r="I9" s="56" t="n"/>
      <c r="J9" s="56" t="n"/>
      <c r="K9" s="56" t="n"/>
      <c r="L9" s="56" t="n"/>
    </row>
    <row r="10">
      <c r="A10" s="56" t="n"/>
      <c r="B10" s="56" t="n"/>
      <c r="C10" s="56" t="n"/>
      <c r="D10" s="56" t="n"/>
      <c r="E10" s="56" t="n"/>
      <c r="F10" s="56" t="n"/>
      <c r="G10" s="56" t="n"/>
      <c r="H10" s="56" t="n"/>
      <c r="I10" s="56" t="n"/>
      <c r="J10" s="56" t="n"/>
      <c r="K10" s="56" t="n"/>
      <c r="L10" s="56" t="n"/>
    </row>
    <row r="11">
      <c r="A11" s="56" t="n"/>
      <c r="B11" s="56" t="n"/>
      <c r="C11" s="56" t="n"/>
      <c r="D11" s="56" t="n"/>
      <c r="E11" s="56" t="n"/>
      <c r="F11" s="56" t="n"/>
      <c r="G11" s="56" t="n"/>
      <c r="H11" s="56" t="n"/>
      <c r="I11" s="56" t="n"/>
      <c r="J11" s="56" t="n"/>
      <c r="K11" s="56" t="n"/>
      <c r="L11" s="56" t="n"/>
    </row>
    <row r="12">
      <c r="A12" s="56" t="n"/>
      <c r="B12" s="56" t="n"/>
      <c r="C12" s="56" t="n"/>
      <c r="D12" s="56" t="n"/>
      <c r="E12" s="56" t="n"/>
      <c r="F12" s="56" t="n"/>
      <c r="G12" s="56" t="n"/>
      <c r="H12" s="56" t="n"/>
      <c r="I12" s="56" t="n"/>
      <c r="J12" s="56" t="n"/>
      <c r="K12" s="56" t="n"/>
      <c r="L12" s="56" t="n"/>
    </row>
    <row r="13">
      <c r="A13" s="56" t="n"/>
      <c r="B13" s="56" t="n"/>
      <c r="C13" s="56" t="n"/>
      <c r="D13" s="56" t="n"/>
      <c r="E13" s="56" t="n"/>
      <c r="F13" s="56" t="n"/>
      <c r="G13" s="56" t="n"/>
      <c r="H13" s="56" t="n"/>
      <c r="I13" s="56" t="n"/>
      <c r="J13" s="56" t="n"/>
      <c r="K13" s="56" t="n"/>
      <c r="L13" s="56" t="n"/>
    </row>
    <row r="14">
      <c r="A14" s="56" t="n"/>
      <c r="B14" s="56" t="n"/>
      <c r="C14" s="56" t="n"/>
      <c r="D14" s="56" t="n"/>
      <c r="E14" s="56" t="n"/>
      <c r="F14" s="56" t="n"/>
      <c r="G14" s="56" t="n"/>
      <c r="H14" s="56" t="n"/>
      <c r="I14" s="56" t="n"/>
      <c r="J14" s="56" t="n"/>
      <c r="K14" s="56" t="n"/>
      <c r="L14" s="56" t="n"/>
    </row>
    <row r="15">
      <c r="A15" s="56" t="n"/>
      <c r="B15" s="56" t="n"/>
      <c r="C15" s="56" t="n"/>
      <c r="D15" s="56" t="n"/>
      <c r="E15" s="56" t="n"/>
      <c r="F15" s="56" t="n"/>
      <c r="G15" s="56" t="n"/>
      <c r="H15" s="56" t="n"/>
      <c r="I15" s="56" t="n"/>
      <c r="J15" s="56" t="n"/>
      <c r="K15" s="56" t="n"/>
      <c r="L15" s="56" t="n"/>
    </row>
    <row r="16">
      <c r="A16" s="56" t="n"/>
      <c r="B16" s="56" t="n"/>
      <c r="C16" s="56" t="n"/>
      <c r="D16" s="56" t="n"/>
      <c r="E16" s="56" t="n"/>
      <c r="F16" s="56" t="n"/>
      <c r="G16" s="56" t="n"/>
      <c r="H16" s="56" t="n"/>
      <c r="I16" s="56" t="n"/>
      <c r="J16" s="56" t="n"/>
      <c r="K16" s="56" t="n"/>
      <c r="L16" s="56" t="n"/>
    </row>
    <row r="17">
      <c r="A17" s="56" t="n"/>
      <c r="B17" s="56" t="n"/>
      <c r="C17" s="56" t="n"/>
      <c r="D17" s="56" t="n"/>
      <c r="E17" s="56" t="n"/>
      <c r="F17" s="56" t="n"/>
      <c r="G17" s="56" t="n"/>
      <c r="H17" s="56" t="n"/>
      <c r="I17" s="56" t="n"/>
      <c r="J17" s="56" t="n"/>
      <c r="K17" s="56" t="n"/>
      <c r="L17" s="56" t="n"/>
    </row>
    <row r="18">
      <c r="A18" s="56" t="n"/>
      <c r="B18" s="56" t="n"/>
      <c r="C18" s="56" t="n"/>
      <c r="D18" s="56" t="n"/>
      <c r="E18" s="56" t="n"/>
      <c r="F18" s="56" t="n"/>
      <c r="G18" s="56" t="n"/>
      <c r="H18" s="56" t="n"/>
      <c r="I18" s="56" t="n"/>
      <c r="J18" s="56" t="n"/>
      <c r="K18" s="56" t="n"/>
      <c r="L18" s="56" t="n"/>
    </row>
    <row r="19">
      <c r="A19" s="56" t="n"/>
      <c r="B19" s="56" t="n"/>
      <c r="C19" s="56" t="n"/>
      <c r="D19" s="56" t="n"/>
      <c r="E19" s="56" t="n"/>
      <c r="F19" s="56" t="n"/>
      <c r="G19" s="56" t="n"/>
      <c r="H19" s="56" t="n"/>
      <c r="I19" s="56" t="n"/>
      <c r="J19" s="56" t="n"/>
      <c r="K19" s="56" t="n"/>
      <c r="L19" s="56" t="n"/>
    </row>
    <row r="20">
      <c r="A20" s="35" t="n"/>
      <c r="B20" s="35" t="n"/>
      <c r="C20" s="35" t="n"/>
      <c r="D20" s="35" t="n"/>
      <c r="E20" s="35" t="n"/>
      <c r="F20" s="35" t="n"/>
      <c r="G20" s="35" t="n"/>
      <c r="H20" s="35" t="n"/>
      <c r="I20" s="35" t="n"/>
      <c r="J20" s="35" t="n"/>
      <c r="K20" s="35" t="n"/>
      <c r="L20" s="35" t="n"/>
    </row>
    <row r="21">
      <c r="A21" s="57" t="inlineStr">
        <is>
          <t>TM Legends</t>
        </is>
      </c>
      <c r="B21" s="35" t="n"/>
      <c r="C21" s="35" t="n"/>
      <c r="D21" s="35" t="n"/>
      <c r="E21" s="35" t="n"/>
      <c r="F21" s="35" t="n"/>
      <c r="G21" s="35" t="n"/>
      <c r="H21" s="35" t="n"/>
      <c r="I21" s="35" t="n"/>
      <c r="J21" s="35" t="n"/>
      <c r="K21" s="35" t="n"/>
      <c r="L21" s="35" t="n"/>
    </row>
    <row r="22">
      <c r="A22" s="58" t="inlineStr">
        <is>
          <t>TB</t>
        </is>
      </c>
      <c r="B22" s="41" t="inlineStr">
        <is>
          <t>Agreed to trial balance</t>
        </is>
      </c>
      <c r="C22" s="59" t="n"/>
      <c r="D22" s="60" t="n"/>
      <c r="E22" s="35" t="n"/>
      <c r="F22" s="35" t="n"/>
      <c r="G22" s="35" t="n"/>
      <c r="H22" s="35" t="n"/>
      <c r="I22" s="35" t="n"/>
      <c r="J22" s="35" t="n"/>
      <c r="K22" s="35" t="n"/>
      <c r="L22" s="35" t="n"/>
    </row>
    <row r="23">
      <c r="A23" s="58" t="inlineStr">
        <is>
          <t>GL</t>
        </is>
      </c>
      <c r="B23" s="41" t="inlineStr">
        <is>
          <t>Agreed to general ledger</t>
        </is>
      </c>
      <c r="C23" s="59" t="n"/>
      <c r="D23" s="60" t="n"/>
      <c r="E23" s="35" t="n"/>
      <c r="F23" s="35" t="n"/>
      <c r="G23" s="35" t="n"/>
      <c r="H23" s="35" t="n"/>
      <c r="I23" s="35" t="n"/>
      <c r="J23" s="35" t="n"/>
      <c r="K23" s="35" t="n"/>
      <c r="L23" s="35" t="n"/>
    </row>
    <row r="24">
      <c r="A24" s="58" t="inlineStr">
        <is>
          <t>CF</t>
        </is>
      </c>
      <c r="B24" s="41" t="inlineStr">
        <is>
          <t>Confirmed with third party</t>
        </is>
      </c>
      <c r="C24" s="59" t="n"/>
      <c r="D24" s="60" t="n"/>
      <c r="E24" s="35" t="n"/>
      <c r="F24" s="35" t="n"/>
      <c r="G24" s="35" t="n"/>
      <c r="H24" s="35" t="n"/>
      <c r="I24" s="35" t="n"/>
      <c r="J24" s="35" t="n"/>
      <c r="K24" s="35" t="n"/>
      <c r="L24" s="35" t="n"/>
    </row>
    <row r="25">
      <c r="A25" s="58" t="inlineStr">
        <is>
          <t>V</t>
        </is>
      </c>
      <c r="B25" s="41" t="inlineStr">
        <is>
          <t>Vouched to source document</t>
        </is>
      </c>
      <c r="C25" s="59" t="n"/>
      <c r="D25" s="60" t="n"/>
      <c r="E25" s="35" t="n"/>
      <c r="F25" s="35" t="n"/>
      <c r="G25" s="35" t="n"/>
      <c r="H25" s="35" t="n"/>
      <c r="I25" s="35" t="n"/>
      <c r="J25" s="35" t="n"/>
      <c r="K25" s="35" t="n"/>
      <c r="L25" s="35" t="n"/>
    </row>
    <row r="26">
      <c r="A26" s="58" t="inlineStr">
        <is>
          <t>SR</t>
        </is>
      </c>
      <c r="B26" s="41" t="inlineStr">
        <is>
          <t>Agreed to subsequent bank-cleared receipt</t>
        </is>
      </c>
      <c r="C26" s="59" t="n"/>
      <c r="D26" s="60" t="n"/>
      <c r="E26" s="35" t="n"/>
      <c r="F26" s="35" t="n"/>
      <c r="G26" s="35" t="n"/>
      <c r="H26" s="35" t="n"/>
      <c r="I26" s="35" t="n"/>
      <c r="J26" s="35" t="n"/>
      <c r="K26" s="35" t="n"/>
      <c r="L26" s="35" t="n"/>
    </row>
    <row r="27">
      <c r="A27" s="58" t="inlineStr">
        <is>
          <t>R</t>
        </is>
      </c>
      <c r="B27" s="41" t="inlineStr">
        <is>
          <t>Recalculated independently</t>
        </is>
      </c>
      <c r="C27" s="59" t="n"/>
      <c r="D27" s="60" t="n"/>
      <c r="E27" s="35" t="n"/>
      <c r="F27" s="35" t="n"/>
      <c r="G27" s="35" t="n"/>
      <c r="H27" s="35" t="n"/>
      <c r="I27" s="35" t="n"/>
      <c r="J27" s="35" t="n"/>
      <c r="K27" s="35" t="n"/>
      <c r="L27" s="35" t="n"/>
    </row>
    <row r="28">
      <c r="A28" s="58" t="inlineStr">
        <is>
          <t>F</t>
        </is>
      </c>
      <c r="B28" s="41" t="inlineStr">
        <is>
          <t>Footed / cross-cast</t>
        </is>
      </c>
      <c r="C28" s="59" t="n"/>
      <c r="D28" s="60" t="n"/>
      <c r="E28" s="35" t="n"/>
      <c r="F28" s="35" t="n"/>
      <c r="G28" s="35" t="n"/>
      <c r="H28" s="35" t="n"/>
      <c r="I28" s="35" t="n"/>
      <c r="J28" s="35" t="n"/>
      <c r="K28" s="35" t="n"/>
      <c r="L28" s="35" t="n"/>
    </row>
    <row r="29">
      <c r="A29" s="58" t="inlineStr">
        <is>
          <t>T</t>
        </is>
      </c>
      <c r="B29" s="41" t="inlineStr">
        <is>
          <t>Traced to downstream record</t>
        </is>
      </c>
      <c r="C29" s="59" t="n"/>
      <c r="D29" s="60" t="n"/>
      <c r="E29" s="35" t="n"/>
      <c r="F29" s="35" t="n"/>
      <c r="G29" s="35" t="n"/>
      <c r="H29" s="35" t="n"/>
      <c r="I29" s="35" t="n"/>
      <c r="J29" s="35" t="n"/>
      <c r="K29" s="35" t="n"/>
      <c r="L29" s="35" t="n"/>
    </row>
    <row r="30">
      <c r="A30" s="58" t="inlineStr">
        <is>
          <t>PBC</t>
        </is>
      </c>
      <c r="B30" s="41" t="inlineStr">
        <is>
          <t>Prepared by client</t>
        </is>
      </c>
      <c r="C30" s="59" t="n"/>
      <c r="D30" s="60" t="n"/>
      <c r="E30" s="35" t="n"/>
      <c r="F30" s="35" t="n"/>
      <c r="G30" s="35" t="n"/>
      <c r="H30" s="35" t="n"/>
      <c r="I30" s="35" t="n"/>
      <c r="J30" s="35" t="n"/>
      <c r="K30" s="35" t="n"/>
      <c r="L30" s="35" t="n"/>
    </row>
    <row r="31">
      <c r="A31" s="35" t="n"/>
      <c r="B31" s="35" t="n"/>
      <c r="C31" s="35" t="n"/>
      <c r="D31" s="35" t="n"/>
      <c r="E31" s="35" t="n"/>
      <c r="F31" s="35" t="n"/>
      <c r="G31" s="35" t="n"/>
      <c r="H31" s="35" t="n"/>
      <c r="I31" s="35" t="n"/>
      <c r="J31" s="35" t="n"/>
      <c r="K31" s="35" t="n"/>
      <c r="L31" s="35" t="n"/>
    </row>
    <row r="32" ht="27.75" customHeight="1">
      <c r="A32" s="37" t="inlineStr">
        <is>
          <t>Before sign-off complete Library Procedure 1 (source completeness &amp; limitations).</t>
        </is>
      </c>
      <c r="B32" s="35" t="n"/>
      <c r="C32" s="35" t="n"/>
      <c r="D32" s="35" t="n"/>
      <c r="E32" s="35" t="n"/>
      <c r="F32" s="35" t="n"/>
      <c r="G32" s="35" t="n"/>
      <c r="H32" s="35" t="n"/>
      <c r="I32" s="35" t="n"/>
      <c r="J32" s="35" t="n"/>
      <c r="K32" s="35" t="n"/>
      <c r="L32" s="35" t="n"/>
    </row>
  </sheetData>
  <mergeCells count="13">
    <mergeCell ref="B28:D28"/>
    <mergeCell ref="B4:L4"/>
    <mergeCell ref="B6:L6"/>
    <mergeCell ref="B23:D23"/>
    <mergeCell ref="B22:D22"/>
    <mergeCell ref="A32:L32"/>
    <mergeCell ref="B26:D26"/>
    <mergeCell ref="B27:D27"/>
    <mergeCell ref="B5:L5"/>
    <mergeCell ref="B30:D30"/>
    <mergeCell ref="B29:D29"/>
    <mergeCell ref="B25:D25"/>
    <mergeCell ref="B24:D24"/>
  </mergeCells>
  <printOptions horizontalCentered="0" verticalCentered="0"/>
  <pageMargins left="0.25" right="0.25" top="0.5" bottom="0.5" header="0.2" footer="0.2"/>
  <pageSetup orientation="landscape" paperSize="1" fitToHeight="0" fitToWidth="2" horizontalDpi="300" verticalDpi="300"/>
</worksheet>
</file>

<file path=xl/worksheets/sheet3.xml><?xml version="1.0" encoding="utf-8"?>
<worksheet xmlns="http://schemas.openxmlformats.org/spreadsheetml/2006/main">
  <sheetPr>
    <outlinePr summaryBelow="1" summaryRight="1"/>
    <pageSetUpPr autoPageBreaks="0" fitToPage="1"/>
  </sheetPr>
  <dimension ref="A1:H36"/>
  <sheetViews>
    <sheetView showGridLines="0" zoomScale="90" zoomScaleNormal="100" workbookViewId="0">
      <pane ySplit="7" topLeftCell="A8" activePane="bottomLeft" state="frozen"/>
      <selection pane="bottomLeft" activeCell="B20" sqref="B20"/>
    </sheetView>
  </sheetViews>
  <sheetFormatPr baseColWidth="8" defaultColWidth="8.6328125" defaultRowHeight="14.5"/>
  <cols>
    <col width="41.1" customWidth="1" min="1" max="1"/>
    <col width="39.4" customWidth="1" min="2" max="2"/>
    <col width="30.9" customWidth="1" min="3" max="3"/>
    <col width="37.7" customWidth="1" min="4" max="4"/>
    <col width="34" customWidth="1" min="5" max="5"/>
    <col width="13" customWidth="1" min="6" max="6"/>
    <col width="13" customWidth="1" min="7" max="7"/>
    <col width="13" customWidth="1" min="8" max="8"/>
  </cols>
  <sheetData>
    <row r="1" ht="27" customHeight="1">
      <c r="A1" s="34" t="inlineStr">
        <is>
          <t>Costing Convention &amp; Period Subject to Testing</t>
        </is>
      </c>
      <c r="B1" s="35" t="n"/>
      <c r="C1" s="35" t="n"/>
      <c r="D1" s="35" t="n"/>
      <c r="E1" s="35" t="n"/>
      <c r="F1" s="35" t="n"/>
      <c r="G1" s="35" t="n"/>
      <c r="H1" s="35" t="n"/>
    </row>
    <row r="2">
      <c r="A2" s="46" t="inlineStr">
        <is>
          <t>Client / Entity</t>
        </is>
      </c>
      <c r="B2" s="36" t="inlineStr">
        <is>
          <t>Zephirax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19100</v>
      </c>
      <c r="C3" s="35" t="n"/>
      <c r="D3" s="49" t="inlineStr">
        <is>
          <t>Tolerable misstatement / testing threshold</t>
        </is>
      </c>
      <c r="E3" s="50" t="n">
        <v>14400</v>
      </c>
      <c r="F3" s="35" t="n"/>
      <c r="G3" s="35" t="n"/>
      <c r="H3" s="35" t="n"/>
    </row>
    <row r="4" ht="27.75" customHeight="1">
      <c r="A4" s="51" t="inlineStr">
        <is>
          <t>Purpose:</t>
        </is>
      </c>
      <c r="B4" s="52" t="inlineStr">
        <is>
          <t>Document the costing convention per category (with a policy-consistency check) and compute the period subject to testing from inventory turnover (days on hand).</t>
        </is>
      </c>
      <c r="C4" s="53" t="n"/>
      <c r="D4" s="53" t="n"/>
      <c r="E4" s="54" t="n"/>
      <c r="F4" s="35" t="n"/>
      <c r="G4" s="35" t="n"/>
      <c r="H4" s="35" t="n"/>
    </row>
    <row r="5" ht="15" customHeight="1">
      <c r="A5" s="51" t="inlineStr">
        <is>
          <t>Scope:</t>
        </is>
      </c>
      <c r="B5" s="52" t="inlineStr">
        <is>
          <t>Costing policy per category; net inventory and COGS for the turnover computation.</t>
        </is>
      </c>
      <c r="C5" s="53" t="n"/>
      <c r="D5" s="53" t="n"/>
      <c r="E5" s="54" t="n"/>
      <c r="F5" s="35" t="n"/>
      <c r="G5" s="35" t="n"/>
      <c r="H5" s="35" t="n"/>
    </row>
    <row r="6" ht="15" customHeight="1">
      <c r="A6" s="51" t="inlineStr">
        <is>
          <t>Assertions:</t>
        </is>
      </c>
      <c r="B6" s="52" t="inlineStr">
        <is>
          <t>Valuation &amp; Allocation; Classification</t>
        </is>
      </c>
      <c r="C6" s="53" t="n"/>
      <c r="D6" s="53" t="n"/>
      <c r="E6" s="54" t="n"/>
      <c r="F6" s="35" t="n"/>
      <c r="G6" s="35" t="n"/>
      <c r="H6" s="35" t="n"/>
    </row>
    <row r="7">
      <c r="A7" s="61" t="inlineStr">
        <is>
          <t>A. Costing convention by category</t>
        </is>
      </c>
      <c r="B7" s="35" t="n"/>
      <c r="C7" s="35" t="n"/>
      <c r="D7" s="35" t="n"/>
      <c r="E7" s="35" t="n"/>
      <c r="F7" s="35" t="n"/>
      <c r="G7" s="35" t="n"/>
      <c r="H7" s="35" t="n"/>
    </row>
    <row r="8" ht="27" customHeight="1">
      <c r="A8" s="62" t="inlineStr">
        <is>
          <t>Category</t>
        </is>
      </c>
      <c r="B8" s="62" t="inlineStr">
        <is>
          <t>Cost method (standard / weighted avg / FIFO)</t>
        </is>
      </c>
      <c r="C8" s="62" t="inlineStr">
        <is>
          <t>Consistent with policy &amp; PY? (Y/N)</t>
        </is>
      </c>
      <c r="D8" s="62" t="inlineStr">
        <is>
          <t>Tested on tab</t>
        </is>
      </c>
      <c r="E8" s="62" t="inlineStr">
        <is>
          <t>Comments</t>
        </is>
      </c>
      <c r="F8" s="35" t="n"/>
      <c r="G8" s="35" t="n"/>
      <c r="H8" s="35" t="n"/>
    </row>
    <row r="9">
      <c r="A9" s="56" t="inlineStr">
        <is>
          <t>Raw materials</t>
        </is>
      </c>
      <c r="B9" s="56" t="n"/>
      <c r="C9" s="56" t="n"/>
      <c r="D9" s="56" t="n"/>
      <c r="E9" s="56" t="n"/>
      <c r="F9" s="35" t="n"/>
      <c r="G9" s="35" t="n"/>
      <c r="H9" s="35" t="n"/>
    </row>
    <row r="10">
      <c r="A10" s="56" t="inlineStr">
        <is>
          <t>WIP</t>
        </is>
      </c>
      <c r="B10" s="56" t="n"/>
      <c r="C10" s="56" t="n"/>
      <c r="D10" s="56" t="n"/>
      <c r="E10" s="56" t="n"/>
      <c r="F10" s="35" t="n"/>
      <c r="G10" s="35" t="n"/>
      <c r="H10" s="35" t="n"/>
    </row>
    <row r="11">
      <c r="A11" s="56" t="inlineStr">
        <is>
          <t>Finished goods</t>
        </is>
      </c>
      <c r="B11" s="56" t="n"/>
      <c r="C11" s="56" t="n"/>
      <c r="D11" s="56" t="n"/>
      <c r="E11" s="56" t="n"/>
      <c r="F11" s="35" t="n"/>
      <c r="G11" s="35" t="n"/>
      <c r="H11" s="35" t="n"/>
    </row>
    <row r="12">
      <c r="A12" s="56" t="inlineStr">
        <is>
          <t>Supplies / other</t>
        </is>
      </c>
      <c r="B12" s="56" t="n"/>
      <c r="C12" s="56" t="n"/>
      <c r="D12" s="56" t="n"/>
      <c r="E12" s="56" t="n"/>
      <c r="F12" s="35" t="n"/>
      <c r="G12" s="35" t="n"/>
      <c r="H12" s="35" t="n"/>
    </row>
    <row r="13">
      <c r="A13" s="35" t="n"/>
      <c r="B13" s="35" t="n"/>
      <c r="C13" s="35" t="n"/>
      <c r="D13" s="35" t="n"/>
      <c r="E13" s="35" t="n"/>
      <c r="F13" s="35" t="n"/>
      <c r="G13" s="35" t="n"/>
      <c r="H13" s="35" t="n"/>
    </row>
    <row r="14">
      <c r="A14" s="61" t="inlineStr">
        <is>
          <t>B. Period subject to testing (days on hand)</t>
        </is>
      </c>
      <c r="B14" s="35" t="n"/>
      <c r="C14" s="35" t="n"/>
      <c r="D14" s="35" t="n"/>
      <c r="E14" s="35" t="n"/>
      <c r="F14" s="35" t="n"/>
      <c r="G14" s="35" t="n"/>
      <c r="H14" s="35" t="n"/>
    </row>
    <row r="15">
      <c r="A15" s="41" t="inlineStr">
        <is>
          <t>Net inventory (TB)</t>
        </is>
      </c>
      <c r="B15" s="63" t="n"/>
      <c r="C15" s="35" t="n"/>
      <c r="D15" s="35" t="n"/>
      <c r="E15" s="35" t="n"/>
      <c r="F15" s="35" t="n"/>
      <c r="G15" s="35" t="n"/>
      <c r="H15" s="35" t="n"/>
    </row>
    <row r="16">
      <c r="A16" s="41" t="inlineStr">
        <is>
          <t>Cost of goods sold (period)</t>
        </is>
      </c>
      <c r="B16" s="63" t="n"/>
      <c r="C16" s="35" t="n"/>
      <c r="D16" s="35" t="n"/>
      <c r="E16" s="35" t="n"/>
      <c r="F16" s="35" t="n"/>
      <c r="G16" s="35" t="n"/>
      <c r="H16" s="35" t="n"/>
    </row>
    <row r="17">
      <c r="A17" s="64" t="inlineStr">
        <is>
          <t>Inventory turns (= COGS / net inventory)</t>
        </is>
      </c>
      <c r="B17" s="65">
        <f>IF(OR(B15="",B15=0),"",B16/B15)</f>
        <v/>
      </c>
      <c r="C17" s="35" t="n"/>
      <c r="D17" s="35" t="n"/>
      <c r="E17" s="35" t="n"/>
      <c r="F17" s="35" t="n"/>
      <c r="G17" s="35" t="n"/>
      <c r="H17" s="35" t="n"/>
    </row>
    <row r="18">
      <c r="A18" s="64" t="inlineStr">
        <is>
          <t>Days on hand (= 365 / turns)</t>
        </is>
      </c>
      <c r="B18" s="66">
        <f>IF(OR(B17="",B17=0),"",365/B17)</f>
        <v/>
      </c>
      <c r="C18" s="35" t="n"/>
      <c r="D18" s="35" t="n"/>
      <c r="E18" s="35" t="n"/>
      <c r="F18" s="35" t="n"/>
      <c r="G18" s="35" t="n"/>
      <c r="H18" s="35" t="n"/>
    </row>
    <row r="19">
      <c r="A19" s="56" t="inlineStr">
        <is>
          <t>Year-end date</t>
        </is>
      </c>
      <c r="B19" s="67" t="n"/>
      <c r="C19" s="35" t="n"/>
      <c r="D19" s="35" t="n"/>
      <c r="E19" s="35" t="n"/>
      <c r="F19" s="35" t="n"/>
      <c r="G19" s="35" t="n"/>
      <c r="H19" s="35" t="n"/>
    </row>
    <row r="20">
      <c r="A20" s="41" t="inlineStr">
        <is>
          <t>Period start (= YE − days on hand)</t>
        </is>
      </c>
      <c r="B20" s="68">
        <f>IF(OR(B19="",B18=""),"",B19-B18)</f>
        <v/>
      </c>
      <c r="C20" s="35" t="n"/>
      <c r="D20" s="35" t="n"/>
      <c r="E20" s="35" t="n"/>
      <c r="F20" s="35" t="n"/>
      <c r="G20" s="35" t="n"/>
      <c r="H20" s="35" t="n"/>
    </row>
    <row r="21">
      <c r="A21" s="64" t="inlineStr">
        <is>
          <t>Days subject to testing</t>
        </is>
      </c>
      <c r="B21" s="66">
        <f>IF(OR(B19="",B20=""),"",B19-B20)</f>
        <v/>
      </c>
      <c r="C21" s="35" t="n"/>
      <c r="D21" s="35" t="n"/>
      <c r="E21" s="35" t="n"/>
      <c r="F21" s="35" t="n"/>
      <c r="G21" s="35" t="n"/>
      <c r="H21" s="35" t="n"/>
    </row>
    <row r="22">
      <c r="A22" s="35" t="n"/>
      <c r="B22" s="35" t="n"/>
      <c r="C22" s="35" t="n"/>
      <c r="D22" s="35" t="n"/>
      <c r="E22" s="35" t="n"/>
      <c r="F22" s="35" t="n"/>
      <c r="G22" s="35" t="n"/>
      <c r="H22" s="35" t="n"/>
    </row>
    <row r="23" ht="27.75" customHeight="1">
      <c r="A23" s="37" t="inlineStr">
        <is>
          <t>Purchases within the days-on-hand window are presumed to remain in ending inventory — the RM cost tests draw the purchase reports over this period. Where multiple cost methods appear within one category, flag and resolve before relying on either RM tab.</t>
        </is>
      </c>
      <c r="B23" s="35" t="n"/>
      <c r="C23" s="35" t="n"/>
      <c r="D23" s="35" t="n"/>
      <c r="E23" s="35" t="n"/>
      <c r="F23" s="35" t="n"/>
      <c r="G23" s="35" t="n"/>
      <c r="H23" s="35" t="n"/>
    </row>
    <row r="24">
      <c r="A24" s="35" t="n"/>
      <c r="B24" s="35" t="n"/>
      <c r="C24" s="35" t="n"/>
      <c r="D24" s="35" t="n"/>
      <c r="E24" s="35" t="n"/>
      <c r="F24" s="35" t="n"/>
      <c r="G24" s="35" t="n"/>
      <c r="H24" s="35" t="n"/>
    </row>
    <row r="25">
      <c r="A25" s="57" t="inlineStr">
        <is>
          <t>TM Legends</t>
        </is>
      </c>
      <c r="B25" s="35" t="n"/>
      <c r="C25" s="35" t="n"/>
      <c r="D25" s="35" t="n"/>
      <c r="E25" s="35" t="n"/>
      <c r="F25" s="35" t="n"/>
      <c r="G25" s="35" t="n"/>
      <c r="H25" s="35" t="n"/>
    </row>
    <row r="26">
      <c r="A26" s="58" t="inlineStr">
        <is>
          <t>TB</t>
        </is>
      </c>
      <c r="B26" s="41" t="inlineStr">
        <is>
          <t>Agreed to trial balance</t>
        </is>
      </c>
      <c r="C26" s="59" t="n"/>
      <c r="D26" s="60" t="n"/>
      <c r="E26" s="35" t="n"/>
      <c r="F26" s="35" t="n"/>
      <c r="G26" s="35" t="n"/>
      <c r="H26" s="35" t="n"/>
    </row>
    <row r="27">
      <c r="A27" s="58" t="inlineStr">
        <is>
          <t>GL</t>
        </is>
      </c>
      <c r="B27" s="41" t="inlineStr">
        <is>
          <t>Agreed to general ledger</t>
        </is>
      </c>
      <c r="C27" s="59" t="n"/>
      <c r="D27" s="60" t="n"/>
      <c r="E27" s="35" t="n"/>
      <c r="F27" s="35" t="n"/>
      <c r="G27" s="35" t="n"/>
      <c r="H27" s="35" t="n"/>
    </row>
    <row r="28">
      <c r="A28" s="58" t="inlineStr">
        <is>
          <t>CF</t>
        </is>
      </c>
      <c r="B28" s="41" t="inlineStr">
        <is>
          <t>Confirmed with third party</t>
        </is>
      </c>
      <c r="C28" s="59" t="n"/>
      <c r="D28" s="60" t="n"/>
      <c r="E28" s="35" t="n"/>
      <c r="F28" s="35" t="n"/>
      <c r="G28" s="35" t="n"/>
      <c r="H28" s="35" t="n"/>
    </row>
    <row r="29">
      <c r="A29" s="58" t="inlineStr">
        <is>
          <t>V</t>
        </is>
      </c>
      <c r="B29" s="41" t="inlineStr">
        <is>
          <t>Vouched to source document</t>
        </is>
      </c>
      <c r="C29" s="59" t="n"/>
      <c r="D29" s="60" t="n"/>
      <c r="E29" s="35" t="n"/>
      <c r="F29" s="35" t="n"/>
      <c r="G29" s="35" t="n"/>
      <c r="H29" s="35" t="n"/>
    </row>
    <row r="30">
      <c r="A30" s="58" t="inlineStr">
        <is>
          <t>SR</t>
        </is>
      </c>
      <c r="B30" s="41" t="inlineStr">
        <is>
          <t>Agreed to subsequent bank-cleared receipt</t>
        </is>
      </c>
      <c r="C30" s="59" t="n"/>
      <c r="D30" s="60" t="n"/>
      <c r="E30" s="35" t="n"/>
      <c r="F30" s="35" t="n"/>
      <c r="G30" s="35" t="n"/>
      <c r="H30" s="35" t="n"/>
    </row>
    <row r="31">
      <c r="A31" s="58" t="inlineStr">
        <is>
          <t>R</t>
        </is>
      </c>
      <c r="B31" s="41" t="inlineStr">
        <is>
          <t>Recalculated independently</t>
        </is>
      </c>
      <c r="C31" s="59" t="n"/>
      <c r="D31" s="60" t="n"/>
      <c r="E31" s="35" t="n"/>
      <c r="F31" s="35" t="n"/>
      <c r="G31" s="35" t="n"/>
      <c r="H31" s="35" t="n"/>
    </row>
    <row r="32">
      <c r="A32" s="58" t="inlineStr">
        <is>
          <t>F</t>
        </is>
      </c>
      <c r="B32" s="41" t="inlineStr">
        <is>
          <t>Footed / cross-cast</t>
        </is>
      </c>
      <c r="C32" s="59" t="n"/>
      <c r="D32" s="60" t="n"/>
      <c r="E32" s="35" t="n"/>
      <c r="F32" s="35" t="n"/>
      <c r="G32" s="35" t="n"/>
      <c r="H32" s="35" t="n"/>
    </row>
    <row r="33">
      <c r="A33" s="58" t="inlineStr">
        <is>
          <t>T</t>
        </is>
      </c>
      <c r="B33" s="41" t="inlineStr">
        <is>
          <t>Traced to downstream record</t>
        </is>
      </c>
      <c r="C33" s="59" t="n"/>
      <c r="D33" s="60" t="n"/>
      <c r="E33" s="35" t="n"/>
      <c r="F33" s="35" t="n"/>
      <c r="G33" s="35" t="n"/>
      <c r="H33" s="35" t="n"/>
    </row>
    <row r="34">
      <c r="A34" s="58" t="inlineStr">
        <is>
          <t>PBC</t>
        </is>
      </c>
      <c r="B34" s="41" t="inlineStr">
        <is>
          <t>Prepared by client</t>
        </is>
      </c>
      <c r="C34" s="59" t="n"/>
      <c r="D34" s="60" t="n"/>
      <c r="E34" s="35" t="n"/>
      <c r="F34" s="35" t="n"/>
      <c r="G34" s="35" t="n"/>
      <c r="H34" s="35" t="n"/>
    </row>
    <row r="35">
      <c r="A35" s="35" t="n"/>
      <c r="B35" s="35" t="n"/>
      <c r="C35" s="35" t="n"/>
      <c r="D35" s="35" t="n"/>
      <c r="E35" s="35" t="n"/>
      <c r="F35" s="35" t="n"/>
      <c r="G35" s="35" t="n"/>
      <c r="H35" s="35" t="n"/>
    </row>
    <row r="36" ht="27.75" customHeight="1">
      <c r="A36" s="37" t="inlineStr">
        <is>
          <t>Before sign-off complete Library Procedures 2-3 (costing convention; period subject to testing).</t>
        </is>
      </c>
      <c r="B36" s="35" t="n"/>
      <c r="C36" s="35" t="n"/>
      <c r="D36" s="35" t="n"/>
      <c r="E36" s="35" t="n"/>
      <c r="F36" s="35" t="n"/>
      <c r="G36" s="35" t="n"/>
      <c r="H36" s="35" t="n"/>
    </row>
  </sheetData>
  <mergeCells count="14">
    <mergeCell ref="B33:D33"/>
    <mergeCell ref="B28:D28"/>
    <mergeCell ref="B4:E4"/>
    <mergeCell ref="B31:D31"/>
    <mergeCell ref="B32:D32"/>
    <mergeCell ref="B6:E6"/>
    <mergeCell ref="B26:D26"/>
    <mergeCell ref="B27:D27"/>
    <mergeCell ref="A23:E23"/>
    <mergeCell ref="B30:D30"/>
    <mergeCell ref="A36:E36"/>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Q46"/>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9" sqref="A9"/>
    </sheetView>
  </sheetViews>
  <sheetFormatPr baseColWidth="8" defaultColWidth="8.6328125" defaultRowHeight="14.5"/>
  <cols>
    <col width="30.05" bestFit="1" customWidth="1" min="1" max="1"/>
    <col width="30.05" customWidth="1" min="2" max="2"/>
    <col width="20" customWidth="1" min="3" max="3"/>
    <col width="37.7" bestFit="1" customWidth="1" min="4" max="4"/>
    <col width="17.3" customWidth="1" min="5" max="6"/>
    <col width="17.3" customWidth="1" min="6" max="6"/>
    <col width="30.05" customWidth="1" min="7" max="8"/>
    <col width="29.2" customWidth="1" min="8" max="8"/>
    <col width="41.1" customWidth="1" min="9" max="9"/>
    <col width="17.3" customWidth="1" min="10" max="10"/>
    <col width="11.35" customWidth="1" min="11" max="11"/>
    <col width="25.8" customWidth="1" min="12" max="12"/>
    <col width="23.25" customWidth="1" min="13" max="13"/>
    <col width="41.1" customWidth="1" min="14" max="15"/>
    <col width="22.4" customWidth="1" min="15" max="15"/>
    <col width="30.05" customWidth="1" min="16" max="16"/>
    <col width="22" customWidth="1" min="17" max="17"/>
  </cols>
  <sheetData>
    <row r="1" ht="27" customHeight="1">
      <c r="A1" s="34" t="inlineStr">
        <is>
          <t>Raw Material Cost — Standard Cost</t>
        </is>
      </c>
      <c r="B1" s="35" t="n"/>
      <c r="C1" s="35" t="n"/>
      <c r="D1" s="35" t="n"/>
      <c r="E1" s="35" t="n"/>
      <c r="F1" s="35" t="n"/>
      <c r="G1" s="35" t="n"/>
      <c r="H1" s="35" t="n"/>
      <c r="I1" s="35" t="n"/>
      <c r="J1" s="35" t="n"/>
      <c r="K1" s="35" t="n"/>
      <c r="L1" s="35" t="n"/>
      <c r="M1" s="35" t="n"/>
      <c r="N1" s="35" t="n"/>
      <c r="O1" s="35" t="n"/>
      <c r="P1" s="35" t="n"/>
      <c r="Q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c r="P2" s="35" t="n"/>
      <c r="Q2" s="35" t="n"/>
    </row>
    <row r="3" ht="27" customHeight="1">
      <c r="A3" s="49" t="inlineStr">
        <is>
          <t>Performance Materiality</t>
        </is>
      </c>
      <c r="B3" s="50" t="n">
        <v>19100</v>
      </c>
      <c r="C3" s="35" t="n"/>
      <c r="D3" s="49" t="inlineStr">
        <is>
          <t>Tolerable misstatement / testing threshold</t>
        </is>
      </c>
      <c r="E3" s="50" t="n">
        <v>14400</v>
      </c>
      <c r="F3" s="35" t="n"/>
      <c r="G3" s="35" t="n"/>
      <c r="H3" s="35" t="n"/>
      <c r="I3" s="35" t="n"/>
      <c r="J3" s="35" t="n"/>
      <c r="K3" s="35" t="n"/>
      <c r="L3" s="35" t="n"/>
      <c r="M3" s="35" t="n"/>
      <c r="N3" s="35" t="n"/>
      <c r="O3" s="35" t="n"/>
      <c r="P3" s="35" t="n"/>
      <c r="Q3" s="35" t="n"/>
    </row>
    <row r="4" ht="42" customHeight="1">
      <c r="A4" s="51" t="inlineStr">
        <is>
          <t>Purpose:</t>
        </is>
      </c>
      <c r="B4" s="52" t="inlineStr">
        <is>
          <t>Test YE raw-material standard costs: select items from the YE listing, obtain the purchase report over the test period (quantity must cover the YE quantity), vouch one invoice per selection to actual cost, and recompute the purchase price variance.</t>
        </is>
      </c>
      <c r="C4" s="53" t="n"/>
      <c r="D4" s="53" t="n"/>
      <c r="E4" s="53" t="n"/>
      <c r="F4" s="53" t="n"/>
      <c r="G4" s="53" t="n"/>
      <c r="H4" s="53" t="n"/>
      <c r="I4" s="53" t="n"/>
      <c r="J4" s="53" t="n"/>
      <c r="K4" s="53" t="n"/>
      <c r="L4" s="53" t="n"/>
      <c r="M4" s="53" t="n"/>
      <c r="N4" s="53" t="n"/>
      <c r="O4" s="53" t="n"/>
      <c r="P4" s="53" t="n"/>
      <c r="Q4" s="54" t="n"/>
    </row>
    <row r="5" ht="27.75" customHeight="1">
      <c r="A5" s="51" t="inlineStr">
        <is>
          <t>Scope:</t>
        </is>
      </c>
      <c r="B5" s="52" t="inlineStr">
        <is>
          <t>Selections from the YE inventory listing above the testing threshold; purchase reports and invoices over the period subject to testing (&lt;.1&gt;).</t>
        </is>
      </c>
      <c r="C5" s="53" t="n"/>
      <c r="D5" s="53" t="n"/>
      <c r="E5" s="53" t="n"/>
      <c r="F5" s="53" t="n"/>
      <c r="G5" s="53" t="n"/>
      <c r="H5" s="53" t="n"/>
      <c r="I5" s="53" t="n"/>
      <c r="J5" s="53" t="n"/>
      <c r="K5" s="53" t="n"/>
      <c r="L5" s="53" t="n"/>
      <c r="M5" s="53" t="n"/>
      <c r="N5" s="53" t="n"/>
      <c r="O5" s="53" t="n"/>
      <c r="P5" s="53" t="n"/>
      <c r="Q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3" t="n"/>
      <c r="Q6" s="54" t="n"/>
    </row>
    <row r="7" ht="45.75" customHeight="1">
      <c r="A7" s="55" t="inlineStr">
        <is>
          <t>Sel #</t>
        </is>
      </c>
      <c r="B7" s="55" t="inlineStr">
        <is>
          <t>Item / SKU</t>
        </is>
      </c>
      <c r="C7" s="55" t="inlineStr">
        <is>
          <t>Description</t>
        </is>
      </c>
      <c r="D7" s="55" t="inlineStr">
        <is>
          <t>UoM</t>
        </is>
      </c>
      <c r="E7" s="55" t="inlineStr">
        <is>
          <t>Qty per YE listing</t>
        </is>
      </c>
      <c r="F7" s="55" t="inlineStr">
        <is>
          <t>Standard unit cost</t>
        </is>
      </c>
      <c r="G7" s="55" t="inlineStr">
        <is>
          <t>Extended standard cost</t>
        </is>
      </c>
      <c r="H7" s="55" t="inlineStr">
        <is>
          <t>Qty per purchase report (period)</t>
        </is>
      </c>
      <c r="I7" s="55" t="inlineStr">
        <is>
          <t>Coverage OK (qty ≥ YE qty)</t>
        </is>
      </c>
      <c r="J7" s="55" t="inlineStr">
        <is>
          <t>Invoice ref tested</t>
        </is>
      </c>
      <c r="K7" s="55" t="inlineStr">
        <is>
          <t>Invoice qty</t>
        </is>
      </c>
      <c r="L7" s="55" t="inlineStr">
        <is>
          <t>Actual unit cost per invoice</t>
        </is>
      </c>
      <c r="M7" s="55" t="inlineStr">
        <is>
          <t>Actual extended (invoice)</t>
        </is>
      </c>
      <c r="N7" s="55" t="inlineStr">
        <is>
          <t>Std vs actual difference</t>
        </is>
      </c>
      <c r="O7" s="55" t="inlineStr">
        <is>
          <t>PPV recorded on purchase</t>
        </is>
      </c>
      <c r="P7" s="55" t="inlineStr">
        <is>
          <t>PPV recompute diff (should be 0)</t>
        </is>
      </c>
      <c r="Q7" s="55" t="inlineStr">
        <is>
          <t>Comments</t>
        </is>
      </c>
    </row>
    <row r="8">
      <c r="A8" s="35" t="n"/>
      <c r="B8" s="35" t="n"/>
      <c r="C8" s="35" t="n"/>
      <c r="D8" s="35" t="n"/>
      <c r="E8" s="69" t="inlineStr">
        <is>
          <t>PBC</t>
        </is>
      </c>
      <c r="F8" s="35" t="n"/>
      <c r="G8" s="35" t="n"/>
      <c r="H8" s="69" t="inlineStr">
        <is>
          <t>V</t>
        </is>
      </c>
      <c r="I8" s="35" t="n"/>
      <c r="J8" s="35" t="n"/>
      <c r="K8" s="35" t="n"/>
      <c r="L8" s="69" t="inlineStr">
        <is>
          <t>V</t>
        </is>
      </c>
      <c r="M8" s="35" t="n"/>
      <c r="N8" s="69" t="inlineStr">
        <is>
          <t>R</t>
        </is>
      </c>
      <c r="O8" s="35" t="n"/>
      <c r="P8" s="69" t="inlineStr">
        <is>
          <t>R</t>
        </is>
      </c>
      <c r="Q8" s="35" t="n"/>
    </row>
    <row r="9">
      <c r="A9" s="70" t="n">
        <v>1</v>
      </c>
      <c r="B9" s="56" t="n"/>
      <c r="C9" s="56" t="n"/>
      <c r="D9" s="56" t="n"/>
      <c r="E9" s="71" t="n"/>
      <c r="F9" s="63" t="n"/>
      <c r="G9" s="72">
        <f>IF(OR(E9="",F9=""),"",E9*F9)</f>
        <v/>
      </c>
      <c r="H9" s="71" t="n"/>
      <c r="I9" s="41">
        <f>IF(OR(E9="",H9=""),"",IF(H9&gt;=E9,"Y","N"))</f>
        <v/>
      </c>
      <c r="J9" s="56" t="n"/>
      <c r="K9" s="71" t="n"/>
      <c r="L9" s="63" t="n"/>
      <c r="M9" s="63" t="n"/>
      <c r="N9" s="72">
        <f>IF(OR(K9="",L9="",F9=""),"",(L9-F9)*K9)</f>
        <v/>
      </c>
      <c r="O9" s="63" t="n"/>
      <c r="P9" s="72">
        <f>IF(OR(N9="",O9=""),"",N9-O9)</f>
        <v/>
      </c>
      <c r="Q9" s="56" t="n"/>
    </row>
    <row r="10" ht="27" customHeight="1">
      <c r="A10" s="70" t="n">
        <v>2</v>
      </c>
      <c r="B10" s="56" t="n"/>
      <c r="C10" s="56" t="n"/>
      <c r="D10" s="56" t="n"/>
      <c r="E10" s="71" t="n"/>
      <c r="F10" s="63" t="n"/>
      <c r="G10" s="72">
        <f>IF(OR(E10="",F10=""),"",E10*F10)</f>
        <v/>
      </c>
      <c r="H10" s="71" t="n"/>
      <c r="I10" s="41">
        <f>IF(OR(E10="",H10=""),"",IF(H10&gt;=E10,"Y","N"))</f>
        <v/>
      </c>
      <c r="J10" s="56" t="n"/>
      <c r="K10" s="71" t="n"/>
      <c r="L10" s="63" t="n"/>
      <c r="M10" s="63" t="n"/>
      <c r="N10" s="72">
        <f>IF(OR(K10="",L10="",F10=""),"",(L10-F10)*K10)</f>
        <v/>
      </c>
      <c r="O10" s="63" t="n"/>
      <c r="P10" s="72">
        <f>IF(OR(N10="",O10=""),"",N10-O10)</f>
        <v/>
      </c>
      <c r="Q10" s="56" t="n"/>
    </row>
    <row r="11" ht="27" customHeight="1">
      <c r="A11" s="70" t="n">
        <v>3</v>
      </c>
      <c r="B11" s="56" t="n"/>
      <c r="C11" s="56" t="n"/>
      <c r="D11" s="56" t="n"/>
      <c r="E11" s="71" t="n"/>
      <c r="F11" s="63" t="n"/>
      <c r="G11" s="72">
        <f>IF(OR(E11="",F11=""),"",E11*F11)</f>
        <v/>
      </c>
      <c r="H11" s="71" t="n"/>
      <c r="I11" s="41">
        <f>IF(OR(E11="",H11=""),"",IF(H11&gt;=E11,"Y","N"))</f>
        <v/>
      </c>
      <c r="J11" s="56" t="n"/>
      <c r="K11" s="71" t="n"/>
      <c r="L11" s="63" t="n"/>
      <c r="M11" s="63" t="n"/>
      <c r="N11" s="72">
        <f>IF(OR(K11="",L11="",F11=""),"",(L11-F11)*K11)</f>
        <v/>
      </c>
      <c r="O11" s="63" t="n"/>
      <c r="P11" s="72">
        <f>IF(OR(N11="",O11=""),"",N11-O11)</f>
        <v/>
      </c>
      <c r="Q11" s="56" t="n"/>
    </row>
    <row r="12" ht="27" customHeight="1">
      <c r="A12" s="70" t="n">
        <v>4</v>
      </c>
      <c r="B12" s="56" t="n"/>
      <c r="C12" s="56" t="n"/>
      <c r="D12" s="56" t="n"/>
      <c r="E12" s="71" t="n"/>
      <c r="F12" s="63" t="n"/>
      <c r="G12" s="72">
        <f>IF(OR(E12="",F12=""),"",E12*F12)</f>
        <v/>
      </c>
      <c r="H12" s="71" t="n"/>
      <c r="I12" s="41">
        <f>IF(OR(E12="",H12=""),"",IF(H12&gt;=E12,"Y","N"))</f>
        <v/>
      </c>
      <c r="J12" s="56" t="n"/>
      <c r="K12" s="71" t="n"/>
      <c r="L12" s="63" t="n"/>
      <c r="M12" s="63" t="n"/>
      <c r="N12" s="72">
        <f>IF(OR(K12="",L12="",F12=""),"",(L12-F12)*K12)</f>
        <v/>
      </c>
      <c r="O12" s="63" t="n"/>
      <c r="P12" s="72">
        <f>IF(OR(N12="",O12=""),"",N12-O12)</f>
        <v/>
      </c>
      <c r="Q12" s="56" t="n"/>
    </row>
    <row r="13" ht="27" customHeight="1">
      <c r="A13" s="70" t="n">
        <v>5</v>
      </c>
      <c r="B13" s="56" t="n"/>
      <c r="C13" s="56" t="n"/>
      <c r="D13" s="56" t="n"/>
      <c r="E13" s="71" t="n"/>
      <c r="F13" s="63" t="n"/>
      <c r="G13" s="72">
        <f>IF(OR(E13="",F13=""),"",E13*F13)</f>
        <v/>
      </c>
      <c r="H13" s="71" t="n"/>
      <c r="I13" s="41">
        <f>IF(OR(E13="",H13=""),"",IF(H13&gt;=E13,"Y","N"))</f>
        <v/>
      </c>
      <c r="J13" s="56" t="n"/>
      <c r="K13" s="71" t="n"/>
      <c r="L13" s="63" t="n"/>
      <c r="M13" s="63" t="n"/>
      <c r="N13" s="72">
        <f>IF(OR(K13="",L13="",F13=""),"",(L13-F13)*K13)</f>
        <v/>
      </c>
      <c r="O13" s="63" t="n"/>
      <c r="P13" s="72">
        <f>IF(OR(N13="",O13=""),"",N13-O13)</f>
        <v/>
      </c>
      <c r="Q13" s="56" t="n"/>
    </row>
    <row r="14" ht="27" customHeight="1">
      <c r="A14" s="70" t="n">
        <v>6</v>
      </c>
      <c r="B14" s="56" t="n"/>
      <c r="C14" s="56" t="n"/>
      <c r="D14" s="56" t="n"/>
      <c r="E14" s="71" t="n"/>
      <c r="F14" s="63" t="n"/>
      <c r="G14" s="72">
        <f>IF(OR(E14="",F14=""),"",E14*F14)</f>
        <v/>
      </c>
      <c r="H14" s="71" t="n"/>
      <c r="I14" s="41">
        <f>IF(OR(E14="",H14=""),"",IF(H14&gt;=E14,"Y","N"))</f>
        <v/>
      </c>
      <c r="J14" s="56" t="n"/>
      <c r="K14" s="71" t="n"/>
      <c r="L14" s="63" t="n"/>
      <c r="M14" s="63" t="n"/>
      <c r="N14" s="72">
        <f>IF(OR(K14="",L14="",F14=""),"",(L14-F14)*K14)</f>
        <v/>
      </c>
      <c r="O14" s="63" t="n"/>
      <c r="P14" s="72">
        <f>IF(OR(N14="",O14=""),"",N14-O14)</f>
        <v/>
      </c>
      <c r="Q14" s="56" t="n"/>
    </row>
    <row r="15" ht="27" customHeight="1">
      <c r="A15" s="70" t="n">
        <v>7</v>
      </c>
      <c r="B15" s="56" t="n"/>
      <c r="C15" s="56" t="n"/>
      <c r="D15" s="56" t="n"/>
      <c r="E15" s="71" t="n"/>
      <c r="F15" s="63" t="n"/>
      <c r="G15" s="72">
        <f>IF(OR(E15="",F15=""),"",E15*F15)</f>
        <v/>
      </c>
      <c r="H15" s="71" t="n"/>
      <c r="I15" s="41">
        <f>IF(OR(E15="",H15=""),"",IF(H15&gt;=E15,"Y","N"))</f>
        <v/>
      </c>
      <c r="J15" s="56" t="n"/>
      <c r="K15" s="71" t="n"/>
      <c r="L15" s="63" t="n"/>
      <c r="M15" s="63" t="n"/>
      <c r="N15" s="72">
        <f>IF(OR(K15="",L15="",F15=""),"",(L15-F15)*K15)</f>
        <v/>
      </c>
      <c r="O15" s="63" t="n"/>
      <c r="P15" s="72">
        <f>IF(OR(N15="",O15=""),"",N15-O15)</f>
        <v/>
      </c>
      <c r="Q15" s="56" t="n"/>
    </row>
    <row r="16" ht="27" customHeight="1">
      <c r="A16" s="70" t="n">
        <v>8</v>
      </c>
      <c r="B16" s="56" t="n"/>
      <c r="C16" s="56" t="n"/>
      <c r="D16" s="56" t="n"/>
      <c r="E16" s="71" t="n"/>
      <c r="F16" s="63" t="n"/>
      <c r="G16" s="72">
        <f>IF(OR(E16="",F16=""),"",E16*F16)</f>
        <v/>
      </c>
      <c r="H16" s="71" t="n"/>
      <c r="I16" s="41">
        <f>IF(OR(E16="",H16=""),"",IF(H16&gt;=E16,"Y","N"))</f>
        <v/>
      </c>
      <c r="J16" s="56" t="n"/>
      <c r="K16" s="71" t="n"/>
      <c r="L16" s="63" t="n"/>
      <c r="M16" s="63" t="n"/>
      <c r="N16" s="72">
        <f>IF(OR(K16="",L16="",F16=""),"",(L16-F16)*K16)</f>
        <v/>
      </c>
      <c r="O16" s="63" t="n"/>
      <c r="P16" s="72">
        <f>IF(OR(N16="",O16=""),"",N16-O16)</f>
        <v/>
      </c>
      <c r="Q16" s="56" t="n"/>
    </row>
    <row r="17" ht="27" customHeight="1">
      <c r="A17" s="70" t="n">
        <v>9</v>
      </c>
      <c r="B17" s="56" t="n"/>
      <c r="C17" s="56" t="n"/>
      <c r="D17" s="56" t="n"/>
      <c r="E17" s="71" t="n"/>
      <c r="F17" s="63" t="n"/>
      <c r="G17" s="72">
        <f>IF(OR(E17="",F17=""),"",E17*F17)</f>
        <v/>
      </c>
      <c r="H17" s="71" t="n"/>
      <c r="I17" s="41">
        <f>IF(OR(E17="",H17=""),"",IF(H17&gt;=E17,"Y","N"))</f>
        <v/>
      </c>
      <c r="J17" s="56" t="n"/>
      <c r="K17" s="71" t="n"/>
      <c r="L17" s="63" t="n"/>
      <c r="M17" s="63" t="n"/>
      <c r="N17" s="72">
        <f>IF(OR(K17="",L17="",F17=""),"",(L17-F17)*K17)</f>
        <v/>
      </c>
      <c r="O17" s="63" t="n"/>
      <c r="P17" s="72">
        <f>IF(OR(N17="",O17=""),"",N17-O17)</f>
        <v/>
      </c>
      <c r="Q17" s="56" t="n"/>
    </row>
    <row r="18" ht="27" customHeight="1">
      <c r="A18" s="70" t="n">
        <v>10</v>
      </c>
      <c r="B18" s="56" t="n"/>
      <c r="C18" s="56" t="n"/>
      <c r="D18" s="56" t="n"/>
      <c r="E18" s="71" t="n"/>
      <c r="F18" s="63" t="n"/>
      <c r="G18" s="72">
        <f>IF(OR(E18="",F18=""),"",E18*F18)</f>
        <v/>
      </c>
      <c r="H18" s="71" t="n"/>
      <c r="I18" s="41">
        <f>IF(OR(E18="",H18=""),"",IF(H18&gt;=E18,"Y","N"))</f>
        <v/>
      </c>
      <c r="J18" s="56" t="n"/>
      <c r="K18" s="71" t="n"/>
      <c r="L18" s="63" t="n"/>
      <c r="M18" s="63" t="n"/>
      <c r="N18" s="72">
        <f>IF(OR(K18="",L18="",F18=""),"",(L18-F18)*K18)</f>
        <v/>
      </c>
      <c r="O18" s="63" t="n"/>
      <c r="P18" s="72">
        <f>IF(OR(N18="",O18=""),"",N18-O18)</f>
        <v/>
      </c>
      <c r="Q18" s="56" t="n"/>
    </row>
    <row r="19" ht="27" customHeight="1">
      <c r="A19" s="70" t="n">
        <v>11</v>
      </c>
      <c r="B19" s="56" t="n"/>
      <c r="C19" s="56" t="n"/>
      <c r="D19" s="56" t="n"/>
      <c r="E19" s="71" t="n"/>
      <c r="F19" s="63" t="n"/>
      <c r="G19" s="72">
        <f>IF(OR(E19="",F19=""),"",E19*F19)</f>
        <v/>
      </c>
      <c r="H19" s="71" t="n"/>
      <c r="I19" s="41">
        <f>IF(OR(E19="",H19=""),"",IF(H19&gt;=E19,"Y","N"))</f>
        <v/>
      </c>
      <c r="J19" s="56" t="n"/>
      <c r="K19" s="71" t="n"/>
      <c r="L19" s="63" t="n"/>
      <c r="M19" s="63" t="n"/>
      <c r="N19" s="72">
        <f>IF(OR(K19="",L19="",F19=""),"",(L19-F19)*K19)</f>
        <v/>
      </c>
      <c r="O19" s="63" t="n"/>
      <c r="P19" s="72">
        <f>IF(OR(N19="",O19=""),"",N19-O19)</f>
        <v/>
      </c>
      <c r="Q19" s="56" t="n"/>
    </row>
    <row r="20" ht="27" customHeight="1">
      <c r="A20" s="70" t="n">
        <v>12</v>
      </c>
      <c r="B20" s="56" t="n"/>
      <c r="C20" s="56" t="n"/>
      <c r="D20" s="56" t="n"/>
      <c r="E20" s="71" t="n"/>
      <c r="F20" s="63" t="n"/>
      <c r="G20" s="72">
        <f>IF(OR(E20="",F20=""),"",E20*F20)</f>
        <v/>
      </c>
      <c r="H20" s="71" t="n"/>
      <c r="I20" s="41">
        <f>IF(OR(E20="",H20=""),"",IF(H20&gt;=E20,"Y","N"))</f>
        <v/>
      </c>
      <c r="J20" s="56" t="n"/>
      <c r="K20" s="71" t="n"/>
      <c r="L20" s="63" t="n"/>
      <c r="M20" s="63" t="n"/>
      <c r="N20" s="72">
        <f>IF(OR(K20="",L20="",F20=""),"",(L20-F20)*K20)</f>
        <v/>
      </c>
      <c r="O20" s="63" t="n"/>
      <c r="P20" s="72">
        <f>IF(OR(N20="",O20=""),"",N20-O20)</f>
        <v/>
      </c>
      <c r="Q20" s="56" t="n"/>
    </row>
    <row r="21" ht="27" customHeight="1">
      <c r="A21" s="70" t="n">
        <v>13</v>
      </c>
      <c r="B21" s="56" t="n"/>
      <c r="C21" s="56" t="n"/>
      <c r="D21" s="56" t="n"/>
      <c r="E21" s="71" t="n"/>
      <c r="F21" s="63" t="n"/>
      <c r="G21" s="72">
        <f>IF(OR(E21="",F21=""),"",E21*F21)</f>
        <v/>
      </c>
      <c r="H21" s="71" t="n"/>
      <c r="I21" s="41">
        <f>IF(OR(E21="",H21=""),"",IF(H21&gt;=E21,"Y","N"))</f>
        <v/>
      </c>
      <c r="J21" s="56" t="n"/>
      <c r="K21" s="71" t="n"/>
      <c r="L21" s="63" t="n"/>
      <c r="M21" s="63" t="n"/>
      <c r="N21" s="72">
        <f>IF(OR(K21="",L21="",F21=""),"",(L21-F21)*K21)</f>
        <v/>
      </c>
      <c r="O21" s="63" t="n"/>
      <c r="P21" s="72">
        <f>IF(OR(N21="",O21=""),"",N21-O21)</f>
        <v/>
      </c>
      <c r="Q21" s="56" t="n"/>
    </row>
    <row r="22" ht="27" customHeight="1">
      <c r="A22" s="70" t="n">
        <v>14</v>
      </c>
      <c r="B22" s="56" t="n"/>
      <c r="C22" s="56" t="n"/>
      <c r="D22" s="56" t="n"/>
      <c r="E22" s="71" t="n"/>
      <c r="F22" s="63" t="n"/>
      <c r="G22" s="72">
        <f>IF(OR(E22="",F22=""),"",E22*F22)</f>
        <v/>
      </c>
      <c r="H22" s="71" t="n"/>
      <c r="I22" s="41">
        <f>IF(OR(E22="",H22=""),"",IF(H22&gt;=E22,"Y","N"))</f>
        <v/>
      </c>
      <c r="J22" s="56" t="n"/>
      <c r="K22" s="71" t="n"/>
      <c r="L22" s="63" t="n"/>
      <c r="M22" s="63" t="n"/>
      <c r="N22" s="72">
        <f>IF(OR(K22="",L22="",F22=""),"",(L22-F22)*K22)</f>
        <v/>
      </c>
      <c r="O22" s="63" t="n"/>
      <c r="P22" s="72">
        <f>IF(OR(N22="",O22=""),"",N22-O22)</f>
        <v/>
      </c>
      <c r="Q22" s="56" t="n"/>
    </row>
    <row r="23" ht="27" customHeight="1">
      <c r="A23" s="70" t="n">
        <v>15</v>
      </c>
      <c r="B23" s="56" t="n"/>
      <c r="C23" s="56" t="n"/>
      <c r="D23" s="56" t="n"/>
      <c r="E23" s="71" t="n"/>
      <c r="F23" s="63" t="n"/>
      <c r="G23" s="72">
        <f>IF(OR(E23="",F23=""),"",E23*F23)</f>
        <v/>
      </c>
      <c r="H23" s="71" t="n"/>
      <c r="I23" s="41">
        <f>IF(OR(E23="",H23=""),"",IF(H23&gt;=E23,"Y","N"))</f>
        <v/>
      </c>
      <c r="J23" s="56" t="n"/>
      <c r="K23" s="71" t="n"/>
      <c r="L23" s="63" t="n"/>
      <c r="M23" s="63" t="n"/>
      <c r="N23" s="72">
        <f>IF(OR(K23="",L23="",F23=""),"",(L23-F23)*K23)</f>
        <v/>
      </c>
      <c r="O23" s="63" t="n"/>
      <c r="P23" s="72">
        <f>IF(OR(N23="",O23=""),"",N23-O23)</f>
        <v/>
      </c>
      <c r="Q23" s="56" t="n"/>
    </row>
    <row r="24" ht="27" customHeight="1">
      <c r="A24" s="70" t="n">
        <v>16</v>
      </c>
      <c r="B24" s="56" t="n"/>
      <c r="C24" s="56" t="n"/>
      <c r="D24" s="56" t="n"/>
      <c r="E24" s="71" t="n"/>
      <c r="F24" s="63" t="n"/>
      <c r="G24" s="72">
        <f>IF(OR(E24="",F24=""),"",E24*F24)</f>
        <v/>
      </c>
      <c r="H24" s="71" t="n"/>
      <c r="I24" s="41">
        <f>IF(OR(E24="",H24=""),"",IF(H24&gt;=E24,"Y","N"))</f>
        <v/>
      </c>
      <c r="J24" s="56" t="n"/>
      <c r="K24" s="71" t="n"/>
      <c r="L24" s="63" t="n"/>
      <c r="M24" s="63" t="n"/>
      <c r="N24" s="72">
        <f>IF(OR(K24="",L24="",F24=""),"",(L24-F24)*K24)</f>
        <v/>
      </c>
      <c r="O24" s="63" t="n"/>
      <c r="P24" s="72">
        <f>IF(OR(N24="",O24=""),"",N24-O24)</f>
        <v/>
      </c>
      <c r="Q24" s="56" t="n"/>
    </row>
    <row r="25" ht="27" customHeight="1">
      <c r="A25" s="70" t="n">
        <v>17</v>
      </c>
      <c r="B25" s="56" t="n"/>
      <c r="C25" s="56" t="n"/>
      <c r="D25" s="56" t="n"/>
      <c r="E25" s="71" t="n"/>
      <c r="F25" s="63" t="n"/>
      <c r="G25" s="72">
        <f>IF(OR(E25="",F25=""),"",E25*F25)</f>
        <v/>
      </c>
      <c r="H25" s="71" t="n"/>
      <c r="I25" s="41">
        <f>IF(OR(E25="",H25=""),"",IF(H25&gt;=E25,"Y","N"))</f>
        <v/>
      </c>
      <c r="J25" s="56" t="n"/>
      <c r="K25" s="71" t="n"/>
      <c r="L25" s="63" t="n"/>
      <c r="M25" s="63" t="n"/>
      <c r="N25" s="72">
        <f>IF(OR(K25="",L25="",F25=""),"",(L25-F25)*K25)</f>
        <v/>
      </c>
      <c r="O25" s="63" t="n"/>
      <c r="P25" s="72">
        <f>IF(OR(N25="",O25=""),"",N25-O25)</f>
        <v/>
      </c>
      <c r="Q25" s="56" t="n"/>
    </row>
    <row r="26" ht="27" customHeight="1">
      <c r="A26" s="70" t="n">
        <v>18</v>
      </c>
      <c r="B26" s="56" t="n"/>
      <c r="C26" s="56" t="n"/>
      <c r="D26" s="56" t="n"/>
      <c r="E26" s="71" t="n"/>
      <c r="F26" s="63" t="n"/>
      <c r="G26" s="72">
        <f>IF(OR(E26="",F26=""),"",E26*F26)</f>
        <v/>
      </c>
      <c r="H26" s="71" t="n"/>
      <c r="I26" s="41">
        <f>IF(OR(E26="",H26=""),"",IF(H26&gt;=E26,"Y","N"))</f>
        <v/>
      </c>
      <c r="J26" s="56" t="n"/>
      <c r="K26" s="71" t="n"/>
      <c r="L26" s="63" t="n"/>
      <c r="M26" s="63" t="n"/>
      <c r="N26" s="72">
        <f>IF(OR(K26="",L26="",F26=""),"",(L26-F26)*K26)</f>
        <v/>
      </c>
      <c r="O26" s="63" t="n"/>
      <c r="P26" s="72">
        <f>IF(OR(N26="",O26=""),"",N26-O26)</f>
        <v/>
      </c>
      <c r="Q26" s="56" t="n"/>
    </row>
    <row r="27" ht="27" customHeight="1">
      <c r="A27" s="70" t="n">
        <v>19</v>
      </c>
      <c r="B27" s="56" t="n"/>
      <c r="C27" s="56" t="n"/>
      <c r="D27" s="56" t="n"/>
      <c r="E27" s="71" t="n"/>
      <c r="F27" s="63" t="n"/>
      <c r="G27" s="72">
        <f>IF(OR(E27="",F27=""),"",E27*F27)</f>
        <v/>
      </c>
      <c r="H27" s="71" t="n"/>
      <c r="I27" s="41">
        <f>IF(OR(E27="",H27=""),"",IF(H27&gt;=E27,"Y","N"))</f>
        <v/>
      </c>
      <c r="J27" s="56" t="n"/>
      <c r="K27" s="71" t="n"/>
      <c r="L27" s="63" t="n"/>
      <c r="M27" s="63" t="n"/>
      <c r="N27" s="72">
        <f>IF(OR(K27="",L27="",F27=""),"",(L27-F27)*K27)</f>
        <v/>
      </c>
      <c r="O27" s="63" t="n"/>
      <c r="P27" s="72">
        <f>IF(OR(N27="",O27=""),"",N27-O27)</f>
        <v/>
      </c>
      <c r="Q27" s="56" t="n"/>
    </row>
    <row r="28" ht="27" customHeight="1">
      <c r="A28" s="70" t="n">
        <v>20</v>
      </c>
      <c r="B28" s="56" t="n"/>
      <c r="C28" s="56" t="n"/>
      <c r="D28" s="56" t="n"/>
      <c r="E28" s="71" t="n"/>
      <c r="F28" s="63" t="n"/>
      <c r="G28" s="72">
        <f>IF(OR(E28="",F28=""),"",E28*F28)</f>
        <v/>
      </c>
      <c r="H28" s="71" t="n"/>
      <c r="I28" s="41">
        <f>IF(OR(E28="",H28=""),"",IF(H28&gt;=E28,"Y","N"))</f>
        <v/>
      </c>
      <c r="J28" s="56" t="n"/>
      <c r="K28" s="71" t="n"/>
      <c r="L28" s="63" t="n"/>
      <c r="M28" s="63" t="n"/>
      <c r="N28" s="72">
        <f>IF(OR(K28="",L28="",F28=""),"",(L28-F28)*K28)</f>
        <v/>
      </c>
      <c r="O28" s="63" t="n"/>
      <c r="P28" s="72">
        <f>IF(OR(N28="",O28=""),"",N28-O28)</f>
        <v/>
      </c>
      <c r="Q28" s="56" t="n"/>
    </row>
    <row r="29" ht="27" customHeight="1">
      <c r="A29" s="70" t="n">
        <v>21</v>
      </c>
      <c r="B29" s="56" t="n"/>
      <c r="C29" s="56" t="n"/>
      <c r="D29" s="56" t="n"/>
      <c r="E29" s="71" t="n"/>
      <c r="F29" s="63" t="n"/>
      <c r="G29" s="72">
        <f>IF(OR(E29="",F29=""),"",E29*F29)</f>
        <v/>
      </c>
      <c r="H29" s="71" t="n"/>
      <c r="I29" s="41">
        <f>IF(OR(E29="",H29=""),"",IF(H29&gt;=E29,"Y","N"))</f>
        <v/>
      </c>
      <c r="J29" s="56" t="n"/>
      <c r="K29" s="71" t="n"/>
      <c r="L29" s="63" t="n"/>
      <c r="M29" s="63" t="n"/>
      <c r="N29" s="72">
        <f>IF(OR(K29="",L29="",F29=""),"",(L29-F29)*K29)</f>
        <v/>
      </c>
      <c r="O29" s="63" t="n"/>
      <c r="P29" s="72">
        <f>IF(OR(N29="",O29=""),"",N29-O29)</f>
        <v/>
      </c>
      <c r="Q29" s="56" t="n"/>
    </row>
    <row r="30" ht="27" customHeight="1">
      <c r="A30" s="70" t="n">
        <v>22</v>
      </c>
      <c r="B30" s="56" t="n"/>
      <c r="C30" s="56" t="n"/>
      <c r="D30" s="56" t="n"/>
      <c r="E30" s="71" t="n"/>
      <c r="F30" s="63" t="n"/>
      <c r="G30" s="72">
        <f>IF(OR(E30="",F30=""),"",E30*F30)</f>
        <v/>
      </c>
      <c r="H30" s="71" t="n"/>
      <c r="I30" s="41">
        <f>IF(OR(E30="",H30=""),"",IF(H30&gt;=E30,"Y","N"))</f>
        <v/>
      </c>
      <c r="J30" s="56" t="n"/>
      <c r="K30" s="71" t="n"/>
      <c r="L30" s="63" t="n"/>
      <c r="M30" s="63" t="n"/>
      <c r="N30" s="72">
        <f>IF(OR(K30="",L30="",F30=""),"",(L30-F30)*K30)</f>
        <v/>
      </c>
      <c r="O30" s="63" t="n"/>
      <c r="P30" s="72">
        <f>IF(OR(N30="",O30=""),"",N30-O30)</f>
        <v/>
      </c>
      <c r="Q30" s="56" t="n"/>
    </row>
    <row r="31">
      <c r="A31" s="73" t="inlineStr">
        <is>
          <t>Total</t>
        </is>
      </c>
      <c r="B31" s="73" t="n"/>
      <c r="C31" s="73" t="n"/>
      <c r="D31" s="73" t="n"/>
      <c r="E31" s="73" t="n"/>
      <c r="F31" s="73" t="n"/>
      <c r="G31" s="74">
        <f>SUM(G9:G30)</f>
        <v/>
      </c>
      <c r="H31" s="73" t="n"/>
      <c r="I31" s="73" t="n"/>
      <c r="J31" s="73" t="n"/>
      <c r="K31" s="73" t="n"/>
      <c r="L31" s="73" t="n"/>
      <c r="M31" s="73" t="n"/>
      <c r="N31" s="74">
        <f>SUM(N9:N30)</f>
        <v/>
      </c>
      <c r="O31" s="74">
        <f>SUM(O9:O30)</f>
        <v/>
      </c>
      <c r="P31" s="74">
        <f>SUM(P9:P30)</f>
        <v/>
      </c>
      <c r="Q31" s="73" t="n"/>
    </row>
    <row r="32">
      <c r="A32" s="35" t="n"/>
      <c r="B32" s="35" t="n"/>
      <c r="C32" s="35" t="n"/>
      <c r="D32" s="35" t="n"/>
      <c r="E32" s="35" t="n"/>
      <c r="F32" s="35" t="n"/>
      <c r="G32" s="35" t="n"/>
      <c r="H32" s="35" t="n"/>
      <c r="I32" s="35" t="n"/>
      <c r="J32" s="35" t="n"/>
      <c r="K32" s="35" t="n"/>
      <c r="L32" s="35" t="n"/>
      <c r="M32" s="35" t="n"/>
      <c r="N32" s="35" t="n"/>
      <c r="O32" s="35" t="n"/>
      <c r="P32" s="35" t="n"/>
      <c r="Q32" s="35" t="n"/>
    </row>
    <row r="33">
      <c r="A33" s="37" t="inlineStr">
        <is>
          <t>Coverage rule: the purchase-report quantity over the test period must be ≥ the YE listing quantity — otherwise extend the period or test additional layers. Std-vs-actual difference recomputes as (actual − standard) × invoice quantity; the recorded PPV must absorb it (recompute diff = 0). Unabsorbed differences feed the &lt;.4&gt; capitalized-variance test.</t>
        </is>
      </c>
      <c r="B33" s="35" t="n"/>
      <c r="C33" s="35" t="n"/>
      <c r="D33" s="35" t="n"/>
      <c r="E33" s="35" t="n"/>
      <c r="F33" s="35" t="n"/>
      <c r="G33" s="35" t="n"/>
      <c r="H33" s="35" t="n"/>
      <c r="I33" s="35" t="n"/>
      <c r="J33" s="35" t="n"/>
      <c r="K33" s="35" t="n"/>
      <c r="L33" s="35" t="n"/>
      <c r="M33" s="35" t="n"/>
      <c r="N33" s="35" t="n"/>
      <c r="O33" s="35" t="n"/>
      <c r="P33" s="35" t="n"/>
      <c r="Q33" s="35" t="n"/>
    </row>
    <row r="34">
      <c r="A34" s="35" t="n"/>
      <c r="B34" s="35" t="n"/>
      <c r="C34" s="35" t="n"/>
      <c r="D34" s="35" t="n"/>
      <c r="E34" s="35" t="n"/>
      <c r="F34" s="35" t="n"/>
      <c r="G34" s="35" t="n"/>
      <c r="H34" s="35" t="n"/>
      <c r="I34" s="35" t="n"/>
      <c r="J34" s="35" t="n"/>
      <c r="K34" s="35" t="n"/>
      <c r="L34" s="35" t="n"/>
      <c r="M34" s="35" t="n"/>
      <c r="N34" s="35" t="n"/>
      <c r="O34" s="35" t="n"/>
      <c r="P34" s="35" t="n"/>
      <c r="Q34" s="35" t="n"/>
    </row>
    <row r="35">
      <c r="A35" s="57" t="inlineStr">
        <is>
          <t>TM Legends</t>
        </is>
      </c>
      <c r="B35" s="35" t="n"/>
      <c r="C35" s="35" t="n"/>
      <c r="D35" s="35" t="n"/>
      <c r="E35" s="35" t="n"/>
      <c r="F35" s="35" t="n"/>
      <c r="G35" s="35" t="n"/>
      <c r="H35" s="35" t="n"/>
      <c r="I35" s="35" t="n"/>
      <c r="J35" s="35" t="n"/>
      <c r="K35" s="35" t="n"/>
      <c r="L35" s="35" t="n"/>
      <c r="M35" s="35" t="n"/>
      <c r="N35" s="35" t="n"/>
      <c r="O35" s="35" t="n"/>
      <c r="P35" s="35" t="n"/>
      <c r="Q35" s="35" t="n"/>
    </row>
    <row r="36" ht="27.75" customHeight="1">
      <c r="A36" s="58" t="inlineStr">
        <is>
          <t>TB</t>
        </is>
      </c>
      <c r="B36" s="41" t="inlineStr">
        <is>
          <t>Agreed to trial balance</t>
        </is>
      </c>
      <c r="C36" s="59" t="n"/>
      <c r="D36" s="60" t="n"/>
      <c r="E36" s="35" t="n"/>
      <c r="F36" s="35" t="n"/>
      <c r="G36" s="35" t="n"/>
      <c r="H36" s="35" t="n"/>
      <c r="I36" s="35" t="n"/>
      <c r="J36" s="35" t="n"/>
      <c r="K36" s="35" t="n"/>
      <c r="L36" s="35" t="n"/>
      <c r="M36" s="35" t="n"/>
      <c r="N36" s="35" t="n"/>
      <c r="O36" s="35" t="n"/>
      <c r="P36" s="35" t="n"/>
      <c r="Q36" s="35" t="n"/>
    </row>
    <row r="37">
      <c r="A37" s="58" t="inlineStr">
        <is>
          <t>GL</t>
        </is>
      </c>
      <c r="B37" s="41" t="inlineStr">
        <is>
          <t>Agreed to general ledger</t>
        </is>
      </c>
      <c r="C37" s="59" t="n"/>
      <c r="D37" s="60" t="n"/>
      <c r="E37" s="35" t="n"/>
      <c r="F37" s="35" t="n"/>
      <c r="G37" s="35" t="n"/>
      <c r="H37" s="35" t="n"/>
      <c r="I37" s="35" t="n"/>
      <c r="J37" s="35" t="n"/>
      <c r="K37" s="35" t="n"/>
      <c r="L37" s="35" t="n"/>
      <c r="M37" s="35" t="n"/>
      <c r="N37" s="35" t="n"/>
      <c r="O37" s="35" t="n"/>
      <c r="P37" s="35" t="n"/>
      <c r="Q37" s="35" t="n"/>
    </row>
    <row r="38">
      <c r="A38" s="58" t="inlineStr">
        <is>
          <t>CF</t>
        </is>
      </c>
      <c r="B38" s="41" t="inlineStr">
        <is>
          <t>Confirmed with third party</t>
        </is>
      </c>
      <c r="C38" s="59" t="n"/>
      <c r="D38" s="60" t="n"/>
      <c r="E38" s="35" t="n"/>
      <c r="F38" s="35" t="n"/>
      <c r="G38" s="35" t="n"/>
      <c r="H38" s="35" t="n"/>
      <c r="I38" s="35" t="n"/>
      <c r="J38" s="35" t="n"/>
      <c r="K38" s="35" t="n"/>
      <c r="L38" s="35" t="n"/>
      <c r="M38" s="35" t="n"/>
      <c r="N38" s="35" t="n"/>
      <c r="O38" s="35" t="n"/>
      <c r="P38" s="35" t="n"/>
      <c r="Q38" s="35" t="n"/>
    </row>
    <row r="39">
      <c r="A39" s="58" t="inlineStr">
        <is>
          <t>V</t>
        </is>
      </c>
      <c r="B39" s="41" t="inlineStr">
        <is>
          <t>Vouched to source document</t>
        </is>
      </c>
      <c r="C39" s="59" t="n"/>
      <c r="D39" s="60" t="n"/>
      <c r="E39" s="35" t="n"/>
      <c r="F39" s="35" t="n"/>
      <c r="G39" s="35" t="n"/>
      <c r="H39" s="35" t="n"/>
      <c r="I39" s="35" t="n"/>
      <c r="J39" s="35" t="n"/>
      <c r="K39" s="35" t="n"/>
      <c r="L39" s="35" t="n"/>
      <c r="M39" s="35" t="n"/>
      <c r="N39" s="35" t="n"/>
      <c r="O39" s="35" t="n"/>
      <c r="P39" s="35" t="n"/>
      <c r="Q39" s="35" t="n"/>
    </row>
    <row r="40">
      <c r="A40" s="58" t="inlineStr">
        <is>
          <t>SR</t>
        </is>
      </c>
      <c r="B40" s="41" t="inlineStr">
        <is>
          <t>Agreed to subsequent bank-cleared receipt</t>
        </is>
      </c>
      <c r="C40" s="59" t="n"/>
      <c r="D40" s="60" t="n"/>
      <c r="E40" s="35" t="n"/>
      <c r="F40" s="35" t="n"/>
      <c r="G40" s="35" t="n"/>
      <c r="H40" s="35" t="n"/>
      <c r="I40" s="35" t="n"/>
      <c r="J40" s="35" t="n"/>
      <c r="K40" s="35" t="n"/>
      <c r="L40" s="35" t="n"/>
      <c r="M40" s="35" t="n"/>
      <c r="N40" s="35" t="n"/>
      <c r="O40" s="35" t="n"/>
      <c r="P40" s="35" t="n"/>
      <c r="Q40" s="35" t="n"/>
    </row>
    <row r="41">
      <c r="A41" s="58" t="inlineStr">
        <is>
          <t>R</t>
        </is>
      </c>
      <c r="B41" s="41" t="inlineStr">
        <is>
          <t>Recalculated independently</t>
        </is>
      </c>
      <c r="C41" s="59" t="n"/>
      <c r="D41" s="60" t="n"/>
      <c r="E41" s="35" t="n"/>
      <c r="F41" s="35" t="n"/>
      <c r="G41" s="35" t="n"/>
      <c r="H41" s="35" t="n"/>
      <c r="I41" s="35" t="n"/>
      <c r="J41" s="35" t="n"/>
      <c r="K41" s="35" t="n"/>
      <c r="L41" s="35" t="n"/>
      <c r="M41" s="35" t="n"/>
      <c r="N41" s="35" t="n"/>
      <c r="O41" s="35" t="n"/>
      <c r="P41" s="35" t="n"/>
      <c r="Q41" s="35" t="n"/>
    </row>
    <row r="42">
      <c r="A42" s="58" t="inlineStr">
        <is>
          <t>F</t>
        </is>
      </c>
      <c r="B42" s="41" t="inlineStr">
        <is>
          <t>Footed / cross-cast</t>
        </is>
      </c>
      <c r="C42" s="59" t="n"/>
      <c r="D42" s="60" t="n"/>
      <c r="E42" s="35" t="n"/>
      <c r="F42" s="35" t="n"/>
      <c r="G42" s="35" t="n"/>
      <c r="H42" s="35" t="n"/>
      <c r="I42" s="35" t="n"/>
      <c r="J42" s="35" t="n"/>
      <c r="K42" s="35" t="n"/>
      <c r="L42" s="35" t="n"/>
      <c r="M42" s="35" t="n"/>
      <c r="N42" s="35" t="n"/>
      <c r="O42" s="35" t="n"/>
      <c r="P42" s="35" t="n"/>
      <c r="Q42" s="35" t="n"/>
    </row>
    <row r="43">
      <c r="A43" s="58" t="inlineStr">
        <is>
          <t>T</t>
        </is>
      </c>
      <c r="B43" s="41" t="inlineStr">
        <is>
          <t>Traced to downstream record</t>
        </is>
      </c>
      <c r="C43" s="59" t="n"/>
      <c r="D43" s="60" t="n"/>
      <c r="E43" s="35" t="n"/>
      <c r="F43" s="35" t="n"/>
      <c r="G43" s="35" t="n"/>
      <c r="H43" s="35" t="n"/>
      <c r="I43" s="35" t="n"/>
      <c r="J43" s="35" t="n"/>
      <c r="K43" s="35" t="n"/>
      <c r="L43" s="35" t="n"/>
      <c r="M43" s="35" t="n"/>
      <c r="N43" s="35" t="n"/>
      <c r="O43" s="35" t="n"/>
      <c r="P43" s="35" t="n"/>
      <c r="Q43" s="35" t="n"/>
    </row>
    <row r="44">
      <c r="A44" s="58" t="inlineStr">
        <is>
          <t>PBC</t>
        </is>
      </c>
      <c r="B44" s="41" t="inlineStr">
        <is>
          <t>Prepared by client</t>
        </is>
      </c>
      <c r="C44" s="59" t="n"/>
      <c r="D44" s="60" t="n"/>
      <c r="E44" s="35" t="n"/>
      <c r="F44" s="35" t="n"/>
      <c r="G44" s="35" t="n"/>
      <c r="H44" s="35" t="n"/>
      <c r="I44" s="35" t="n"/>
      <c r="J44" s="35" t="n"/>
      <c r="K44" s="35" t="n"/>
      <c r="L44" s="35" t="n"/>
      <c r="M44" s="35" t="n"/>
      <c r="N44" s="35" t="n"/>
      <c r="O44" s="35" t="n"/>
      <c r="P44" s="35" t="n"/>
      <c r="Q44" s="35" t="n"/>
    </row>
    <row r="45">
      <c r="A45" s="35" t="n"/>
      <c r="B45" s="35" t="n"/>
      <c r="C45" s="35" t="n"/>
      <c r="D45" s="35" t="n"/>
      <c r="E45" s="35" t="n"/>
      <c r="F45" s="35" t="n"/>
      <c r="G45" s="35" t="n"/>
      <c r="H45" s="35" t="n"/>
      <c r="I45" s="35" t="n"/>
      <c r="J45" s="35" t="n"/>
      <c r="K45" s="35" t="n"/>
      <c r="L45" s="35" t="n"/>
      <c r="M45" s="35" t="n"/>
      <c r="N45" s="35" t="n"/>
      <c r="O45" s="35" t="n"/>
      <c r="P45" s="35" t="n"/>
      <c r="Q45" s="35" t="n"/>
    </row>
    <row r="46">
      <c r="A46" s="37" t="inlineStr">
        <is>
          <t>Before sign-off complete Library Procedures 4-6 (selection &amp; coverage; invoice vouch; PPV recompute).</t>
        </is>
      </c>
      <c r="B46" s="35" t="n"/>
      <c r="C46" s="35" t="n"/>
      <c r="D46" s="35" t="n"/>
      <c r="E46" s="35" t="n"/>
      <c r="F46" s="35" t="n"/>
      <c r="G46" s="35" t="n"/>
      <c r="H46" s="35" t="n"/>
      <c r="I46" s="35" t="n"/>
      <c r="J46" s="35" t="n"/>
      <c r="K46" s="35" t="n"/>
      <c r="L46" s="35" t="n"/>
      <c r="M46" s="35" t="n"/>
      <c r="N46" s="35" t="n"/>
      <c r="O46" s="35" t="n"/>
      <c r="P46" s="35" t="n"/>
      <c r="Q46" s="35" t="n"/>
    </row>
  </sheetData>
  <autoFilter ref="A7:Q30"/>
  <mergeCells count="14">
    <mergeCell ref="B42:D42"/>
    <mergeCell ref="B36:D36"/>
    <mergeCell ref="B41:D41"/>
    <mergeCell ref="B44:D44"/>
    <mergeCell ref="B6:Q6"/>
    <mergeCell ref="A33:Q33"/>
    <mergeCell ref="B38:D38"/>
    <mergeCell ref="B5:Q5"/>
    <mergeCell ref="B37:D37"/>
    <mergeCell ref="B4:Q4"/>
    <mergeCell ref="B40:D40"/>
    <mergeCell ref="B43:D43"/>
    <mergeCell ref="B39:D39"/>
    <mergeCell ref="A46:Q46"/>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autoPageBreaks="0" fitToPage="1"/>
  </sheetPr>
  <dimension ref="A1:P46"/>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B9" sqref="B9"/>
    </sheetView>
  </sheetViews>
  <sheetFormatPr baseColWidth="8" defaultColWidth="8.6328125" defaultRowHeight="14.5"/>
  <cols>
    <col width="32.59999999999999" bestFit="1" customWidth="1" min="1" max="1"/>
    <col width="30.05" customWidth="1" min="2" max="2"/>
    <col width="20" customWidth="1" min="3" max="3"/>
    <col width="37.7" bestFit="1" customWidth="1" min="4" max="4"/>
    <col width="17.3" customWidth="1" min="5" max="6"/>
    <col width="19.85" customWidth="1" min="6" max="6"/>
    <col width="30.05" customWidth="1" min="7" max="8"/>
    <col width="31.75" customWidth="1" min="8" max="8"/>
    <col width="32.59999999999999" customWidth="1" min="9" max="9"/>
    <col width="35.15" customWidth="1" min="10" max="10"/>
    <col width="41.1" customWidth="1" min="11" max="12"/>
    <col width="30.05" customWidth="1" min="12" max="12"/>
    <col width="30.05" customWidth="1" min="13" max="14"/>
    <col width="19" customWidth="1" min="14" max="14"/>
    <col width="27.5" customWidth="1" min="15" max="15"/>
    <col width="22" customWidth="1" min="16" max="16"/>
  </cols>
  <sheetData>
    <row r="1" ht="27" customHeight="1">
      <c r="A1" s="34" t="inlineStr">
        <is>
          <t>Raw Material Cost — Weighted Average</t>
        </is>
      </c>
      <c r="B1" s="35" t="n"/>
      <c r="C1" s="35" t="n"/>
      <c r="D1" s="35" t="n"/>
      <c r="E1" s="35" t="n"/>
      <c r="F1" s="35" t="n"/>
      <c r="G1" s="35" t="n"/>
      <c r="H1" s="35" t="n"/>
      <c r="I1" s="35" t="n"/>
      <c r="J1" s="35" t="n"/>
      <c r="K1" s="35" t="n"/>
      <c r="L1" s="35" t="n"/>
      <c r="M1" s="35" t="n"/>
      <c r="N1" s="35" t="n"/>
      <c r="O1" s="35" t="n"/>
      <c r="P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c r="P2" s="35" t="n"/>
    </row>
    <row r="3" ht="27" customHeight="1">
      <c r="A3" s="49" t="inlineStr">
        <is>
          <t>Performance Materiality</t>
        </is>
      </c>
      <c r="B3" s="50" t="n">
        <v>19100</v>
      </c>
      <c r="C3" s="35" t="n"/>
      <c r="D3" s="49" t="inlineStr">
        <is>
          <t>Tolerable misstatement / testing threshold</t>
        </is>
      </c>
      <c r="E3" s="50" t="n">
        <v>14400</v>
      </c>
      <c r="F3" s="35" t="n"/>
      <c r="G3" s="35" t="n"/>
      <c r="H3" s="35" t="n"/>
      <c r="I3" s="35" t="n"/>
      <c r="J3" s="35" t="n"/>
      <c r="K3" s="35" t="n"/>
      <c r="L3" s="35" t="n"/>
      <c r="M3" s="35" t="n"/>
      <c r="N3" s="35" t="n"/>
      <c r="O3" s="35" t="n"/>
      <c r="P3" s="35" t="n"/>
    </row>
    <row r="4" ht="42" customHeight="1">
      <c r="A4" s="51" t="inlineStr">
        <is>
          <t>Purpose:</t>
        </is>
      </c>
      <c r="B4" s="52" t="inlineStr">
        <is>
          <t>Test YE raw-material weighted-average costs: select items from the YE listing, obtain the purchase report over the test period (quantity must cover the YE quantity), recompute the weighted-average unit cost, and vouch one invoice from the purchase report.</t>
        </is>
      </c>
      <c r="C4" s="53" t="n"/>
      <c r="D4" s="53" t="n"/>
      <c r="E4" s="53" t="n"/>
      <c r="F4" s="53" t="n"/>
      <c r="G4" s="53" t="n"/>
      <c r="H4" s="53" t="n"/>
      <c r="I4" s="53" t="n"/>
      <c r="J4" s="53" t="n"/>
      <c r="K4" s="53" t="n"/>
      <c r="L4" s="53" t="n"/>
      <c r="M4" s="53" t="n"/>
      <c r="N4" s="53" t="n"/>
      <c r="O4" s="53" t="n"/>
      <c r="P4" s="54" t="n"/>
    </row>
    <row r="5" ht="27.75" customHeight="1">
      <c r="A5" s="51" t="inlineStr">
        <is>
          <t>Scope:</t>
        </is>
      </c>
      <c r="B5" s="52" t="inlineStr">
        <is>
          <t>Selections from the YE inventory listing above the testing threshold; purchase history over the period subject to testing (&lt;.1&gt;).</t>
        </is>
      </c>
      <c r="C5" s="53" t="n"/>
      <c r="D5" s="53" t="n"/>
      <c r="E5" s="53" t="n"/>
      <c r="F5" s="53" t="n"/>
      <c r="G5" s="53" t="n"/>
      <c r="H5" s="53" t="n"/>
      <c r="I5" s="53" t="n"/>
      <c r="J5" s="53" t="n"/>
      <c r="K5" s="53" t="n"/>
      <c r="L5" s="53" t="n"/>
      <c r="M5" s="53" t="n"/>
      <c r="N5" s="53" t="n"/>
      <c r="O5" s="53" t="n"/>
      <c r="P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4" t="n"/>
    </row>
    <row r="7" ht="45.75" customHeight="1">
      <c r="A7" s="55" t="inlineStr">
        <is>
          <t>Sel #</t>
        </is>
      </c>
      <c r="B7" s="55" t="inlineStr">
        <is>
          <t>Item / SKU</t>
        </is>
      </c>
      <c r="C7" s="55" t="inlineStr">
        <is>
          <t>Description</t>
        </is>
      </c>
      <c r="D7" s="55" t="inlineStr">
        <is>
          <t>UoM</t>
        </is>
      </c>
      <c r="E7" s="55" t="inlineStr">
        <is>
          <t>Qty per YE listing</t>
        </is>
      </c>
      <c r="F7" s="55" t="inlineStr">
        <is>
          <t>Unit cost per listing</t>
        </is>
      </c>
      <c r="G7" s="55" t="inlineStr">
        <is>
          <t>Extended per listing</t>
        </is>
      </c>
      <c r="H7" s="55" t="inlineStr">
        <is>
          <t>Purchase report: total qty (period)</t>
        </is>
      </c>
      <c r="I7" s="55" t="inlineStr">
        <is>
          <t>Purchase report: total cost (period)</t>
        </is>
      </c>
      <c r="J7" s="55" t="inlineStr">
        <is>
          <t>Recomputed WA unit cost</t>
        </is>
      </c>
      <c r="K7" s="55" t="inlineStr">
        <is>
          <t>Coverage OK (qty ≥ YE qty)</t>
        </is>
      </c>
      <c r="L7" s="55" t="inlineStr">
        <is>
          <t>WA vs listing diff / unit</t>
        </is>
      </c>
      <c r="M7" s="55" t="inlineStr">
        <is>
          <t>Extended difference</t>
        </is>
      </c>
      <c r="N7" s="55" t="inlineStr">
        <is>
          <t>Invoice tested (ref)</t>
        </is>
      </c>
      <c r="O7" s="55" t="inlineStr">
        <is>
          <t>Invoice unit cost agrees (Y/N)</t>
        </is>
      </c>
      <c r="P7" s="55" t="inlineStr">
        <is>
          <t>Comments</t>
        </is>
      </c>
    </row>
    <row r="8">
      <c r="A8" s="35" t="n"/>
      <c r="B8" s="35" t="n"/>
      <c r="C8" s="35" t="n"/>
      <c r="D8" s="35" t="n"/>
      <c r="E8" s="69" t="inlineStr">
        <is>
          <t>PBC</t>
        </is>
      </c>
      <c r="F8" s="35" t="n"/>
      <c r="G8" s="35" t="n"/>
      <c r="H8" s="69" t="inlineStr">
        <is>
          <t>V</t>
        </is>
      </c>
      <c r="I8" s="35" t="n"/>
      <c r="J8" s="69" t="inlineStr">
        <is>
          <t>R</t>
        </is>
      </c>
      <c r="K8" s="35" t="n"/>
      <c r="L8" s="35" t="n"/>
      <c r="M8" s="35" t="n"/>
      <c r="N8" s="69" t="inlineStr">
        <is>
          <t>V</t>
        </is>
      </c>
      <c r="O8" s="35" t="n"/>
      <c r="P8" s="35" t="n"/>
    </row>
    <row r="9">
      <c r="A9" s="70" t="n">
        <v>1</v>
      </c>
      <c r="B9" s="56" t="n"/>
      <c r="C9" s="56" t="n"/>
      <c r="D9" s="56" t="n"/>
      <c r="E9" s="71" t="n"/>
      <c r="F9" s="63" t="n"/>
      <c r="G9" s="72">
        <f>IF(OR(E9="",F9=""),"",E9*F9)</f>
        <v/>
      </c>
      <c r="H9" s="71" t="n"/>
      <c r="I9" s="63" t="n"/>
      <c r="J9" s="72">
        <f>IF(OR(H9="",H9=0,I9=""),"",I9/H9)</f>
        <v/>
      </c>
      <c r="K9" s="41">
        <f>IF(OR(E9="",H9=""),"",IF(H9&gt;=E9,"Y","N"))</f>
        <v/>
      </c>
      <c r="L9" s="72">
        <f>IF(OR(J9="",F9=""),"",F9-J9)</f>
        <v/>
      </c>
      <c r="M9" s="72">
        <f>IF(OR(L9="",E9=""),"",L9*E9)</f>
        <v/>
      </c>
      <c r="N9" s="56" t="n"/>
      <c r="O9" s="56" t="n"/>
      <c r="P9" s="56" t="n"/>
    </row>
    <row r="10" ht="27" customHeight="1">
      <c r="A10" s="70" t="n">
        <v>2</v>
      </c>
      <c r="B10" s="56" t="n"/>
      <c r="C10" s="56" t="n"/>
      <c r="D10" s="56" t="n"/>
      <c r="E10" s="71" t="n"/>
      <c r="F10" s="63" t="n"/>
      <c r="G10" s="72">
        <f>IF(OR(E10="",F10=""),"",E10*F10)</f>
        <v/>
      </c>
      <c r="H10" s="71" t="n"/>
      <c r="I10" s="63" t="n"/>
      <c r="J10" s="72">
        <f>IF(OR(H10="",H10=0,I10=""),"",I10/H10)</f>
        <v/>
      </c>
      <c r="K10" s="41">
        <f>IF(OR(E10="",H10=""),"",IF(H10&gt;=E10,"Y","N"))</f>
        <v/>
      </c>
      <c r="L10" s="72">
        <f>IF(OR(J10="",F10=""),"",F10-J10)</f>
        <v/>
      </c>
      <c r="M10" s="72">
        <f>IF(OR(L10="",E10=""),"",L10*E10)</f>
        <v/>
      </c>
      <c r="N10" s="56" t="n"/>
      <c r="O10" s="56" t="n"/>
      <c r="P10" s="56" t="n"/>
    </row>
    <row r="11" ht="27" customHeight="1">
      <c r="A11" s="70" t="n">
        <v>3</v>
      </c>
      <c r="B11" s="56" t="n"/>
      <c r="C11" s="56" t="n"/>
      <c r="D11" s="56" t="n"/>
      <c r="E11" s="71" t="n"/>
      <c r="F11" s="63" t="n"/>
      <c r="G11" s="72">
        <f>IF(OR(E11="",F11=""),"",E11*F11)</f>
        <v/>
      </c>
      <c r="H11" s="71" t="n"/>
      <c r="I11" s="63" t="n"/>
      <c r="J11" s="72">
        <f>IF(OR(H11="",H11=0,I11=""),"",I11/H11)</f>
        <v/>
      </c>
      <c r="K11" s="41">
        <f>IF(OR(E11="",H11=""),"",IF(H11&gt;=E11,"Y","N"))</f>
        <v/>
      </c>
      <c r="L11" s="72">
        <f>IF(OR(J11="",F11=""),"",F11-J11)</f>
        <v/>
      </c>
      <c r="M11" s="72">
        <f>IF(OR(L11="",E11=""),"",L11*E11)</f>
        <v/>
      </c>
      <c r="N11" s="56" t="n"/>
      <c r="O11" s="56" t="n"/>
      <c r="P11" s="56" t="n"/>
    </row>
    <row r="12" ht="27" customHeight="1">
      <c r="A12" s="70" t="n">
        <v>4</v>
      </c>
      <c r="B12" s="56" t="n"/>
      <c r="C12" s="56" t="n"/>
      <c r="D12" s="56" t="n"/>
      <c r="E12" s="71" t="n"/>
      <c r="F12" s="63" t="n"/>
      <c r="G12" s="72">
        <f>IF(OR(E12="",F12=""),"",E12*F12)</f>
        <v/>
      </c>
      <c r="H12" s="71" t="n"/>
      <c r="I12" s="63" t="n"/>
      <c r="J12" s="72">
        <f>IF(OR(H12="",H12=0,I12=""),"",I12/H12)</f>
        <v/>
      </c>
      <c r="K12" s="41">
        <f>IF(OR(E12="",H12=""),"",IF(H12&gt;=E12,"Y","N"))</f>
        <v/>
      </c>
      <c r="L12" s="72">
        <f>IF(OR(J12="",F12=""),"",F12-J12)</f>
        <v/>
      </c>
      <c r="M12" s="72">
        <f>IF(OR(L12="",E12=""),"",L12*E12)</f>
        <v/>
      </c>
      <c r="N12" s="56" t="n"/>
      <c r="O12" s="56" t="n"/>
      <c r="P12" s="56" t="n"/>
    </row>
    <row r="13" ht="27" customHeight="1">
      <c r="A13" s="70" t="n">
        <v>5</v>
      </c>
      <c r="B13" s="56" t="n"/>
      <c r="C13" s="56" t="n"/>
      <c r="D13" s="56" t="n"/>
      <c r="E13" s="71" t="n"/>
      <c r="F13" s="63" t="n"/>
      <c r="G13" s="72">
        <f>IF(OR(E13="",F13=""),"",E13*F13)</f>
        <v/>
      </c>
      <c r="H13" s="71" t="n"/>
      <c r="I13" s="63" t="n"/>
      <c r="J13" s="72">
        <f>IF(OR(H13="",H13=0,I13=""),"",I13/H13)</f>
        <v/>
      </c>
      <c r="K13" s="41">
        <f>IF(OR(E13="",H13=""),"",IF(H13&gt;=E13,"Y","N"))</f>
        <v/>
      </c>
      <c r="L13" s="72">
        <f>IF(OR(J13="",F13=""),"",F13-J13)</f>
        <v/>
      </c>
      <c r="M13" s="72">
        <f>IF(OR(L13="",E13=""),"",L13*E13)</f>
        <v/>
      </c>
      <c r="N13" s="56" t="n"/>
      <c r="O13" s="56" t="n"/>
      <c r="P13" s="56" t="n"/>
    </row>
    <row r="14" ht="27" customHeight="1">
      <c r="A14" s="70" t="n">
        <v>6</v>
      </c>
      <c r="B14" s="56" t="n"/>
      <c r="C14" s="56" t="n"/>
      <c r="D14" s="56" t="n"/>
      <c r="E14" s="71" t="n"/>
      <c r="F14" s="63" t="n"/>
      <c r="G14" s="72">
        <f>IF(OR(E14="",F14=""),"",E14*F14)</f>
        <v/>
      </c>
      <c r="H14" s="71" t="n"/>
      <c r="I14" s="63" t="n"/>
      <c r="J14" s="72">
        <f>IF(OR(H14="",H14=0,I14=""),"",I14/H14)</f>
        <v/>
      </c>
      <c r="K14" s="41">
        <f>IF(OR(E14="",H14=""),"",IF(H14&gt;=E14,"Y","N"))</f>
        <v/>
      </c>
      <c r="L14" s="72">
        <f>IF(OR(J14="",F14=""),"",F14-J14)</f>
        <v/>
      </c>
      <c r="M14" s="72">
        <f>IF(OR(L14="",E14=""),"",L14*E14)</f>
        <v/>
      </c>
      <c r="N14" s="56" t="n"/>
      <c r="O14" s="56" t="n"/>
      <c r="P14" s="56" t="n"/>
    </row>
    <row r="15" ht="27" customHeight="1">
      <c r="A15" s="70" t="n">
        <v>7</v>
      </c>
      <c r="B15" s="56" t="n"/>
      <c r="C15" s="56" t="n"/>
      <c r="D15" s="56" t="n"/>
      <c r="E15" s="71" t="n"/>
      <c r="F15" s="63" t="n"/>
      <c r="G15" s="72">
        <f>IF(OR(E15="",F15=""),"",E15*F15)</f>
        <v/>
      </c>
      <c r="H15" s="71" t="n"/>
      <c r="I15" s="63" t="n"/>
      <c r="J15" s="72">
        <f>IF(OR(H15="",H15=0,I15=""),"",I15/H15)</f>
        <v/>
      </c>
      <c r="K15" s="41">
        <f>IF(OR(E15="",H15=""),"",IF(H15&gt;=E15,"Y","N"))</f>
        <v/>
      </c>
      <c r="L15" s="72">
        <f>IF(OR(J15="",F15=""),"",F15-J15)</f>
        <v/>
      </c>
      <c r="M15" s="72">
        <f>IF(OR(L15="",E15=""),"",L15*E15)</f>
        <v/>
      </c>
      <c r="N15" s="56" t="n"/>
      <c r="O15" s="56" t="n"/>
      <c r="P15" s="56" t="n"/>
    </row>
    <row r="16" ht="27" customHeight="1">
      <c r="A16" s="70" t="n">
        <v>8</v>
      </c>
      <c r="B16" s="56" t="n"/>
      <c r="C16" s="56" t="n"/>
      <c r="D16" s="56" t="n"/>
      <c r="E16" s="71" t="n"/>
      <c r="F16" s="63" t="n"/>
      <c r="G16" s="72">
        <f>IF(OR(E16="",F16=""),"",E16*F16)</f>
        <v/>
      </c>
      <c r="H16" s="71" t="n"/>
      <c r="I16" s="63" t="n"/>
      <c r="J16" s="72">
        <f>IF(OR(H16="",H16=0,I16=""),"",I16/H16)</f>
        <v/>
      </c>
      <c r="K16" s="41">
        <f>IF(OR(E16="",H16=""),"",IF(H16&gt;=E16,"Y","N"))</f>
        <v/>
      </c>
      <c r="L16" s="72">
        <f>IF(OR(J16="",F16=""),"",F16-J16)</f>
        <v/>
      </c>
      <c r="M16" s="72">
        <f>IF(OR(L16="",E16=""),"",L16*E16)</f>
        <v/>
      </c>
      <c r="N16" s="56" t="n"/>
      <c r="O16" s="56" t="n"/>
      <c r="P16" s="56" t="n"/>
    </row>
    <row r="17" ht="27" customHeight="1">
      <c r="A17" s="70" t="n">
        <v>9</v>
      </c>
      <c r="B17" s="56" t="n"/>
      <c r="C17" s="56" t="n"/>
      <c r="D17" s="56" t="n"/>
      <c r="E17" s="71" t="n"/>
      <c r="F17" s="63" t="n"/>
      <c r="G17" s="72">
        <f>IF(OR(E17="",F17=""),"",E17*F17)</f>
        <v/>
      </c>
      <c r="H17" s="71" t="n"/>
      <c r="I17" s="63" t="n"/>
      <c r="J17" s="72">
        <f>IF(OR(H17="",H17=0,I17=""),"",I17/H17)</f>
        <v/>
      </c>
      <c r="K17" s="41">
        <f>IF(OR(E17="",H17=""),"",IF(H17&gt;=E17,"Y","N"))</f>
        <v/>
      </c>
      <c r="L17" s="72">
        <f>IF(OR(J17="",F17=""),"",F17-J17)</f>
        <v/>
      </c>
      <c r="M17" s="72">
        <f>IF(OR(L17="",E17=""),"",L17*E17)</f>
        <v/>
      </c>
      <c r="N17" s="56" t="n"/>
      <c r="O17" s="56" t="n"/>
      <c r="P17" s="56" t="n"/>
    </row>
    <row r="18" ht="27" customHeight="1">
      <c r="A18" s="70" t="n">
        <v>10</v>
      </c>
      <c r="B18" s="56" t="n"/>
      <c r="C18" s="56" t="n"/>
      <c r="D18" s="56" t="n"/>
      <c r="E18" s="71" t="n"/>
      <c r="F18" s="63" t="n"/>
      <c r="G18" s="72">
        <f>IF(OR(E18="",F18=""),"",E18*F18)</f>
        <v/>
      </c>
      <c r="H18" s="71" t="n"/>
      <c r="I18" s="63" t="n"/>
      <c r="J18" s="72">
        <f>IF(OR(H18="",H18=0,I18=""),"",I18/H18)</f>
        <v/>
      </c>
      <c r="K18" s="41">
        <f>IF(OR(E18="",H18=""),"",IF(H18&gt;=E18,"Y","N"))</f>
        <v/>
      </c>
      <c r="L18" s="72">
        <f>IF(OR(J18="",F18=""),"",F18-J18)</f>
        <v/>
      </c>
      <c r="M18" s="72">
        <f>IF(OR(L18="",E18=""),"",L18*E18)</f>
        <v/>
      </c>
      <c r="N18" s="56" t="n"/>
      <c r="O18" s="56" t="n"/>
      <c r="P18" s="56" t="n"/>
    </row>
    <row r="19" ht="27" customHeight="1">
      <c r="A19" s="70" t="n">
        <v>11</v>
      </c>
      <c r="B19" s="56" t="n"/>
      <c r="C19" s="56" t="n"/>
      <c r="D19" s="56" t="n"/>
      <c r="E19" s="71" t="n"/>
      <c r="F19" s="63" t="n"/>
      <c r="G19" s="72">
        <f>IF(OR(E19="",F19=""),"",E19*F19)</f>
        <v/>
      </c>
      <c r="H19" s="71" t="n"/>
      <c r="I19" s="63" t="n"/>
      <c r="J19" s="72">
        <f>IF(OR(H19="",H19=0,I19=""),"",I19/H19)</f>
        <v/>
      </c>
      <c r="K19" s="41">
        <f>IF(OR(E19="",H19=""),"",IF(H19&gt;=E19,"Y","N"))</f>
        <v/>
      </c>
      <c r="L19" s="72">
        <f>IF(OR(J19="",F19=""),"",F19-J19)</f>
        <v/>
      </c>
      <c r="M19" s="72">
        <f>IF(OR(L19="",E19=""),"",L19*E19)</f>
        <v/>
      </c>
      <c r="N19" s="56" t="n"/>
      <c r="O19" s="56" t="n"/>
      <c r="P19" s="56" t="n"/>
    </row>
    <row r="20" ht="27" customHeight="1">
      <c r="A20" s="70" t="n">
        <v>12</v>
      </c>
      <c r="B20" s="56" t="n"/>
      <c r="C20" s="56" t="n"/>
      <c r="D20" s="56" t="n"/>
      <c r="E20" s="71" t="n"/>
      <c r="F20" s="63" t="n"/>
      <c r="G20" s="72">
        <f>IF(OR(E20="",F20=""),"",E20*F20)</f>
        <v/>
      </c>
      <c r="H20" s="71" t="n"/>
      <c r="I20" s="63" t="n"/>
      <c r="J20" s="72">
        <f>IF(OR(H20="",H20=0,I20=""),"",I20/H20)</f>
        <v/>
      </c>
      <c r="K20" s="41">
        <f>IF(OR(E20="",H20=""),"",IF(H20&gt;=E20,"Y","N"))</f>
        <v/>
      </c>
      <c r="L20" s="72">
        <f>IF(OR(J20="",F20=""),"",F20-J20)</f>
        <v/>
      </c>
      <c r="M20" s="72">
        <f>IF(OR(L20="",E20=""),"",L20*E20)</f>
        <v/>
      </c>
      <c r="N20" s="56" t="n"/>
      <c r="O20" s="56" t="n"/>
      <c r="P20" s="56" t="n"/>
    </row>
    <row r="21" ht="27" customHeight="1">
      <c r="A21" s="70" t="n">
        <v>13</v>
      </c>
      <c r="B21" s="56" t="n"/>
      <c r="C21" s="56" t="n"/>
      <c r="D21" s="56" t="n"/>
      <c r="E21" s="71" t="n"/>
      <c r="F21" s="63" t="n"/>
      <c r="G21" s="72">
        <f>IF(OR(E21="",F21=""),"",E21*F21)</f>
        <v/>
      </c>
      <c r="H21" s="71" t="n"/>
      <c r="I21" s="63" t="n"/>
      <c r="J21" s="72">
        <f>IF(OR(H21="",H21=0,I21=""),"",I21/H21)</f>
        <v/>
      </c>
      <c r="K21" s="41">
        <f>IF(OR(E21="",H21=""),"",IF(H21&gt;=E21,"Y","N"))</f>
        <v/>
      </c>
      <c r="L21" s="72">
        <f>IF(OR(J21="",F21=""),"",F21-J21)</f>
        <v/>
      </c>
      <c r="M21" s="72">
        <f>IF(OR(L21="",E21=""),"",L21*E21)</f>
        <v/>
      </c>
      <c r="N21" s="56" t="n"/>
      <c r="O21" s="56" t="n"/>
      <c r="P21" s="56" t="n"/>
    </row>
    <row r="22" ht="27" customHeight="1">
      <c r="A22" s="70" t="n">
        <v>14</v>
      </c>
      <c r="B22" s="56" t="n"/>
      <c r="C22" s="56" t="n"/>
      <c r="D22" s="56" t="n"/>
      <c r="E22" s="71" t="n"/>
      <c r="F22" s="63" t="n"/>
      <c r="G22" s="72">
        <f>IF(OR(E22="",F22=""),"",E22*F22)</f>
        <v/>
      </c>
      <c r="H22" s="71" t="n"/>
      <c r="I22" s="63" t="n"/>
      <c r="J22" s="72">
        <f>IF(OR(H22="",H22=0,I22=""),"",I22/H22)</f>
        <v/>
      </c>
      <c r="K22" s="41">
        <f>IF(OR(E22="",H22=""),"",IF(H22&gt;=E22,"Y","N"))</f>
        <v/>
      </c>
      <c r="L22" s="72">
        <f>IF(OR(J22="",F22=""),"",F22-J22)</f>
        <v/>
      </c>
      <c r="M22" s="72">
        <f>IF(OR(L22="",E22=""),"",L22*E22)</f>
        <v/>
      </c>
      <c r="N22" s="56" t="n"/>
      <c r="O22" s="56" t="n"/>
      <c r="P22" s="56" t="n"/>
    </row>
    <row r="23" ht="27" customHeight="1">
      <c r="A23" s="70" t="n">
        <v>15</v>
      </c>
      <c r="B23" s="56" t="n"/>
      <c r="C23" s="56" t="n"/>
      <c r="D23" s="56" t="n"/>
      <c r="E23" s="71" t="n"/>
      <c r="F23" s="63" t="n"/>
      <c r="G23" s="72">
        <f>IF(OR(E23="",F23=""),"",E23*F23)</f>
        <v/>
      </c>
      <c r="H23" s="71" t="n"/>
      <c r="I23" s="63" t="n"/>
      <c r="J23" s="72">
        <f>IF(OR(H23="",H23=0,I23=""),"",I23/H23)</f>
        <v/>
      </c>
      <c r="K23" s="41">
        <f>IF(OR(E23="",H23=""),"",IF(H23&gt;=E23,"Y","N"))</f>
        <v/>
      </c>
      <c r="L23" s="72">
        <f>IF(OR(J23="",F23=""),"",F23-J23)</f>
        <v/>
      </c>
      <c r="M23" s="72">
        <f>IF(OR(L23="",E23=""),"",L23*E23)</f>
        <v/>
      </c>
      <c r="N23" s="56" t="n"/>
      <c r="O23" s="56" t="n"/>
      <c r="P23" s="56" t="n"/>
    </row>
    <row r="24" ht="27" customHeight="1">
      <c r="A24" s="70" t="n">
        <v>16</v>
      </c>
      <c r="B24" s="56" t="n"/>
      <c r="C24" s="56" t="n"/>
      <c r="D24" s="56" t="n"/>
      <c r="E24" s="71" t="n"/>
      <c r="F24" s="63" t="n"/>
      <c r="G24" s="72">
        <f>IF(OR(E24="",F24=""),"",E24*F24)</f>
        <v/>
      </c>
      <c r="H24" s="71" t="n"/>
      <c r="I24" s="63" t="n"/>
      <c r="J24" s="72">
        <f>IF(OR(H24="",H24=0,I24=""),"",I24/H24)</f>
        <v/>
      </c>
      <c r="K24" s="41">
        <f>IF(OR(E24="",H24=""),"",IF(H24&gt;=E24,"Y","N"))</f>
        <v/>
      </c>
      <c r="L24" s="72">
        <f>IF(OR(J24="",F24=""),"",F24-J24)</f>
        <v/>
      </c>
      <c r="M24" s="72">
        <f>IF(OR(L24="",E24=""),"",L24*E24)</f>
        <v/>
      </c>
      <c r="N24" s="56" t="n"/>
      <c r="O24" s="56" t="n"/>
      <c r="P24" s="56" t="n"/>
    </row>
    <row r="25" ht="27" customHeight="1">
      <c r="A25" s="70" t="n">
        <v>17</v>
      </c>
      <c r="B25" s="56" t="n"/>
      <c r="C25" s="56" t="n"/>
      <c r="D25" s="56" t="n"/>
      <c r="E25" s="71" t="n"/>
      <c r="F25" s="63" t="n"/>
      <c r="G25" s="72">
        <f>IF(OR(E25="",F25=""),"",E25*F25)</f>
        <v/>
      </c>
      <c r="H25" s="71" t="n"/>
      <c r="I25" s="63" t="n"/>
      <c r="J25" s="72">
        <f>IF(OR(H25="",H25=0,I25=""),"",I25/H25)</f>
        <v/>
      </c>
      <c r="K25" s="41">
        <f>IF(OR(E25="",H25=""),"",IF(H25&gt;=E25,"Y","N"))</f>
        <v/>
      </c>
      <c r="L25" s="72">
        <f>IF(OR(J25="",F25=""),"",F25-J25)</f>
        <v/>
      </c>
      <c r="M25" s="72">
        <f>IF(OR(L25="",E25=""),"",L25*E25)</f>
        <v/>
      </c>
      <c r="N25" s="56" t="n"/>
      <c r="O25" s="56" t="n"/>
      <c r="P25" s="56" t="n"/>
    </row>
    <row r="26" ht="27" customHeight="1">
      <c r="A26" s="70" t="n">
        <v>18</v>
      </c>
      <c r="B26" s="56" t="n"/>
      <c r="C26" s="56" t="n"/>
      <c r="D26" s="56" t="n"/>
      <c r="E26" s="71" t="n"/>
      <c r="F26" s="63" t="n"/>
      <c r="G26" s="72">
        <f>IF(OR(E26="",F26=""),"",E26*F26)</f>
        <v/>
      </c>
      <c r="H26" s="71" t="n"/>
      <c r="I26" s="63" t="n"/>
      <c r="J26" s="72">
        <f>IF(OR(H26="",H26=0,I26=""),"",I26/H26)</f>
        <v/>
      </c>
      <c r="K26" s="41">
        <f>IF(OR(E26="",H26=""),"",IF(H26&gt;=E26,"Y","N"))</f>
        <v/>
      </c>
      <c r="L26" s="72">
        <f>IF(OR(J26="",F26=""),"",F26-J26)</f>
        <v/>
      </c>
      <c r="M26" s="72">
        <f>IF(OR(L26="",E26=""),"",L26*E26)</f>
        <v/>
      </c>
      <c r="N26" s="56" t="n"/>
      <c r="O26" s="56" t="n"/>
      <c r="P26" s="56" t="n"/>
    </row>
    <row r="27" ht="27" customHeight="1">
      <c r="A27" s="70" t="n">
        <v>19</v>
      </c>
      <c r="B27" s="56" t="n"/>
      <c r="C27" s="56" t="n"/>
      <c r="D27" s="56" t="n"/>
      <c r="E27" s="71" t="n"/>
      <c r="F27" s="63" t="n"/>
      <c r="G27" s="72">
        <f>IF(OR(E27="",F27=""),"",E27*F27)</f>
        <v/>
      </c>
      <c r="H27" s="71" t="n"/>
      <c r="I27" s="63" t="n"/>
      <c r="J27" s="72">
        <f>IF(OR(H27="",H27=0,I27=""),"",I27/H27)</f>
        <v/>
      </c>
      <c r="K27" s="41">
        <f>IF(OR(E27="",H27=""),"",IF(H27&gt;=E27,"Y","N"))</f>
        <v/>
      </c>
      <c r="L27" s="72">
        <f>IF(OR(J27="",F27=""),"",F27-J27)</f>
        <v/>
      </c>
      <c r="M27" s="72">
        <f>IF(OR(L27="",E27=""),"",L27*E27)</f>
        <v/>
      </c>
      <c r="N27" s="56" t="n"/>
      <c r="O27" s="56" t="n"/>
      <c r="P27" s="56" t="n"/>
    </row>
    <row r="28" ht="27" customHeight="1">
      <c r="A28" s="70" t="n">
        <v>20</v>
      </c>
      <c r="B28" s="56" t="n"/>
      <c r="C28" s="56" t="n"/>
      <c r="D28" s="56" t="n"/>
      <c r="E28" s="71" t="n"/>
      <c r="F28" s="63" t="n"/>
      <c r="G28" s="72">
        <f>IF(OR(E28="",F28=""),"",E28*F28)</f>
        <v/>
      </c>
      <c r="H28" s="71" t="n"/>
      <c r="I28" s="63" t="n"/>
      <c r="J28" s="72">
        <f>IF(OR(H28="",H28=0,I28=""),"",I28/H28)</f>
        <v/>
      </c>
      <c r="K28" s="41">
        <f>IF(OR(E28="",H28=""),"",IF(H28&gt;=E28,"Y","N"))</f>
        <v/>
      </c>
      <c r="L28" s="72">
        <f>IF(OR(J28="",F28=""),"",F28-J28)</f>
        <v/>
      </c>
      <c r="M28" s="72">
        <f>IF(OR(L28="",E28=""),"",L28*E28)</f>
        <v/>
      </c>
      <c r="N28" s="56" t="n"/>
      <c r="O28" s="56" t="n"/>
      <c r="P28" s="56" t="n"/>
    </row>
    <row r="29" ht="27" customHeight="1">
      <c r="A29" s="70" t="n">
        <v>21</v>
      </c>
      <c r="B29" s="56" t="n"/>
      <c r="C29" s="56" t="n"/>
      <c r="D29" s="56" t="n"/>
      <c r="E29" s="71" t="n"/>
      <c r="F29" s="63" t="n"/>
      <c r="G29" s="72">
        <f>IF(OR(E29="",F29=""),"",E29*F29)</f>
        <v/>
      </c>
      <c r="H29" s="71" t="n"/>
      <c r="I29" s="63" t="n"/>
      <c r="J29" s="72">
        <f>IF(OR(H29="",H29=0,I29=""),"",I29/H29)</f>
        <v/>
      </c>
      <c r="K29" s="41">
        <f>IF(OR(E29="",H29=""),"",IF(H29&gt;=E29,"Y","N"))</f>
        <v/>
      </c>
      <c r="L29" s="72">
        <f>IF(OR(J29="",F29=""),"",F29-J29)</f>
        <v/>
      </c>
      <c r="M29" s="72">
        <f>IF(OR(L29="",E29=""),"",L29*E29)</f>
        <v/>
      </c>
      <c r="N29" s="56" t="n"/>
      <c r="O29" s="56" t="n"/>
      <c r="P29" s="56" t="n"/>
    </row>
    <row r="30" ht="27" customHeight="1">
      <c r="A30" s="70" t="n">
        <v>22</v>
      </c>
      <c r="B30" s="56" t="n"/>
      <c r="C30" s="56" t="n"/>
      <c r="D30" s="56" t="n"/>
      <c r="E30" s="71" t="n"/>
      <c r="F30" s="63" t="n"/>
      <c r="G30" s="72">
        <f>IF(OR(E30="",F30=""),"",E30*F30)</f>
        <v/>
      </c>
      <c r="H30" s="71" t="n"/>
      <c r="I30" s="63" t="n"/>
      <c r="J30" s="72">
        <f>IF(OR(H30="",H30=0,I30=""),"",I30/H30)</f>
        <v/>
      </c>
      <c r="K30" s="41">
        <f>IF(OR(E30="",H30=""),"",IF(H30&gt;=E30,"Y","N"))</f>
        <v/>
      </c>
      <c r="L30" s="72">
        <f>IF(OR(J30="",F30=""),"",F30-J30)</f>
        <v/>
      </c>
      <c r="M30" s="72">
        <f>IF(OR(L30="",E30=""),"",L30*E30)</f>
        <v/>
      </c>
      <c r="N30" s="56" t="n"/>
      <c r="O30" s="56" t="n"/>
      <c r="P30" s="56" t="n"/>
    </row>
    <row r="31">
      <c r="A31" s="73" t="inlineStr">
        <is>
          <t>Total</t>
        </is>
      </c>
      <c r="B31" s="73" t="n"/>
      <c r="C31" s="73" t="n"/>
      <c r="D31" s="73" t="n"/>
      <c r="E31" s="73" t="n"/>
      <c r="F31" s="73" t="n"/>
      <c r="G31" s="74">
        <f>SUM(G9:G30)</f>
        <v/>
      </c>
      <c r="H31" s="73" t="n"/>
      <c r="I31" s="73" t="n"/>
      <c r="J31" s="73" t="n"/>
      <c r="K31" s="73" t="n"/>
      <c r="L31" s="73" t="n"/>
      <c r="M31" s="73">
        <f>SUM(M9:M30)</f>
        <v/>
      </c>
      <c r="N31" s="74" t="n"/>
      <c r="O31" s="73" t="n"/>
      <c r="P31" s="73" t="n"/>
    </row>
    <row r="32">
      <c r="A32" s="35" t="n"/>
      <c r="B32" s="35" t="n"/>
      <c r="C32" s="35" t="n"/>
      <c r="D32" s="35" t="n"/>
      <c r="E32" s="35" t="n"/>
      <c r="F32" s="35" t="n"/>
      <c r="G32" s="35" t="n"/>
      <c r="H32" s="35" t="n"/>
      <c r="I32" s="35" t="n"/>
      <c r="J32" s="35" t="n"/>
      <c r="K32" s="35" t="n"/>
      <c r="L32" s="35" t="n"/>
      <c r="M32" s="35" t="n"/>
      <c r="N32" s="35" t="n"/>
      <c r="O32" s="35" t="n"/>
      <c r="P32" s="35" t="n"/>
    </row>
    <row r="33">
      <c r="A33" s="37" t="inlineStr">
        <is>
          <t>The weighted-average unit cost recomputes as total period purchase cost ÷ total period purchase quantity; compare to the listing unit cost and extend the per-unit difference over the YE quantity. Coverage rule as on &lt;.2&gt;. One invoice per selection is vouched from the purchase report for cost accuracy.</t>
        </is>
      </c>
      <c r="B33" s="35" t="n"/>
      <c r="C33" s="35" t="n"/>
      <c r="D33" s="35" t="n"/>
      <c r="E33" s="35" t="n"/>
      <c r="F33" s="35" t="n"/>
      <c r="G33" s="35" t="n"/>
      <c r="H33" s="35" t="n"/>
      <c r="I33" s="35" t="n"/>
      <c r="J33" s="35" t="n"/>
      <c r="K33" s="35" t="n"/>
      <c r="L33" s="35" t="n"/>
      <c r="M33" s="35" t="n"/>
      <c r="N33" s="35" t="n"/>
      <c r="O33" s="35" t="n"/>
      <c r="P33" s="35" t="n"/>
    </row>
    <row r="34">
      <c r="A34" s="35" t="n"/>
      <c r="B34" s="35" t="n"/>
      <c r="C34" s="35" t="n"/>
      <c r="D34" s="35" t="n"/>
      <c r="E34" s="35" t="n"/>
      <c r="F34" s="35" t="n"/>
      <c r="G34" s="35" t="n"/>
      <c r="H34" s="35" t="n"/>
      <c r="I34" s="35" t="n"/>
      <c r="J34" s="35" t="n"/>
      <c r="K34" s="35" t="n"/>
      <c r="L34" s="35" t="n"/>
      <c r="M34" s="35" t="n"/>
      <c r="N34" s="35" t="n"/>
      <c r="O34" s="35" t="n"/>
      <c r="P34" s="35" t="n"/>
    </row>
    <row r="35">
      <c r="A35" s="57" t="inlineStr">
        <is>
          <t>TM Legends</t>
        </is>
      </c>
      <c r="B35" s="35" t="n"/>
      <c r="C35" s="35" t="n"/>
      <c r="D35" s="35" t="n"/>
      <c r="E35" s="35" t="n"/>
      <c r="F35" s="35" t="n"/>
      <c r="G35" s="35" t="n"/>
      <c r="H35" s="35" t="n"/>
      <c r="I35" s="35" t="n"/>
      <c r="J35" s="35" t="n"/>
      <c r="K35" s="35" t="n"/>
      <c r="L35" s="35" t="n"/>
      <c r="M35" s="35" t="n"/>
      <c r="N35" s="35" t="n"/>
      <c r="O35" s="35" t="n"/>
      <c r="P35" s="35" t="n"/>
    </row>
    <row r="36" ht="27.75" customHeight="1">
      <c r="A36" s="58" t="inlineStr">
        <is>
          <t>TB</t>
        </is>
      </c>
      <c r="B36" s="41" t="inlineStr">
        <is>
          <t>Agreed to trial balance</t>
        </is>
      </c>
      <c r="C36" s="59" t="n"/>
      <c r="D36" s="60" t="n"/>
      <c r="E36" s="35" t="n"/>
      <c r="F36" s="35" t="n"/>
      <c r="G36" s="35" t="n"/>
      <c r="H36" s="35" t="n"/>
      <c r="I36" s="35" t="n"/>
      <c r="J36" s="35" t="n"/>
      <c r="K36" s="35" t="n"/>
      <c r="L36" s="35" t="n"/>
      <c r="M36" s="35" t="n"/>
      <c r="N36" s="35" t="n"/>
      <c r="O36" s="35" t="n"/>
      <c r="P36" s="35" t="n"/>
    </row>
    <row r="37">
      <c r="A37" s="58" t="inlineStr">
        <is>
          <t>GL</t>
        </is>
      </c>
      <c r="B37" s="41" t="inlineStr">
        <is>
          <t>Agreed to general ledger</t>
        </is>
      </c>
      <c r="C37" s="59" t="n"/>
      <c r="D37" s="60" t="n"/>
      <c r="E37" s="35" t="n"/>
      <c r="F37" s="35" t="n"/>
      <c r="G37" s="35" t="n"/>
      <c r="H37" s="35" t="n"/>
      <c r="I37" s="35" t="n"/>
      <c r="J37" s="35" t="n"/>
      <c r="K37" s="35" t="n"/>
      <c r="L37" s="35" t="n"/>
      <c r="M37" s="35" t="n"/>
      <c r="N37" s="35" t="n"/>
      <c r="O37" s="35" t="n"/>
      <c r="P37" s="35" t="n"/>
    </row>
    <row r="38">
      <c r="A38" s="58" t="inlineStr">
        <is>
          <t>CF</t>
        </is>
      </c>
      <c r="B38" s="41" t="inlineStr">
        <is>
          <t>Confirmed with third party</t>
        </is>
      </c>
      <c r="C38" s="59" t="n"/>
      <c r="D38" s="60" t="n"/>
      <c r="E38" s="35" t="n"/>
      <c r="F38" s="35" t="n"/>
      <c r="G38" s="35" t="n"/>
      <c r="H38" s="35" t="n"/>
      <c r="I38" s="35" t="n"/>
      <c r="J38" s="35" t="n"/>
      <c r="K38" s="35" t="n"/>
      <c r="L38" s="35" t="n"/>
      <c r="M38" s="35" t="n"/>
      <c r="N38" s="35" t="n"/>
      <c r="O38" s="35" t="n"/>
      <c r="P38" s="35" t="n"/>
    </row>
    <row r="39">
      <c r="A39" s="58" t="inlineStr">
        <is>
          <t>V</t>
        </is>
      </c>
      <c r="B39" s="41" t="inlineStr">
        <is>
          <t>Vouched to source document</t>
        </is>
      </c>
      <c r="C39" s="59" t="n"/>
      <c r="D39" s="60" t="n"/>
      <c r="E39" s="35" t="n"/>
      <c r="F39" s="35" t="n"/>
      <c r="G39" s="35" t="n"/>
      <c r="H39" s="35" t="n"/>
      <c r="I39" s="35" t="n"/>
      <c r="J39" s="35" t="n"/>
      <c r="K39" s="35" t="n"/>
      <c r="L39" s="35" t="n"/>
      <c r="M39" s="35" t="n"/>
      <c r="N39" s="35" t="n"/>
      <c r="O39" s="35" t="n"/>
      <c r="P39" s="35" t="n"/>
    </row>
    <row r="40">
      <c r="A40" s="58" t="inlineStr">
        <is>
          <t>SR</t>
        </is>
      </c>
      <c r="B40" s="41" t="inlineStr">
        <is>
          <t>Agreed to subsequent bank-cleared receipt</t>
        </is>
      </c>
      <c r="C40" s="59" t="n"/>
      <c r="D40" s="60" t="n"/>
      <c r="E40" s="35" t="n"/>
      <c r="F40" s="35" t="n"/>
      <c r="G40" s="35" t="n"/>
      <c r="H40" s="35" t="n"/>
      <c r="I40" s="35" t="n"/>
      <c r="J40" s="35" t="n"/>
      <c r="K40" s="35" t="n"/>
      <c r="L40" s="35" t="n"/>
      <c r="M40" s="35" t="n"/>
      <c r="N40" s="35" t="n"/>
      <c r="O40" s="35" t="n"/>
      <c r="P40" s="35" t="n"/>
    </row>
    <row r="41">
      <c r="A41" s="58" t="inlineStr">
        <is>
          <t>R</t>
        </is>
      </c>
      <c r="B41" s="41" t="inlineStr">
        <is>
          <t>Recalculated independently</t>
        </is>
      </c>
      <c r="C41" s="59" t="n"/>
      <c r="D41" s="60" t="n"/>
      <c r="E41" s="35" t="n"/>
      <c r="F41" s="35" t="n"/>
      <c r="G41" s="35" t="n"/>
      <c r="H41" s="35" t="n"/>
      <c r="I41" s="35" t="n"/>
      <c r="J41" s="35" t="n"/>
      <c r="K41" s="35" t="n"/>
      <c r="L41" s="35" t="n"/>
      <c r="M41" s="35" t="n"/>
      <c r="N41" s="35" t="n"/>
      <c r="O41" s="35" t="n"/>
      <c r="P41" s="35" t="n"/>
    </row>
    <row r="42">
      <c r="A42" s="58" t="inlineStr">
        <is>
          <t>F</t>
        </is>
      </c>
      <c r="B42" s="41" t="inlineStr">
        <is>
          <t>Footed / cross-cast</t>
        </is>
      </c>
      <c r="C42" s="59" t="n"/>
      <c r="D42" s="60" t="n"/>
      <c r="E42" s="35" t="n"/>
      <c r="F42" s="35" t="n"/>
      <c r="G42" s="35" t="n"/>
      <c r="H42" s="35" t="n"/>
      <c r="I42" s="35" t="n"/>
      <c r="J42" s="35" t="n"/>
      <c r="K42" s="35" t="n"/>
      <c r="L42" s="35" t="n"/>
      <c r="M42" s="35" t="n"/>
      <c r="N42" s="35" t="n"/>
      <c r="O42" s="35" t="n"/>
      <c r="P42" s="35" t="n"/>
    </row>
    <row r="43">
      <c r="A43" s="58" t="inlineStr">
        <is>
          <t>T</t>
        </is>
      </c>
      <c r="B43" s="41" t="inlineStr">
        <is>
          <t>Traced to downstream record</t>
        </is>
      </c>
      <c r="C43" s="59" t="n"/>
      <c r="D43" s="60" t="n"/>
      <c r="E43" s="35" t="n"/>
      <c r="F43" s="35" t="n"/>
      <c r="G43" s="35" t="n"/>
      <c r="H43" s="35" t="n"/>
      <c r="I43" s="35" t="n"/>
      <c r="J43" s="35" t="n"/>
      <c r="K43" s="35" t="n"/>
      <c r="L43" s="35" t="n"/>
      <c r="M43" s="35" t="n"/>
      <c r="N43" s="35" t="n"/>
      <c r="O43" s="35" t="n"/>
      <c r="P43" s="35" t="n"/>
    </row>
    <row r="44">
      <c r="A44" s="58" t="inlineStr">
        <is>
          <t>PBC</t>
        </is>
      </c>
      <c r="B44" s="41" t="inlineStr">
        <is>
          <t>Prepared by client</t>
        </is>
      </c>
      <c r="C44" s="59" t="n"/>
      <c r="D44" s="60" t="n"/>
      <c r="E44" s="35" t="n"/>
      <c r="F44" s="35" t="n"/>
      <c r="G44" s="35" t="n"/>
      <c r="H44" s="35" t="n"/>
      <c r="I44" s="35" t="n"/>
      <c r="J44" s="35" t="n"/>
      <c r="K44" s="35" t="n"/>
      <c r="L44" s="35" t="n"/>
      <c r="M44" s="35" t="n"/>
      <c r="N44" s="35" t="n"/>
      <c r="O44" s="35" t="n"/>
      <c r="P44" s="35" t="n"/>
    </row>
    <row r="45">
      <c r="A45" s="35" t="n"/>
      <c r="B45" s="35" t="n"/>
      <c r="C45" s="35" t="n"/>
      <c r="D45" s="35" t="n"/>
      <c r="E45" s="35" t="n"/>
      <c r="F45" s="35" t="n"/>
      <c r="G45" s="35" t="n"/>
      <c r="H45" s="35" t="n"/>
      <c r="I45" s="35" t="n"/>
      <c r="J45" s="35" t="n"/>
      <c r="K45" s="35" t="n"/>
      <c r="L45" s="35" t="n"/>
      <c r="M45" s="35" t="n"/>
      <c r="N45" s="35" t="n"/>
      <c r="O45" s="35" t="n"/>
      <c r="P45" s="35" t="n"/>
    </row>
    <row r="46">
      <c r="A46" s="37" t="inlineStr">
        <is>
          <t>Before sign-off complete Library Procedures 7-9 (selection &amp; coverage; WA recompute; invoice vouch).</t>
        </is>
      </c>
      <c r="B46" s="35" t="n"/>
      <c r="C46" s="35" t="n"/>
      <c r="D46" s="35" t="n"/>
      <c r="E46" s="35" t="n"/>
      <c r="F46" s="35" t="n"/>
      <c r="G46" s="35" t="n"/>
      <c r="H46" s="35" t="n"/>
      <c r="I46" s="35" t="n"/>
      <c r="J46" s="35" t="n"/>
      <c r="K46" s="35" t="n"/>
      <c r="L46" s="35" t="n"/>
      <c r="M46" s="35" t="n"/>
      <c r="N46" s="35" t="n"/>
      <c r="O46" s="35" t="n"/>
      <c r="P46" s="35" t="n"/>
    </row>
  </sheetData>
  <autoFilter ref="A7:P30"/>
  <mergeCells count="14">
    <mergeCell ref="B42:D42"/>
    <mergeCell ref="B6:P6"/>
    <mergeCell ref="B36:D36"/>
    <mergeCell ref="B41:D41"/>
    <mergeCell ref="B5:P5"/>
    <mergeCell ref="B44:D44"/>
    <mergeCell ref="B4:P4"/>
    <mergeCell ref="B38:D38"/>
    <mergeCell ref="A46:P46"/>
    <mergeCell ref="B37:D37"/>
    <mergeCell ref="B40:D40"/>
    <mergeCell ref="B43:D43"/>
    <mergeCell ref="B39:D39"/>
    <mergeCell ref="A33:P33"/>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autoPageBreaks="0" fitToPage="1"/>
  </sheetPr>
  <dimension ref="A1:H43"/>
  <sheetViews>
    <sheetView showGridLines="0" zoomScale="90" zoomScaleNormal="100" workbookViewId="0">
      <pane ySplit="7" topLeftCell="A8" activePane="bottomLeft" state="frozen"/>
      <selection pane="bottomLeft" activeCell="B25" sqref="B25"/>
    </sheetView>
  </sheetViews>
  <sheetFormatPr baseColWidth="8" defaultColWidth="8.6328125" defaultRowHeight="14.5"/>
  <cols>
    <col width="43.1796875" bestFit="1" customWidth="1" min="1" max="1"/>
    <col width="30.05" customWidth="1" min="2" max="5"/>
    <col width="19" customWidth="1" min="3" max="3"/>
    <col width="37.7" customWidth="1" min="4" max="4"/>
    <col width="36.85" customWidth="1" min="5" max="5"/>
    <col width="30" customWidth="1" min="6" max="6"/>
    <col width="13" customWidth="1" min="7" max="7"/>
    <col width="13" customWidth="1" min="8" max="8"/>
  </cols>
  <sheetData>
    <row r="1" ht="17.5" customHeight="1">
      <c r="A1" s="34" t="inlineStr">
        <is>
          <t>Capitalized Variance Test (Standard Costing)</t>
        </is>
      </c>
      <c r="B1" s="35" t="n"/>
      <c r="C1" s="35" t="n"/>
      <c r="D1" s="35" t="n"/>
      <c r="E1" s="35" t="n"/>
      <c r="F1" s="35" t="n"/>
      <c r="G1" s="35" t="n"/>
      <c r="H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19100</v>
      </c>
      <c r="C3" s="35" t="n"/>
      <c r="D3" s="49" t="inlineStr">
        <is>
          <t>Tolerable misstatement / testing threshold</t>
        </is>
      </c>
      <c r="E3" s="50" t="n">
        <v>14400</v>
      </c>
      <c r="F3" s="35" t="n"/>
      <c r="G3" s="35" t="n"/>
      <c r="H3" s="35" t="n"/>
    </row>
    <row r="4" ht="42" customHeight="1">
      <c r="A4" s="51" t="inlineStr">
        <is>
          <t>Purpose:</t>
        </is>
      </c>
      <c r="B4" s="52" t="inlineStr">
        <is>
          <t>Where standard costing is used, variances run to the P&amp;L during the year; at year-end the portion attributable to inventory still on hand must be capitalized so that inventory approximates actual cost (ASC 330; PwC IV 1.3 / 1.4.2).</t>
        </is>
      </c>
      <c r="C4" s="53" t="n"/>
      <c r="D4" s="53" t="n"/>
      <c r="E4" s="53" t="n"/>
      <c r="F4" s="54" t="n"/>
      <c r="G4" s="35" t="n"/>
      <c r="H4" s="35" t="n"/>
    </row>
    <row r="5" ht="27.75" customHeight="1">
      <c r="A5" s="51" t="inlineStr">
        <is>
          <t>Scope:</t>
        </is>
      </c>
      <c r="B5" s="52" t="inlineStr">
        <is>
          <t>All variance accounts (PPV, material usage, labor rate / efficiency, OH spend / volume) and the ratio of ending inventory to total throughput at standard.</t>
        </is>
      </c>
      <c r="C5" s="53" t="n"/>
      <c r="D5" s="53" t="n"/>
      <c r="E5" s="53" t="n"/>
      <c r="F5" s="54" t="n"/>
      <c r="G5" s="35" t="n"/>
      <c r="H5" s="35" t="n"/>
    </row>
    <row r="6" ht="15" customHeight="1">
      <c r="A6" s="51" t="inlineStr">
        <is>
          <t>Assertions:</t>
        </is>
      </c>
      <c r="B6" s="52" t="inlineStr">
        <is>
          <t>Valuation &amp; Allocation; Accuracy</t>
        </is>
      </c>
      <c r="C6" s="53" t="n"/>
      <c r="D6" s="53" t="n"/>
      <c r="E6" s="53" t="n"/>
      <c r="F6" s="54" t="n"/>
      <c r="G6" s="35" t="n"/>
      <c r="H6" s="35" t="n"/>
    </row>
    <row r="7">
      <c r="A7" s="61" t="inlineStr">
        <is>
          <t>A. Variance pool (per GL, full period)</t>
        </is>
      </c>
      <c r="B7" s="35" t="n"/>
      <c r="C7" s="35" t="n"/>
      <c r="D7" s="35" t="n"/>
      <c r="E7" s="35" t="n"/>
      <c r="F7" s="35" t="n"/>
      <c r="G7" s="35" t="n"/>
      <c r="H7" s="35" t="n"/>
    </row>
    <row r="8" ht="30" customHeight="1">
      <c r="A8" s="62" t="inlineStr">
        <is>
          <t>Variance account</t>
        </is>
      </c>
      <c r="B8" s="62" t="inlineStr">
        <is>
          <t>GL account</t>
        </is>
      </c>
      <c r="C8" s="62" t="inlineStr">
        <is>
          <t>Amount (fav) / unfav</t>
        </is>
      </c>
      <c r="D8" s="62" t="inlineStr">
        <is>
          <t>Abnormal portion (expense as incurred)</t>
        </is>
      </c>
      <c r="E8" s="62" t="inlineStr">
        <is>
          <t>Normal variance subject to capitalization</t>
        </is>
      </c>
      <c r="F8" s="62" t="inlineStr">
        <is>
          <t>Comments</t>
        </is>
      </c>
      <c r="G8" s="35" t="n"/>
      <c r="H8" s="35" t="n"/>
    </row>
    <row r="9">
      <c r="A9" s="35" t="n"/>
      <c r="B9" s="35" t="n"/>
      <c r="C9" s="69" t="inlineStr">
        <is>
          <t>TB</t>
        </is>
      </c>
      <c r="D9" s="35" t="n"/>
      <c r="E9" s="69" t="inlineStr">
        <is>
          <t>R</t>
        </is>
      </c>
      <c r="F9" s="35" t="n"/>
      <c r="G9" s="35" t="n"/>
      <c r="H9" s="35" t="n"/>
    </row>
    <row r="10">
      <c r="A10" s="41" t="inlineStr">
        <is>
          <t>Purchase price variance (PPV)</t>
        </is>
      </c>
      <c r="B10" s="56" t="n"/>
      <c r="C10" s="63" t="n"/>
      <c r="D10" s="63" t="n"/>
      <c r="E10" s="72">
        <f>IF(C10="","",C10-IF(D10="",0,D10))</f>
        <v/>
      </c>
      <c r="F10" s="56" t="n"/>
      <c r="G10" s="35" t="n"/>
      <c r="H10" s="35" t="n"/>
    </row>
    <row r="11">
      <c r="A11" s="41" t="inlineStr">
        <is>
          <t>Material usage variance</t>
        </is>
      </c>
      <c r="B11" s="56" t="n"/>
      <c r="C11" s="63" t="n"/>
      <c r="D11" s="63" t="n"/>
      <c r="E11" s="72">
        <f>IF(C11="","",C11-IF(D11="",0,D11))</f>
        <v/>
      </c>
      <c r="F11" s="56" t="n"/>
      <c r="G11" s="35" t="n"/>
      <c r="H11" s="35" t="n"/>
    </row>
    <row r="12">
      <c r="A12" s="41" t="inlineStr">
        <is>
          <t>Labor rate variance</t>
        </is>
      </c>
      <c r="B12" s="56" t="n"/>
      <c r="C12" s="63" t="n"/>
      <c r="D12" s="63" t="n"/>
      <c r="E12" s="72">
        <f>IF(C12="","",C12-IF(D12="",0,D12))</f>
        <v/>
      </c>
      <c r="F12" s="56" t="n"/>
      <c r="G12" s="35" t="n"/>
      <c r="H12" s="35" t="n"/>
    </row>
    <row r="13">
      <c r="A13" s="41" t="inlineStr">
        <is>
          <t>Labor efficiency variance</t>
        </is>
      </c>
      <c r="B13" s="56" t="n"/>
      <c r="C13" s="63" t="n"/>
      <c r="D13" s="63" t="n"/>
      <c r="E13" s="72">
        <f>IF(C13="","",C13-IF(D13="",0,D13))</f>
        <v/>
      </c>
      <c r="F13" s="56" t="n"/>
      <c r="G13" s="35" t="n"/>
      <c r="H13" s="35" t="n"/>
    </row>
    <row r="14">
      <c r="A14" s="41" t="inlineStr">
        <is>
          <t>Overhead spend variance</t>
        </is>
      </c>
      <c r="B14" s="56" t="n"/>
      <c r="C14" s="63" t="n"/>
      <c r="D14" s="63" t="n"/>
      <c r="E14" s="72">
        <f>IF(C14="","",C14-IF(D14="",0,D14))</f>
        <v/>
      </c>
      <c r="F14" s="56" t="n"/>
      <c r="G14" s="35" t="n"/>
      <c r="H14" s="35" t="n"/>
    </row>
    <row r="15">
      <c r="A15" s="41" t="inlineStr">
        <is>
          <t>Overhead volume variance</t>
        </is>
      </c>
      <c r="B15" s="56" t="n"/>
      <c r="C15" s="63" t="n"/>
      <c r="D15" s="63" t="n"/>
      <c r="E15" s="72">
        <f>IF(C15="","",C15-IF(D15="",0,D15))</f>
        <v/>
      </c>
      <c r="F15" s="56" t="n"/>
      <c r="G15" s="35" t="n"/>
      <c r="H15" s="35" t="n"/>
    </row>
    <row r="16">
      <c r="A16" s="56" t="inlineStr">
        <is>
          <t>Other variance</t>
        </is>
      </c>
      <c r="B16" s="56" t="n"/>
      <c r="C16" s="63" t="n"/>
      <c r="D16" s="63" t="n"/>
      <c r="E16" s="72">
        <f>IF(C16="","",C16-IF(D16="",0,D16))</f>
        <v/>
      </c>
      <c r="F16" s="56" t="n"/>
      <c r="G16" s="35" t="n"/>
      <c r="H16" s="35" t="n"/>
    </row>
    <row r="17">
      <c r="A17" s="73" t="inlineStr">
        <is>
          <t>Total</t>
        </is>
      </c>
      <c r="B17" s="73" t="n"/>
      <c r="C17" s="74">
        <f>SUM(C10:C16)</f>
        <v/>
      </c>
      <c r="D17" s="74">
        <f>SUM(D10:D16)</f>
        <v/>
      </c>
      <c r="E17" s="74">
        <f>SUM(E10:E16)</f>
        <v/>
      </c>
      <c r="F17" s="73" t="n"/>
      <c r="G17" s="35" t="n"/>
      <c r="H17" s="35" t="n"/>
    </row>
    <row r="18">
      <c r="A18" s="35" t="n"/>
      <c r="B18" s="35" t="n"/>
      <c r="C18" s="35" t="n"/>
      <c r="D18" s="35" t="n"/>
      <c r="E18" s="35" t="n"/>
      <c r="F18" s="35" t="n"/>
      <c r="G18" s="35" t="n"/>
      <c r="H18" s="35" t="n"/>
    </row>
    <row r="19">
      <c r="A19" s="61" t="inlineStr">
        <is>
          <t>B. Capitalization computation</t>
        </is>
      </c>
      <c r="B19" s="35" t="n"/>
      <c r="C19" s="35" t="n"/>
      <c r="D19" s="35" t="n"/>
      <c r="E19" s="35" t="n"/>
      <c r="F19" s="35" t="n"/>
      <c r="G19" s="35" t="n"/>
      <c r="H19" s="35" t="n"/>
    </row>
    <row r="20">
      <c r="A20" s="35" t="n"/>
      <c r="B20" s="35" t="n"/>
      <c r="C20" s="35" t="n"/>
      <c r="D20" s="35" t="n"/>
      <c r="E20" s="35" t="n"/>
      <c r="F20" s="35" t="n"/>
      <c r="G20" s="35" t="n"/>
      <c r="H20" s="35" t="n"/>
    </row>
    <row r="21">
      <c r="A21" s="41" t="inlineStr">
        <is>
          <t>Ending inventory at standard (on hand)</t>
        </is>
      </c>
      <c r="B21" s="63" t="n"/>
      <c r="C21" s="35" t="n"/>
      <c r="D21" s="35" t="n"/>
      <c r="E21" s="35" t="n"/>
      <c r="F21" s="35" t="n"/>
      <c r="G21" s="35" t="n"/>
      <c r="H21" s="35" t="n"/>
    </row>
    <row r="22" ht="27" customHeight="1">
      <c r="A22" s="41" t="inlineStr">
        <is>
          <t>Cost of sales at standard (relieved in period)</t>
        </is>
      </c>
      <c r="B22" s="63" t="n"/>
      <c r="C22" s="35" t="n"/>
      <c r="D22" s="35" t="n"/>
      <c r="E22" s="35" t="n"/>
      <c r="F22" s="35" t="n"/>
      <c r="G22" s="35" t="n"/>
      <c r="H22" s="35" t="n"/>
    </row>
    <row r="23">
      <c r="A23" s="64" t="inlineStr">
        <is>
          <t>Total throughput at standard</t>
        </is>
      </c>
      <c r="B23" s="75">
        <f>B21+B22</f>
        <v/>
      </c>
      <c r="C23" s="35" t="n"/>
      <c r="D23" s="35" t="n"/>
      <c r="E23" s="35" t="n"/>
      <c r="F23" s="35" t="n"/>
      <c r="G23" s="35" t="n"/>
      <c r="H23" s="35" t="n"/>
    </row>
    <row r="24" ht="27" customHeight="1">
      <c r="A24" s="64" t="inlineStr">
        <is>
          <t>Inventory-on-hand ratio (= ending / throughput)</t>
        </is>
      </c>
      <c r="B24" s="76">
        <f>IF(OR(B23="",B23=0),"",B21/B23)</f>
        <v/>
      </c>
      <c r="C24" s="35" t="n"/>
      <c r="D24" s="35" t="n"/>
      <c r="E24" s="35" t="n"/>
      <c r="F24" s="35" t="n"/>
      <c r="G24" s="35" t="n"/>
      <c r="H24" s="35" t="n"/>
    </row>
    <row r="25">
      <c r="A25" s="41" t="inlineStr">
        <is>
          <t>Normal variance pool (per A)</t>
        </is>
      </c>
      <c r="B25" s="63">
        <f>E17</f>
        <v/>
      </c>
      <c r="C25" s="35" t="n"/>
      <c r="D25" s="35" t="n"/>
      <c r="E25" s="35" t="n"/>
      <c r="F25" s="35" t="n"/>
      <c r="G25" s="35" t="n"/>
      <c r="H25" s="35" t="n"/>
    </row>
    <row r="26" ht="27" customHeight="1">
      <c r="A26" s="64" t="inlineStr">
        <is>
          <t>Variance to capitalize to inventory (= pool × ratio)</t>
        </is>
      </c>
      <c r="B26" s="77">
        <f>IF(OR(B24="",B25=""),"",B25*B24)</f>
        <v/>
      </c>
      <c r="C26" s="35" t="n"/>
      <c r="D26" s="35" t="n"/>
      <c r="E26" s="35" t="n"/>
      <c r="F26" s="35" t="n"/>
      <c r="G26" s="35" t="n"/>
      <c r="H26" s="35" t="n"/>
    </row>
    <row r="27" ht="27" customHeight="1">
      <c r="A27" s="41" t="inlineStr">
        <is>
          <t>Capitalized variance recorded on the balance sheet</t>
        </is>
      </c>
      <c r="B27" s="63" t="n"/>
      <c r="C27" s="35" t="n"/>
      <c r="D27" s="35" t="n"/>
      <c r="E27" s="35" t="n"/>
      <c r="F27" s="35" t="n"/>
      <c r="G27" s="35" t="n"/>
      <c r="H27" s="35" t="n"/>
    </row>
    <row r="28" ht="27" customHeight="1">
      <c r="A28" s="64" t="inlineStr">
        <is>
          <t>Difference (proposed adjustment)</t>
        </is>
      </c>
      <c r="B28" s="77">
        <f>IF(OR(B26="",B27=""),"",B26-B27)</f>
        <v/>
      </c>
      <c r="C28" s="35" t="n"/>
      <c r="D28" s="35" t="n"/>
      <c r="E28" s="35" t="n"/>
      <c r="F28" s="35" t="n"/>
      <c r="G28" s="35" t="n"/>
      <c r="H28" s="35" t="n"/>
    </row>
    <row r="29">
      <c r="A29" s="35" t="n"/>
      <c r="B29" s="35" t="n"/>
      <c r="C29" s="35" t="n"/>
      <c r="D29" s="35" t="n"/>
      <c r="E29" s="35" t="n"/>
      <c r="F29" s="35" t="n"/>
      <c r="G29" s="35" t="n"/>
      <c r="H29" s="35" t="n"/>
    </row>
    <row r="30" ht="27.75" customHeight="1">
      <c r="A30" s="37" t="inlineStr">
        <is>
          <t>Standard cost is acceptable only if, at the balance-sheet date, standard ± capitalized variance reasonably approximates actual cost. Only NORMAL variances are capitalized pro-rata to inventory on hand; ABNORMAL amounts (idle facility, excess spoilage, double freight, rehandling) are period costs expensed as incurred (ASC 330-10-30-3 to 30-8). The remaining pool stays in cost of sales.</t>
        </is>
      </c>
      <c r="B30" s="35" t="n"/>
      <c r="C30" s="35" t="n"/>
      <c r="D30" s="35" t="n"/>
      <c r="E30" s="35" t="n"/>
      <c r="F30" s="35" t="n"/>
      <c r="G30" s="35" t="n"/>
      <c r="H30" s="35" t="n"/>
    </row>
    <row r="31">
      <c r="A31" s="35" t="n"/>
      <c r="B31" s="35" t="n"/>
      <c r="C31" s="35" t="n"/>
      <c r="D31" s="35" t="n"/>
      <c r="E31" s="35" t="n"/>
      <c r="F31" s="35" t="n"/>
      <c r="G31" s="35" t="n"/>
      <c r="H31" s="35" t="n"/>
    </row>
    <row r="32">
      <c r="A32" s="57" t="inlineStr">
        <is>
          <t>TM Legends</t>
        </is>
      </c>
      <c r="B32" s="35" t="n"/>
      <c r="C32" s="35" t="n"/>
      <c r="D32" s="35" t="n"/>
      <c r="E32" s="35" t="n"/>
      <c r="F32" s="35" t="n"/>
      <c r="G32" s="35" t="n"/>
      <c r="H32" s="35" t="n"/>
    </row>
    <row r="33">
      <c r="A33" s="58" t="inlineStr">
        <is>
          <t>TB</t>
        </is>
      </c>
      <c r="B33" s="41" t="inlineStr">
        <is>
          <t>Agreed to trial balance</t>
        </is>
      </c>
      <c r="C33" s="59" t="n"/>
      <c r="D33" s="60" t="n"/>
      <c r="E33" s="35" t="n"/>
      <c r="F33" s="35" t="n"/>
      <c r="G33" s="35" t="n"/>
      <c r="H33" s="35" t="n"/>
    </row>
    <row r="34">
      <c r="A34" s="58" t="inlineStr">
        <is>
          <t>GL</t>
        </is>
      </c>
      <c r="B34" s="41" t="inlineStr">
        <is>
          <t>Agreed to general ledger</t>
        </is>
      </c>
      <c r="C34" s="59" t="n"/>
      <c r="D34" s="60" t="n"/>
      <c r="E34" s="35" t="n"/>
      <c r="F34" s="35" t="n"/>
      <c r="G34" s="35" t="n"/>
      <c r="H34" s="35" t="n"/>
    </row>
    <row r="35">
      <c r="A35" s="58" t="inlineStr">
        <is>
          <t>CF</t>
        </is>
      </c>
      <c r="B35" s="41" t="inlineStr">
        <is>
          <t>Confirmed with third party</t>
        </is>
      </c>
      <c r="C35" s="59" t="n"/>
      <c r="D35" s="60" t="n"/>
      <c r="E35" s="35" t="n"/>
      <c r="F35" s="35" t="n"/>
      <c r="G35" s="35" t="n"/>
      <c r="H35" s="35" t="n"/>
    </row>
    <row r="36">
      <c r="A36" s="58" t="inlineStr">
        <is>
          <t>V</t>
        </is>
      </c>
      <c r="B36" s="41" t="inlineStr">
        <is>
          <t>Vouched to source document</t>
        </is>
      </c>
      <c r="C36" s="59" t="n"/>
      <c r="D36" s="60" t="n"/>
      <c r="E36" s="35" t="n"/>
      <c r="F36" s="35" t="n"/>
      <c r="G36" s="35" t="n"/>
      <c r="H36" s="35" t="n"/>
    </row>
    <row r="37">
      <c r="A37" s="58" t="inlineStr">
        <is>
          <t>SR</t>
        </is>
      </c>
      <c r="B37" s="41" t="inlineStr">
        <is>
          <t>Agreed to subsequent bank-cleared receipt</t>
        </is>
      </c>
      <c r="C37" s="59" t="n"/>
      <c r="D37" s="60" t="n"/>
      <c r="E37" s="35" t="n"/>
      <c r="F37" s="35" t="n"/>
      <c r="G37" s="35" t="n"/>
      <c r="H37" s="35" t="n"/>
    </row>
    <row r="38">
      <c r="A38" s="58" t="inlineStr">
        <is>
          <t>R</t>
        </is>
      </c>
      <c r="B38" s="41" t="inlineStr">
        <is>
          <t>Recalculated independently</t>
        </is>
      </c>
      <c r="C38" s="59" t="n"/>
      <c r="D38" s="60" t="n"/>
      <c r="E38" s="35" t="n"/>
      <c r="F38" s="35" t="n"/>
      <c r="G38" s="35" t="n"/>
      <c r="H38" s="35" t="n"/>
    </row>
    <row r="39">
      <c r="A39" s="58" t="inlineStr">
        <is>
          <t>F</t>
        </is>
      </c>
      <c r="B39" s="41" t="inlineStr">
        <is>
          <t>Footed / cross-cast</t>
        </is>
      </c>
      <c r="C39" s="59" t="n"/>
      <c r="D39" s="60" t="n"/>
      <c r="E39" s="35" t="n"/>
      <c r="F39" s="35" t="n"/>
      <c r="G39" s="35" t="n"/>
      <c r="H39" s="35" t="n"/>
    </row>
    <row r="40">
      <c r="A40" s="58" t="inlineStr">
        <is>
          <t>T</t>
        </is>
      </c>
      <c r="B40" s="41" t="inlineStr">
        <is>
          <t>Traced to downstream record</t>
        </is>
      </c>
      <c r="C40" s="59" t="n"/>
      <c r="D40" s="60" t="n"/>
      <c r="E40" s="35" t="n"/>
      <c r="F40" s="35" t="n"/>
      <c r="G40" s="35" t="n"/>
      <c r="H40" s="35" t="n"/>
    </row>
    <row r="41">
      <c r="A41" s="58" t="inlineStr">
        <is>
          <t>PBC</t>
        </is>
      </c>
      <c r="B41" s="41" t="inlineStr">
        <is>
          <t>Prepared by client</t>
        </is>
      </c>
      <c r="C41" s="59" t="n"/>
      <c r="D41" s="60" t="n"/>
      <c r="E41" s="35" t="n"/>
      <c r="F41" s="35" t="n"/>
      <c r="G41" s="35" t="n"/>
      <c r="H41" s="35" t="n"/>
    </row>
    <row r="42">
      <c r="A42" s="35" t="n"/>
      <c r="B42" s="35" t="n"/>
      <c r="C42" s="35" t="n"/>
      <c r="D42" s="35" t="n"/>
      <c r="E42" s="35" t="n"/>
      <c r="F42" s="35" t="n"/>
      <c r="G42" s="35" t="n"/>
      <c r="H42" s="35" t="n"/>
    </row>
    <row r="43" ht="27.75" customHeight="1">
      <c r="A43" s="37" t="inlineStr">
        <is>
          <t>Before sign-off complete Library Procedures 10-12 (variance pool &amp; abnormal split; ratio computation; recorded capitalized variance vs recomputed).</t>
        </is>
      </c>
      <c r="B43" s="35" t="n"/>
      <c r="C43" s="35" t="n"/>
      <c r="D43" s="35" t="n"/>
      <c r="E43" s="35" t="n"/>
      <c r="F43" s="35" t="n"/>
      <c r="G43" s="35" t="n"/>
      <c r="H43" s="35" t="n"/>
    </row>
  </sheetData>
  <mergeCells count="14">
    <mergeCell ref="B4:F4"/>
    <mergeCell ref="B33:D33"/>
    <mergeCell ref="B36:D36"/>
    <mergeCell ref="B37:D37"/>
    <mergeCell ref="B6:F6"/>
    <mergeCell ref="B41:D41"/>
    <mergeCell ref="B35:D35"/>
    <mergeCell ref="B5:F5"/>
    <mergeCell ref="B40:D40"/>
    <mergeCell ref="B39:D39"/>
    <mergeCell ref="A30:F30"/>
    <mergeCell ref="B38:D38"/>
    <mergeCell ref="B34:D34"/>
    <mergeCell ref="A43:F43"/>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H42"/>
  <sheetViews>
    <sheetView showGridLines="0" zoomScale="90" zoomScaleNormal="100" workbookViewId="0">
      <pane ySplit="7" topLeftCell="A8" activePane="bottomLeft" state="frozen"/>
      <selection pane="bottomLeft" activeCell="A25" sqref="A25"/>
    </sheetView>
  </sheetViews>
  <sheetFormatPr baseColWidth="8" defaultColWidth="8.6328125" defaultRowHeight="14.5"/>
  <cols>
    <col width="42" customWidth="1" min="1" max="1"/>
    <col width="30.05" customWidth="1" min="2" max="6"/>
    <col width="16.45" customWidth="1" min="3" max="3"/>
    <col width="37.7" customWidth="1" min="4" max="4"/>
    <col width="13.05" customWidth="1" min="5" max="5"/>
    <col width="30.9" customWidth="1" min="6" max="6"/>
    <col width="28" customWidth="1" min="7" max="7"/>
    <col width="13" customWidth="1" min="8" max="8"/>
  </cols>
  <sheetData>
    <row r="1" ht="17.5" customHeight="1">
      <c r="A1" s="34" t="inlineStr">
        <is>
          <t>Labor &amp; Overhead Cost Variance</t>
        </is>
      </c>
      <c r="B1" s="35" t="n"/>
      <c r="C1" s="35" t="n"/>
      <c r="D1" s="35" t="n"/>
      <c r="E1" s="35" t="n"/>
      <c r="F1" s="35" t="n"/>
      <c r="G1" s="35" t="n"/>
      <c r="H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19100</v>
      </c>
      <c r="C3" s="35" t="n"/>
      <c r="D3" s="49" t="inlineStr">
        <is>
          <t>Tolerable misstatement / testing threshold</t>
        </is>
      </c>
      <c r="E3" s="50" t="n">
        <v>14400</v>
      </c>
      <c r="F3" s="35" t="n"/>
      <c r="G3" s="35" t="n"/>
      <c r="H3" s="35" t="n"/>
    </row>
    <row r="4" ht="27.75" customHeight="1">
      <c r="A4" s="51" t="inlineStr">
        <is>
          <t>Purpose:</t>
        </is>
      </c>
      <c r="B4" s="52" t="inlineStr">
        <is>
          <t>Recompute labor and overhead application, evaluate normal capacity, quantify over/under-absorbed overhead and labor variances, and confirm the capitalizable portion flows to the &lt;.4&gt; pool.</t>
        </is>
      </c>
      <c r="C4" s="53" t="n"/>
      <c r="D4" s="53" t="n"/>
      <c r="E4" s="53" t="n"/>
      <c r="F4" s="53" t="n"/>
      <c r="G4" s="54" t="n"/>
      <c r="H4" s="35" t="n"/>
    </row>
    <row r="5" ht="27.75" customHeight="1">
      <c r="A5" s="51" t="inlineStr">
        <is>
          <t>Scope:</t>
        </is>
      </c>
      <c r="B5" s="52" t="inlineStr">
        <is>
          <t>Labor rates and hours, overhead pools and drivers, applied vs actual amounts, and the entity's normal-capacity assessment (ASC 330-10-30; PwC IV 1.4).</t>
        </is>
      </c>
      <c r="C5" s="53" t="n"/>
      <c r="D5" s="53" t="n"/>
      <c r="E5" s="53" t="n"/>
      <c r="F5" s="53" t="n"/>
      <c r="G5" s="54" t="n"/>
      <c r="H5" s="35" t="n"/>
    </row>
    <row r="6" ht="15" customHeight="1">
      <c r="A6" s="51" t="inlineStr">
        <is>
          <t>Assertions:</t>
        </is>
      </c>
      <c r="B6" s="52" t="inlineStr">
        <is>
          <t>Valuation &amp; Allocation; Accuracy</t>
        </is>
      </c>
      <c r="C6" s="53" t="n"/>
      <c r="D6" s="53" t="n"/>
      <c r="E6" s="53" t="n"/>
      <c r="F6" s="53" t="n"/>
      <c r="G6" s="54" t="n"/>
      <c r="H6" s="35" t="n"/>
    </row>
    <row r="7">
      <c r="A7" s="61" t="inlineStr">
        <is>
          <t>A. Labor variances</t>
        </is>
      </c>
      <c r="B7" s="35" t="n"/>
      <c r="C7" s="35" t="n"/>
      <c r="D7" s="35" t="n"/>
      <c r="E7" s="35" t="n"/>
      <c r="F7" s="35" t="n"/>
      <c r="G7" s="35" t="n"/>
      <c r="H7" s="35" t="n"/>
    </row>
    <row r="8" ht="24" customHeight="1">
      <c r="A8" s="62" t="inlineStr">
        <is>
          <t>Component</t>
        </is>
      </c>
      <c r="B8" s="62" t="inlineStr">
        <is>
          <t>Standard rate / hrs</t>
        </is>
      </c>
      <c r="C8" s="62" t="inlineStr">
        <is>
          <t>Actual rate / hrs</t>
        </is>
      </c>
      <c r="D8" s="62" t="inlineStr">
        <is>
          <t>Standard amount</t>
        </is>
      </c>
      <c r="E8" s="62" t="inlineStr">
        <is>
          <t>Actual amount</t>
        </is>
      </c>
      <c r="F8" s="62" t="inlineStr">
        <is>
          <t>Variance</t>
        </is>
      </c>
      <c r="G8" s="62" t="inlineStr">
        <is>
          <t>Comments</t>
        </is>
      </c>
      <c r="H8" s="35" t="n"/>
    </row>
    <row r="9">
      <c r="A9" s="35" t="n"/>
      <c r="B9" s="35" t="n"/>
      <c r="C9" s="35" t="n"/>
      <c r="D9" s="69" t="inlineStr">
        <is>
          <t>R</t>
        </is>
      </c>
      <c r="E9" s="69" t="inlineStr">
        <is>
          <t>V</t>
        </is>
      </c>
      <c r="F9" s="35" t="n"/>
      <c r="G9" s="35" t="n"/>
      <c r="H9" s="35" t="n"/>
    </row>
    <row r="10" ht="27" customHeight="1">
      <c r="A10" s="41" t="inlineStr">
        <is>
          <t>Labor rate (rate × actual hrs)</t>
        </is>
      </c>
      <c r="B10" s="56" t="n"/>
      <c r="C10" s="56" t="n"/>
      <c r="D10" s="63" t="n"/>
      <c r="E10" s="63" t="n"/>
      <c r="F10" s="72">
        <f>IF(AND(D10="",E10=""),"",E10-D10)</f>
        <v/>
      </c>
      <c r="G10" s="56" t="n"/>
      <c r="H10" s="35" t="n"/>
    </row>
    <row r="11" ht="27" customHeight="1">
      <c r="A11" s="41" t="inlineStr">
        <is>
          <t>Labor efficiency (std rate × hrs diff)</t>
        </is>
      </c>
      <c r="B11" s="56" t="n"/>
      <c r="C11" s="56" t="n"/>
      <c r="D11" s="63" t="n"/>
      <c r="E11" s="63" t="n"/>
      <c r="F11" s="72">
        <f>IF(AND(D11="",E11=""),"",E11-D11)</f>
        <v/>
      </c>
      <c r="G11" s="56" t="n"/>
      <c r="H11" s="35" t="n"/>
    </row>
    <row r="12">
      <c r="A12" s="78" t="inlineStr">
        <is>
          <t>Total direct labor</t>
        </is>
      </c>
      <c r="B12" s="79" t="n"/>
      <c r="C12" s="79" t="n"/>
      <c r="D12" s="75">
        <f>SUM(D10:D11)</f>
        <v/>
      </c>
      <c r="E12" s="75">
        <f>SUM(E10:E11)</f>
        <v/>
      </c>
      <c r="F12" s="75">
        <f>SUM(F10:F11)</f>
        <v/>
      </c>
      <c r="G12" s="79" t="n"/>
      <c r="H12" s="35" t="n"/>
    </row>
    <row r="13">
      <c r="A13" s="35" t="n"/>
      <c r="B13" s="35" t="n"/>
      <c r="C13" s="35" t="n"/>
      <c r="D13" s="35" t="n"/>
      <c r="E13" s="35" t="n"/>
      <c r="F13" s="35" t="n"/>
      <c r="G13" s="35" t="n"/>
      <c r="H13" s="35" t="n"/>
    </row>
    <row r="14">
      <c r="A14" s="61" t="inlineStr">
        <is>
          <t>B. Overhead absorption</t>
        </is>
      </c>
      <c r="B14" s="35" t="n"/>
      <c r="C14" s="35" t="n"/>
      <c r="D14" s="35" t="n"/>
      <c r="E14" s="35" t="n"/>
      <c r="F14" s="35" t="n"/>
      <c r="G14" s="35" t="n"/>
      <c r="H14" s="35" t="n"/>
    </row>
    <row r="15">
      <c r="A15" s="35" t="n"/>
      <c r="B15" s="35" t="n"/>
      <c r="C15" s="35" t="n"/>
      <c r="D15" s="35" t="n"/>
      <c r="E15" s="35" t="n"/>
      <c r="F15" s="35" t="n"/>
      <c r="G15" s="35" t="n"/>
      <c r="H15" s="35" t="n"/>
    </row>
    <row r="16">
      <c r="A16" s="41" t="inlineStr">
        <is>
          <t>OH application rate (per driver)</t>
        </is>
      </c>
      <c r="B16" s="63" t="n"/>
      <c r="C16" s="35" t="n"/>
      <c r="D16" s="35" t="n"/>
      <c r="E16" s="35" t="n"/>
      <c r="F16" s="35" t="n"/>
      <c r="G16" s="35" t="n"/>
      <c r="H16" s="35" t="n"/>
    </row>
    <row r="17">
      <c r="A17" s="41" t="inlineStr">
        <is>
          <t>Driver volume (actual)</t>
        </is>
      </c>
      <c r="B17" s="71" t="n"/>
      <c r="C17" s="35" t="n"/>
      <c r="D17" s="35" t="n"/>
      <c r="E17" s="35" t="n"/>
      <c r="F17" s="35" t="n"/>
      <c r="G17" s="35" t="n"/>
      <c r="H17" s="35" t="n"/>
    </row>
    <row r="18" ht="27" customHeight="1">
      <c r="A18" s="64" t="inlineStr">
        <is>
          <t>Applied overhead (= rate × driver)</t>
        </is>
      </c>
      <c r="B18" s="77">
        <f>IF(OR(B16="",B17=""),"",B16*B17)</f>
        <v/>
      </c>
      <c r="C18" s="35" t="n"/>
      <c r="D18" s="35" t="n"/>
      <c r="E18" s="35" t="n"/>
      <c r="F18" s="35" t="n"/>
      <c r="G18" s="35" t="n"/>
      <c r="H18" s="35" t="n"/>
    </row>
    <row r="19">
      <c r="A19" s="41" t="inlineStr">
        <is>
          <t>Actual overhead incurred</t>
        </is>
      </c>
      <c r="B19" s="63" t="n"/>
      <c r="C19" s="35" t="n"/>
      <c r="D19" s="35" t="n"/>
      <c r="E19" s="35" t="n"/>
      <c r="F19" s="35" t="n"/>
      <c r="G19" s="35" t="n"/>
      <c r="H19" s="35" t="n"/>
    </row>
    <row r="20" ht="27" customHeight="1">
      <c r="A20" s="64" t="inlineStr">
        <is>
          <t>Over / (under) absorbed</t>
        </is>
      </c>
      <c r="B20" s="77">
        <f>IF(OR(B18="",B19=""),"",B18-B19)</f>
        <v/>
      </c>
      <c r="C20" s="35" t="n"/>
      <c r="D20" s="35" t="n"/>
      <c r="E20" s="35" t="n"/>
      <c r="F20" s="35" t="n"/>
      <c r="G20" s="35" t="n"/>
      <c r="H20" s="35" t="n"/>
    </row>
    <row r="21">
      <c r="A21" s="35" t="n"/>
      <c r="B21" s="35" t="n"/>
      <c r="C21" s="35" t="n"/>
      <c r="D21" s="35" t="n"/>
      <c r="E21" s="35" t="n"/>
      <c r="F21" s="35" t="n"/>
      <c r="G21" s="35" t="n"/>
      <c r="H21" s="35" t="n"/>
    </row>
    <row r="22" ht="27" customHeight="1">
      <c r="A22" s="61" t="inlineStr">
        <is>
          <t>C. Normal capacity evaluation (ASC 330-10-30-3 to 30-7)</t>
        </is>
      </c>
      <c r="B22" s="35" t="n"/>
      <c r="C22" s="35" t="n"/>
      <c r="D22" s="35" t="n"/>
      <c r="E22" s="35" t="n"/>
      <c r="F22" s="35" t="n"/>
      <c r="G22" s="35" t="n"/>
      <c r="H22" s="35" t="n"/>
    </row>
    <row r="23" ht="21.75" customHeight="1">
      <c r="A23" s="62" t="inlineStr">
        <is>
          <t>Consideration</t>
        </is>
      </c>
      <c r="B23" s="62" t="inlineStr">
        <is>
          <t>Result (Y/N)</t>
        </is>
      </c>
      <c r="C23" s="62" t="inlineStr">
        <is>
          <t>Basis / evidence</t>
        </is>
      </c>
      <c r="D23" s="62" t="inlineStr">
        <is>
          <t>Effect</t>
        </is>
      </c>
      <c r="E23" s="62" t="n"/>
      <c r="F23" s="62" t="n"/>
      <c r="G23" s="62" t="inlineStr">
        <is>
          <t>Comments</t>
        </is>
      </c>
      <c r="H23" s="35" t="n"/>
    </row>
    <row r="24" ht="27" customHeight="1">
      <c r="A24" s="80" t="inlineStr">
        <is>
          <t>Production within the range of normal capacity</t>
        </is>
      </c>
      <c r="B24" s="56" t="n"/>
      <c r="C24" s="56" t="n"/>
      <c r="D24" s="59" t="n"/>
      <c r="E24" s="60" t="n"/>
      <c r="F24" s="56" t="n"/>
      <c r="G24" s="56" t="n"/>
      <c r="H24" s="35" t="n"/>
    </row>
    <row r="25" ht="27" customHeight="1">
      <c r="A25" s="80" t="inlineStr">
        <is>
          <t>Abnormally LOW production — fixed OH per unit NOT increased (unallocated OH expensed)</t>
        </is>
      </c>
      <c r="B25" s="56" t="n"/>
      <c r="C25" s="56" t="n"/>
      <c r="D25" s="59" t="n"/>
      <c r="E25" s="60" t="n"/>
      <c r="F25" s="56" t="n"/>
      <c r="G25" s="56" t="n"/>
      <c r="H25" s="35" t="n"/>
    </row>
    <row r="26" ht="27" customHeight="1">
      <c r="A26" s="80" t="inlineStr">
        <is>
          <t>Abnormally HIGH production — fixed OH per unit decreased</t>
        </is>
      </c>
      <c r="B26" s="56" t="n"/>
      <c r="C26" s="56" t="n"/>
      <c r="D26" s="59" t="n"/>
      <c r="E26" s="60" t="n"/>
      <c r="F26" s="56" t="n"/>
      <c r="G26" s="56" t="n"/>
      <c r="H26" s="35" t="n"/>
    </row>
    <row r="27" ht="40.5" customHeight="1">
      <c r="A27" s="80" t="inlineStr">
        <is>
          <t>Abnormal costs (idle facility, excess spoilage, double freight, rehandling) expensed as incurred</t>
        </is>
      </c>
      <c r="B27" s="56" t="n"/>
      <c r="C27" s="56" t="n"/>
      <c r="D27" s="59" t="n"/>
      <c r="E27" s="60" t="n"/>
      <c r="F27" s="56" t="n"/>
      <c r="G27" s="56" t="n"/>
      <c r="H27" s="35" t="n"/>
    </row>
    <row r="28">
      <c r="A28" s="35" t="n"/>
      <c r="B28" s="35" t="n"/>
      <c r="C28" s="35" t="n"/>
      <c r="D28" s="35" t="n"/>
      <c r="E28" s="35" t="n"/>
      <c r="F28" s="35" t="n"/>
      <c r="G28" s="35" t="n"/>
      <c r="H28" s="35" t="n"/>
    </row>
    <row r="29" ht="27.75" customHeight="1">
      <c r="A29" s="37" t="inlineStr">
        <is>
          <t>Labor and OH variances (normal portion) join the &lt;.4&gt; variance pool for pro-rata capitalization to inventory on hand; abnormal amounts are period costs. Under-absorption caused by abnormally low production must NOT be pushed into inventory.</t>
        </is>
      </c>
      <c r="B29" s="35" t="n"/>
      <c r="C29" s="35" t="n"/>
      <c r="D29" s="35" t="n"/>
      <c r="E29" s="35" t="n"/>
      <c r="F29" s="35" t="n"/>
      <c r="G29" s="35" t="n"/>
      <c r="H29" s="35" t="n"/>
    </row>
    <row r="30">
      <c r="A30" s="35" t="n"/>
      <c r="B30" s="35" t="n"/>
      <c r="C30" s="35" t="n"/>
      <c r="D30" s="35" t="n"/>
      <c r="E30" s="35" t="n"/>
      <c r="F30" s="35" t="n"/>
      <c r="G30" s="35" t="n"/>
      <c r="H30" s="35" t="n"/>
    </row>
    <row r="31">
      <c r="A31" s="57" t="inlineStr">
        <is>
          <t>TM Legends</t>
        </is>
      </c>
      <c r="B31" s="35" t="n"/>
      <c r="C31" s="35" t="n"/>
      <c r="D31" s="35" t="n"/>
      <c r="E31" s="35" t="n"/>
      <c r="F31" s="35" t="n"/>
      <c r="G31" s="35" t="n"/>
      <c r="H31" s="35" t="n"/>
    </row>
    <row r="32">
      <c r="A32" s="58" t="inlineStr">
        <is>
          <t>TB</t>
        </is>
      </c>
      <c r="B32" s="41" t="inlineStr">
        <is>
          <t>Agreed to trial balance</t>
        </is>
      </c>
      <c r="C32" s="59" t="n"/>
      <c r="D32" s="60" t="n"/>
      <c r="E32" s="35" t="n"/>
      <c r="F32" s="35" t="n"/>
      <c r="G32" s="35" t="n"/>
      <c r="H32" s="35" t="n"/>
    </row>
    <row r="33">
      <c r="A33" s="58" t="inlineStr">
        <is>
          <t>GL</t>
        </is>
      </c>
      <c r="B33" s="41" t="inlineStr">
        <is>
          <t>Agreed to general ledger</t>
        </is>
      </c>
      <c r="C33" s="59" t="n"/>
      <c r="D33" s="60" t="n"/>
      <c r="E33" s="35" t="n"/>
      <c r="F33" s="35" t="n"/>
      <c r="G33" s="35" t="n"/>
      <c r="H33" s="35" t="n"/>
    </row>
    <row r="34">
      <c r="A34" s="58" t="inlineStr">
        <is>
          <t>CF</t>
        </is>
      </c>
      <c r="B34" s="41" t="inlineStr">
        <is>
          <t>Confirmed with third party</t>
        </is>
      </c>
      <c r="C34" s="59" t="n"/>
      <c r="D34" s="60" t="n"/>
      <c r="E34" s="35" t="n"/>
      <c r="F34" s="35" t="n"/>
      <c r="G34" s="35" t="n"/>
      <c r="H34" s="35" t="n"/>
    </row>
    <row r="35">
      <c r="A35" s="58" t="inlineStr">
        <is>
          <t>V</t>
        </is>
      </c>
      <c r="B35" s="41" t="inlineStr">
        <is>
          <t>Vouched to source document</t>
        </is>
      </c>
      <c r="C35" s="59" t="n"/>
      <c r="D35" s="60" t="n"/>
      <c r="E35" s="35" t="n"/>
      <c r="F35" s="35" t="n"/>
      <c r="G35" s="35" t="n"/>
      <c r="H35" s="35" t="n"/>
    </row>
    <row r="36">
      <c r="A36" s="58" t="inlineStr">
        <is>
          <t>SR</t>
        </is>
      </c>
      <c r="B36" s="41" t="inlineStr">
        <is>
          <t>Agreed to subsequent bank-cleared receipt</t>
        </is>
      </c>
      <c r="C36" s="59" t="n"/>
      <c r="D36" s="60" t="n"/>
      <c r="E36" s="35" t="n"/>
      <c r="F36" s="35" t="n"/>
      <c r="G36" s="35" t="n"/>
      <c r="H36" s="35" t="n"/>
    </row>
    <row r="37">
      <c r="A37" s="58" t="inlineStr">
        <is>
          <t>R</t>
        </is>
      </c>
      <c r="B37" s="41" t="inlineStr">
        <is>
          <t>Recalculated independently</t>
        </is>
      </c>
      <c r="C37" s="59" t="n"/>
      <c r="D37" s="60" t="n"/>
      <c r="E37" s="35" t="n"/>
      <c r="F37" s="35" t="n"/>
      <c r="G37" s="35" t="n"/>
      <c r="H37" s="35" t="n"/>
    </row>
    <row r="38">
      <c r="A38" s="58" t="inlineStr">
        <is>
          <t>F</t>
        </is>
      </c>
      <c r="B38" s="41" t="inlineStr">
        <is>
          <t>Footed / cross-cast</t>
        </is>
      </c>
      <c r="C38" s="59" t="n"/>
      <c r="D38" s="60" t="n"/>
      <c r="E38" s="35" t="n"/>
      <c r="F38" s="35" t="n"/>
      <c r="G38" s="35" t="n"/>
      <c r="H38" s="35" t="n"/>
    </row>
    <row r="39">
      <c r="A39" s="58" t="inlineStr">
        <is>
          <t>T</t>
        </is>
      </c>
      <c r="B39" s="41" t="inlineStr">
        <is>
          <t>Traced to downstream record</t>
        </is>
      </c>
      <c r="C39" s="59" t="n"/>
      <c r="D39" s="60" t="n"/>
      <c r="E39" s="35" t="n"/>
      <c r="F39" s="35" t="n"/>
      <c r="G39" s="35" t="n"/>
      <c r="H39" s="35" t="n"/>
    </row>
    <row r="40">
      <c r="A40" s="58" t="inlineStr">
        <is>
          <t>PBC</t>
        </is>
      </c>
      <c r="B40" s="41" t="inlineStr">
        <is>
          <t>Prepared by client</t>
        </is>
      </c>
      <c r="C40" s="59" t="n"/>
      <c r="D40" s="60" t="n"/>
      <c r="E40" s="35" t="n"/>
      <c r="F40" s="35" t="n"/>
      <c r="G40" s="35" t="n"/>
      <c r="H40" s="35" t="n"/>
    </row>
    <row r="41">
      <c r="A41" s="35" t="n"/>
      <c r="B41" s="35" t="n"/>
      <c r="C41" s="35" t="n"/>
      <c r="D41" s="35" t="n"/>
      <c r="E41" s="35" t="n"/>
      <c r="F41" s="35" t="n"/>
      <c r="G41" s="35" t="n"/>
      <c r="H41" s="35" t="n"/>
    </row>
    <row r="42" ht="27.75" customHeight="1">
      <c r="A42" s="37" t="inlineStr">
        <is>
          <t>Before sign-off complete Library Procedures 13-15 (labor variances; OH absorption; normal-capacity evaluation).</t>
        </is>
      </c>
      <c r="B42" s="35" t="n"/>
      <c r="C42" s="35" t="n"/>
      <c r="D42" s="35" t="n"/>
      <c r="E42" s="35" t="n"/>
      <c r="F42" s="35" t="n"/>
      <c r="G42" s="35" t="n"/>
      <c r="H42" s="35" t="n"/>
    </row>
  </sheetData>
  <mergeCells count="18">
    <mergeCell ref="B33:D33"/>
    <mergeCell ref="B36:D36"/>
    <mergeCell ref="B37:D37"/>
    <mergeCell ref="C27:E27"/>
    <mergeCell ref="B5:G5"/>
    <mergeCell ref="B35:D35"/>
    <mergeCell ref="B32:D32"/>
    <mergeCell ref="B6:G6"/>
    <mergeCell ref="B40:D40"/>
    <mergeCell ref="B4:G4"/>
    <mergeCell ref="C26:E26"/>
    <mergeCell ref="A29:G29"/>
    <mergeCell ref="A42:G42"/>
    <mergeCell ref="B39:D39"/>
    <mergeCell ref="B38:D38"/>
    <mergeCell ref="C25:E25"/>
    <mergeCell ref="B34:D34"/>
    <mergeCell ref="C24:E24"/>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50"/>
  <sheetViews>
    <sheetView showGridLines="0" zoomScale="90" zoomScaleNormal="100" workbookViewId="0">
      <pane xSplit="1" ySplit="7" topLeftCell="B8" activePane="bottomRight" state="frozen"/>
      <selection pane="topRight"/>
      <selection pane="bottomLeft"/>
      <selection pane="bottomRight" activeCell="A4" sqref="A4"/>
    </sheetView>
  </sheetViews>
  <sheetFormatPr baseColWidth="8" defaultColWidth="8.6328125" defaultRowHeight="14.5"/>
  <cols>
    <col width="42" bestFit="1" customWidth="1" min="1" max="1"/>
    <col width="30.05" customWidth="1" min="2" max="2"/>
    <col width="22" customWidth="1" min="3" max="3"/>
    <col width="37.7" customWidth="1" min="4" max="7"/>
    <col width="24.95" customWidth="1" min="5" max="5"/>
    <col width="30.05" customWidth="1" min="6" max="6"/>
    <col width="18.15" customWidth="1" min="7" max="7"/>
    <col width="33.45" customWidth="1" min="8" max="8"/>
    <col width="30.05" customWidth="1" min="9" max="9"/>
    <col width="26" customWidth="1" min="10" max="10"/>
  </cols>
  <sheetData>
    <row r="1" ht="27" customHeight="1">
      <c r="A1" s="34" t="inlineStr">
        <is>
          <t>Finished Goods Cost Buildup &amp; BOM Verification</t>
        </is>
      </c>
      <c r="B1" s="35" t="n"/>
      <c r="C1" s="35" t="n"/>
      <c r="D1" s="35" t="n"/>
      <c r="E1" s="35" t="n"/>
      <c r="F1" s="35" t="n"/>
      <c r="G1" s="35" t="n"/>
      <c r="H1" s="35" t="n"/>
      <c r="I1" s="35" t="n"/>
      <c r="J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c r="I2" s="35" t="n"/>
      <c r="J2" s="35" t="n"/>
    </row>
    <row r="3" ht="27" customHeight="1">
      <c r="A3" s="49" t="inlineStr">
        <is>
          <t>Performance Materiality</t>
        </is>
      </c>
      <c r="B3" s="50" t="n">
        <v>19100</v>
      </c>
      <c r="C3" s="35" t="n"/>
      <c r="D3" s="49" t="inlineStr">
        <is>
          <t>Tolerable misstatement / testing threshold</t>
        </is>
      </c>
      <c r="E3" s="50" t="n">
        <v>14400</v>
      </c>
      <c r="F3" s="35" t="n"/>
      <c r="G3" s="35" t="n"/>
      <c r="H3" s="35" t="n"/>
      <c r="I3" s="35" t="n"/>
      <c r="J3" s="35" t="n"/>
    </row>
    <row r="4" ht="42" customHeight="1">
      <c r="A4" s="51" t="inlineStr">
        <is>
          <t>Purpose:</t>
        </is>
      </c>
      <c r="B4" s="52" t="inlineStr">
        <is>
          <t>Select finished goods from the YE listing, obtain the cost breakup (RM + labor + OH), verify the breakup sums to the FG unit cost, and verify the RM components from the bill of materials (BOM) to the RM inventory listing costs.</t>
        </is>
      </c>
      <c r="C4" s="53" t="n"/>
      <c r="D4" s="53" t="n"/>
      <c r="E4" s="53" t="n"/>
      <c r="F4" s="53" t="n"/>
      <c r="G4" s="53" t="n"/>
      <c r="H4" s="53" t="n"/>
      <c r="I4" s="53" t="n"/>
      <c r="J4" s="54" t="n"/>
    </row>
    <row r="5" ht="27.75" customHeight="1">
      <c r="A5" s="51" t="inlineStr">
        <is>
          <t>Scope:</t>
        </is>
      </c>
      <c r="B5" s="52" t="inlineStr">
        <is>
          <t>FG selections above the testing threshold; BOMs, labor routings and OH rates for each selection.</t>
        </is>
      </c>
      <c r="C5" s="53" t="n"/>
      <c r="D5" s="53" t="n"/>
      <c r="E5" s="53" t="n"/>
      <c r="F5" s="53" t="n"/>
      <c r="G5" s="53" t="n"/>
      <c r="H5" s="53" t="n"/>
      <c r="I5" s="53" t="n"/>
      <c r="J5" s="54" t="n"/>
    </row>
    <row r="6" ht="15" customHeight="1">
      <c r="A6" s="51" t="inlineStr">
        <is>
          <t>Assertions:</t>
        </is>
      </c>
      <c r="B6" s="52" t="inlineStr">
        <is>
          <t>Valuation &amp; Allocation; Accuracy</t>
        </is>
      </c>
      <c r="C6" s="53" t="n"/>
      <c r="D6" s="53" t="n"/>
      <c r="E6" s="53" t="n"/>
      <c r="F6" s="53" t="n"/>
      <c r="G6" s="53" t="n"/>
      <c r="H6" s="53" t="n"/>
      <c r="I6" s="53" t="n"/>
      <c r="J6" s="54" t="n"/>
    </row>
    <row r="7">
      <c r="A7" s="61" t="inlineStr">
        <is>
          <t>A. FG cost breakup (per selection)</t>
        </is>
      </c>
      <c r="B7" s="35" t="n"/>
      <c r="C7" s="35" t="n"/>
      <c r="D7" s="35" t="n"/>
      <c r="E7" s="35" t="n"/>
      <c r="F7" s="35" t="n"/>
      <c r="G7" s="35" t="n"/>
      <c r="H7" s="35" t="n"/>
      <c r="I7" s="35" t="n"/>
      <c r="J7" s="35" t="n"/>
    </row>
    <row r="8" ht="30" customHeight="1">
      <c r="A8" s="62" t="inlineStr">
        <is>
          <t>Sel #</t>
        </is>
      </c>
      <c r="B8" s="62" t="inlineStr">
        <is>
          <t>FG SKU</t>
        </is>
      </c>
      <c r="C8" s="62" t="inlineStr">
        <is>
          <t>Description</t>
        </is>
      </c>
      <c r="D8" s="62" t="inlineStr">
        <is>
          <t>FG unit cost per listing</t>
        </is>
      </c>
      <c r="E8" s="62" t="inlineStr">
        <is>
          <t>RM per breakup</t>
        </is>
      </c>
      <c r="F8" s="62" t="inlineStr">
        <is>
          <t>Labor per breakup</t>
        </is>
      </c>
      <c r="G8" s="62" t="inlineStr">
        <is>
          <t>OH per breakup</t>
        </is>
      </c>
      <c r="H8" s="62" t="inlineStr">
        <is>
          <t>Sum of breakup</t>
        </is>
      </c>
      <c r="I8" s="62" t="inlineStr">
        <is>
          <t>Diff vs listing</t>
        </is>
      </c>
      <c r="J8" s="62" t="inlineStr">
        <is>
          <t>Comments</t>
        </is>
      </c>
    </row>
    <row r="9">
      <c r="A9" s="35" t="n"/>
      <c r="B9" s="35" t="n"/>
      <c r="C9" s="35" t="n"/>
      <c r="D9" s="69" t="inlineStr">
        <is>
          <t>PBC</t>
        </is>
      </c>
      <c r="E9" s="35" t="n"/>
      <c r="F9" s="35" t="n"/>
      <c r="G9" s="35" t="n"/>
      <c r="H9" s="69" t="inlineStr">
        <is>
          <t>R</t>
        </is>
      </c>
      <c r="I9" s="69" t="inlineStr">
        <is>
          <t>R</t>
        </is>
      </c>
      <c r="J9" s="35" t="n"/>
    </row>
    <row r="10" ht="27" customHeight="1">
      <c r="A10" s="70" t="n">
        <v>1</v>
      </c>
      <c r="B10" s="56" t="n"/>
      <c r="C10" s="56" t="n"/>
      <c r="D10" s="63" t="n"/>
      <c r="E10" s="63" t="n"/>
      <c r="F10" s="63" t="n"/>
      <c r="G10" s="63" t="n"/>
      <c r="H10" s="72">
        <f>IF(COUNT(E10:G10)=0,"",SUM(E10:G10))</f>
        <v/>
      </c>
      <c r="I10" s="72">
        <f>IF(OR(D10="",H10=""),"",D10-H10)</f>
        <v/>
      </c>
      <c r="J10" s="56" t="n"/>
    </row>
    <row r="11" ht="27" customHeight="1">
      <c r="A11" s="70" t="n">
        <v>2</v>
      </c>
      <c r="B11" s="56" t="n"/>
      <c r="C11" s="56" t="n"/>
      <c r="D11" s="63" t="n"/>
      <c r="E11" s="63" t="n"/>
      <c r="F11" s="63" t="n"/>
      <c r="G11" s="63" t="n"/>
      <c r="H11" s="72">
        <f>IF(COUNT(E11:G11)=0,"",SUM(E11:G11))</f>
        <v/>
      </c>
      <c r="I11" s="72">
        <f>IF(OR(D11="",H11=""),"",D11-H11)</f>
        <v/>
      </c>
      <c r="J11" s="56" t="n"/>
    </row>
    <row r="12" ht="27" customHeight="1">
      <c r="A12" s="70" t="n">
        <v>3</v>
      </c>
      <c r="B12" s="56" t="n"/>
      <c r="C12" s="56" t="n"/>
      <c r="D12" s="63" t="n"/>
      <c r="E12" s="63" t="n"/>
      <c r="F12" s="63" t="n"/>
      <c r="G12" s="63" t="n"/>
      <c r="H12" s="72">
        <f>IF(COUNT(E12:G12)=0,"",SUM(E12:G12))</f>
        <v/>
      </c>
      <c r="I12" s="72">
        <f>IF(OR(D12="",H12=""),"",D12-H12)</f>
        <v/>
      </c>
      <c r="J12" s="56" t="n"/>
    </row>
    <row r="13" ht="27" customHeight="1">
      <c r="A13" s="70" t="n">
        <v>4</v>
      </c>
      <c r="B13" s="56" t="n"/>
      <c r="C13" s="56" t="n"/>
      <c r="D13" s="63" t="n"/>
      <c r="E13" s="63" t="n"/>
      <c r="F13" s="63" t="n"/>
      <c r="G13" s="63" t="n"/>
      <c r="H13" s="72">
        <f>IF(COUNT(E13:G13)=0,"",SUM(E13:G13))</f>
        <v/>
      </c>
      <c r="I13" s="72">
        <f>IF(OR(D13="",H13=""),"",D13-H13)</f>
        <v/>
      </c>
      <c r="J13" s="56" t="n"/>
    </row>
    <row r="14" ht="27" customHeight="1">
      <c r="A14" s="70" t="n">
        <v>5</v>
      </c>
      <c r="B14" s="56" t="n"/>
      <c r="C14" s="56" t="n"/>
      <c r="D14" s="63" t="n"/>
      <c r="E14" s="63" t="n"/>
      <c r="F14" s="63" t="n"/>
      <c r="G14" s="63" t="n"/>
      <c r="H14" s="72">
        <f>IF(COUNT(E14:G14)=0,"",SUM(E14:G14))</f>
        <v/>
      </c>
      <c r="I14" s="72">
        <f>IF(OR(D14="",H14=""),"",D14-H14)</f>
        <v/>
      </c>
      <c r="J14" s="56" t="n"/>
    </row>
    <row r="15" ht="27" customHeight="1">
      <c r="A15" s="70" t="n">
        <v>6</v>
      </c>
      <c r="B15" s="56" t="n"/>
      <c r="C15" s="56" t="n"/>
      <c r="D15" s="63" t="n"/>
      <c r="E15" s="63" t="n"/>
      <c r="F15" s="63" t="n"/>
      <c r="G15" s="63" t="n"/>
      <c r="H15" s="72">
        <f>IF(COUNT(E15:G15)=0,"",SUM(E15:G15))</f>
        <v/>
      </c>
      <c r="I15" s="72">
        <f>IF(OR(D15="",H15=""),"",D15-H15)</f>
        <v/>
      </c>
      <c r="J15" s="56" t="n"/>
    </row>
    <row r="16" ht="27" customHeight="1">
      <c r="A16" s="70" t="n">
        <v>7</v>
      </c>
      <c r="B16" s="56" t="n"/>
      <c r="C16" s="56" t="n"/>
      <c r="D16" s="63" t="n"/>
      <c r="E16" s="63" t="n"/>
      <c r="F16" s="63" t="n"/>
      <c r="G16" s="63" t="n"/>
      <c r="H16" s="72">
        <f>IF(COUNT(E16:G16)=0,"",SUM(E16:G16))</f>
        <v/>
      </c>
      <c r="I16" s="72">
        <f>IF(OR(D16="",H16=""),"",D16-H16)</f>
        <v/>
      </c>
      <c r="J16" s="56" t="n"/>
    </row>
    <row r="17" ht="27" customHeight="1">
      <c r="A17" s="70" t="n">
        <v>8</v>
      </c>
      <c r="B17" s="56" t="n"/>
      <c r="C17" s="56" t="n"/>
      <c r="D17" s="63" t="n"/>
      <c r="E17" s="63" t="n"/>
      <c r="F17" s="63" t="n"/>
      <c r="G17" s="63" t="n"/>
      <c r="H17" s="72">
        <f>IF(COUNT(E17:G17)=0,"",SUM(E17:G17))</f>
        <v/>
      </c>
      <c r="I17" s="72">
        <f>IF(OR(D17="",H17=""),"",D17-H17)</f>
        <v/>
      </c>
      <c r="J17" s="56" t="n"/>
    </row>
    <row r="18">
      <c r="A18" s="35" t="n"/>
      <c r="B18" s="35" t="n"/>
      <c r="C18" s="35" t="n"/>
      <c r="D18" s="35" t="n"/>
      <c r="E18" s="35" t="n"/>
      <c r="F18" s="35" t="n"/>
      <c r="G18" s="35" t="n"/>
      <c r="H18" s="35" t="n"/>
      <c r="I18" s="35" t="n"/>
      <c r="J18" s="35" t="n"/>
    </row>
    <row r="19" ht="27" customHeight="1">
      <c r="A19" s="61" t="inlineStr">
        <is>
          <t>B. BOM verification — RM components to the RM inventory listing</t>
        </is>
      </c>
      <c r="B19" s="35" t="n"/>
      <c r="C19" s="35" t="n"/>
      <c r="D19" s="35" t="n"/>
      <c r="E19" s="35" t="n"/>
      <c r="F19" s="35" t="n"/>
      <c r="G19" s="35" t="n"/>
      <c r="H19" s="35" t="n"/>
      <c r="I19" s="35" t="n"/>
      <c r="J19" s="35" t="n"/>
    </row>
    <row r="20" ht="31.5" customHeight="1">
      <c r="A20" s="62" t="inlineStr">
        <is>
          <t>FG Sel #</t>
        </is>
      </c>
      <c r="B20" s="62" t="inlineStr">
        <is>
          <t>RM component / SKU</t>
        </is>
      </c>
      <c r="C20" s="62" t="inlineStr">
        <is>
          <t>Component description</t>
        </is>
      </c>
      <c r="D20" s="62" t="inlineStr">
        <is>
          <t>BOM qty per unit</t>
        </is>
      </c>
      <c r="E20" s="62" t="inlineStr">
        <is>
          <t>RM unit cost per RM listing</t>
        </is>
      </c>
      <c r="F20" s="62" t="inlineStr">
        <is>
          <t>Extended (= BOM qty × RM cost)</t>
        </is>
      </c>
      <c r="G20" s="62" t="inlineStr">
        <is>
          <t>Per FG breakup (RM)</t>
        </is>
      </c>
      <c r="H20" s="62" t="inlineStr">
        <is>
          <t>Difference</t>
        </is>
      </c>
      <c r="I20" s="62" t="inlineStr">
        <is>
          <t>Vouched to BOM (Y/N)</t>
        </is>
      </c>
      <c r="J20" s="62" t="inlineStr">
        <is>
          <t>Comments</t>
        </is>
      </c>
    </row>
    <row r="21">
      <c r="A21" s="35" t="n"/>
      <c r="B21" s="35" t="n"/>
      <c r="C21" s="35" t="n"/>
      <c r="D21" s="35" t="n"/>
      <c r="E21" s="69" t="inlineStr">
        <is>
          <t>V</t>
        </is>
      </c>
      <c r="F21" s="69" t="inlineStr">
        <is>
          <t>T</t>
        </is>
      </c>
      <c r="G21" s="69" t="inlineStr">
        <is>
          <t>R</t>
        </is>
      </c>
      <c r="H21" s="35" t="n"/>
      <c r="I21" s="35" t="n"/>
      <c r="J21" s="35" t="n"/>
    </row>
    <row r="22" ht="27" customHeight="1">
      <c r="A22" s="56" t="n"/>
      <c r="B22" s="56" t="n"/>
      <c r="C22" s="56" t="n"/>
      <c r="D22" s="81" t="n"/>
      <c r="E22" s="63" t="n"/>
      <c r="F22" s="72">
        <f>IF(OR(D22="",E22=""),"",D22*E22)</f>
        <v/>
      </c>
      <c r="G22" s="63" t="n"/>
      <c r="H22" s="72">
        <f>IF(OR(F22="",G22=""),"",G22-F22)</f>
        <v/>
      </c>
      <c r="I22" s="56" t="n"/>
      <c r="J22" s="56" t="n"/>
    </row>
    <row r="23" ht="27" customHeight="1">
      <c r="A23" s="56" t="n"/>
      <c r="B23" s="56" t="n"/>
      <c r="C23" s="56" t="n"/>
      <c r="D23" s="81" t="n"/>
      <c r="E23" s="63" t="n"/>
      <c r="F23" s="72">
        <f>IF(OR(D23="",E23=""),"",D23*E23)</f>
        <v/>
      </c>
      <c r="G23" s="63" t="n"/>
      <c r="H23" s="72">
        <f>IF(OR(F23="",G23=""),"",G23-F23)</f>
        <v/>
      </c>
      <c r="I23" s="56" t="n"/>
      <c r="J23" s="56" t="n"/>
    </row>
    <row r="24" ht="27" customHeight="1">
      <c r="A24" s="56" t="n"/>
      <c r="B24" s="56" t="n"/>
      <c r="C24" s="56" t="n"/>
      <c r="D24" s="81" t="n"/>
      <c r="E24" s="63" t="n"/>
      <c r="F24" s="72">
        <f>IF(OR(D24="",E24=""),"",D24*E24)</f>
        <v/>
      </c>
      <c r="G24" s="63" t="n"/>
      <c r="H24" s="72">
        <f>IF(OR(F24="",G24=""),"",G24-F24)</f>
        <v/>
      </c>
      <c r="I24" s="56" t="n"/>
      <c r="J24" s="56" t="n"/>
    </row>
    <row r="25" ht="27" customHeight="1">
      <c r="A25" s="56" t="n"/>
      <c r="B25" s="56" t="n"/>
      <c r="C25" s="56" t="n"/>
      <c r="D25" s="81" t="n"/>
      <c r="E25" s="63" t="n"/>
      <c r="F25" s="72">
        <f>IF(OR(D25="",E25=""),"",D25*E25)</f>
        <v/>
      </c>
      <c r="G25" s="63" t="n"/>
      <c r="H25" s="72">
        <f>IF(OR(F25="",G25=""),"",G25-F25)</f>
        <v/>
      </c>
      <c r="I25" s="56" t="n"/>
      <c r="J25" s="56" t="n"/>
    </row>
    <row r="26" ht="27" customHeight="1">
      <c r="A26" s="56" t="n"/>
      <c r="B26" s="56" t="n"/>
      <c r="C26" s="56" t="n"/>
      <c r="D26" s="81" t="n"/>
      <c r="E26" s="63" t="n"/>
      <c r="F26" s="72">
        <f>IF(OR(D26="",E26=""),"",D26*E26)</f>
        <v/>
      </c>
      <c r="G26" s="63" t="n"/>
      <c r="H26" s="72">
        <f>IF(OR(F26="",G26=""),"",G26-F26)</f>
        <v/>
      </c>
      <c r="I26" s="56" t="n"/>
      <c r="J26" s="56" t="n"/>
    </row>
    <row r="27" ht="27" customHeight="1">
      <c r="A27" s="56" t="n"/>
      <c r="B27" s="56" t="n"/>
      <c r="C27" s="56" t="n"/>
      <c r="D27" s="81" t="n"/>
      <c r="E27" s="63" t="n"/>
      <c r="F27" s="72">
        <f>IF(OR(D27="",E27=""),"",D27*E27)</f>
        <v/>
      </c>
      <c r="G27" s="63" t="n"/>
      <c r="H27" s="72">
        <f>IF(OR(F27="",G27=""),"",G27-F27)</f>
        <v/>
      </c>
      <c r="I27" s="56" t="n"/>
      <c r="J27" s="56" t="n"/>
    </row>
    <row r="28" ht="27" customHeight="1">
      <c r="A28" s="56" t="n"/>
      <c r="B28" s="56" t="n"/>
      <c r="C28" s="56" t="n"/>
      <c r="D28" s="81" t="n"/>
      <c r="E28" s="63" t="n"/>
      <c r="F28" s="72">
        <f>IF(OR(D28="",E28=""),"",D28*E28)</f>
        <v/>
      </c>
      <c r="G28" s="63" t="n"/>
      <c r="H28" s="72">
        <f>IF(OR(F28="",G28=""),"",G28-F28)</f>
        <v/>
      </c>
      <c r="I28" s="56" t="n"/>
      <c r="J28" s="56" t="n"/>
    </row>
    <row r="29" ht="27" customHeight="1">
      <c r="A29" s="56" t="n"/>
      <c r="B29" s="56" t="n"/>
      <c r="C29" s="56" t="n"/>
      <c r="D29" s="81" t="n"/>
      <c r="E29" s="63" t="n"/>
      <c r="F29" s="72">
        <f>IF(OR(D29="",E29=""),"",D29*E29)</f>
        <v/>
      </c>
      <c r="G29" s="63" t="n"/>
      <c r="H29" s="72">
        <f>IF(OR(F29="",G29=""),"",G29-F29)</f>
        <v/>
      </c>
      <c r="I29" s="56" t="n"/>
      <c r="J29" s="56" t="n"/>
    </row>
    <row r="30" ht="27" customHeight="1">
      <c r="A30" s="56" t="n"/>
      <c r="B30" s="56" t="n"/>
      <c r="C30" s="56" t="n"/>
      <c r="D30" s="81" t="n"/>
      <c r="E30" s="63" t="n"/>
      <c r="F30" s="72">
        <f>IF(OR(D30="",E30=""),"",D30*E30)</f>
        <v/>
      </c>
      <c r="G30" s="63" t="n"/>
      <c r="H30" s="72">
        <f>IF(OR(F30="",G30=""),"",G30-F30)</f>
        <v/>
      </c>
      <c r="I30" s="56" t="n"/>
      <c r="J30" s="56" t="n"/>
    </row>
    <row r="31" ht="27" customHeight="1">
      <c r="A31" s="56" t="n"/>
      <c r="B31" s="56" t="n"/>
      <c r="C31" s="56" t="n"/>
      <c r="D31" s="81" t="n"/>
      <c r="E31" s="63" t="n"/>
      <c r="F31" s="72">
        <f>IF(OR(D31="",E31=""),"",D31*E31)</f>
        <v/>
      </c>
      <c r="G31" s="63" t="n"/>
      <c r="H31" s="72">
        <f>IF(OR(F31="",G31=""),"",G31-F31)</f>
        <v/>
      </c>
      <c r="I31" s="56" t="n"/>
      <c r="J31" s="56" t="n"/>
    </row>
    <row r="32" ht="27" customHeight="1">
      <c r="A32" s="56" t="n"/>
      <c r="B32" s="56" t="n"/>
      <c r="C32" s="56" t="n"/>
      <c r="D32" s="81" t="n"/>
      <c r="E32" s="63" t="n"/>
      <c r="F32" s="72">
        <f>IF(OR(D32="",E32=""),"",D32*E32)</f>
        <v/>
      </c>
      <c r="G32" s="63" t="n"/>
      <c r="H32" s="72">
        <f>IF(OR(F32="",G32=""),"",G32-F32)</f>
        <v/>
      </c>
      <c r="I32" s="56" t="n"/>
      <c r="J32" s="56" t="n"/>
    </row>
    <row r="33" ht="27" customHeight="1">
      <c r="A33" s="56" t="n"/>
      <c r="B33" s="56" t="n"/>
      <c r="C33" s="56" t="n"/>
      <c r="D33" s="81" t="n"/>
      <c r="E33" s="63" t="n"/>
      <c r="F33" s="72">
        <f>IF(OR(D33="",E33=""),"",D33*E33)</f>
        <v/>
      </c>
      <c r="G33" s="63" t="n"/>
      <c r="H33" s="72">
        <f>IF(OR(F33="",G33=""),"",G33-F33)</f>
        <v/>
      </c>
      <c r="I33" s="56" t="n"/>
      <c r="J33" s="56" t="n"/>
    </row>
    <row r="34" ht="27" customHeight="1">
      <c r="A34" s="56" t="n"/>
      <c r="B34" s="56" t="n"/>
      <c r="C34" s="56" t="n"/>
      <c r="D34" s="81" t="n"/>
      <c r="E34" s="63" t="n"/>
      <c r="F34" s="72">
        <f>IF(OR(D34="",E34=""),"",D34*E34)</f>
        <v/>
      </c>
      <c r="G34" s="63" t="n"/>
      <c r="H34" s="72">
        <f>IF(OR(F34="",G34=""),"",G34-F34)</f>
        <v/>
      </c>
      <c r="I34" s="56" t="n"/>
      <c r="J34" s="56" t="n"/>
    </row>
    <row r="35" ht="27" customHeight="1">
      <c r="A35" s="56" t="n"/>
      <c r="B35" s="56" t="n"/>
      <c r="C35" s="56" t="n"/>
      <c r="D35" s="81" t="n"/>
      <c r="E35" s="63" t="n"/>
      <c r="F35" s="72">
        <f>IF(OR(D35="",E35=""),"",D35*E35)</f>
        <v/>
      </c>
      <c r="G35" s="63" t="n"/>
      <c r="H35" s="72">
        <f>IF(OR(F35="",G35=""),"",G35-F35)</f>
        <v/>
      </c>
      <c r="I35" s="56" t="n"/>
      <c r="J35" s="56" t="n"/>
    </row>
    <row r="36">
      <c r="A36" s="35" t="n"/>
      <c r="B36" s="35" t="n"/>
      <c r="C36" s="35" t="n"/>
      <c r="D36" s="35" t="n"/>
      <c r="E36" s="35" t="n"/>
      <c r="F36" s="35" t="n"/>
      <c r="G36" s="35" t="n"/>
      <c r="H36" s="35" t="n"/>
      <c r="I36" s="35" t="n"/>
      <c r="J36" s="35" t="n"/>
    </row>
    <row r="37" ht="27.75" customHeight="1">
      <c r="A37" s="37" t="inlineStr">
        <is>
          <t>The breakup must sum to the FG unit cost (diff = 0). Each RM component's cost is verified: BOM quantity × the unit cost of that RM on the RM inventory listing (already tested on &lt;.2&gt;/&lt;.3&gt;) = the RM content in the FG buildup. Labor hours × rates and OH driver × rate agree to &lt;.5&gt; support.</t>
        </is>
      </c>
      <c r="B37" s="35" t="n"/>
      <c r="C37" s="35" t="n"/>
      <c r="D37" s="35" t="n"/>
      <c r="E37" s="35" t="n"/>
      <c r="F37" s="35" t="n"/>
      <c r="G37" s="35" t="n"/>
      <c r="H37" s="35" t="n"/>
      <c r="I37" s="35" t="n"/>
      <c r="J37" s="35" t="n"/>
    </row>
    <row r="38">
      <c r="A38" s="35" t="n"/>
      <c r="B38" s="35" t="n"/>
      <c r="C38" s="35" t="n"/>
      <c r="D38" s="35" t="n"/>
      <c r="E38" s="35" t="n"/>
      <c r="F38" s="35" t="n"/>
      <c r="G38" s="35" t="n"/>
      <c r="H38" s="35" t="n"/>
      <c r="I38" s="35" t="n"/>
      <c r="J38" s="35" t="n"/>
    </row>
    <row r="39">
      <c r="A39" s="57" t="inlineStr">
        <is>
          <t>TM Legends</t>
        </is>
      </c>
      <c r="B39" s="35" t="n"/>
      <c r="C39" s="35" t="n"/>
      <c r="D39" s="35" t="n"/>
      <c r="E39" s="35" t="n"/>
      <c r="F39" s="35" t="n"/>
      <c r="G39" s="35" t="n"/>
      <c r="H39" s="35" t="n"/>
      <c r="I39" s="35" t="n"/>
      <c r="J39" s="35" t="n"/>
    </row>
    <row r="40">
      <c r="A40" s="58" t="inlineStr">
        <is>
          <t>TB</t>
        </is>
      </c>
      <c r="B40" s="41" t="inlineStr">
        <is>
          <t>Agreed to trial balance</t>
        </is>
      </c>
      <c r="C40" s="59" t="n"/>
      <c r="D40" s="60" t="n"/>
      <c r="E40" s="35" t="n"/>
      <c r="F40" s="35" t="n"/>
      <c r="G40" s="35" t="n"/>
      <c r="H40" s="35" t="n"/>
      <c r="I40" s="35" t="n"/>
      <c r="J40" s="35" t="n"/>
    </row>
    <row r="41">
      <c r="A41" s="58" t="inlineStr">
        <is>
          <t>GL</t>
        </is>
      </c>
      <c r="B41" s="41" t="inlineStr">
        <is>
          <t>Agreed to general ledger</t>
        </is>
      </c>
      <c r="C41" s="59" t="n"/>
      <c r="D41" s="60" t="n"/>
      <c r="E41" s="35" t="n"/>
      <c r="F41" s="35" t="n"/>
      <c r="G41" s="35" t="n"/>
      <c r="H41" s="35" t="n"/>
      <c r="I41" s="35" t="n"/>
      <c r="J41" s="35" t="n"/>
    </row>
    <row r="42">
      <c r="A42" s="58" t="inlineStr">
        <is>
          <t>CF</t>
        </is>
      </c>
      <c r="B42" s="41" t="inlineStr">
        <is>
          <t>Confirmed with third party</t>
        </is>
      </c>
      <c r="C42" s="59" t="n"/>
      <c r="D42" s="60" t="n"/>
      <c r="E42" s="35" t="n"/>
      <c r="F42" s="35" t="n"/>
      <c r="G42" s="35" t="n"/>
      <c r="H42" s="35" t="n"/>
      <c r="I42" s="35" t="n"/>
      <c r="J42" s="35" t="n"/>
    </row>
    <row r="43">
      <c r="A43" s="58" t="inlineStr">
        <is>
          <t>V</t>
        </is>
      </c>
      <c r="B43" s="41" t="inlineStr">
        <is>
          <t>Vouched to source document</t>
        </is>
      </c>
      <c r="C43" s="59" t="n"/>
      <c r="D43" s="60" t="n"/>
      <c r="E43" s="35" t="n"/>
      <c r="F43" s="35" t="n"/>
      <c r="G43" s="35" t="n"/>
      <c r="H43" s="35" t="n"/>
      <c r="I43" s="35" t="n"/>
      <c r="J43" s="35" t="n"/>
    </row>
    <row r="44">
      <c r="A44" s="58" t="inlineStr">
        <is>
          <t>SR</t>
        </is>
      </c>
      <c r="B44" s="41" t="inlineStr">
        <is>
          <t>Agreed to subsequent bank-cleared receipt</t>
        </is>
      </c>
      <c r="C44" s="59" t="n"/>
      <c r="D44" s="60" t="n"/>
      <c r="E44" s="35" t="n"/>
      <c r="F44" s="35" t="n"/>
      <c r="G44" s="35" t="n"/>
      <c r="H44" s="35" t="n"/>
      <c r="I44" s="35" t="n"/>
      <c r="J44" s="35" t="n"/>
    </row>
    <row r="45">
      <c r="A45" s="58" t="inlineStr">
        <is>
          <t>R</t>
        </is>
      </c>
      <c r="B45" s="41" t="inlineStr">
        <is>
          <t>Recalculated independently</t>
        </is>
      </c>
      <c r="C45" s="59" t="n"/>
      <c r="D45" s="60" t="n"/>
      <c r="E45" s="35" t="n"/>
      <c r="F45" s="35" t="n"/>
      <c r="G45" s="35" t="n"/>
      <c r="H45" s="35" t="n"/>
      <c r="I45" s="35" t="n"/>
      <c r="J45" s="35" t="n"/>
    </row>
    <row r="46">
      <c r="A46" s="58" t="inlineStr">
        <is>
          <t>F</t>
        </is>
      </c>
      <c r="B46" s="41" t="inlineStr">
        <is>
          <t>Footed / cross-cast</t>
        </is>
      </c>
      <c r="C46" s="59" t="n"/>
      <c r="D46" s="60" t="n"/>
      <c r="E46" s="35" t="n"/>
      <c r="F46" s="35" t="n"/>
      <c r="G46" s="35" t="n"/>
      <c r="H46" s="35" t="n"/>
      <c r="I46" s="35" t="n"/>
      <c r="J46" s="35" t="n"/>
    </row>
    <row r="47">
      <c r="A47" s="58" t="inlineStr">
        <is>
          <t>T</t>
        </is>
      </c>
      <c r="B47" s="41" t="inlineStr">
        <is>
          <t>Traced to downstream record</t>
        </is>
      </c>
      <c r="C47" s="59" t="n"/>
      <c r="D47" s="60" t="n"/>
      <c r="E47" s="35" t="n"/>
      <c r="F47" s="35" t="n"/>
      <c r="G47" s="35" t="n"/>
      <c r="H47" s="35" t="n"/>
      <c r="I47" s="35" t="n"/>
      <c r="J47" s="35" t="n"/>
    </row>
    <row r="48">
      <c r="A48" s="58" t="inlineStr">
        <is>
          <t>PBC</t>
        </is>
      </c>
      <c r="B48" s="41" t="inlineStr">
        <is>
          <t>Prepared by client</t>
        </is>
      </c>
      <c r="C48" s="59" t="n"/>
      <c r="D48" s="60" t="n"/>
      <c r="E48" s="35" t="n"/>
      <c r="F48" s="35" t="n"/>
      <c r="G48" s="35" t="n"/>
      <c r="H48" s="35" t="n"/>
      <c r="I48" s="35" t="n"/>
      <c r="J48" s="35" t="n"/>
    </row>
    <row r="49">
      <c r="A49" s="35" t="n"/>
      <c r="B49" s="35" t="n"/>
      <c r="C49" s="35" t="n"/>
      <c r="D49" s="35" t="n"/>
      <c r="E49" s="35" t="n"/>
      <c r="F49" s="35" t="n"/>
      <c r="G49" s="35" t="n"/>
      <c r="H49" s="35" t="n"/>
      <c r="I49" s="35" t="n"/>
      <c r="J49" s="35" t="n"/>
    </row>
    <row r="50" ht="27.75" customHeight="1">
      <c r="A50" s="37" t="inlineStr">
        <is>
          <t>Before sign-off complete Library Procedures 16-17 (FG breakup sum test; BOM component verification).</t>
        </is>
      </c>
      <c r="B50" s="35" t="n"/>
      <c r="C50" s="35" t="n"/>
      <c r="D50" s="35" t="n"/>
      <c r="E50" s="35" t="n"/>
      <c r="F50" s="35" t="n"/>
      <c r="G50" s="35" t="n"/>
      <c r="H50" s="35" t="n"/>
      <c r="I50" s="35" t="n"/>
      <c r="J50" s="35" t="n"/>
    </row>
  </sheetData>
  <mergeCells count="14">
    <mergeCell ref="B42:D42"/>
    <mergeCell ref="A37:J37"/>
    <mergeCell ref="B47:D47"/>
    <mergeCell ref="B5:J5"/>
    <mergeCell ref="B45:D45"/>
    <mergeCell ref="B46:D46"/>
    <mergeCell ref="B41:D41"/>
    <mergeCell ref="B40:D40"/>
    <mergeCell ref="A50:J50"/>
    <mergeCell ref="B44:D44"/>
    <mergeCell ref="B4:J4"/>
    <mergeCell ref="B43:D43"/>
    <mergeCell ref="B6:J6"/>
    <mergeCell ref="B48:D48"/>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H34"/>
  <sheetViews>
    <sheetView showGridLines="0" zoomScale="90" zoomScaleNormal="100" workbookViewId="0">
      <pane ySplit="7" topLeftCell="A8" activePane="bottomLeft" state="frozen"/>
      <selection pane="bottomLeft" activeCell="A4" sqref="A4:H6"/>
    </sheetView>
  </sheetViews>
  <sheetFormatPr baseColWidth="8" defaultColWidth="8.6328125" defaultRowHeight="14.5"/>
  <cols>
    <col width="42" bestFit="1" customWidth="1" min="1" max="1"/>
    <col width="30.05" customWidth="1" min="2" max="4"/>
    <col width="21.55" customWidth="1" min="3" max="3"/>
    <col width="37.7" customWidth="1" min="4" max="4"/>
    <col width="26.65" customWidth="1" min="5" max="5"/>
    <col width="30.9" customWidth="1" min="6" max="7"/>
    <col width="13" customWidth="1" min="7" max="7"/>
    <col width="26" customWidth="1" min="8" max="8"/>
  </cols>
  <sheetData>
    <row r="1" ht="17.5" customHeight="1">
      <c r="A1" s="34" t="inlineStr">
        <is>
          <t>Obsolescence &amp; Reserve Testing</t>
        </is>
      </c>
      <c r="B1" s="35" t="n"/>
      <c r="C1" s="35" t="n"/>
      <c r="D1" s="35" t="n"/>
      <c r="E1" s="35" t="n"/>
      <c r="F1" s="35" t="n"/>
      <c r="G1" s="35" t="n"/>
      <c r="H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19100</v>
      </c>
      <c r="C3" s="35" t="n"/>
      <c r="D3" s="49" t="inlineStr">
        <is>
          <t>Tolerable misstatement / testing threshold</t>
        </is>
      </c>
      <c r="E3" s="50" t="n">
        <v>14400</v>
      </c>
      <c r="F3" s="35" t="n"/>
      <c r="G3" s="35" t="n"/>
      <c r="H3" s="35" t="n"/>
    </row>
    <row r="4" ht="42" customHeight="1">
      <c r="A4" s="51" t="inlineStr">
        <is>
          <t>Purpose:</t>
        </is>
      </c>
      <c r="B4" s="52" t="inlineStr">
        <is>
          <t>Test the excess / obsolete reserve: age the inventory by last-usage / last-sale, recompute the reserve per the entity's methodology, evaluate specific obsolete items, and compare to the recorded reserve.</t>
        </is>
      </c>
      <c r="C4" s="53" t="n"/>
      <c r="D4" s="53" t="n"/>
      <c r="E4" s="53" t="n"/>
      <c r="F4" s="53" t="n"/>
      <c r="G4" s="53" t="n"/>
      <c r="H4" s="54" t="n"/>
    </row>
    <row r="5" ht="27.75" customHeight="1">
      <c r="A5" s="51" t="inlineStr">
        <is>
          <t>Scope:</t>
        </is>
      </c>
      <c r="B5" s="52" t="inlineStr">
        <is>
          <t>Aging / last-usage reports, reserve methodology, and specific obsolete / discontinued item support.</t>
        </is>
      </c>
      <c r="C5" s="53" t="n"/>
      <c r="D5" s="53" t="n"/>
      <c r="E5" s="53" t="n"/>
      <c r="F5" s="53" t="n"/>
      <c r="G5" s="53" t="n"/>
      <c r="H5" s="54" t="n"/>
    </row>
    <row r="6" ht="15" customHeight="1">
      <c r="A6" s="51" t="inlineStr">
        <is>
          <t>Assertions:</t>
        </is>
      </c>
      <c r="B6" s="52" t="inlineStr">
        <is>
          <t>Valuation &amp; Allocation</t>
        </is>
      </c>
      <c r="C6" s="53" t="n"/>
      <c r="D6" s="53" t="n"/>
      <c r="E6" s="53" t="n"/>
      <c r="F6" s="53" t="n"/>
      <c r="G6" s="53" t="n"/>
      <c r="H6" s="54" t="n"/>
    </row>
    <row r="7" ht="27" customHeight="1">
      <c r="A7" s="61" t="inlineStr">
        <is>
          <t>A. Aging / slow-moving analysis and reserve recompute</t>
        </is>
      </c>
      <c r="B7" s="35" t="n"/>
      <c r="C7" s="35" t="n"/>
      <c r="D7" s="35" t="n"/>
      <c r="E7" s="35" t="n"/>
      <c r="F7" s="35" t="n"/>
      <c r="G7" s="35" t="n"/>
      <c r="H7" s="35" t="n"/>
    </row>
    <row r="8" ht="30" customHeight="1">
      <c r="A8" s="62" t="inlineStr">
        <is>
          <t>Aging / usage bucket</t>
        </is>
      </c>
      <c r="B8" s="62" t="inlineStr">
        <is>
          <t>Gross inventory</t>
        </is>
      </c>
      <c r="C8" s="62" t="inlineStr">
        <is>
          <t>Reserve % (methodology)</t>
        </is>
      </c>
      <c r="D8" s="62" t="inlineStr">
        <is>
          <t>Recomputed reserve</t>
        </is>
      </c>
      <c r="E8" s="62" t="inlineStr">
        <is>
          <t>Reserve per books (allocated)</t>
        </is>
      </c>
      <c r="F8" s="62" t="inlineStr">
        <is>
          <t>Difference</t>
        </is>
      </c>
      <c r="G8" s="62" t="inlineStr">
        <is>
          <t>Comments</t>
        </is>
      </c>
      <c r="H8" s="35" t="n"/>
    </row>
    <row r="9">
      <c r="A9" s="35" t="n"/>
      <c r="B9" s="69" t="inlineStr">
        <is>
          <t>PBC</t>
        </is>
      </c>
      <c r="C9" s="35" t="n"/>
      <c r="D9" s="69" t="inlineStr">
        <is>
          <t>R</t>
        </is>
      </c>
      <c r="E9" s="69" t="inlineStr">
        <is>
          <t>TB</t>
        </is>
      </c>
      <c r="F9" s="35" t="n"/>
      <c r="G9" s="35" t="n"/>
      <c r="H9" s="35" t="n"/>
    </row>
    <row r="10" ht="27" customHeight="1">
      <c r="A10" s="41" t="inlineStr">
        <is>
          <t>Active (used / sold &lt; 6 months)</t>
        </is>
      </c>
      <c r="B10" s="63" t="n"/>
      <c r="C10" s="82" t="n"/>
      <c r="D10" s="72">
        <f>IF(OR(B10="",C10=""),"",B10*C10)</f>
        <v/>
      </c>
      <c r="E10" s="63" t="n"/>
      <c r="F10" s="72">
        <f>IF(AND(D10="",E10=""),"",D10-E10)</f>
        <v/>
      </c>
      <c r="G10" s="56" t="n"/>
      <c r="H10" s="35" t="n"/>
    </row>
    <row r="11" ht="27" customHeight="1">
      <c r="A11" s="41" t="inlineStr">
        <is>
          <t>Slow (6-12 months)</t>
        </is>
      </c>
      <c r="B11" s="63" t="n"/>
      <c r="C11" s="82" t="n"/>
      <c r="D11" s="72">
        <f>IF(OR(B11="",C11=""),"",B11*C11)</f>
        <v/>
      </c>
      <c r="E11" s="63" t="n"/>
      <c r="F11" s="72">
        <f>IF(AND(D11="",E11=""),"",D11-E11)</f>
        <v/>
      </c>
      <c r="G11" s="56" t="n"/>
      <c r="H11" s="35" t="n"/>
    </row>
    <row r="12" ht="27" customHeight="1">
      <c r="A12" s="41" t="inlineStr">
        <is>
          <t>Very slow (12-24 months)</t>
        </is>
      </c>
      <c r="B12" s="63" t="n"/>
      <c r="C12" s="82" t="n"/>
      <c r="D12" s="72">
        <f>IF(OR(B12="",C12=""),"",B12*C12)</f>
        <v/>
      </c>
      <c r="E12" s="63" t="n"/>
      <c r="F12" s="72">
        <f>IF(AND(D12="",E12=""),"",D12-E12)</f>
        <v/>
      </c>
      <c r="G12" s="56" t="n"/>
      <c r="H12" s="35" t="n"/>
    </row>
    <row r="13" ht="27" customHeight="1">
      <c r="A13" s="41" t="inlineStr">
        <is>
          <t>No movement &gt; 24 months</t>
        </is>
      </c>
      <c r="B13" s="63" t="n"/>
      <c r="C13" s="82" t="n"/>
      <c r="D13" s="72">
        <f>IF(OR(B13="",C13=""),"",B13*C13)</f>
        <v/>
      </c>
      <c r="E13" s="63" t="n"/>
      <c r="F13" s="72">
        <f>IF(AND(D13="",E13=""),"",D13-E13)</f>
        <v/>
      </c>
      <c r="G13" s="56" t="n"/>
      <c r="H13" s="35" t="n"/>
    </row>
    <row r="14" ht="27" customHeight="1">
      <c r="A14" s="41" t="inlineStr">
        <is>
          <t>Discontinued / superseded (specific)</t>
        </is>
      </c>
      <c r="B14" s="63" t="n"/>
      <c r="C14" s="82" t="n"/>
      <c r="D14" s="72">
        <f>IF(OR(B14="",C14=""),"",B14*C14)</f>
        <v/>
      </c>
      <c r="E14" s="63" t="n"/>
      <c r="F14" s="72">
        <f>IF(AND(D14="",E14=""),"",D14-E14)</f>
        <v/>
      </c>
      <c r="G14" s="56" t="n"/>
      <c r="H14" s="35" t="n"/>
    </row>
    <row r="15">
      <c r="A15" s="73" t="inlineStr">
        <is>
          <t>Total</t>
        </is>
      </c>
      <c r="B15" s="74">
        <f>SUM(B10:B14)</f>
        <v/>
      </c>
      <c r="C15" s="73" t="n"/>
      <c r="D15" s="74">
        <f>SUM(D10:D14)</f>
        <v/>
      </c>
      <c r="E15" s="74">
        <f>SUM(E10:E14)</f>
        <v/>
      </c>
      <c r="F15" s="74">
        <f>SUM(F10:F14)</f>
        <v/>
      </c>
      <c r="G15" s="73" t="n"/>
      <c r="H15" s="35" t="n"/>
    </row>
    <row r="16">
      <c r="A16" s="35" t="n"/>
      <c r="B16" s="35" t="n"/>
      <c r="C16" s="35" t="n"/>
      <c r="D16" s="35" t="n"/>
      <c r="E16" s="35" t="n"/>
      <c r="F16" s="35" t="n"/>
      <c r="G16" s="35" t="n"/>
      <c r="H16" s="35" t="n"/>
    </row>
    <row r="17">
      <c r="A17" s="41" t="inlineStr">
        <is>
          <t>Recomputed reserve (per A)</t>
        </is>
      </c>
      <c r="B17" s="63">
        <f>D15</f>
        <v/>
      </c>
      <c r="C17" s="35" t="n"/>
      <c r="D17" s="35" t="n"/>
      <c r="E17" s="35" t="n"/>
      <c r="F17" s="35" t="n"/>
      <c r="G17" s="35" t="n"/>
      <c r="H17" s="35" t="n"/>
    </row>
    <row r="18">
      <c r="A18" s="41" t="inlineStr">
        <is>
          <t>Reserve per trial balance</t>
        </is>
      </c>
      <c r="B18" s="63" t="n"/>
      <c r="C18" s="35" t="n"/>
      <c r="D18" s="35" t="n"/>
      <c r="E18" s="35" t="n"/>
      <c r="F18" s="35" t="n"/>
      <c r="G18" s="35" t="n"/>
      <c r="H18" s="35" t="n"/>
    </row>
    <row r="19">
      <c r="A19" s="64" t="inlineStr">
        <is>
          <t>Difference (evaluate vs threshold)</t>
        </is>
      </c>
      <c r="B19" s="75">
        <f>B17-B18</f>
        <v/>
      </c>
      <c r="C19" s="35" t="n"/>
      <c r="D19" s="35" t="n"/>
      <c r="E19" s="35" t="n"/>
      <c r="F19" s="35" t="n"/>
      <c r="G19" s="35" t="n"/>
      <c r="H19" s="35" t="n"/>
    </row>
    <row r="20">
      <c r="A20" s="35" t="n"/>
      <c r="B20" s="35" t="n"/>
      <c r="C20" s="35" t="n"/>
      <c r="D20" s="35" t="n"/>
      <c r="E20" s="35" t="n"/>
      <c r="F20" s="35" t="n"/>
      <c r="G20" s="35" t="n"/>
      <c r="H20" s="35" t="n"/>
    </row>
    <row r="21" ht="27.75" customHeight="1">
      <c r="A21" s="37" t="inlineStr">
        <is>
          <t>Corroborate the aging buckets to last-usage / last-sale data, challenge the methodology percentages against historical scrap / sell-through, and add specific reserves for discontinued or superseded items. NRV testing on &lt;.8&gt; is a separate, additional check.</t>
        </is>
      </c>
      <c r="B21" s="35" t="n"/>
      <c r="C21" s="35" t="n"/>
      <c r="D21" s="35" t="n"/>
      <c r="E21" s="35" t="n"/>
      <c r="F21" s="35" t="n"/>
      <c r="G21" s="35" t="n"/>
      <c r="H21" s="35" t="n"/>
    </row>
    <row r="22">
      <c r="A22" s="35" t="n"/>
      <c r="B22" s="35" t="n"/>
      <c r="C22" s="35" t="n"/>
      <c r="D22" s="35" t="n"/>
      <c r="E22" s="35" t="n"/>
      <c r="F22" s="35" t="n"/>
      <c r="G22" s="35" t="n"/>
      <c r="H22" s="35" t="n"/>
    </row>
    <row r="23">
      <c r="A23" s="57" t="inlineStr">
        <is>
          <t>TM Legends</t>
        </is>
      </c>
      <c r="B23" s="35" t="n"/>
      <c r="C23" s="35" t="n"/>
      <c r="D23" s="35" t="n"/>
      <c r="E23" s="35" t="n"/>
      <c r="F23" s="35" t="n"/>
      <c r="G23" s="35" t="n"/>
      <c r="H23" s="35" t="n"/>
    </row>
    <row r="24">
      <c r="A24" s="58" t="inlineStr">
        <is>
          <t>TB</t>
        </is>
      </c>
      <c r="B24" s="41" t="inlineStr">
        <is>
          <t>Agreed to trial balance</t>
        </is>
      </c>
      <c r="C24" s="59" t="n"/>
      <c r="D24" s="60" t="n"/>
      <c r="E24" s="35" t="n"/>
      <c r="F24" s="35" t="n"/>
      <c r="G24" s="35" t="n"/>
      <c r="H24" s="35" t="n"/>
    </row>
    <row r="25">
      <c r="A25" s="58" t="inlineStr">
        <is>
          <t>GL</t>
        </is>
      </c>
      <c r="B25" s="41" t="inlineStr">
        <is>
          <t>Agreed to general ledger</t>
        </is>
      </c>
      <c r="C25" s="59" t="n"/>
      <c r="D25" s="60" t="n"/>
      <c r="E25" s="35" t="n"/>
      <c r="F25" s="35" t="n"/>
      <c r="G25" s="35" t="n"/>
      <c r="H25" s="35" t="n"/>
    </row>
    <row r="26">
      <c r="A26" s="58" t="inlineStr">
        <is>
          <t>CF</t>
        </is>
      </c>
      <c r="B26" s="41" t="inlineStr">
        <is>
          <t>Confirmed with third party</t>
        </is>
      </c>
      <c r="C26" s="59" t="n"/>
      <c r="D26" s="60" t="n"/>
      <c r="E26" s="35" t="n"/>
      <c r="F26" s="35" t="n"/>
      <c r="G26" s="35" t="n"/>
      <c r="H26" s="35" t="n"/>
    </row>
    <row r="27">
      <c r="A27" s="58" t="inlineStr">
        <is>
          <t>V</t>
        </is>
      </c>
      <c r="B27" s="41" t="inlineStr">
        <is>
          <t>Vouched to source document</t>
        </is>
      </c>
      <c r="C27" s="59" t="n"/>
      <c r="D27" s="60" t="n"/>
      <c r="E27" s="35" t="n"/>
      <c r="F27" s="35" t="n"/>
      <c r="G27" s="35" t="n"/>
      <c r="H27" s="35" t="n"/>
    </row>
    <row r="28">
      <c r="A28" s="58" t="inlineStr">
        <is>
          <t>SR</t>
        </is>
      </c>
      <c r="B28" s="41" t="inlineStr">
        <is>
          <t>Agreed to subsequent bank-cleared receipt</t>
        </is>
      </c>
      <c r="C28" s="59" t="n"/>
      <c r="D28" s="60" t="n"/>
      <c r="E28" s="35" t="n"/>
      <c r="F28" s="35" t="n"/>
      <c r="G28" s="35" t="n"/>
      <c r="H28" s="35" t="n"/>
    </row>
    <row r="29">
      <c r="A29" s="58" t="inlineStr">
        <is>
          <t>R</t>
        </is>
      </c>
      <c r="B29" s="41" t="inlineStr">
        <is>
          <t>Recalculated independently</t>
        </is>
      </c>
      <c r="C29" s="59" t="n"/>
      <c r="D29" s="60" t="n"/>
      <c r="E29" s="35" t="n"/>
      <c r="F29" s="35" t="n"/>
      <c r="G29" s="35" t="n"/>
      <c r="H29" s="35" t="n"/>
    </row>
    <row r="30">
      <c r="A30" s="58" t="inlineStr">
        <is>
          <t>F</t>
        </is>
      </c>
      <c r="B30" s="41" t="inlineStr">
        <is>
          <t>Footed / cross-cast</t>
        </is>
      </c>
      <c r="C30" s="59" t="n"/>
      <c r="D30" s="60" t="n"/>
      <c r="E30" s="35" t="n"/>
      <c r="F30" s="35" t="n"/>
      <c r="G30" s="35" t="n"/>
      <c r="H30" s="35" t="n"/>
    </row>
    <row r="31">
      <c r="A31" s="58" t="inlineStr">
        <is>
          <t>T</t>
        </is>
      </c>
      <c r="B31" s="41" t="inlineStr">
        <is>
          <t>Traced to downstream record</t>
        </is>
      </c>
      <c r="C31" s="59" t="n"/>
      <c r="D31" s="60" t="n"/>
      <c r="E31" s="35" t="n"/>
      <c r="F31" s="35" t="n"/>
      <c r="G31" s="35" t="n"/>
      <c r="H31" s="35" t="n"/>
    </row>
    <row r="32">
      <c r="A32" s="58" t="inlineStr">
        <is>
          <t>PBC</t>
        </is>
      </c>
      <c r="B32" s="41" t="inlineStr">
        <is>
          <t>Prepared by client</t>
        </is>
      </c>
      <c r="C32" s="59" t="n"/>
      <c r="D32" s="60" t="n"/>
      <c r="E32" s="35" t="n"/>
      <c r="F32" s="35" t="n"/>
      <c r="G32" s="35" t="n"/>
      <c r="H32" s="35" t="n"/>
    </row>
    <row r="33">
      <c r="A33" s="35" t="n"/>
      <c r="B33" s="35" t="n"/>
      <c r="C33" s="35" t="n"/>
      <c r="D33" s="35" t="n"/>
      <c r="E33" s="35" t="n"/>
      <c r="F33" s="35" t="n"/>
      <c r="G33" s="35" t="n"/>
      <c r="H33" s="35" t="n"/>
    </row>
    <row r="34" ht="27.75" customHeight="1">
      <c r="A34" s="37" t="inlineStr">
        <is>
          <t>Before sign-off complete Library Procedures 18-19 (aging &amp; reserve recompute; specific obsolete items).</t>
        </is>
      </c>
      <c r="B34" s="35" t="n"/>
      <c r="C34" s="35" t="n"/>
      <c r="D34" s="35" t="n"/>
      <c r="E34" s="35" t="n"/>
      <c r="F34" s="35" t="n"/>
      <c r="G34" s="35" t="n"/>
      <c r="H34" s="35" t="n"/>
    </row>
  </sheetData>
  <mergeCells count="14">
    <mergeCell ref="B28:D28"/>
    <mergeCell ref="A21:H21"/>
    <mergeCell ref="B31:D31"/>
    <mergeCell ref="B4:H4"/>
    <mergeCell ref="B32:D32"/>
    <mergeCell ref="B25:D25"/>
    <mergeCell ref="B26:D26"/>
    <mergeCell ref="B27:D27"/>
    <mergeCell ref="B6:H6"/>
    <mergeCell ref="B30:D30"/>
    <mergeCell ref="B29:D29"/>
    <mergeCell ref="B5:H5"/>
    <mergeCell ref="B24:D24"/>
    <mergeCell ref="A34:H34"/>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O46"/>
  <sheetViews>
    <sheetView showGridLines="0" zoomScale="90" zoomScaleNormal="100" workbookViewId="0">
      <pane xSplit="1" ySplit="7" topLeftCell="B8" activePane="bottomRight" state="frozen"/>
      <selection pane="topRight"/>
      <selection pane="bottomLeft"/>
      <selection pane="bottomRight" activeCell="A23" sqref="A23"/>
    </sheetView>
  </sheetViews>
  <sheetFormatPr baseColWidth="8" defaultColWidth="8.6328125" defaultRowHeight="14.5"/>
  <cols>
    <col width="32.59999999999999" bestFit="1" customWidth="1" min="1" max="1"/>
    <col width="30.05" customWidth="1" min="2" max="2"/>
    <col width="20" customWidth="1" min="3" max="3"/>
    <col width="37.7" customWidth="1" min="4" max="4"/>
    <col width="13" customWidth="1" min="5" max="9"/>
    <col width="30.9" customWidth="1" min="6" max="6"/>
    <col width="16.45" customWidth="1" min="7" max="7"/>
    <col width="23.25" customWidth="1" min="8" max="8"/>
    <col width="42" customWidth="1" min="9" max="9"/>
    <col width="37.7" customWidth="1" min="10" max="10"/>
    <col width="30.05" customWidth="1" min="11" max="11"/>
    <col width="11.36328125" customWidth="1" min="12" max="12"/>
    <col width="24.1" customWidth="1" min="13" max="13"/>
    <col width="25.8" customWidth="1" min="14" max="14"/>
    <col width="36" customWidth="1" min="15" max="15"/>
  </cols>
  <sheetData>
    <row r="1" ht="27" customHeight="1">
      <c r="A1" s="34" t="inlineStr">
        <is>
          <t>Net Realizable Value (LCNRV) Testing</t>
        </is>
      </c>
      <c r="B1" s="35" t="n"/>
      <c r="C1" s="35" t="n"/>
      <c r="D1" s="35" t="n"/>
      <c r="E1" s="35" t="n"/>
      <c r="F1" s="35" t="n"/>
      <c r="G1" s="35" t="n"/>
      <c r="H1" s="35" t="n"/>
      <c r="I1" s="35" t="n"/>
      <c r="J1" s="35" t="n"/>
      <c r="K1" s="35" t="n"/>
      <c r="L1" s="35" t="n"/>
      <c r="M1" s="35" t="n"/>
      <c r="N1" s="35" t="n"/>
      <c r="O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row>
    <row r="3" ht="27" customHeight="1">
      <c r="A3" s="49" t="inlineStr">
        <is>
          <t>Performance Materiality</t>
        </is>
      </c>
      <c r="B3" s="50" t="n">
        <v>19100</v>
      </c>
      <c r="C3" s="35" t="n"/>
      <c r="D3" s="49" t="inlineStr">
        <is>
          <t>Tolerable misstatement / testing threshold</t>
        </is>
      </c>
      <c r="E3" s="50" t="n">
        <v>14400</v>
      </c>
      <c r="F3" s="35" t="n"/>
      <c r="G3" s="35" t="n"/>
      <c r="H3" s="35" t="n"/>
      <c r="I3" s="35" t="n"/>
      <c r="J3" s="35" t="n"/>
      <c r="K3" s="35" t="n"/>
      <c r="L3" s="35" t="n"/>
      <c r="M3" s="35" t="n"/>
      <c r="N3" s="35" t="n"/>
      <c r="O3" s="35" t="n"/>
    </row>
    <row r="4" ht="27.75" customHeight="1">
      <c r="A4" s="51" t="inlineStr">
        <is>
          <t>Purpose:</t>
        </is>
      </c>
      <c r="B4" s="52" t="inlineStr">
        <is>
          <t>Test lower of cost and NRV per SKU: NRV = estimated selling price − costs to complete − costs to sell / dispose / transport; measure any write-down (ASC 330-10-35; PwC IV 1.3.2).</t>
        </is>
      </c>
      <c r="C4" s="53" t="n"/>
      <c r="D4" s="53" t="n"/>
      <c r="E4" s="53" t="n"/>
      <c r="F4" s="53" t="n"/>
      <c r="G4" s="53" t="n"/>
      <c r="H4" s="53" t="n"/>
      <c r="I4" s="53" t="n"/>
      <c r="J4" s="53" t="n"/>
      <c r="K4" s="53" t="n"/>
      <c r="L4" s="53" t="n"/>
      <c r="M4" s="53" t="n"/>
      <c r="N4" s="53" t="n"/>
      <c r="O4" s="54" t="n"/>
    </row>
    <row r="5" ht="42" customHeight="1">
      <c r="A5" s="51" t="inlineStr">
        <is>
          <t>Scope:</t>
        </is>
      </c>
      <c r="B5" s="52" t="inlineStr">
        <is>
          <t>Selections from the YE listing (including slow-moving and low-margin SKUs); recent selling prices and cost-to-complete / cost-to-sell support. RM and WIP are evaluated based on the finished product they will become.</t>
        </is>
      </c>
      <c r="C5" s="53" t="n"/>
      <c r="D5" s="53" t="n"/>
      <c r="E5" s="53" t="n"/>
      <c r="F5" s="53" t="n"/>
      <c r="G5" s="53" t="n"/>
      <c r="H5" s="53" t="n"/>
      <c r="I5" s="53" t="n"/>
      <c r="J5" s="53" t="n"/>
      <c r="K5" s="53" t="n"/>
      <c r="L5" s="53" t="n"/>
      <c r="M5" s="53" t="n"/>
      <c r="N5" s="53" t="n"/>
      <c r="O5" s="54" t="n"/>
    </row>
    <row r="6" ht="15" customHeight="1">
      <c r="A6" s="51" t="inlineStr">
        <is>
          <t>Assertions:</t>
        </is>
      </c>
      <c r="B6" s="52" t="inlineStr">
        <is>
          <t>Valuation &amp; Allocation</t>
        </is>
      </c>
      <c r="C6" s="53" t="n"/>
      <c r="D6" s="53" t="n"/>
      <c r="E6" s="53" t="n"/>
      <c r="F6" s="53" t="n"/>
      <c r="G6" s="53" t="n"/>
      <c r="H6" s="53" t="n"/>
      <c r="I6" s="53" t="n"/>
      <c r="J6" s="53" t="n"/>
      <c r="K6" s="53" t="n"/>
      <c r="L6" s="53" t="n"/>
      <c r="M6" s="53" t="n"/>
      <c r="N6" s="53" t="n"/>
      <c r="O6" s="54" t="n"/>
    </row>
    <row r="7" ht="39.75" customHeight="1">
      <c r="A7" s="55" t="inlineStr">
        <is>
          <t>Sel #</t>
        </is>
      </c>
      <c r="B7" s="55" t="inlineStr">
        <is>
          <t>SKU</t>
        </is>
      </c>
      <c r="C7" s="55" t="inlineStr">
        <is>
          <t>Description</t>
        </is>
      </c>
      <c r="D7" s="55" t="inlineStr">
        <is>
          <t>Qty</t>
        </is>
      </c>
      <c r="E7" s="55" t="inlineStr">
        <is>
          <t>Unit cost</t>
        </is>
      </c>
      <c r="F7" s="55" t="inlineStr">
        <is>
          <t>Selling price (recent / committed)</t>
        </is>
      </c>
      <c r="G7" s="55" t="inlineStr">
        <is>
          <t>Costs to complete</t>
        </is>
      </c>
      <c r="H7" s="55" t="inlineStr">
        <is>
          <t>Costs to sell / transport</t>
        </is>
      </c>
      <c r="I7" s="55" t="inlineStr">
        <is>
          <t>NRV per unit</t>
        </is>
      </c>
      <c r="J7" s="55" t="inlineStr">
        <is>
          <t>Write-down per unit (= max(0, cost − NRV))</t>
        </is>
      </c>
      <c r="K7" s="55" t="inlineStr">
        <is>
          <t>Extended write-down</t>
        </is>
      </c>
      <c r="L7" s="62" t="inlineStr">
        <is>
          <t>Comments</t>
        </is>
      </c>
      <c r="M7" s="62" t="inlineStr">
        <is>
          <t>Selling-price evidence ref</t>
        </is>
      </c>
      <c r="N7" s="62" t="inlineStr">
        <is>
          <t>Evidence SKU / mapped FG SKU</t>
        </is>
      </c>
      <c r="O7" s="62" t="inlineStr">
        <is>
          <t>Mapping basis (exact SKU / approved BOM)</t>
        </is>
      </c>
    </row>
    <row r="8">
      <c r="A8" s="35" t="n"/>
      <c r="B8" s="35" t="n"/>
      <c r="C8" s="35" t="n"/>
      <c r="D8" s="35" t="n"/>
      <c r="E8" s="69" t="inlineStr">
        <is>
          <t>PBC</t>
        </is>
      </c>
      <c r="F8" s="69" t="inlineStr">
        <is>
          <t>V</t>
        </is>
      </c>
      <c r="G8" s="35" t="n"/>
      <c r="H8" s="35" t="n"/>
      <c r="I8" s="69" t="inlineStr">
        <is>
          <t>R</t>
        </is>
      </c>
      <c r="J8" s="35" t="n"/>
      <c r="K8" s="69" t="inlineStr">
        <is>
          <t>R</t>
        </is>
      </c>
      <c r="L8" s="35" t="n"/>
      <c r="M8" s="35" t="inlineStr">
        <is>
          <t>V</t>
        </is>
      </c>
      <c r="N8" s="35" t="inlineStr">
        <is>
          <t>T</t>
        </is>
      </c>
      <c r="O8" s="35" t="inlineStr">
        <is>
          <t>T</t>
        </is>
      </c>
    </row>
    <row r="9" ht="27" customHeight="1">
      <c r="A9" s="70" t="n">
        <v>1</v>
      </c>
      <c r="B9" s="56" t="n"/>
      <c r="C9" s="56" t="n"/>
      <c r="D9" s="71" t="n"/>
      <c r="E9" s="63" t="n"/>
      <c r="F9" s="63" t="n"/>
      <c r="G9" s="63" t="n"/>
      <c r="H9" s="63" t="n"/>
      <c r="I9" s="72">
        <f>IF(F9="","",F9-IF(G9="",0,G9)-IF(H9="",0,H9))</f>
        <v/>
      </c>
      <c r="J9" s="72">
        <f>IF(OR(E9="",I9=""),"",MAX(0,E9-I9))</f>
        <v/>
      </c>
      <c r="K9" s="72">
        <f>IF(OR(J9="",D9=""),"",J9*D9)</f>
        <v/>
      </c>
      <c r="L9" s="56" t="n"/>
      <c r="M9" s="56" t="n"/>
      <c r="N9" s="56" t="n"/>
      <c r="O9" s="56" t="n"/>
    </row>
    <row r="10" ht="27" customHeight="1">
      <c r="A10" s="70" t="n">
        <v>2</v>
      </c>
      <c r="B10" s="56" t="n"/>
      <c r="C10" s="56" t="n"/>
      <c r="D10" s="71" t="n"/>
      <c r="E10" s="63" t="n"/>
      <c r="F10" s="63" t="n"/>
      <c r="G10" s="63" t="n"/>
      <c r="H10" s="63" t="n"/>
      <c r="I10" s="72">
        <f>IF(F10="","",F10-IF(G10="",0,G10)-IF(H10="",0,H10))</f>
        <v/>
      </c>
      <c r="J10" s="72">
        <f>IF(OR(E10="",I10=""),"",MAX(0,E10-I10))</f>
        <v/>
      </c>
      <c r="K10" s="72">
        <f>IF(OR(J10="",D10=""),"",J10*D10)</f>
        <v/>
      </c>
      <c r="L10" s="56" t="n"/>
      <c r="M10" s="56" t="n"/>
      <c r="N10" s="56" t="n"/>
      <c r="O10" s="56" t="n"/>
    </row>
    <row r="11" ht="27" customHeight="1">
      <c r="A11" s="70" t="n">
        <v>3</v>
      </c>
      <c r="B11" s="56" t="n"/>
      <c r="C11" s="56" t="n"/>
      <c r="D11" s="71" t="n"/>
      <c r="E11" s="63" t="n"/>
      <c r="F11" s="63" t="n"/>
      <c r="G11" s="63" t="n"/>
      <c r="H11" s="63" t="n"/>
      <c r="I11" s="72">
        <f>IF(F11="","",F11-IF(G11="",0,G11)-IF(H11="",0,H11))</f>
        <v/>
      </c>
      <c r="J11" s="72">
        <f>IF(OR(E11="",I11=""),"",MAX(0,E11-I11))</f>
        <v/>
      </c>
      <c r="K11" s="72">
        <f>IF(OR(J11="",D11=""),"",J11*D11)</f>
        <v/>
      </c>
      <c r="L11" s="56" t="n"/>
      <c r="M11" s="56" t="n"/>
      <c r="N11" s="56" t="n"/>
      <c r="O11" s="56" t="n"/>
    </row>
    <row r="12" ht="27" customHeight="1">
      <c r="A12" s="70" t="n">
        <v>4</v>
      </c>
      <c r="B12" s="56" t="n"/>
      <c r="C12" s="56" t="n"/>
      <c r="D12" s="71" t="n"/>
      <c r="E12" s="63" t="n"/>
      <c r="F12" s="63" t="n"/>
      <c r="G12" s="63" t="n"/>
      <c r="H12" s="63" t="n"/>
      <c r="I12" s="72">
        <f>IF(F12="","",F12-IF(G12="",0,G12)-IF(H12="",0,H12))</f>
        <v/>
      </c>
      <c r="J12" s="72">
        <f>IF(OR(E12="",I12=""),"",MAX(0,E12-I12))</f>
        <v/>
      </c>
      <c r="K12" s="72">
        <f>IF(OR(J12="",D12=""),"",J12*D12)</f>
        <v/>
      </c>
      <c r="L12" s="56" t="n"/>
      <c r="M12" s="56" t="n"/>
      <c r="N12" s="56" t="n"/>
      <c r="O12" s="56" t="n"/>
    </row>
    <row r="13" ht="27" customHeight="1">
      <c r="A13" s="70" t="n">
        <v>5</v>
      </c>
      <c r="B13" s="56" t="n"/>
      <c r="C13" s="56" t="n"/>
      <c r="D13" s="71" t="n"/>
      <c r="E13" s="63" t="n"/>
      <c r="F13" s="63" t="n"/>
      <c r="G13" s="63" t="n"/>
      <c r="H13" s="63" t="n"/>
      <c r="I13" s="72">
        <f>IF(F13="","",F13-IF(G13="",0,G13)-IF(H13="",0,H13))</f>
        <v/>
      </c>
      <c r="J13" s="72">
        <f>IF(OR(E13="",I13=""),"",MAX(0,E13-I13))</f>
        <v/>
      </c>
      <c r="K13" s="72">
        <f>IF(OR(J13="",D13=""),"",J13*D13)</f>
        <v/>
      </c>
      <c r="L13" s="56" t="n"/>
      <c r="M13" s="56" t="n"/>
      <c r="N13" s="56" t="n"/>
      <c r="O13" s="56" t="n"/>
    </row>
    <row r="14" ht="27" customHeight="1">
      <c r="A14" s="70" t="n">
        <v>6</v>
      </c>
      <c r="B14" s="56" t="n"/>
      <c r="C14" s="56" t="n"/>
      <c r="D14" s="71" t="n"/>
      <c r="E14" s="63" t="n"/>
      <c r="F14" s="63" t="n"/>
      <c r="G14" s="63" t="n"/>
      <c r="H14" s="63" t="n"/>
      <c r="I14" s="72">
        <f>IF(F14="","",F14-IF(G14="",0,G14)-IF(H14="",0,H14))</f>
        <v/>
      </c>
      <c r="J14" s="72">
        <f>IF(OR(E14="",I14=""),"",MAX(0,E14-I14))</f>
        <v/>
      </c>
      <c r="K14" s="72">
        <f>IF(OR(J14="",D14=""),"",J14*D14)</f>
        <v/>
      </c>
      <c r="L14" s="56" t="n"/>
      <c r="M14" s="56" t="n"/>
      <c r="N14" s="56" t="n"/>
      <c r="O14" s="56" t="n"/>
    </row>
    <row r="15" ht="27" customHeight="1">
      <c r="A15" s="70" t="n">
        <v>7</v>
      </c>
      <c r="B15" s="56" t="n"/>
      <c r="C15" s="56" t="n"/>
      <c r="D15" s="71" t="n"/>
      <c r="E15" s="63" t="n"/>
      <c r="F15" s="63" t="n"/>
      <c r="G15" s="63" t="n"/>
      <c r="H15" s="63" t="n"/>
      <c r="I15" s="72">
        <f>IF(F15="","",F15-IF(G15="",0,G15)-IF(H15="",0,H15))</f>
        <v/>
      </c>
      <c r="J15" s="72">
        <f>IF(OR(E15="",I15=""),"",MAX(0,E15-I15))</f>
        <v/>
      </c>
      <c r="K15" s="72">
        <f>IF(OR(J15="",D15=""),"",J15*D15)</f>
        <v/>
      </c>
      <c r="L15" s="56" t="n"/>
      <c r="M15" s="56" t="n"/>
      <c r="N15" s="56" t="n"/>
      <c r="O15" s="56" t="n"/>
    </row>
    <row r="16" ht="27" customHeight="1">
      <c r="A16" s="70" t="n">
        <v>8</v>
      </c>
      <c r="B16" s="56" t="n"/>
      <c r="C16" s="56" t="n"/>
      <c r="D16" s="71" t="n"/>
      <c r="E16" s="63" t="n"/>
      <c r="F16" s="63" t="n"/>
      <c r="G16" s="63" t="n"/>
      <c r="H16" s="63" t="n"/>
      <c r="I16" s="72">
        <f>IF(F16="","",F16-IF(G16="",0,G16)-IF(H16="",0,H16))</f>
        <v/>
      </c>
      <c r="J16" s="72">
        <f>IF(OR(E16="",I16=""),"",MAX(0,E16-I16))</f>
        <v/>
      </c>
      <c r="K16" s="72">
        <f>IF(OR(J16="",D16=""),"",J16*D16)</f>
        <v/>
      </c>
      <c r="L16" s="56" t="n"/>
      <c r="M16" s="56" t="n"/>
      <c r="N16" s="56" t="n"/>
      <c r="O16" s="56" t="n"/>
    </row>
    <row r="17" ht="27" customHeight="1">
      <c r="A17" s="70" t="n">
        <v>9</v>
      </c>
      <c r="B17" s="56" t="n"/>
      <c r="C17" s="56" t="n"/>
      <c r="D17" s="71" t="n"/>
      <c r="E17" s="63" t="n"/>
      <c r="F17" s="63" t="n"/>
      <c r="G17" s="63" t="n"/>
      <c r="H17" s="63" t="n"/>
      <c r="I17" s="72">
        <f>IF(F17="","",F17-IF(G17="",0,G17)-IF(H17="",0,H17))</f>
        <v/>
      </c>
      <c r="J17" s="72">
        <f>IF(OR(E17="",I17=""),"",MAX(0,E17-I17))</f>
        <v/>
      </c>
      <c r="K17" s="72">
        <f>IF(OR(J17="",D17=""),"",J17*D17)</f>
        <v/>
      </c>
      <c r="L17" s="56" t="n"/>
      <c r="M17" s="56" t="n"/>
      <c r="N17" s="56" t="n"/>
      <c r="O17" s="56" t="n"/>
    </row>
    <row r="18" ht="27" customHeight="1">
      <c r="A18" s="70" t="n">
        <v>10</v>
      </c>
      <c r="B18" s="56" t="n"/>
      <c r="C18" s="56" t="n"/>
      <c r="D18" s="71" t="n"/>
      <c r="E18" s="63" t="n"/>
      <c r="F18" s="63" t="n"/>
      <c r="G18" s="63" t="n"/>
      <c r="H18" s="63" t="n"/>
      <c r="I18" s="72">
        <f>IF(F18="","",F18-IF(G18="",0,G18)-IF(H18="",0,H18))</f>
        <v/>
      </c>
      <c r="J18" s="72">
        <f>IF(OR(E18="",I18=""),"",MAX(0,E18-I18))</f>
        <v/>
      </c>
      <c r="K18" s="72">
        <f>IF(OR(J18="",D18=""),"",J18*D18)</f>
        <v/>
      </c>
      <c r="L18" s="56" t="n"/>
      <c r="M18" s="56" t="n"/>
      <c r="N18" s="56" t="n"/>
      <c r="O18" s="56" t="n"/>
    </row>
    <row r="19" ht="27" customHeight="1">
      <c r="A19" s="70" t="n">
        <v>11</v>
      </c>
      <c r="B19" s="56" t="n"/>
      <c r="C19" s="56" t="n"/>
      <c r="D19" s="71" t="n"/>
      <c r="E19" s="63" t="n"/>
      <c r="F19" s="63" t="n"/>
      <c r="G19" s="63" t="n"/>
      <c r="H19" s="63" t="n"/>
      <c r="I19" s="72">
        <f>IF(F19="","",F19-IF(G19="",0,G19)-IF(H19="",0,H19))</f>
        <v/>
      </c>
      <c r="J19" s="72">
        <f>IF(OR(E19="",I19=""),"",MAX(0,E19-I19))</f>
        <v/>
      </c>
      <c r="K19" s="72">
        <f>IF(OR(J19="",D19=""),"",J19*D19)</f>
        <v/>
      </c>
      <c r="L19" s="56" t="n"/>
      <c r="M19" s="56" t="n"/>
      <c r="N19" s="56" t="n"/>
      <c r="O19" s="56" t="n"/>
    </row>
    <row r="20" ht="27" customHeight="1">
      <c r="A20" s="70" t="n">
        <v>12</v>
      </c>
      <c r="B20" s="56" t="n"/>
      <c r="C20" s="56" t="n"/>
      <c r="D20" s="71" t="n"/>
      <c r="E20" s="63" t="n"/>
      <c r="F20" s="63" t="n"/>
      <c r="G20" s="63" t="n"/>
      <c r="H20" s="63" t="n"/>
      <c r="I20" s="72">
        <f>IF(F20="","",F20-IF(G20="",0,G20)-IF(H20="",0,H20))</f>
        <v/>
      </c>
      <c r="J20" s="72">
        <f>IF(OR(E20="",I20=""),"",MAX(0,E20-I20))</f>
        <v/>
      </c>
      <c r="K20" s="72">
        <f>IF(OR(J20="",D20=""),"",J20*D20)</f>
        <v/>
      </c>
      <c r="L20" s="56" t="n"/>
      <c r="M20" s="56" t="n"/>
      <c r="N20" s="56" t="n"/>
      <c r="O20" s="56" t="n"/>
    </row>
    <row r="21" ht="27" customHeight="1">
      <c r="A21" s="70" t="n">
        <v>13</v>
      </c>
      <c r="B21" s="56" t="n"/>
      <c r="C21" s="56" t="n"/>
      <c r="D21" s="71" t="n"/>
      <c r="E21" s="63" t="n"/>
      <c r="F21" s="63" t="n"/>
      <c r="G21" s="63" t="n"/>
      <c r="H21" s="63" t="n"/>
      <c r="I21" s="72">
        <f>IF(F21="","",F21-IF(G21="",0,G21)-IF(H21="",0,H21))</f>
        <v/>
      </c>
      <c r="J21" s="72">
        <f>IF(OR(E21="",I21=""),"",MAX(0,E21-I21))</f>
        <v/>
      </c>
      <c r="K21" s="72">
        <f>IF(OR(J21="",D21=""),"",J21*D21)</f>
        <v/>
      </c>
      <c r="L21" s="56" t="n"/>
      <c r="M21" s="56" t="n"/>
      <c r="N21" s="56" t="n"/>
      <c r="O21" s="56" t="n"/>
    </row>
    <row r="22" ht="27" customHeight="1">
      <c r="A22" s="70" t="n">
        <v>14</v>
      </c>
      <c r="B22" s="56" t="n"/>
      <c r="C22" s="56" t="n"/>
      <c r="D22" s="71" t="n"/>
      <c r="E22" s="63" t="n"/>
      <c r="F22" s="63" t="n"/>
      <c r="G22" s="63" t="n"/>
      <c r="H22" s="63" t="n"/>
      <c r="I22" s="72">
        <f>IF(F22="","",F22-IF(G22="",0,G22)-IF(H22="",0,H22))</f>
        <v/>
      </c>
      <c r="J22" s="72">
        <f>IF(OR(E22="",I22=""),"",MAX(0,E22-I22))</f>
        <v/>
      </c>
      <c r="K22" s="72">
        <f>IF(OR(J22="",D22=""),"",J22*D22)</f>
        <v/>
      </c>
      <c r="L22" s="56" t="n"/>
      <c r="M22" s="56" t="n"/>
      <c r="N22" s="56" t="n"/>
      <c r="O22" s="56" t="n"/>
    </row>
    <row r="23" ht="27" customHeight="1">
      <c r="A23" s="70" t="n">
        <v>15</v>
      </c>
      <c r="B23" s="56" t="n"/>
      <c r="C23" s="56" t="n"/>
      <c r="D23" s="71" t="n"/>
      <c r="E23" s="63" t="n"/>
      <c r="F23" s="63" t="n"/>
      <c r="G23" s="63" t="n"/>
      <c r="H23" s="63" t="n"/>
      <c r="I23" s="72">
        <f>IF(F23="","",F23-IF(G23="",0,G23)-IF(H23="",0,H23))</f>
        <v/>
      </c>
      <c r="J23" s="72">
        <f>IF(OR(E23="",I23=""),"",MAX(0,E23-I23))</f>
        <v/>
      </c>
      <c r="K23" s="72">
        <f>IF(OR(J23="",D23=""),"",J23*D23)</f>
        <v/>
      </c>
      <c r="L23" s="56" t="n"/>
      <c r="M23" s="56" t="n"/>
      <c r="N23" s="56" t="n"/>
      <c r="O23" s="56" t="n"/>
    </row>
    <row r="24" ht="27" customHeight="1">
      <c r="A24" s="70" t="n">
        <v>16</v>
      </c>
      <c r="B24" s="56" t="n"/>
      <c r="C24" s="56" t="n"/>
      <c r="D24" s="71" t="n"/>
      <c r="E24" s="63" t="n"/>
      <c r="F24" s="63" t="n"/>
      <c r="G24" s="63" t="n"/>
      <c r="H24" s="63" t="n"/>
      <c r="I24" s="72">
        <f>IF(F24="","",F24-IF(G24="",0,G24)-IF(H24="",0,H24))</f>
        <v/>
      </c>
      <c r="J24" s="72">
        <f>IF(OR(E24="",I24=""),"",MAX(0,E24-I24))</f>
        <v/>
      </c>
      <c r="K24" s="72">
        <f>IF(OR(J24="",D24=""),"",J24*D24)</f>
        <v/>
      </c>
      <c r="L24" s="56" t="n"/>
      <c r="M24" s="56" t="n"/>
      <c r="N24" s="56" t="n"/>
      <c r="O24" s="56" t="n"/>
    </row>
    <row r="25" ht="27" customHeight="1">
      <c r="A25" s="70" t="n">
        <v>17</v>
      </c>
      <c r="B25" s="56" t="n"/>
      <c r="C25" s="56" t="n"/>
      <c r="D25" s="71" t="n"/>
      <c r="E25" s="63" t="n"/>
      <c r="F25" s="63" t="n"/>
      <c r="G25" s="63" t="n"/>
      <c r="H25" s="63" t="n"/>
      <c r="I25" s="72">
        <f>IF(F25="","",F25-IF(G25="",0,G25)-IF(H25="",0,H25))</f>
        <v/>
      </c>
      <c r="J25" s="72">
        <f>IF(OR(E25="",I25=""),"",MAX(0,E25-I25))</f>
        <v/>
      </c>
      <c r="K25" s="72">
        <f>IF(OR(J25="",D25=""),"",J25*D25)</f>
        <v/>
      </c>
      <c r="L25" s="56" t="n"/>
      <c r="M25" s="56" t="n"/>
      <c r="N25" s="56" t="n"/>
      <c r="O25" s="56" t="n"/>
    </row>
    <row r="26" ht="27" customHeight="1">
      <c r="A26" s="70" t="n">
        <v>18</v>
      </c>
      <c r="B26" s="56" t="n"/>
      <c r="C26" s="56" t="n"/>
      <c r="D26" s="71" t="n"/>
      <c r="E26" s="63" t="n"/>
      <c r="F26" s="63" t="n"/>
      <c r="G26" s="63" t="n"/>
      <c r="H26" s="63" t="n"/>
      <c r="I26" s="72">
        <f>IF(F26="","",F26-IF(G26="",0,G26)-IF(H26="",0,H26))</f>
        <v/>
      </c>
      <c r="J26" s="72">
        <f>IF(OR(E26="",I26=""),"",MAX(0,E26-I26))</f>
        <v/>
      </c>
      <c r="K26" s="72">
        <f>IF(OR(J26="",D26=""),"",J26*D26)</f>
        <v/>
      </c>
      <c r="L26" s="56" t="n"/>
      <c r="M26" s="56" t="n"/>
      <c r="N26" s="56" t="n"/>
      <c r="O26" s="56" t="n"/>
    </row>
    <row r="27" ht="27" customHeight="1">
      <c r="A27" s="70" t="n">
        <v>19</v>
      </c>
      <c r="B27" s="56" t="n"/>
      <c r="C27" s="56" t="n"/>
      <c r="D27" s="71" t="n"/>
      <c r="E27" s="63" t="n"/>
      <c r="F27" s="63" t="n"/>
      <c r="G27" s="63" t="n"/>
      <c r="H27" s="63" t="n"/>
      <c r="I27" s="72">
        <f>IF(F27="","",F27-IF(G27="",0,G27)-IF(H27="",0,H27))</f>
        <v/>
      </c>
      <c r="J27" s="72">
        <f>IF(OR(E27="",I27=""),"",MAX(0,E27-I27))</f>
        <v/>
      </c>
      <c r="K27" s="72">
        <f>IF(OR(J27="",D27=""),"",J27*D27)</f>
        <v/>
      </c>
      <c r="L27" s="56" t="n"/>
      <c r="M27" s="56" t="n"/>
      <c r="N27" s="56" t="n"/>
      <c r="O27" s="56" t="n"/>
    </row>
    <row r="28" ht="27" customHeight="1">
      <c r="A28" s="70" t="n">
        <v>20</v>
      </c>
      <c r="B28" s="56" t="n"/>
      <c r="C28" s="56" t="n"/>
      <c r="D28" s="71" t="n"/>
      <c r="E28" s="63" t="n"/>
      <c r="F28" s="63" t="n"/>
      <c r="G28" s="63" t="n"/>
      <c r="H28" s="63" t="n"/>
      <c r="I28" s="72">
        <f>IF(F28="","",F28-IF(G28="",0,G28)-IF(H28="",0,H28))</f>
        <v/>
      </c>
      <c r="J28" s="72">
        <f>IF(OR(E28="",I28=""),"",MAX(0,E28-I28))</f>
        <v/>
      </c>
      <c r="K28" s="72">
        <f>IF(OR(J28="",D28=""),"",J28*D28)</f>
        <v/>
      </c>
      <c r="L28" s="56" t="n"/>
      <c r="M28" s="56" t="n"/>
      <c r="N28" s="56" t="n"/>
      <c r="O28" s="56" t="n"/>
    </row>
    <row r="29" ht="27" customHeight="1">
      <c r="A29" s="70" t="n">
        <v>21</v>
      </c>
      <c r="B29" s="56" t="n"/>
      <c r="C29" s="56" t="n"/>
      <c r="D29" s="71" t="n"/>
      <c r="E29" s="63" t="n"/>
      <c r="F29" s="63" t="n"/>
      <c r="G29" s="63" t="n"/>
      <c r="H29" s="63" t="n"/>
      <c r="I29" s="72">
        <f>IF(F29="","",F29-IF(G29="",0,G29)-IF(H29="",0,H29))</f>
        <v/>
      </c>
      <c r="J29" s="72">
        <f>IF(OR(E29="",I29=""),"",MAX(0,E29-I29))</f>
        <v/>
      </c>
      <c r="K29" s="72">
        <f>IF(OR(J29="",D29=""),"",J29*D29)</f>
        <v/>
      </c>
      <c r="L29" s="56" t="n"/>
      <c r="M29" s="56" t="n"/>
      <c r="N29" s="56" t="n"/>
      <c r="O29" s="56" t="n"/>
    </row>
    <row r="30" ht="27" customHeight="1">
      <c r="A30" s="70" t="n">
        <v>22</v>
      </c>
      <c r="B30" s="56" t="n"/>
      <c r="C30" s="56" t="n"/>
      <c r="D30" s="71" t="n"/>
      <c r="E30" s="63" t="n"/>
      <c r="F30" s="63" t="n"/>
      <c r="G30" s="63" t="n"/>
      <c r="H30" s="63" t="n"/>
      <c r="I30" s="72">
        <f>IF(F30="","",F30-IF(G30="",0,G30)-IF(H30="",0,H30))</f>
        <v/>
      </c>
      <c r="J30" s="72">
        <f>IF(OR(E30="",I30=""),"",MAX(0,E30-I30))</f>
        <v/>
      </c>
      <c r="K30" s="72">
        <f>IF(OR(J30="",D30=""),"",J30*D30)</f>
        <v/>
      </c>
      <c r="L30" s="56" t="n"/>
      <c r="M30" s="56" t="n"/>
      <c r="N30" s="56" t="n"/>
      <c r="O30" s="56" t="n"/>
    </row>
    <row r="31">
      <c r="A31" s="73" t="inlineStr">
        <is>
          <t>Total</t>
        </is>
      </c>
      <c r="B31" s="73" t="n"/>
      <c r="C31" s="73" t="n"/>
      <c r="D31" s="73" t="n"/>
      <c r="E31" s="73" t="n"/>
      <c r="F31" s="73" t="n"/>
      <c r="G31" s="73" t="n"/>
      <c r="H31" s="73" t="n"/>
      <c r="I31" s="73" t="n"/>
      <c r="J31" s="73" t="n"/>
      <c r="K31" s="74">
        <f>SUM(K9:K30)</f>
        <v/>
      </c>
      <c r="L31" s="73" t="n"/>
      <c r="M31" s="73" t="n"/>
      <c r="N31" s="73" t="n"/>
      <c r="O31" s="73" t="n"/>
    </row>
    <row r="32">
      <c r="A32" s="35" t="n"/>
      <c r="B32" s="35" t="n"/>
      <c r="C32" s="35" t="n"/>
      <c r="D32" s="35" t="n"/>
      <c r="E32" s="35" t="n"/>
      <c r="F32" s="35" t="n"/>
      <c r="G32" s="35" t="n"/>
      <c r="H32" s="35" t="n"/>
      <c r="I32" s="35" t="n"/>
      <c r="J32" s="35" t="n"/>
      <c r="K32" s="35" t="n"/>
      <c r="L32" s="35" t="n"/>
      <c r="M32" s="35" t="n"/>
      <c r="N32" s="35" t="n"/>
      <c r="O32" s="35" t="n"/>
    </row>
    <row r="33">
      <c r="A33" s="37" t="inlineStr">
        <is>
          <t>NRV is tested at the appropriate unit of account (item-by-item, or by major category where appropriate under the policy). Raw materials and WIP are not written down if the FINISHED goods they will become are expected to sell at or above cost. The extended write-down total is evaluated against the testing threshold with the &lt;.7&gt; reserve.</t>
        </is>
      </c>
      <c r="B33" s="35" t="n"/>
      <c r="C33" s="35" t="n"/>
      <c r="D33" s="35" t="n"/>
      <c r="E33" s="35" t="n"/>
      <c r="F33" s="35" t="n"/>
      <c r="G33" s="35" t="n"/>
      <c r="H33" s="35" t="n"/>
      <c r="I33" s="35" t="n"/>
      <c r="J33" s="35" t="n"/>
      <c r="K33" s="35" t="n"/>
      <c r="L33" s="35" t="n"/>
      <c r="M33" s="35" t="n"/>
      <c r="N33" s="35" t="n"/>
      <c r="O33" s="35" t="n"/>
    </row>
    <row r="34">
      <c r="A34" s="35" t="n"/>
      <c r="B34" s="35" t="n"/>
      <c r="C34" s="35" t="n"/>
      <c r="D34" s="35" t="n"/>
      <c r="E34" s="35" t="n"/>
      <c r="F34" s="35" t="n"/>
      <c r="G34" s="35" t="n"/>
      <c r="H34" s="35" t="n"/>
      <c r="I34" s="35" t="n"/>
      <c r="J34" s="35" t="n"/>
      <c r="K34" s="35" t="n"/>
      <c r="L34" s="35" t="n"/>
      <c r="M34" s="35" t="n"/>
      <c r="N34" s="35" t="n"/>
      <c r="O34" s="35" t="n"/>
    </row>
    <row r="35">
      <c r="A35" s="57" t="inlineStr">
        <is>
          <t>TM Legends</t>
        </is>
      </c>
      <c r="B35" s="35" t="n"/>
      <c r="C35" s="35" t="n"/>
      <c r="D35" s="35" t="n"/>
      <c r="E35" s="35" t="n"/>
      <c r="F35" s="35" t="n"/>
      <c r="G35" s="35" t="n"/>
      <c r="H35" s="35" t="n"/>
      <c r="I35" s="35" t="n"/>
      <c r="J35" s="35" t="n"/>
      <c r="K35" s="35" t="n"/>
      <c r="L35" s="35" t="n"/>
      <c r="M35" s="35" t="n"/>
      <c r="N35" s="35" t="n"/>
      <c r="O35" s="35" t="n"/>
    </row>
    <row r="36">
      <c r="A36" s="58" t="inlineStr">
        <is>
          <t>TB</t>
        </is>
      </c>
      <c r="B36" s="41" t="inlineStr">
        <is>
          <t>Agreed to trial balance</t>
        </is>
      </c>
      <c r="C36" s="59" t="n"/>
      <c r="D36" s="60" t="n"/>
      <c r="E36" s="35" t="n"/>
      <c r="F36" s="35" t="n"/>
      <c r="G36" s="35" t="n"/>
      <c r="H36" s="35" t="n"/>
      <c r="I36" s="35" t="n"/>
      <c r="J36" s="35" t="n"/>
      <c r="K36" s="35" t="n"/>
      <c r="L36" s="35" t="n"/>
      <c r="M36" s="35" t="n"/>
      <c r="N36" s="35" t="n"/>
      <c r="O36" s="35" t="n"/>
    </row>
    <row r="37">
      <c r="A37" s="58" t="inlineStr">
        <is>
          <t>GL</t>
        </is>
      </c>
      <c r="B37" s="41" t="inlineStr">
        <is>
          <t>Agreed to general ledger</t>
        </is>
      </c>
      <c r="C37" s="59" t="n"/>
      <c r="D37" s="60" t="n"/>
      <c r="E37" s="35" t="n"/>
      <c r="F37" s="35" t="n"/>
      <c r="G37" s="35" t="n"/>
      <c r="H37" s="35" t="n"/>
      <c r="I37" s="35" t="n"/>
      <c r="J37" s="35" t="n"/>
      <c r="K37" s="35" t="n"/>
      <c r="L37" s="35" t="n"/>
      <c r="M37" s="35" t="n"/>
      <c r="N37" s="35" t="n"/>
      <c r="O37" s="35" t="n"/>
    </row>
    <row r="38" ht="27.75" customHeight="1">
      <c r="A38" s="58" t="inlineStr">
        <is>
          <t>CF</t>
        </is>
      </c>
      <c r="B38" s="41" t="inlineStr">
        <is>
          <t>Confirmed with third party</t>
        </is>
      </c>
      <c r="C38" s="59" t="n"/>
      <c r="D38" s="60" t="n"/>
      <c r="E38" s="35" t="n"/>
      <c r="F38" s="35" t="n"/>
      <c r="G38" s="35" t="n"/>
      <c r="H38" s="35" t="n"/>
      <c r="I38" s="35" t="n"/>
      <c r="J38" s="35" t="n"/>
      <c r="K38" s="35" t="n"/>
      <c r="L38" s="35" t="n"/>
      <c r="M38" s="35" t="n"/>
      <c r="N38" s="35" t="n"/>
      <c r="O38" s="35" t="n"/>
    </row>
    <row r="39">
      <c r="A39" s="58" t="inlineStr">
        <is>
          <t>V</t>
        </is>
      </c>
      <c r="B39" s="41" t="inlineStr">
        <is>
          <t>Vouched to source document</t>
        </is>
      </c>
      <c r="C39" s="59" t="n"/>
      <c r="D39" s="60" t="n"/>
      <c r="E39" s="35" t="n"/>
      <c r="F39" s="35" t="n"/>
      <c r="G39" s="35" t="n"/>
      <c r="H39" s="35" t="n"/>
      <c r="I39" s="35" t="n"/>
      <c r="J39" s="35" t="n"/>
      <c r="K39" s="35" t="n"/>
      <c r="L39" s="35" t="n"/>
      <c r="M39" s="35" t="n"/>
      <c r="N39" s="35" t="n"/>
      <c r="O39" s="35" t="n"/>
    </row>
    <row r="40">
      <c r="A40" s="58" t="inlineStr">
        <is>
          <t>SR</t>
        </is>
      </c>
      <c r="B40" s="41" t="inlineStr">
        <is>
          <t>Agreed to subsequent bank-cleared receipt</t>
        </is>
      </c>
      <c r="C40" s="59" t="n"/>
      <c r="D40" s="60" t="n"/>
      <c r="E40" s="35" t="n"/>
      <c r="F40" s="35" t="n"/>
      <c r="G40" s="35" t="n"/>
      <c r="H40" s="35" t="n"/>
      <c r="I40" s="35" t="n"/>
      <c r="J40" s="35" t="n"/>
      <c r="K40" s="35" t="n"/>
      <c r="L40" s="35" t="n"/>
      <c r="M40" s="35" t="n"/>
      <c r="N40" s="35" t="n"/>
      <c r="O40" s="35" t="n"/>
    </row>
    <row r="41">
      <c r="A41" s="58" t="inlineStr">
        <is>
          <t>R</t>
        </is>
      </c>
      <c r="B41" s="41" t="inlineStr">
        <is>
          <t>Recalculated independently</t>
        </is>
      </c>
      <c r="C41" s="59" t="n"/>
      <c r="D41" s="60" t="n"/>
      <c r="E41" s="35" t="n"/>
      <c r="F41" s="35" t="n"/>
      <c r="G41" s="35" t="n"/>
      <c r="H41" s="35" t="n"/>
      <c r="I41" s="35" t="n"/>
      <c r="J41" s="35" t="n"/>
      <c r="K41" s="35" t="n"/>
      <c r="L41" s="35" t="n"/>
      <c r="M41" s="35" t="n"/>
      <c r="N41" s="35" t="n"/>
      <c r="O41" s="35" t="n"/>
    </row>
    <row r="42">
      <c r="A42" s="58" t="inlineStr">
        <is>
          <t>F</t>
        </is>
      </c>
      <c r="B42" s="41" t="inlineStr">
        <is>
          <t>Footed / cross-cast</t>
        </is>
      </c>
      <c r="C42" s="59" t="n"/>
      <c r="D42" s="60" t="n"/>
      <c r="E42" s="35" t="n"/>
      <c r="F42" s="35" t="n"/>
      <c r="G42" s="35" t="n"/>
      <c r="H42" s="35" t="n"/>
      <c r="I42" s="35" t="n"/>
      <c r="J42" s="35" t="n"/>
      <c r="K42" s="35" t="n"/>
      <c r="L42" s="35" t="n"/>
      <c r="M42" s="35" t="n"/>
      <c r="N42" s="35" t="n"/>
      <c r="O42" s="35" t="n"/>
    </row>
    <row r="43">
      <c r="A43" s="58" t="inlineStr">
        <is>
          <t>T</t>
        </is>
      </c>
      <c r="B43" s="41" t="inlineStr">
        <is>
          <t>Traced to downstream record</t>
        </is>
      </c>
      <c r="C43" s="59" t="n"/>
      <c r="D43" s="60" t="n"/>
      <c r="E43" s="35" t="n"/>
      <c r="F43" s="35" t="n"/>
      <c r="G43" s="35" t="n"/>
      <c r="H43" s="35" t="n"/>
      <c r="I43" s="35" t="n"/>
      <c r="J43" s="35" t="n"/>
      <c r="K43" s="35" t="n"/>
      <c r="L43" s="35" t="n"/>
      <c r="M43" s="35" t="n"/>
      <c r="N43" s="35" t="n"/>
      <c r="O43" s="35" t="n"/>
    </row>
    <row r="44">
      <c r="A44" s="58" t="inlineStr">
        <is>
          <t>PBC</t>
        </is>
      </c>
      <c r="B44" s="41" t="inlineStr">
        <is>
          <t>Prepared by client</t>
        </is>
      </c>
      <c r="C44" s="59" t="n"/>
      <c r="D44" s="60" t="n"/>
      <c r="E44" s="35" t="n"/>
      <c r="F44" s="35" t="n"/>
      <c r="G44" s="35" t="n"/>
      <c r="H44" s="35" t="n"/>
      <c r="I44" s="35" t="n"/>
      <c r="J44" s="35" t="n"/>
      <c r="K44" s="35" t="n"/>
      <c r="L44" s="35" t="n"/>
      <c r="M44" s="35" t="n"/>
      <c r="N44" s="35" t="n"/>
      <c r="O44" s="35" t="n"/>
    </row>
    <row r="45">
      <c r="A45" s="35" t="n"/>
      <c r="B45" s="35" t="n"/>
      <c r="C45" s="35" t="n"/>
      <c r="D45" s="35" t="n"/>
      <c r="E45" s="35" t="n"/>
      <c r="F45" s="35" t="n"/>
      <c r="G45" s="35" t="n"/>
      <c r="H45" s="35" t="n"/>
      <c r="I45" s="35" t="n"/>
      <c r="J45" s="35" t="n"/>
      <c r="K45" s="35" t="n"/>
      <c r="L45" s="35" t="n"/>
      <c r="M45" s="35" t="n"/>
      <c r="N45" s="35" t="n"/>
      <c r="O45" s="35" t="n"/>
    </row>
    <row r="46">
      <c r="A46" s="37" t="inlineStr">
        <is>
          <t>Before sign-off complete Library Procedures 20-21 (NRV recompute; unit-of-account &amp; RM/WIP evaluation).</t>
        </is>
      </c>
      <c r="B46" s="35" t="n"/>
      <c r="C46" s="35" t="n"/>
      <c r="D46" s="35" t="n"/>
      <c r="E46" s="35" t="n"/>
      <c r="F46" s="35" t="n"/>
      <c r="G46" s="35" t="n"/>
      <c r="H46" s="35" t="n"/>
      <c r="I46" s="35" t="n"/>
      <c r="J46" s="35" t="n"/>
      <c r="K46" s="35" t="n"/>
      <c r="L46" s="35" t="n"/>
      <c r="M46" s="35" t="n"/>
      <c r="N46" s="35" t="n"/>
      <c r="O46" s="35" t="n"/>
    </row>
  </sheetData>
  <autoFilter ref="A7:O30"/>
  <mergeCells count="14">
    <mergeCell ref="B42:D42"/>
    <mergeCell ref="B4:O4"/>
    <mergeCell ref="B36:D36"/>
    <mergeCell ref="B41:D41"/>
    <mergeCell ref="A46:O46"/>
    <mergeCell ref="B44:D44"/>
    <mergeCell ref="B38:D38"/>
    <mergeCell ref="B37:D37"/>
    <mergeCell ref="B6:O6"/>
    <mergeCell ref="A33:O33"/>
    <mergeCell ref="B40:D40"/>
    <mergeCell ref="B5:O5"/>
    <mergeCell ref="B43:D43"/>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autoPageBreaks="0" fitToPage="1"/>
  </sheetPr>
  <dimension ref="A1:H37"/>
  <sheetViews>
    <sheetView showGridLines="0" topLeftCell="A10" zoomScale="90" zoomScaleNormal="100" workbookViewId="0">
      <pane ySplit="7" topLeftCell="A8" activePane="bottomLeft" state="frozen"/>
      <selection pane="bottomLeft" activeCell="A5" sqref="A5"/>
    </sheetView>
  </sheetViews>
  <sheetFormatPr baseColWidth="8" defaultColWidth="8.6328125" defaultRowHeight="14.5"/>
  <cols>
    <col width="47.6328125" bestFit="1" customWidth="1" min="1" max="1"/>
    <col width="30.05" customWidth="1" min="2" max="3"/>
    <col width="15.6" customWidth="1" min="3" max="3"/>
    <col width="37.7" customWidth="1" min="4" max="4"/>
    <col width="34" customWidth="1" min="5" max="5"/>
    <col width="13" customWidth="1" min="6" max="6"/>
    <col width="13" customWidth="1" min="7" max="7"/>
    <col width="13" customWidth="1" min="8" max="8"/>
  </cols>
  <sheetData>
    <row r="1" ht="17.5" customHeight="1">
      <c r="A1" s="34" t="inlineStr">
        <is>
          <t>Analytics &amp; Disclosures</t>
        </is>
      </c>
      <c r="B1" s="35" t="n"/>
      <c r="C1" s="35" t="n"/>
      <c r="D1" s="35" t="n"/>
      <c r="E1" s="35" t="n"/>
      <c r="F1" s="35" t="n"/>
      <c r="G1" s="35" t="n"/>
      <c r="H1" s="35" t="n"/>
    </row>
    <row r="2" ht="27" customHeight="1">
      <c r="A2" s="46" t="inlineStr">
        <is>
          <t>Client / Entity</t>
        </is>
      </c>
      <c r="B2" s="36" t="inlineStr">
        <is>
          <t>Zephirax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19100</v>
      </c>
      <c r="C3" s="35" t="n"/>
      <c r="D3" s="49" t="inlineStr">
        <is>
          <t>Tolerable misstatement / testing threshold</t>
        </is>
      </c>
      <c r="E3" s="50" t="n">
        <v>14400</v>
      </c>
      <c r="F3" s="35" t="n"/>
      <c r="G3" s="35" t="n"/>
      <c r="H3" s="35" t="n"/>
    </row>
    <row r="4" ht="15" customHeight="1">
      <c r="A4" s="51" t="inlineStr">
        <is>
          <t>Purpose:</t>
        </is>
      </c>
      <c r="B4" s="52" t="inlineStr">
        <is>
          <t>Perform inventory analytics and evaluate presentation and disclosure matters.</t>
        </is>
      </c>
      <c r="C4" s="53" t="n"/>
      <c r="D4" s="53" t="n"/>
      <c r="E4" s="54" t="n"/>
      <c r="F4" s="35" t="n"/>
      <c r="G4" s="35" t="n"/>
      <c r="H4" s="35" t="n"/>
    </row>
    <row r="5" ht="27.75" customHeight="1">
      <c r="A5" s="51" t="inlineStr">
        <is>
          <t>Scope:</t>
        </is>
      </c>
      <c r="B5" s="52" t="inlineStr">
        <is>
          <t>Turnover, days on hand, margin and reserve ratios; cost-method, LCNRV, pledging and commitment disclosures.</t>
        </is>
      </c>
      <c r="C5" s="53" t="n"/>
      <c r="D5" s="53" t="n"/>
      <c r="E5" s="54" t="n"/>
      <c r="F5" s="35" t="n"/>
      <c r="G5" s="35" t="n"/>
      <c r="H5" s="35" t="n"/>
    </row>
    <row r="6" ht="15" customHeight="1">
      <c r="A6" s="51" t="inlineStr">
        <is>
          <t>Assertions:</t>
        </is>
      </c>
      <c r="B6" s="52" t="inlineStr">
        <is>
          <t>Valuation &amp; Allocation; Presentation &amp; Disclosure</t>
        </is>
      </c>
      <c r="C6" s="53" t="n"/>
      <c r="D6" s="53" t="n"/>
      <c r="E6" s="54" t="n"/>
      <c r="F6" s="35" t="n"/>
      <c r="G6" s="35" t="n"/>
      <c r="H6" s="35" t="n"/>
    </row>
    <row r="7">
      <c r="A7" s="83" t="inlineStr">
        <is>
          <t>A. Analytics</t>
        </is>
      </c>
      <c r="B7" s="35" t="n"/>
      <c r="C7" s="35" t="n"/>
      <c r="D7" s="35" t="n"/>
      <c r="E7" s="35" t="n"/>
      <c r="F7" s="35" t="n"/>
      <c r="G7" s="35" t="n"/>
      <c r="H7" s="35" t="n"/>
    </row>
    <row r="8" ht="18" customHeight="1">
      <c r="A8" s="62" t="inlineStr">
        <is>
          <t>Metric</t>
        </is>
      </c>
      <c r="B8" s="62" t="inlineStr">
        <is>
          <t>CY</t>
        </is>
      </c>
      <c r="C8" s="62" t="inlineStr">
        <is>
          <t>PY</t>
        </is>
      </c>
      <c r="D8" s="62" t="inlineStr">
        <is>
          <t>Change</t>
        </is>
      </c>
      <c r="E8" s="62" t="inlineStr">
        <is>
          <t>Note</t>
        </is>
      </c>
      <c r="F8" s="35" t="n"/>
      <c r="G8" s="35" t="n"/>
      <c r="H8" s="35" t="n"/>
    </row>
    <row r="9">
      <c r="A9" s="56" t="inlineStr">
        <is>
          <t>Inventory turns</t>
        </is>
      </c>
      <c r="B9" s="56" t="n"/>
      <c r="C9" s="56" t="n"/>
      <c r="D9" s="41">
        <f>IF(OR(B9="",C9=""),"",B9-C9)</f>
        <v/>
      </c>
      <c r="E9" s="56" t="n"/>
      <c r="F9" s="35" t="n"/>
      <c r="G9" s="35" t="n"/>
      <c r="H9" s="35" t="n"/>
    </row>
    <row r="10">
      <c r="A10" s="56" t="inlineStr">
        <is>
          <t>Days on hand</t>
        </is>
      </c>
      <c r="B10" s="56" t="n"/>
      <c r="C10" s="56" t="n"/>
      <c r="D10" s="41">
        <f>IF(OR(B10="",C10=""),"",B10-C10)</f>
        <v/>
      </c>
      <c r="E10" s="56" t="n"/>
      <c r="F10" s="35" t="n"/>
      <c r="G10" s="35" t="n"/>
      <c r="H10" s="35" t="n"/>
    </row>
    <row r="11">
      <c r="A11" s="56" t="inlineStr">
        <is>
          <t>Gross margin %</t>
        </is>
      </c>
      <c r="B11" s="56" t="n"/>
      <c r="C11" s="56" t="n"/>
      <c r="D11" s="41">
        <f>IF(OR(B11="",C11=""),"",B11-C11)</f>
        <v/>
      </c>
      <c r="E11" s="56" t="n"/>
      <c r="F11" s="35" t="n"/>
      <c r="G11" s="35" t="n"/>
      <c r="H11" s="35" t="n"/>
    </row>
    <row r="12">
      <c r="A12" s="41" t="inlineStr">
        <is>
          <t>Reserve as % of gross inventory</t>
        </is>
      </c>
      <c r="B12" s="56" t="n"/>
      <c r="C12" s="56" t="n"/>
      <c r="D12" s="41">
        <f>IF(OR(B12="",C12=""),"",B12-C12)</f>
        <v/>
      </c>
      <c r="E12" s="56" t="n"/>
      <c r="F12" s="35" t="n"/>
      <c r="G12" s="35" t="n"/>
      <c r="H12" s="35" t="n"/>
    </row>
    <row r="13">
      <c r="A13" s="41" t="inlineStr">
        <is>
          <t>Inventory as % of total assets</t>
        </is>
      </c>
      <c r="B13" s="56" t="n"/>
      <c r="C13" s="56" t="n"/>
      <c r="D13" s="41">
        <f>IF(OR(B13="",C13=""),"",B13-C13)</f>
        <v/>
      </c>
      <c r="E13" s="56" t="n"/>
      <c r="F13" s="35" t="n"/>
      <c r="G13" s="35" t="n"/>
      <c r="H13" s="35" t="n"/>
    </row>
    <row r="14">
      <c r="A14" s="41" t="inlineStr">
        <is>
          <t>PPV / variance as % of purchases</t>
        </is>
      </c>
      <c r="B14" s="56" t="n"/>
      <c r="C14" s="56" t="n"/>
      <c r="D14" s="41">
        <f>IF(OR(B14="",C14=""),"",B14-C14)</f>
        <v/>
      </c>
      <c r="E14" s="56" t="n"/>
      <c r="F14" s="35" t="n"/>
      <c r="G14" s="35" t="n"/>
      <c r="H14" s="35" t="n"/>
    </row>
    <row r="15">
      <c r="A15" s="35" t="n"/>
      <c r="B15" s="35" t="n"/>
      <c r="C15" s="35" t="n"/>
      <c r="D15" s="35" t="n"/>
      <c r="E15" s="35" t="n"/>
      <c r="F15" s="35" t="n"/>
      <c r="G15" s="35" t="n"/>
      <c r="H15" s="35" t="n"/>
    </row>
    <row r="16">
      <c r="A16" s="61" t="inlineStr">
        <is>
          <t>B. Disclosure matters</t>
        </is>
      </c>
      <c r="B16" s="35" t="n"/>
      <c r="C16" s="35" t="n"/>
      <c r="D16" s="35" t="n"/>
      <c r="E16" s="35" t="n"/>
      <c r="F16" s="35" t="n"/>
      <c r="G16" s="35" t="n"/>
      <c r="H16" s="35" t="n"/>
    </row>
    <row r="17" ht="18" customHeight="1">
      <c r="A17" s="62" t="inlineStr">
        <is>
          <t>Area</t>
        </is>
      </c>
      <c r="B17" s="62" t="inlineStr">
        <is>
          <t>Relevant? (Y/N)</t>
        </is>
      </c>
      <c r="C17" s="62" t="inlineStr">
        <is>
          <t>Support / source</t>
        </is>
      </c>
      <c r="D17" s="62" t="inlineStr">
        <is>
          <t>Conclusion</t>
        </is>
      </c>
      <c r="E17" s="62" t="inlineStr">
        <is>
          <t>Comments</t>
        </is>
      </c>
      <c r="F17" s="35" t="n"/>
      <c r="G17" s="35" t="n"/>
      <c r="H17" s="35" t="n"/>
    </row>
    <row r="18" ht="27" customHeight="1">
      <c r="A18" s="41" t="inlineStr">
        <is>
          <t>Cost-flow method by category (basis of stating inventory)</t>
        </is>
      </c>
      <c r="B18" s="56" t="n"/>
      <c r="C18" s="56" t="n"/>
      <c r="D18" s="56" t="n"/>
      <c r="E18" s="56" t="n"/>
      <c r="F18" s="35" t="n"/>
      <c r="G18" s="35" t="n"/>
      <c r="H18" s="35" t="n"/>
    </row>
    <row r="19">
      <c r="A19" s="41" t="inlineStr">
        <is>
          <t>LCNRV write-downs and policy</t>
        </is>
      </c>
      <c r="B19" s="56" t="n"/>
      <c r="C19" s="56" t="n"/>
      <c r="D19" s="56" t="n"/>
      <c r="E19" s="56" t="n"/>
      <c r="F19" s="35" t="n"/>
      <c r="G19" s="35" t="n"/>
      <c r="H19" s="35" t="n"/>
    </row>
    <row r="20">
      <c r="A20" s="41" t="inlineStr">
        <is>
          <t>Capitalized variance policy (standard costing)</t>
        </is>
      </c>
      <c r="B20" s="56" t="n"/>
      <c r="C20" s="56" t="n"/>
      <c r="D20" s="56" t="n"/>
      <c r="E20" s="56" t="n"/>
      <c r="F20" s="35" t="n"/>
      <c r="G20" s="35" t="n"/>
      <c r="H20" s="35" t="n"/>
    </row>
    <row r="21">
      <c r="A21" s="41" t="inlineStr">
        <is>
          <t>Pledged inventory / borrowing-base collateral</t>
        </is>
      </c>
      <c r="B21" s="56" t="n"/>
      <c r="C21" s="56" t="n"/>
      <c r="D21" s="56" t="n"/>
      <c r="E21" s="56" t="n"/>
      <c r="F21" s="35" t="n"/>
      <c r="G21" s="35" t="n"/>
      <c r="H21" s="35" t="n"/>
    </row>
    <row r="22">
      <c r="A22" s="41" t="inlineStr">
        <is>
          <t>Consignment (in / out) presentation</t>
        </is>
      </c>
      <c r="B22" s="56" t="n"/>
      <c r="C22" s="56" t="n"/>
      <c r="D22" s="56" t="n"/>
      <c r="E22" s="56" t="n"/>
      <c r="F22" s="35" t="n"/>
      <c r="G22" s="35" t="n"/>
      <c r="H22" s="35" t="n"/>
    </row>
    <row r="23" ht="27" customHeight="1">
      <c r="A23" s="41" t="inlineStr">
        <is>
          <t>Purchase commitments and losses thereon (ASC 330-10-35-17)</t>
        </is>
      </c>
      <c r="B23" s="56" t="n"/>
      <c r="C23" s="56" t="n"/>
      <c r="D23" s="56" t="n"/>
      <c r="E23" s="56" t="n"/>
      <c r="F23" s="35" t="n"/>
      <c r="G23" s="35" t="n"/>
      <c r="H23" s="35" t="n"/>
    </row>
    <row r="24">
      <c r="A24" s="41" t="inlineStr">
        <is>
          <t>LIFO disclosures (if applicable)</t>
        </is>
      </c>
      <c r="B24" s="56" t="n"/>
      <c r="C24" s="56" t="n"/>
      <c r="D24" s="56" t="n"/>
      <c r="E24" s="56" t="n"/>
      <c r="F24" s="35" t="n"/>
      <c r="G24" s="35" t="n"/>
      <c r="H24" s="35" t="n"/>
    </row>
    <row r="25">
      <c r="A25" s="35" t="n"/>
      <c r="B25" s="35" t="n"/>
      <c r="C25" s="35" t="n"/>
      <c r="D25" s="35" t="n"/>
      <c r="E25" s="35" t="n"/>
      <c r="F25" s="35" t="n"/>
      <c r="G25" s="35" t="n"/>
      <c r="H25" s="35" t="n"/>
    </row>
    <row r="26">
      <c r="A26" s="57" t="inlineStr">
        <is>
          <t>TM Legends</t>
        </is>
      </c>
      <c r="B26" s="35" t="n"/>
      <c r="C26" s="35" t="n"/>
      <c r="D26" s="35" t="n"/>
      <c r="E26" s="35" t="n"/>
      <c r="F26" s="35" t="n"/>
      <c r="G26" s="35" t="n"/>
      <c r="H26" s="35" t="n"/>
    </row>
    <row r="27">
      <c r="A27" s="58" t="inlineStr">
        <is>
          <t>TB</t>
        </is>
      </c>
      <c r="B27" s="41" t="inlineStr">
        <is>
          <t>Agreed to trial balance</t>
        </is>
      </c>
      <c r="C27" s="59" t="n"/>
      <c r="D27" s="60" t="n"/>
      <c r="E27" s="35" t="n"/>
      <c r="F27" s="35" t="n"/>
      <c r="G27" s="35" t="n"/>
      <c r="H27" s="35" t="n"/>
    </row>
    <row r="28">
      <c r="A28" s="58" t="inlineStr">
        <is>
          <t>GL</t>
        </is>
      </c>
      <c r="B28" s="41" t="inlineStr">
        <is>
          <t>Agreed to general ledger</t>
        </is>
      </c>
      <c r="C28" s="59" t="n"/>
      <c r="D28" s="60" t="n"/>
      <c r="E28" s="35" t="n"/>
      <c r="F28" s="35" t="n"/>
      <c r="G28" s="35" t="n"/>
      <c r="H28" s="35" t="n"/>
    </row>
    <row r="29">
      <c r="A29" s="58" t="inlineStr">
        <is>
          <t>CF</t>
        </is>
      </c>
      <c r="B29" s="41" t="inlineStr">
        <is>
          <t>Confirmed with third party</t>
        </is>
      </c>
      <c r="C29" s="59" t="n"/>
      <c r="D29" s="60" t="n"/>
      <c r="E29" s="35" t="n"/>
      <c r="F29" s="35" t="n"/>
      <c r="G29" s="35" t="n"/>
      <c r="H29" s="35" t="n"/>
    </row>
    <row r="30">
      <c r="A30" s="58" t="inlineStr">
        <is>
          <t>V</t>
        </is>
      </c>
      <c r="B30" s="41" t="inlineStr">
        <is>
          <t>Vouched to source document</t>
        </is>
      </c>
      <c r="C30" s="59" t="n"/>
      <c r="D30" s="60" t="n"/>
      <c r="E30" s="35" t="n"/>
      <c r="F30" s="35" t="n"/>
      <c r="G30" s="35" t="n"/>
      <c r="H30" s="35" t="n"/>
    </row>
    <row r="31">
      <c r="A31" s="58" t="inlineStr">
        <is>
          <t>SR</t>
        </is>
      </c>
      <c r="B31" s="41" t="inlineStr">
        <is>
          <t>Agreed to subsequent bank-cleared receipt</t>
        </is>
      </c>
      <c r="C31" s="59" t="n"/>
      <c r="D31" s="60" t="n"/>
      <c r="E31" s="35" t="n"/>
      <c r="F31" s="35" t="n"/>
      <c r="G31" s="35" t="n"/>
      <c r="H31" s="35" t="n"/>
    </row>
    <row r="32">
      <c r="A32" s="58" t="inlineStr">
        <is>
          <t>R</t>
        </is>
      </c>
      <c r="B32" s="41" t="inlineStr">
        <is>
          <t>Recalculated independently</t>
        </is>
      </c>
      <c r="C32" s="59" t="n"/>
      <c r="D32" s="60" t="n"/>
      <c r="E32" s="35" t="n"/>
      <c r="F32" s="35" t="n"/>
      <c r="G32" s="35" t="n"/>
      <c r="H32" s="35" t="n"/>
    </row>
    <row r="33">
      <c r="A33" s="58" t="inlineStr">
        <is>
          <t>F</t>
        </is>
      </c>
      <c r="B33" s="41" t="inlineStr">
        <is>
          <t>Footed / cross-cast</t>
        </is>
      </c>
      <c r="C33" s="59" t="n"/>
      <c r="D33" s="60" t="n"/>
      <c r="E33" s="35" t="n"/>
      <c r="F33" s="35" t="n"/>
      <c r="G33" s="35" t="n"/>
      <c r="H33" s="35" t="n"/>
    </row>
    <row r="34">
      <c r="A34" s="58" t="inlineStr">
        <is>
          <t>T</t>
        </is>
      </c>
      <c r="B34" s="41" t="inlineStr">
        <is>
          <t>Traced to downstream record</t>
        </is>
      </c>
      <c r="C34" s="59" t="n"/>
      <c r="D34" s="60" t="n"/>
      <c r="E34" s="35" t="n"/>
      <c r="F34" s="35" t="n"/>
      <c r="G34" s="35" t="n"/>
      <c r="H34" s="35" t="n"/>
    </row>
    <row r="35">
      <c r="A35" s="58" t="inlineStr">
        <is>
          <t>PBC</t>
        </is>
      </c>
      <c r="B35" s="41" t="inlineStr">
        <is>
          <t>Prepared by client</t>
        </is>
      </c>
      <c r="C35" s="59" t="n"/>
      <c r="D35" s="60" t="n"/>
      <c r="E35" s="35" t="n"/>
      <c r="F35" s="35" t="n"/>
      <c r="G35" s="35" t="n"/>
      <c r="H35" s="35" t="n"/>
    </row>
    <row r="36">
      <c r="A36" s="35" t="n"/>
      <c r="B36" s="35" t="n"/>
      <c r="C36" s="35" t="n"/>
      <c r="D36" s="35" t="n"/>
      <c r="E36" s="35" t="n"/>
      <c r="F36" s="35" t="n"/>
      <c r="G36" s="35" t="n"/>
      <c r="H36" s="35" t="n"/>
    </row>
    <row r="37" ht="27.75" customHeight="1">
      <c r="A37" s="37" t="inlineStr">
        <is>
          <t>Before sign-off complete Library Procedures 22-23 (analytics; presentation &amp; disclosure).</t>
        </is>
      </c>
      <c r="B37" s="35" t="n"/>
      <c r="C37" s="35" t="n"/>
      <c r="D37" s="35" t="n"/>
      <c r="E37" s="35" t="n"/>
      <c r="F37" s="35" t="n"/>
      <c r="G37" s="35" t="n"/>
      <c r="H37" s="35" t="n"/>
    </row>
  </sheetData>
  <mergeCells count="13">
    <mergeCell ref="B33:D33"/>
    <mergeCell ref="B28:D28"/>
    <mergeCell ref="B4:E4"/>
    <mergeCell ref="B31:D31"/>
    <mergeCell ref="B35:D35"/>
    <mergeCell ref="B32:D32"/>
    <mergeCell ref="B6:E6"/>
    <mergeCell ref="B27:D27"/>
    <mergeCell ref="A37:E37"/>
    <mergeCell ref="B30:D30"/>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12.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84" t="inlineStr">
        <is>
          <t>AUTHORITATIVE PLANNING CONTEXT</t>
        </is>
      </c>
      <c r="B1" s="35" t="n"/>
    </row>
    <row r="2">
      <c r="A2" s="35" t="inlineStr">
        <is>
          <t>Field</t>
        </is>
      </c>
      <c r="B2" s="35" t="inlineStr">
        <is>
          <t>Value</t>
        </is>
      </c>
    </row>
    <row r="3">
      <c r="A3" s="35" t="inlineStr">
        <is>
          <t>Entity Name</t>
        </is>
      </c>
      <c r="B3" s="84" t="inlineStr">
        <is>
          <t>Zephirax Industrial Holdings, LLC</t>
        </is>
      </c>
    </row>
    <row r="4">
      <c r="A4" s="84" t="inlineStr">
        <is>
          <t>Financial Statement Date</t>
        </is>
      </c>
      <c r="B4" s="85" t="n">
        <v>46022</v>
      </c>
    </row>
    <row r="5">
      <c r="A5" s="84" t="inlineStr">
        <is>
          <t>Reporting Currency</t>
        </is>
      </c>
      <c r="B5" s="35" t="inlineStr">
        <is>
          <t>USD</t>
        </is>
      </c>
    </row>
    <row r="6">
      <c r="A6" s="84" t="inlineStr">
        <is>
          <t>Overall Materiality</t>
        </is>
      </c>
      <c r="B6" s="86" t="n">
        <v>31700</v>
      </c>
    </row>
    <row r="7">
      <c r="A7" s="84" t="inlineStr">
        <is>
          <t>Performance Materiality</t>
        </is>
      </c>
      <c r="B7" s="86" t="n">
        <v>19100</v>
      </c>
    </row>
    <row r="8">
      <c r="A8" s="84" t="inlineStr">
        <is>
          <t>Tolerable Misstatement</t>
        </is>
      </c>
      <c r="B8" s="86" t="n">
        <v>14400</v>
      </c>
    </row>
    <row r="9">
      <c r="A9" s="84" t="inlineStr">
        <is>
          <t>Individually Significant Threshold</t>
        </is>
      </c>
      <c r="B9" s="86" t="n">
        <v>9600</v>
      </c>
    </row>
    <row r="10">
      <c r="A10" s="35" t="inlineStr">
        <is>
          <t>Posting Threshold</t>
        </is>
      </c>
      <c r="B10" s="86" t="n">
        <v>1000</v>
      </c>
    </row>
    <row r="11">
      <c r="A11" s="84" t="inlineStr">
        <is>
          <t>Clearly Trivial Threshold</t>
        </is>
      </c>
      <c r="B11" s="86" t="n">
        <v>1000</v>
      </c>
    </row>
    <row r="12">
      <c r="A12" s="84" t="inlineStr">
        <is>
          <t>Analytical Precision</t>
        </is>
      </c>
      <c r="B12" s="86" t="n">
        <v>14400</v>
      </c>
    </row>
    <row r="13">
      <c r="A13" s="35" t="n"/>
      <c r="B13" s="35" t="n"/>
    </row>
    <row r="14">
      <c r="A14" s="84" t="inlineStr">
        <is>
          <t>Bound planning records</t>
        </is>
      </c>
      <c r="B14" s="35" t="inlineStr">
        <is>
          <t>Canonical IDs</t>
        </is>
      </c>
    </row>
    <row r="15">
      <c r="A15" s="35" t="inlineStr">
        <is>
          <t>Sampling plan ID</t>
        </is>
      </c>
      <c r="B15" s="35" t="inlineStr">
        <is>
          <t>SAMPLE-INVENTORY</t>
        </is>
      </c>
    </row>
    <row r="16" ht="108" customHeight="1">
      <c r="A16" s="35" t="inlineStr">
        <is>
          <t>Selection IDs</t>
        </is>
      </c>
      <c r="B16" s="84" t="inlineStr">
        <is>
          <t>PROC-INV-VALUATION:Layer 0153; PROC-INV-VALUATION:Layer 0076; PROC-INV-VALUATION:Layer 0080; PROC-INV-VALUATION:Layer 0147; PROC-INV-VALUATION:Layer 0079; PROC-INV-VALUATION:Layer 0077; PROC-INV-VALUATION:Layer 0078; PROC-INV-VALUATION:Layer 0075; PROC-INV-VALUATION:Layer 0250; PROC-INV-VALUATION:Layer 0253; PROC-INV-VALUATION:Layer 0251; PROC-INV-VALUATION:Layer 0249; PROC-INV-VALUATION:Layer 0246; PROC-INV-VALUATION:Layer 0072; PROC-INV-VALUATION:Layer 0254; PROC-INV-VALUATION:Layer 0152; PROC-INV-VALUATION:Layer 0252; PROC-INV-VALUATION:Layer 0242; PROC-INV-VALUATION:Layer 0148; PROC-INV-VALUATION:Layer 0255; PROC-INV-VALUATION:Layer 0248; PROC-INV-VALUATION:Layer 0073</t>
        </is>
      </c>
    </row>
    <row r="17">
      <c r="A17" s="84" t="inlineStr">
        <is>
          <t>Selection requirements</t>
        </is>
      </c>
      <c r="B17" s="84" t="inlineStr">
        <is>
          <t>qualitative mandatory items; individually significant items</t>
        </is>
      </c>
    </row>
    <row r="18">
      <c r="A18" s="35" t="inlineStr">
        <is>
          <t>Procedure IDs</t>
        </is>
      </c>
      <c r="B18" s="84" t="inlineStr">
        <is>
          <t>PROC-INVENTORY; RESP-INVENTORY-INVENTORY</t>
        </is>
      </c>
    </row>
    <row r="19">
      <c r="A19" s="84" t="inlineStr">
        <is>
          <t>Procedure window IDs</t>
        </is>
      </c>
      <c r="B19" s="84" t="inlineStr">
        <is>
          <t>WIN-INVENTORY-CUTOFF; WIN-INVENTORY-CUTOFF</t>
        </is>
      </c>
    </row>
    <row r="20">
      <c r="A20" s="84" t="inlineStr">
        <is>
          <t>Significant-risk response IDs</t>
        </is>
      </c>
      <c r="B20" s="84" t="inlineStr">
        <is>
          <t>RESP-INVENTORY-INVENTORY</t>
        </is>
      </c>
    </row>
    <row r="21">
      <c r="A21" s="84" t="inlineStr">
        <is>
          <t>Audit team assignments</t>
        </is>
      </c>
      <c r="B21" s="84" t="inlineStr">
        <is>
          <t>preparer: Audit Senior 28BD; reviewer: Audit Manager 508F</t>
        </is>
      </c>
    </row>
  </sheetData>
  <printOptions horizontalCentered="0" verticalCentered="0"/>
  <pageMargins left="0.25" right="0.25" top="0.5" bottom="0.5" header="0.2" footer="0.2"/>
  <pageSetup orientation="portrait" paperSize="1" fitToHeight="0" fitToWidth="1"/>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87" t="inlineStr">
        <is>
          <t>WORKPAPER COMPLETION AND SIGN-OFF</t>
        </is>
      </c>
      <c r="B1" s="35" t="n"/>
      <c r="C1" s="35" t="n"/>
      <c r="D1" s="35" t="n"/>
      <c r="E1" s="35" t="n"/>
      <c r="F1" s="35" t="n"/>
    </row>
    <row r="2">
      <c r="A2" s="35" t="n"/>
      <c r="B2" s="35" t="n"/>
      <c r="C2" s="35" t="n"/>
      <c r="D2" s="35" t="n"/>
      <c r="E2" s="35" t="n"/>
      <c r="F2" s="35" t="n"/>
    </row>
    <row r="3" ht="27" customHeight="1">
      <c r="A3" s="35" t="inlineStr">
        <is>
          <t>Workpaper</t>
        </is>
      </c>
      <c r="B3" s="84" t="inlineStr">
        <is>
          <t>inventory/inventory_costing_valuation_workpaper.xlsx</t>
        </is>
      </c>
      <c r="C3" s="35" t="n"/>
      <c r="D3" s="35" t="n"/>
      <c r="E3" s="35" t="n"/>
      <c r="F3" s="35" t="n"/>
    </row>
    <row r="4">
      <c r="A4" s="84" t="inlineStr">
        <is>
          <t>Required completion stage</t>
        </is>
      </c>
      <c r="B4" s="35" t="inlineStr">
        <is>
          <t>prepared</t>
        </is>
      </c>
      <c r="C4" s="35" t="n"/>
      <c r="D4" s="35" t="inlineStr">
        <is>
          <t>Contract version</t>
        </is>
      </c>
      <c r="E4" s="84" t="inlineStr">
        <is>
          <t>workpaper-signoff-v2.1.0</t>
        </is>
      </c>
      <c r="F4" s="35" t="n"/>
    </row>
    <row r="5">
      <c r="A5" s="35" t="n"/>
      <c r="B5" s="35" t="n"/>
      <c r="C5" s="35" t="n"/>
      <c r="D5" s="35" t="n"/>
      <c r="E5" s="35" t="n"/>
      <c r="F5" s="35" t="n"/>
    </row>
    <row r="6">
      <c r="A6" s="88" t="inlineStr">
        <is>
          <t>Assigned preparer</t>
        </is>
      </c>
      <c r="B6" s="89" t="inlineStr">
        <is>
          <t>Audit Senior 28BD</t>
        </is>
      </c>
      <c r="C6" s="35" t="n"/>
      <c r="D6" s="88" t="inlineStr">
        <is>
          <t>Assigned reviewer</t>
        </is>
      </c>
      <c r="E6" s="90" t="inlineStr">
        <is>
          <t>Audit Manager 508F</t>
        </is>
      </c>
      <c r="F6" s="35" t="n"/>
    </row>
    <row r="7">
      <c r="A7" s="88" t="inlineStr">
        <is>
          <t>Preparation state</t>
        </is>
      </c>
      <c r="B7" s="89" t="inlineStr">
        <is>
          <t>Unsigned</t>
        </is>
      </c>
      <c r="C7" s="35" t="n"/>
      <c r="D7" s="88" t="inlineStr">
        <is>
          <t>Review state</t>
        </is>
      </c>
      <c r="E7" s="89" t="inlineStr">
        <is>
          <t>Unsigned</t>
        </is>
      </c>
      <c r="F7" s="35" t="n"/>
    </row>
    <row r="8">
      <c r="A8" s="88" t="inlineStr">
        <is>
          <t>Prepared by</t>
        </is>
      </c>
      <c r="B8" s="89" t="n"/>
      <c r="C8" s="35" t="n"/>
      <c r="D8" s="88" t="inlineStr">
        <is>
          <t>Reviewed by</t>
        </is>
      </c>
      <c r="E8" s="89" t="n"/>
      <c r="F8" s="35" t="n"/>
    </row>
    <row r="9">
      <c r="A9" s="88" t="inlineStr">
        <is>
          <t>Preparation date</t>
        </is>
      </c>
      <c r="B9" s="91" t="n"/>
      <c r="C9" s="35" t="n"/>
      <c r="D9" s="88" t="inlineStr">
        <is>
          <t>Review date</t>
        </is>
      </c>
      <c r="E9" s="91" t="n"/>
      <c r="F9" s="35" t="n"/>
    </row>
    <row r="10">
      <c r="A10" s="35" t="n"/>
      <c r="B10" s="35" t="n"/>
      <c r="C10" s="35" t="n"/>
      <c r="D10" s="35" t="n"/>
      <c r="E10" s="35" t="n"/>
      <c r="F10" s="35" t="n"/>
    </row>
    <row r="11">
      <c r="A11" s="35" t="n"/>
      <c r="B11" s="35" t="n"/>
      <c r="C11" s="35" t="n"/>
      <c r="D11" s="35" t="n"/>
      <c r="E11" s="35" t="n"/>
      <c r="F11" s="35" t="n"/>
    </row>
    <row r="12" ht="50" customHeight="1">
      <c r="A12" s="92"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5" t="n"/>
      <c r="C12" s="35" t="n"/>
      <c r="D12" s="35" t="n"/>
      <c r="E12" s="35" t="n"/>
      <c r="F12" s="35"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xl/worksheets/sheet14.xml><?xml version="1.0" encoding="utf-8"?>
<worksheet xmlns="http://schemas.openxmlformats.org/spreadsheetml/2006/main">
  <sheetPr>
    <outlinePr summaryBelow="1" summaryRight="1"/>
    <pageSetUpPr autoPageBreaks="0" fitToPage="1"/>
  </sheetPr>
  <dimension ref="A1:L11"/>
  <sheetViews>
    <sheetView showGridLines="0" zoomScale="90" zoomScaleNormal="100" workbookViewId="0">
      <selection activeCell="A1" sqref="A1"/>
    </sheetView>
  </sheetViews>
  <sheetFormatPr baseColWidth="8" defaultRowHeight="15"/>
  <cols>
    <col width="39.4" customWidth="1" min="1" max="1"/>
    <col width="42" customWidth="1" min="2" max="2"/>
    <col width="14.75" customWidth="1" min="3" max="3"/>
    <col width="17.3" customWidth="1" min="4" max="4"/>
    <col width="16.45" customWidth="1" min="5" max="5"/>
    <col width="19" customWidth="1" min="6" max="6"/>
    <col width="13.05" customWidth="1" min="7" max="7"/>
    <col width="13.05" customWidth="1" min="8" max="8"/>
    <col width="15.6" customWidth="1" min="9" max="9"/>
    <col width="14.75" customWidth="1" min="10" max="10"/>
    <col width="20.7" customWidth="1" min="11" max="11"/>
    <col width="30.05" customWidth="1" min="12" max="12"/>
  </cols>
  <sheetData>
    <row r="1">
      <c r="A1" s="84" t="inlineStr">
        <is>
          <t>LABOR AND OVERHEAD APPLICATION ANALYSIS</t>
        </is>
      </c>
      <c r="B1" s="35" t="n"/>
      <c r="C1" s="35" t="n"/>
      <c r="D1" s="35" t="n"/>
      <c r="E1" s="35" t="n"/>
      <c r="F1" s="35" t="n"/>
      <c r="G1" s="35" t="n"/>
      <c r="H1" s="35" t="n"/>
      <c r="I1" s="35" t="n"/>
      <c r="J1" s="35" t="n"/>
      <c r="K1" s="35" t="n"/>
      <c r="L1" s="35" t="n"/>
    </row>
    <row r="2">
      <c r="A2" s="35" t="inlineStr">
        <is>
          <t>Entity</t>
        </is>
      </c>
      <c r="B2" s="84" t="inlineStr">
        <is>
          <t>Zephirax Industrial Holdings, LLC</t>
        </is>
      </c>
      <c r="C2" s="35" t="n"/>
      <c r="D2" s="35" t="n"/>
      <c r="E2" s="35" t="n"/>
      <c r="F2" s="35" t="n"/>
      <c r="G2" s="35" t="n"/>
      <c r="H2" s="35" t="n"/>
      <c r="I2" s="35" t="n"/>
      <c r="J2" s="35" t="n"/>
      <c r="K2" s="35" t="n"/>
      <c r="L2" s="35" t="n"/>
    </row>
    <row r="3">
      <c r="A3" s="35" t="inlineStr">
        <is>
          <t>Period end</t>
        </is>
      </c>
      <c r="B3" s="35" t="inlineStr">
        <is>
          <t>2025-12-31</t>
        </is>
      </c>
      <c r="C3" s="35" t="n"/>
      <c r="D3" s="35" t="n"/>
      <c r="E3" s="35" t="n"/>
      <c r="F3" s="35" t="n"/>
      <c r="G3" s="35" t="n"/>
      <c r="H3" s="35" t="n"/>
      <c r="I3" s="35" t="n"/>
      <c r="J3" s="35" t="n"/>
      <c r="K3" s="35" t="n"/>
      <c r="L3" s="35" t="n"/>
    </row>
    <row r="4">
      <c r="A4" s="35" t="n"/>
      <c r="B4" s="35" t="n"/>
      <c r="C4" s="35" t="n"/>
      <c r="D4" s="35" t="n"/>
      <c r="E4" s="35" t="n"/>
      <c r="F4" s="35" t="n"/>
      <c r="G4" s="35" t="n"/>
      <c r="H4" s="35" t="n"/>
      <c r="I4" s="35" t="n"/>
      <c r="J4" s="35" t="n"/>
      <c r="K4" s="35" t="n"/>
      <c r="L4" s="35" t="n"/>
    </row>
    <row r="5" ht="27" customHeight="1">
      <c r="A5" s="93" t="inlineStr">
        <is>
          <t>Production order</t>
        </is>
      </c>
      <c r="B5" s="93" t="inlineStr">
        <is>
          <t>Finished SKU</t>
        </is>
      </c>
      <c r="C5" s="93" t="inlineStr">
        <is>
          <t>Units completed</t>
        </is>
      </c>
      <c r="D5" s="94" t="inlineStr">
        <is>
          <t>Direct labor hours</t>
        </is>
      </c>
      <c r="E5" s="93" t="inlineStr">
        <is>
          <t>Direct labor rate</t>
        </is>
      </c>
      <c r="F5" s="94" t="inlineStr">
        <is>
          <t>Applied direct labor</t>
        </is>
      </c>
      <c r="G5" s="93" t="inlineStr">
        <is>
          <t>Machine hours</t>
        </is>
      </c>
      <c r="H5" s="93" t="inlineStr">
        <is>
          <t>Overhead rate</t>
        </is>
      </c>
      <c r="I5" s="93" t="inlineStr">
        <is>
          <t>Applied overhead</t>
        </is>
      </c>
      <c r="J5" s="93" t="inlineStr">
        <is>
          <t>Actual overhead</t>
        </is>
      </c>
      <c r="K5" s="94" t="inlineStr">
        <is>
          <t>Under / (over) applied</t>
        </is>
      </c>
      <c r="L5" s="94" t="inlineStr">
        <is>
          <t>Variance disposition / GL account</t>
        </is>
      </c>
    </row>
    <row r="6">
      <c r="A6" s="35" t="n"/>
      <c r="B6" s="35" t="n"/>
      <c r="C6" s="35" t="n"/>
      <c r="D6" s="35" t="n"/>
      <c r="E6" s="35" t="n"/>
      <c r="F6" s="35" t="n"/>
      <c r="G6" s="35" t="n"/>
      <c r="H6" s="35" t="n"/>
      <c r="I6" s="35" t="n"/>
      <c r="J6" s="35" t="n"/>
      <c r="K6" s="35" t="n"/>
      <c r="L6" s="35" t="n"/>
    </row>
    <row r="7">
      <c r="A7" s="84" t="inlineStr">
        <is>
          <t>CONTROL AND CONCLUSION</t>
        </is>
      </c>
      <c r="B7" s="35" t="n"/>
      <c r="C7" s="35" t="n"/>
      <c r="D7" s="35" t="n"/>
      <c r="E7" s="35" t="n"/>
      <c r="F7" s="35" t="n"/>
      <c r="G7" s="35" t="n"/>
      <c r="H7" s="35" t="n"/>
      <c r="I7" s="35" t="n"/>
      <c r="J7" s="35" t="n"/>
      <c r="K7" s="35" t="n"/>
      <c r="L7" s="35" t="n"/>
    </row>
    <row r="8" ht="67.5" customHeight="1">
      <c r="A8" s="35" t="inlineStr">
        <is>
          <t>Procedure</t>
        </is>
      </c>
      <c r="B8" s="84" t="inlineStr">
        <is>
          <t>Agree labor and machine-hour inputs to production records; recalculate applied costs; reconcile actual-to-applied overhead; verify abnormal and unallocated fixed overhead is expensed.</t>
        </is>
      </c>
      <c r="C8" s="35" t="n"/>
      <c r="D8" s="35" t="n"/>
      <c r="E8" s="35" t="n"/>
      <c r="F8" s="35" t="n"/>
      <c r="G8" s="35" t="n"/>
      <c r="H8" s="35" t="n"/>
      <c r="I8" s="35" t="n"/>
      <c r="J8" s="35" t="n"/>
      <c r="K8" s="35" t="n"/>
      <c r="L8" s="35" t="n"/>
    </row>
    <row r="9">
      <c r="A9" s="84" t="inlineStr">
        <is>
          <t>Prepared by / date</t>
        </is>
      </c>
      <c r="B9" s="35" t="inlineStr"/>
      <c r="C9" s="35" t="n"/>
      <c r="D9" s="35" t="n"/>
      <c r="E9" s="35" t="n"/>
      <c r="F9" s="35" t="n"/>
      <c r="G9" s="35" t="n"/>
      <c r="H9" s="35" t="n"/>
      <c r="I9" s="35" t="n"/>
      <c r="J9" s="35" t="n"/>
      <c r="K9" s="35" t="n"/>
      <c r="L9" s="35" t="n"/>
    </row>
    <row r="10" ht="27" customHeight="1">
      <c r="A10" s="84" t="inlineStr">
        <is>
          <t>Assigned: Audit Senior 28BD / due 2026-01-28</t>
        </is>
      </c>
      <c r="B10" s="35" t="inlineStr"/>
      <c r="C10" s="35" t="n"/>
      <c r="D10" s="35" t="n"/>
      <c r="E10" s="35" t="n"/>
      <c r="F10" s="35" t="n"/>
      <c r="G10" s="35" t="n"/>
      <c r="H10" s="35" t="n"/>
      <c r="I10" s="35" t="n"/>
      <c r="J10" s="35" t="n"/>
      <c r="K10" s="35" t="n"/>
      <c r="L10" s="35" t="n"/>
    </row>
    <row r="11">
      <c r="A11" s="35" t="inlineStr">
        <is>
          <t>Conclusion</t>
        </is>
      </c>
      <c r="B11" s="35" t="inlineStr"/>
      <c r="C11" s="35" t="n"/>
      <c r="D11" s="35" t="n"/>
      <c r="E11" s="35" t="n"/>
      <c r="F11" s="35" t="n"/>
      <c r="G11" s="35" t="n"/>
      <c r="H11" s="35" t="n"/>
      <c r="I11" s="35" t="n"/>
      <c r="J11" s="35" t="n"/>
      <c r="K11" s="35" t="n"/>
      <c r="L11" s="35" t="n"/>
    </row>
  </sheetData>
  <printOptions horizontalCentered="0" verticalCentered="0"/>
  <pageMargins left="0.25" right="0.25" top="0.5" bottom="0.5" header="0.2" footer="0.2"/>
  <pageSetup orientation="landscape" paperSize="1" fitToHeight="0" fitToWidth="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2026-07-02T09:51:19Z</dcterms:created>
  <dcterms:modified xmlns:dcterms="http://purl.org/dc/terms/" xmlns:xsi="http://www.w3.org/2001/XMLSchema-instance" xsi:type="dcterms:W3CDTF">2026-07-02T10:31:26Z</dcterms:modified>
  <cp:lastModifiedBy>jerry.huang@modusaudit.com</cp:lastModifiedBy>
  <cp:revision>0</cp:revision>
</cp:coreProperties>
</file>