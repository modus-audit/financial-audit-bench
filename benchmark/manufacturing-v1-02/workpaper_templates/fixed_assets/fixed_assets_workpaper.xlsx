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PE_LEAD_SHEET_ENTITY_NAME">'&lt;.1&gt; PPE Lead Sheet'!$B$2</definedName>
    <definedName name="WP_PLAN_S003_1_PPE_LEAD_SHEET_FINANCIAL_STATEMENT_DATE">'&lt;.1&gt; PPE Lead Sheet'!$E$2</definedName>
    <definedName name="WP_PLAN_S003_1_PPE_LEAD_SHEET_REPORTING_CURRENCY">'&lt;.1&gt; PPE Lead Sheet'!$H$2</definedName>
    <definedName name="WP_PLAN_S003_1_PPE_LEAD_SHEET_PERFORMANCE_MATERIALITY">'&lt;.1&gt; PPE Lead Sheet'!$B$3</definedName>
    <definedName name="WP_PLAN_S003_1_PPE_LEAD_SHEET_TOLERABLE_MISSTATEMENT">'&lt;.1&gt; PPE Lead Sheet'!$E$3</definedName>
    <definedName name="WP_PLAN_S004_2_PPE_ROLLFORWARD_ENTITY_NAME">'&lt;.2&gt; PPE Rollforward'!$B$2</definedName>
    <definedName name="WP_PLAN_S004_2_PPE_ROLLFORWARD_FINANCIAL_STATEMENT_DATE">'&lt;.2&gt; PPE Rollforward'!$E$2</definedName>
    <definedName name="WP_PLAN_S004_2_PPE_ROLLFORWARD_REPORTING_CURRENCY">'&lt;.2&gt; PPE Rollforward'!$H$2</definedName>
    <definedName name="WP_PLAN_S004_2_PPE_ROLLFORWARD_PERFORMANCE_MATERIALITY">'&lt;.2&gt; PPE Rollforward'!$B$3</definedName>
    <definedName name="WP_PLAN_S004_2_PPE_ROLLFORWARD_TOLERABLE_MISSTATEMENT">'&lt;.2&gt; PPE Rollforward'!$E$3</definedName>
    <definedName name="WP_PLAN_S005_3_ADDITIONS_DISPOSALS_ENTITY_NAME">'&lt;.3&gt; Additions &amp; Disposals'!$B$2</definedName>
    <definedName name="WP_PLAN_S005_3_ADDITIONS_DISPOSALS_FINANCIAL_STATEMENT_DATE">'&lt;.3&gt; Additions &amp; Disposals'!$E$2</definedName>
    <definedName name="WP_PLAN_S005_3_ADDITIONS_DISPOSALS_REPORTING_CURRENCY">'&lt;.3&gt; Additions &amp; Disposals'!$H$2</definedName>
    <definedName name="WP_PLAN_S005_3_ADDITIONS_DISPOSALS_PERFORMANCE_MATERIALITY">'&lt;.3&gt; Additions &amp; Disposals'!$B$3</definedName>
    <definedName name="WP_PLAN_S005_3_ADDITIONS_DISPOSALS_TOLERABLE_MISSTATEMENT">'&lt;.3&gt; Additions &amp; Disposals'!$E$3</definedName>
    <definedName name="WP_PLAN_S006_4_CIP_ADDITIONS_TRANSFERS_ENTITY_NAME">'&lt;.4&gt; CIP Additions &amp; Transfers'!$B$2</definedName>
    <definedName name="WP_PLAN_S006_4_CIP_ADDITIONS_TRANSFERS_FINANCIAL_STATEMENT_DATE">'&lt;.4&gt; CIP Additions &amp; Transfers'!$E$2</definedName>
    <definedName name="WP_PLAN_S006_4_CIP_ADDITIONS_TRANSFERS_REPORTING_CURRENCY">'&lt;.4&gt; CIP Additions &amp; Transfers'!$H$2</definedName>
    <definedName name="WP_PLAN_S006_4_CIP_ADDITIONS_TRANSFERS_PERFORMANCE_MATERIALITY">'&lt;.4&gt; CIP Additions &amp; Transfers'!$B$3</definedName>
    <definedName name="WP_PLAN_S006_4_CIP_ADDITIONS_TRANSFERS_TOLERABLE_MISSTATEMENT">'&lt;.4&gt; CIP Additions &amp; Transfers'!$E$3</definedName>
    <definedName name="WP_PLAN_S007_5_DEPRECIATION_ANALYTICS_ENTITY_NAME">'&lt;.5&gt; Depreciation &amp; Analytics'!$B$2</definedName>
    <definedName name="WP_PLAN_S007_5_DEPRECIATION_ANALYTICS_FINANCIAL_STATEMENT_DATE">'&lt;.5&gt; Depreciation &amp; Analytics'!$E$2</definedName>
    <definedName name="WP_PLAN_S007_5_DEPRECIATION_ANALYTICS_REPORTING_CURRENCY">'&lt;.5&gt; Depreciation &amp; Analytics'!$H$2</definedName>
    <definedName name="WP_PLAN_S007_5_DEPRECIATION_ANALYTICS_PERFORMANCE_MATERIALITY">'&lt;.5&gt; Depreciation &amp; Analytics'!$B$3</definedName>
    <definedName name="WP_PLAN_S007_5_DEPRECIATION_ANALYTICS_TOLERABLE_MISSTATEMENT">'&lt;.5&gt; Depreciation &amp; Analytics'!$E$3</definedName>
    <definedName name="WP_PLAN_S008_6_IMPAIRMENT_TRIGGERS_ENTITY_NAME">'&lt;.6&gt; Impairment - Triggers'!$B$2</definedName>
    <definedName name="WP_PLAN_S008_6_IMPAIRMENT_TRIGGERS_FINANCIAL_STATEMENT_DATE">'&lt;.6&gt; Impairment - Triggers'!$E$2</definedName>
    <definedName name="WP_PLAN_S008_6_IMPAIRMENT_TRIGGERS_REPORTING_CURRENCY">'&lt;.6&gt; Impairment - Triggers'!$H$2</definedName>
    <definedName name="WP_PLAN_S008_6_IMPAIRMENT_TRIGGERS_PERFORMANCE_MATERIALITY">'&lt;.6&gt; Impairment - Triggers'!$B$3</definedName>
    <definedName name="WP_PLAN_S008_6_IMPAIRMENT_TRIGGERS_TOLERABLE_MISSTATEMENT">'&lt;.6&gt; Impairment - Triggers'!$E$3</definedName>
    <definedName name="WP_PLAN_S009_7_IMPAIRMENT_HELD_USED_ENTITY_NAME">'&lt;.7&gt; Impairment - Held &amp; Used'!$B$2</definedName>
    <definedName name="WP_PLAN_S009_7_IMPAIRMENT_HELD_USED_FINANCIAL_STATEMENT_DATE">'&lt;.7&gt; Impairment - Held &amp; Used'!$E$2</definedName>
    <definedName name="WP_PLAN_S009_7_IMPAIRMENT_HELD_USED_REPORTING_CURRENCY">'&lt;.7&gt; Impairment - Held &amp; Used'!$H$2</definedName>
    <definedName name="WP_PLAN_S009_7_IMPAIRMENT_HELD_USED_PERFORMANCE_MATERIALITY">'&lt;.7&gt; Impairment - Held &amp; Used'!$B$3</definedName>
    <definedName name="WP_PLAN_S009_7_IMPAIRMENT_HELD_USED_TOLERABLE_MISSTATEMENT">'&lt;.7&gt; Impairment - Held &amp; Used'!$E$3</definedName>
    <definedName name="WP_PLAN_S010_8_PRESENTATION_DISC_ENTITY_NAME">'&lt;.8&gt; Presentation &amp; Disc'!$B$2</definedName>
    <definedName name="WP_PLAN_S010_8_PRESENTATION_DISC_FINANCIAL_STATEMENT_DATE">'&lt;.8&gt; Presentation &amp; Disc'!$E$2</definedName>
    <definedName name="WP_PLAN_S010_8_PRESENTATION_DISC_REPORTING_CURRENCY">'&lt;.8&gt; Presentation &amp; Disc'!$H$2</definedName>
    <definedName name="WP_PLAN_S010_8_PRESENTATION_DISC_PERFORMANCE_MATERIALITY">'&lt;.8&gt; Presentation &amp; Disc'!$B$3</definedName>
    <definedName name="WP_PLAN_S010_8_PRESENTATION_DISC_TOLERABLE_MISSTATEMENT">'&lt;.8&gt; Presentation &amp; Disc'!$E$3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Procedures'!$A$23</definedName>
    <definedName name="WP_PROC_012_REQUIREMENT">'Library Procedures'!$B$23</definedName>
    <definedName name="WP_PROC_012_EXECUTION_STATE">'Library Procedures'!$C$23</definedName>
    <definedName name="WP_PROC_012_EVIDENCE_STATE">'Library Procedures'!$D$23</definedName>
    <definedName name="WP_PROC_012_RESULT_STATE">'Library Procedures'!$E$23</definedName>
    <definedName name="WP_PROC_012_ISSUE_STATE">'Library Procedures'!$F$23</definedName>
    <definedName name="WP_PROC_012_SIGNOFF_STATE">'Library Procedures'!$G$23</definedName>
    <definedName name="WP_PROC_012_DERIVED_OUTCOME">'Library Procedures'!$H$23</definedName>
    <definedName name="WP_PROC_012_PROCEDURE">'Library Procedures'!$I$23</definedName>
    <definedName name="WP_PROC_012_ASSERTION_S">'Library Procedures'!$J$23</definedName>
    <definedName name="WP_PROC_012_W_P_REF">'Library Procedures'!$K$23</definedName>
    <definedName name="WP_PROC_012_PERFORMED_BY">'Library Procedures'!$L$23</definedName>
    <definedName name="WP_PROC_012_DATE">'Library Procedures'!$M$23</definedName>
    <definedName name="WP_PROC_012_REASON_CODE">'Library Procedures'!$N$23</definedName>
    <definedName name="WP_PROC_012_SOURCE_FACT_EVIDENCE">'Library Procedures'!$O$23</definedName>
    <definedName name="WP_PROC_012_ISSUE_DEPENDENCY_IDS">'Library Procedures'!$P$23</definedName>
    <definedName name="WP_PROC_012_COMMENT_WORK_PERFORMED">'Library Procedures'!$Q$23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FA_ADDITIONS_DATA">'&lt;.3&gt; Additions &amp; Disposals'!$A$10:$L$20</definedName>
    <definedName name="WP_TABLE_FA_ADDITIONS_TOTAL">'&lt;.3&gt; Additions &amp; Disposals'!$A$21:$L$21</definedName>
    <definedName name="WP_ANALYTIC_FIXED_ASSETS_DEPRECIATION_EXPENSE_ANCHOR">'&lt;.5&gt; Depreciation &amp; Analytics'!$A$24</definedName>
    <definedName name="WP_ANALYTIC_FIXED_ASSETS_DEPRECIATION_EXPENSE_CURRENT_VALUE">'&lt;.5&gt; Depreciation &amp; Analytics'!$B$24</definedName>
    <definedName name="WP_ANALYTIC_FIXED_ASSETS_DEPRECIATION_EXPENSE_COMPARATOR_VALUE">'&lt;.5&gt; Depreciation &amp; Analytics'!$C$24</definedName>
    <definedName name="WP_ANALYTIC_FIXED_ASSETS_DEPRECIATION_EXPENSE_CHANGE">'&lt;.5&gt; Depreciation &amp; Analytics'!$D$24</definedName>
    <definedName name="WP_ANALYTIC_FIXED_ASSETS_DEPRECIATION_EXPENSE_EXPLANATION">'&lt;.5&gt; Depreciation &amp; Analytics'!$E$24</definedName>
    <definedName name="WP_ANALYTIC_FIXED_ASSETS_DEPRECIATION_TO_COST_ANCHOR">'&lt;.5&gt; Depreciation &amp; Analytics'!$A$25</definedName>
    <definedName name="WP_ANALYTIC_FIXED_ASSETS_DEPRECIATION_TO_COST_CURRENT_VALUE">'&lt;.5&gt; Depreciation &amp; Analytics'!$B$25</definedName>
    <definedName name="WP_ANALYTIC_FIXED_ASSETS_DEPRECIATION_TO_COST_COMPARATOR_VALUE">'&lt;.5&gt; Depreciation &amp; Analytics'!$C$25</definedName>
    <definedName name="WP_ANALYTIC_FIXED_ASSETS_DEPRECIATION_TO_COST_CHANGE">'&lt;.5&gt; Depreciation &amp; Analytics'!$D$25</definedName>
    <definedName name="WP_ANALYTIC_FIXED_ASSETS_DEPRECIATION_TO_COST_EXPLANATION">'&lt;.5&gt; Depreciation &amp; Analytics'!$E$25</definedName>
    <definedName name="WP_ANALYTIC_FIXED_ASSETS_ACCUMULATED_TO_COST_ANCHOR">'&lt;.5&gt; Depreciation &amp; Analytics'!$A$26</definedName>
    <definedName name="WP_ANALYTIC_FIXED_ASSETS_ACCUMULATED_TO_COST_CURRENT_VALUE">'&lt;.5&gt; Depreciation &amp; Analytics'!$B$26</definedName>
    <definedName name="WP_ANALYTIC_FIXED_ASSETS_ACCUMULATED_TO_COST_COMPARATOR_VALUE">'&lt;.5&gt; Depreciation &amp; Analytics'!$C$26</definedName>
    <definedName name="WP_ANALYTIC_FIXED_ASSETS_ACCUMULATED_TO_COST_CHANGE">'&lt;.5&gt; Depreciation &amp; Analytics'!$D$26</definedName>
    <definedName name="WP_ANALYTIC_FIXED_ASSETS_ACCUMULATED_TO_COST_EXPLANATION">'&lt;.5&gt; Depreciation &amp; Analytics'!$E$26</definedName>
    <definedName name="WP_ANALYTIC_FIXED_ASSETS_AVERAGE_LIFE_ANCHOR">'&lt;.5&gt; Depreciation &amp; Analytics'!$A$27</definedName>
    <definedName name="WP_ANALYTIC_FIXED_ASSETS_AVERAGE_LIFE_CURRENT_VALUE">'&lt;.5&gt; Depreciation &amp; Analytics'!$B$27</definedName>
    <definedName name="WP_ANALYTIC_FIXED_ASSETS_AVERAGE_LIFE_COMPARATOR_VALUE">'&lt;.5&gt; Depreciation &amp; Analytics'!$C$27</definedName>
    <definedName name="WP_ANALYTIC_FIXED_ASSETS_AVERAGE_LIFE_CHANGE">'&lt;.5&gt; Depreciation &amp; Analytics'!$D$27</definedName>
    <definedName name="WP_ANALYTIC_FIXED_ASSETS_AVERAGE_LIFE_EXPLANATION">'&lt;.5&gt; Depreciation &amp; Analytics'!$E$27</definedName>
    <definedName name="WP_ANALYTIC_FIXED_ASSETS_FULLY_DEPRECIATED_IN_USE_ANCHOR">'&lt;.5&gt; Depreciation &amp; Analytics'!$A$28</definedName>
    <definedName name="WP_ANALYTIC_FIXED_ASSETS_FULLY_DEPRECIATED_IN_USE_CURRENT_VALUE">'&lt;.5&gt; Depreciation &amp; Analytics'!$B$28</definedName>
    <definedName name="WP_ANALYTIC_FIXED_ASSETS_FULLY_DEPRECIATED_IN_USE_COMPARATOR_VALUE">'&lt;.5&gt; Depreciation &amp; Analytics'!$C$28</definedName>
    <definedName name="WP_ANALYTIC_FIXED_ASSETS_FULLY_DEPRECIATED_IN_USE_CHANGE">'&lt;.5&gt; Depreciation &amp; Analytics'!$D$28</definedName>
    <definedName name="WP_ANALYTIC_FIXED_ASSETS_FULLY_DEPRECIATED_IN_USE_EXPLANATION">'&lt;.5&gt; Depreciation &amp; Analytics'!$E$28</definedName>
    <definedName name="WP_DISCLOSURE_FIXED_ASSETS_METHODS_AND_LIVES_ANCHOR">'&lt;.8&gt; Presentation &amp; Disc'!$A$8</definedName>
    <definedName name="WP_DISCLOSURE_FIXED_ASSETS_METHODS_AND_LIVES_CLASS_METHOD_LIFE_TABLE">'&lt;.8&gt; Presentation &amp; Disc'!$A$9:$E$15</definedName>
    <definedName name="WP_DISCLOSURE_FIXED_ASSETS_FULLY_DEPRECIATED_ANCHOR">'&lt;.8&gt; Presentation &amp; Disc'!$A$18</definedName>
    <definedName name="WP_DISCLOSURE_FIXED_ASSETS_FULLY_DEPRECIATED_RELEVANT">'&lt;.8&gt; Presentation &amp; Disc'!$B$18</definedName>
    <definedName name="WP_DISCLOSURE_FIXED_ASSETS_FULLY_DEPRECIATED_SOURCE_REFERENCE">'&lt;.8&gt; Presentation &amp; Disc'!$C$18</definedName>
    <definedName name="WP_DISCLOSURE_FIXED_ASSETS_FULLY_DEPRECIATED_CONCLUSION">'&lt;.8&gt; Presentation &amp; Disc'!$D$18</definedName>
    <definedName name="WP_DISCLOSURE_FIXED_ASSETS_FULLY_DEPRECIATED_COMMENTS">'&lt;.8&gt; Presentation &amp; Disc'!$E$18</definedName>
    <definedName name="WP_DISCLOSURE_FIXED_ASSETS_HELD_FOR_SALE_ANCHOR">'&lt;.8&gt; Presentation &amp; Disc'!$A$19</definedName>
    <definedName name="WP_DISCLOSURE_FIXED_ASSETS_HELD_FOR_SALE_RELEVANT">'&lt;.8&gt; Presentation &amp; Disc'!$B$19</definedName>
    <definedName name="WP_DISCLOSURE_FIXED_ASSETS_HELD_FOR_SALE_SOURCE_REFERENCE">'&lt;.8&gt; Presentation &amp; Disc'!$C$19</definedName>
    <definedName name="WP_DISCLOSURE_FIXED_ASSETS_HELD_FOR_SALE_CONCLUSION">'&lt;.8&gt; Presentation &amp; Disc'!$D$19</definedName>
    <definedName name="WP_DISCLOSURE_FIXED_ASSETS_HELD_FOR_SALE_COMMENTS">'&lt;.8&gt; Presentation &amp; Disc'!$E$19</definedName>
    <definedName name="WP_DISCLOSURE_FIXED_ASSETS_PLEDGED_ANCHOR">'&lt;.8&gt; Presentation &amp; Disc'!$A$20</definedName>
    <definedName name="WP_DISCLOSURE_FIXED_ASSETS_PLEDGED_RELEVANT">'&lt;.8&gt; Presentation &amp; Disc'!$B$20</definedName>
    <definedName name="WP_DISCLOSURE_FIXED_ASSETS_PLEDGED_SOURCE_REFERENCE">'&lt;.8&gt; Presentation &amp; Disc'!$C$20</definedName>
    <definedName name="WP_DISCLOSURE_FIXED_ASSETS_PLEDGED_CONCLUSION">'&lt;.8&gt; Presentation &amp; Disc'!$D$20</definedName>
    <definedName name="WP_DISCLOSURE_FIXED_ASSETS_PLEDGED_COMMENTS">'&lt;.8&gt; Presentation &amp; Disc'!$E$20</definedName>
    <definedName name="WP_DISCLOSURE_FIXED_ASSETS_COMMITMENTS_ANCHOR">'&lt;.8&gt; Presentation &amp; Disc'!$A$21</definedName>
    <definedName name="WP_DISCLOSURE_FIXED_ASSETS_COMMITMENTS_RELEVANT">'&lt;.8&gt; Presentation &amp; Disc'!$B$21</definedName>
    <definedName name="WP_DISCLOSURE_FIXED_ASSETS_COMMITMENTS_SOURCE_REFERENCE">'&lt;.8&gt; Presentation &amp; Disc'!$C$21</definedName>
    <definedName name="WP_DISCLOSURE_FIXED_ASSETS_COMMITMENTS_CONCLUSION">'&lt;.8&gt; Presentation &amp; Disc'!$D$21</definedName>
    <definedName name="WP_DISCLOSURE_FIXED_ASSETS_COMMITMENTS_COMMENTS">'&lt;.8&gt; Presentation &amp; Disc'!$E$21</definedName>
    <definedName name="WP_DISCLOSURE_FIXED_ASSETS_DISPOSAL_PRESENTATION_ANCHOR">'&lt;.8&gt; Presentation &amp; Disc'!$A$22</definedName>
    <definedName name="WP_DISCLOSURE_FIXED_ASSETS_DISPOSAL_PRESENTATION_RELEVANT">'&lt;.8&gt; Presentation &amp; Disc'!$B$22</definedName>
    <definedName name="WP_DISCLOSURE_FIXED_ASSETS_DISPOSAL_PRESENTATION_SOURCE_REFERENCE">'&lt;.8&gt; Presentation &amp; Disc'!$C$22</definedName>
    <definedName name="WP_DISCLOSURE_FIXED_ASSETS_DISPOSAL_PRESENTATION_CONCLUSION">'&lt;.8&gt; Presentation &amp; Disc'!$D$22</definedName>
    <definedName name="WP_DISCLOSURE_FIXED_ASSETS_DISPOSAL_PRESENTATION_COMMENTS">'&lt;.8&gt; Presentation &amp; Disc'!$E$22</definedName>
    <definedName name="WP_DISCLOSURE_FIXED_ASSETS_EXPENSE_CLASSIFICATION_ANCHOR">'&lt;.8&gt; Presentation &amp; Disc'!$A$23</definedName>
    <definedName name="WP_DISCLOSURE_FIXED_ASSETS_EXPENSE_CLASSIFICATION_RELEVANT">'&lt;.8&gt; Presentation &amp; Disc'!$B$23</definedName>
    <definedName name="WP_DISCLOSURE_FIXED_ASSETS_EXPENSE_CLASSIFICATION_SOURCE_REFERENCE">'&lt;.8&gt; Presentation &amp; Disc'!$C$23</definedName>
    <definedName name="WP_DISCLOSURE_FIXED_ASSETS_EXPENSE_CLASSIFICATION_CONCLUSION">'&lt;.8&gt; Presentation &amp; Disc'!$D$23</definedName>
    <definedName name="WP_DISCLOSURE_FIXED_ASSETS_EXPENSE_CLASSIFICATION_COMMENTS">'&lt;.8&gt; Presentation &amp; Disc'!$E$23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Titles" localSheetId="2">'&lt;.1&gt; PPE Lead Sheet'!$1:$7</definedName>
    <definedName name="_xlnm.Print_Area" localSheetId="2">'&lt;.1&gt; PPE Lead Sheet'!$A$1:$I$40</definedName>
    <definedName name="_xlnm.Print_Area" localSheetId="3">'&lt;.2&gt; PPE Rollforward'!$A$1:$L$34</definedName>
    <definedName name="_xlnm._FilterDatabase" localSheetId="4" hidden="1">'&lt;.3&gt; Additions &amp; Disposals'!$A$8:$L$20</definedName>
    <definedName name="_xlnm.Print_Titles" localSheetId="4">'&lt;.3&gt; Additions &amp; Disposals'!$1:$7</definedName>
    <definedName name="_xlnm.Print_Area" localSheetId="4">'&lt;.3&gt; Additions &amp; Disposals'!$A$1:$L$48</definedName>
    <definedName name="_xlnm.Print_Titles" localSheetId="5">'&lt;.4&gt; CIP Additions &amp; Transfers'!$1:$7</definedName>
    <definedName name="_xlnm.Print_Area" localSheetId="5">'&lt;.4&gt; CIP Additions &amp; Transfers'!$A$1:$H$45</definedName>
    <definedName name="_xlnm.Print_Titles" localSheetId="6">'&lt;.5&gt; Depreciation &amp; Analytics'!$1:$7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color theme="1"/>
      <sz val="11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17" fillId="0" borderId="0" applyAlignment="1" pivotButton="0" quotePrefix="0" xfId="0">
      <alignment vertical="top" wrapText="1"/>
    </xf>
    <xf numFmtId="0" fontId="21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left" vertical="center" wrapText="1"/>
    </xf>
    <xf numFmtId="0" fontId="20" fillId="2" borderId="1" pivotButton="0" quotePrefix="0" xfId="0"/>
    <xf numFmtId="0" fontId="20" fillId="2" borderId="0" pivotButton="0" quotePrefix="0" xfId="0"/>
    <xf numFmtId="0" fontId="18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165" fontId="21" fillId="0" borderId="1" applyAlignment="1" pivotButton="0" quotePrefix="0" xfId="0">
      <alignment vertical="top" wrapText="1"/>
    </xf>
    <xf numFmtId="0" fontId="20" fillId="2" borderId="0" applyAlignment="1" pivotButton="0" quotePrefix="0" xfId="0">
      <alignment vertical="top" wrapText="1"/>
    </xf>
    <xf numFmtId="0" fontId="17" fillId="0" borderId="0" pivotButton="0" quotePrefix="0" xfId="0"/>
    <xf numFmtId="0" fontId="22" fillId="0" borderId="0" pivotButton="0" quotePrefix="0" xfId="0"/>
    <xf numFmtId="165" fontId="18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vertical="top" wrapText="1"/>
    </xf>
    <xf numFmtId="4" fontId="18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25" fillId="0" borderId="1" applyAlignment="1" pivotButton="0" quotePrefix="0" xfId="0">
      <alignment horizontal="center" vertical="center"/>
    </xf>
    <xf numFmtId="0" fontId="21" fillId="0" borderId="6" pivotButton="0" quotePrefix="0" xfId="0"/>
    <xf numFmtId="0" fontId="21" fillId="0" borderId="7" pivotButton="0" quotePrefix="0" xfId="0"/>
    <xf numFmtId="0" fontId="23" fillId="0" borderId="2" pivotButton="0" quotePrefix="0" xfId="0"/>
    <xf numFmtId="0" fontId="18" fillId="0" borderId="2" applyAlignment="1" pivotButton="0" quotePrefix="0" xfId="0">
      <alignment horizontal="left" vertical="center" wrapText="1"/>
    </xf>
    <xf numFmtId="0" fontId="21" fillId="0" borderId="10" pivotButton="0" quotePrefix="0" xfId="0"/>
    <xf numFmtId="0" fontId="21" fillId="0" borderId="11" pivotButton="0" quotePrefix="0" xfId="0"/>
    <xf numFmtId="0" fontId="24" fillId="2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4" fontId="18" fillId="0" borderId="1" pivotButton="0" quotePrefix="0" xfId="0"/>
    <xf numFmtId="4" fontId="18" fillId="0" borderId="1" applyAlignment="1" pivotButton="0" quotePrefix="0" xfId="0">
      <alignment vertical="top" wrapText="1"/>
    </xf>
    <xf numFmtId="10" fontId="18" fillId="0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vertical="top" wrapText="1"/>
    </xf>
    <xf numFmtId="4" fontId="29" fillId="0" borderId="0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4" fontId="27" fillId="0" borderId="0" pivotButton="0" quotePrefix="0" xfId="0"/>
    <xf numFmtId="0" fontId="28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top" wrapText="1"/>
    </xf>
    <xf numFmtId="165" fontId="21" fillId="0" borderId="0" pivotButton="0" quotePrefix="0" xfId="0"/>
    <xf numFmtId="4" fontId="21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12" pivotButton="0" quotePrefix="0" xfId="0"/>
    <xf numFmtId="0" fontId="32" fillId="0" borderId="12" pivotButton="0" quotePrefix="0" xfId="0"/>
    <xf numFmtId="0" fontId="32" fillId="0" borderId="12" applyAlignment="1" pivotButton="0" quotePrefix="0" xfId="0">
      <alignment vertical="top" wrapText="1"/>
    </xf>
    <xf numFmtId="165" fontId="32" fillId="0" borderId="12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FA_ADDITIONS" displayName="WP_FA_ADDITIONS" ref="A8:L20" headerRowCount="1">
  <autoFilter ref="A8:L20"/>
  <tableColumns count="12">
    <tableColumn id="1" name="Asset / description"/>
    <tableColumn id="2" name="Class"/>
    <tableColumn id="3" name="Vendor"/>
    <tableColumn id="4" name="Invoice / PO ref"/>
    <tableColumn id="5" name="Invoice date"/>
    <tableColumn id="6" name="In-service date"/>
    <tableColumn id="7" name="Amount"/>
    <tableColumn id="8" name="Capitalize per policy? (Y/N)"/>
    <tableColumn id="9" name="Vouched (Y/N)"/>
    <tableColumn id="10" name="Inspected (Y/N)"/>
    <tableColumn id="11" name="Title / rights evidence"/>
    <tableColumn id="12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1.9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27" customHeight="1">
      <c r="A1" s="28" t="inlineStr">
        <is>
          <t>Fixed Assets (PP&amp;E) — Library of Audit Procedures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</row>
    <row r="2" ht="27" customHeight="1">
      <c r="A2" s="30" t="inlineStr">
        <is>
          <t>Client / Entity: Zephirax Industrial Holdings, LLC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</row>
    <row r="3" ht="40.5" customHeight="1">
      <c r="A3" s="30" t="inlineStr">
        <is>
          <t>Prepared by: Audit Senior 28BD (assigned)      Reviewed by: Audit Manager 508F (assigned)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25.5" customHeight="1">
      <c r="A4" s="3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</row>
    <row r="6" ht="19.5" customHeight="1">
      <c r="A6" s="32" t="inlineStr">
        <is>
          <t>Applicability</t>
        </is>
      </c>
      <c r="B6" s="32" t="inlineStr">
        <is>
          <t>Requirement</t>
        </is>
      </c>
      <c r="C6" s="32" t="inlineStr">
        <is>
          <t>Execution state</t>
        </is>
      </c>
      <c r="D6" s="32" t="inlineStr">
        <is>
          <t>Evidence state</t>
        </is>
      </c>
      <c r="E6" s="32" t="inlineStr">
        <is>
          <t>Result state</t>
        </is>
      </c>
      <c r="F6" s="32" t="inlineStr">
        <is>
          <t>Issue state</t>
        </is>
      </c>
      <c r="G6" s="32" t="inlineStr">
        <is>
          <t>Signoff state</t>
        </is>
      </c>
      <c r="H6" s="32" t="inlineStr">
        <is>
          <t>Derived outcome</t>
        </is>
      </c>
      <c r="I6" s="32" t="inlineStr">
        <is>
          <t>Procedure</t>
        </is>
      </c>
      <c r="J6" s="32" t="inlineStr">
        <is>
          <t>Assertion(s)</t>
        </is>
      </c>
      <c r="K6" s="32" t="inlineStr">
        <is>
          <t>W/P Ref</t>
        </is>
      </c>
      <c r="L6" s="32" t="inlineStr">
        <is>
          <t>Performed by</t>
        </is>
      </c>
      <c r="M6" s="32" t="inlineStr">
        <is>
          <t>Date</t>
        </is>
      </c>
      <c r="N6" s="32" t="inlineStr">
        <is>
          <t>Reason code</t>
        </is>
      </c>
      <c r="O6" s="32" t="inlineStr">
        <is>
          <t>Source fact / evidence</t>
        </is>
      </c>
      <c r="P6" s="32" t="inlineStr">
        <is>
          <t>Issue / dependency IDs</t>
        </is>
      </c>
      <c r="Q6" s="32" t="inlineStr">
        <is>
          <t>Comment / Work performed</t>
        </is>
      </c>
    </row>
    <row r="7" ht="15" customHeight="1">
      <c r="A7" s="33" t="n"/>
      <c r="B7" s="29" t="n"/>
      <c r="C7" s="29" t="n"/>
      <c r="D7" s="29" t="n"/>
      <c r="E7" s="29" t="n"/>
      <c r="F7" s="29" t="n"/>
      <c r="G7" s="29" t="n"/>
      <c r="H7" s="29" t="n"/>
      <c r="I7" s="34" t="inlineStr">
        <is>
          <t>&lt;.0&gt; Source Index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</row>
    <row r="8" ht="120" customHeight="1">
      <c r="A8" s="35" t="inlineStr">
        <is>
          <t>Applicable</t>
        </is>
      </c>
      <c r="B8" s="35" t="inlineStr">
        <is>
          <t>Required</t>
        </is>
      </c>
      <c r="C8" s="35" t="inlineStr">
        <is>
          <t>Not Started</t>
        </is>
      </c>
      <c r="D8" s="35" t="inlineStr">
        <is>
          <t>Missing</t>
        </is>
      </c>
      <c r="E8" s="35" t="inlineStr">
        <is>
          <t>Unable to Conclude</t>
        </is>
      </c>
      <c r="F8" s="35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J8" s="36" t="inlineStr">
        <is>
          <t>Completeness</t>
        </is>
      </c>
      <c r="K8" s="36" t="inlineStr">
        <is>
          <t>&lt;.0&gt;</t>
        </is>
      </c>
      <c r="L8" s="36" t="n"/>
      <c r="M8" s="37" t="n"/>
      <c r="N8" s="36" t="n"/>
      <c r="O8" s="36" t="n"/>
      <c r="P8" s="36" t="inlineStr">
        <is>
          <t>PROC:PROC-FIXED-ASSETS; WINDOW:WIN-FA-CUTOFF</t>
        </is>
      </c>
      <c r="Q8" s="36" t="n"/>
    </row>
    <row r="9" ht="15" customHeight="1">
      <c r="A9" s="33" t="n"/>
      <c r="B9" s="29" t="n"/>
      <c r="C9" s="29" t="n"/>
      <c r="D9" s="29" t="n"/>
      <c r="E9" s="29" t="n"/>
      <c r="F9" s="29" t="n"/>
      <c r="G9" s="29" t="n"/>
      <c r="H9" s="29" t="n"/>
      <c r="I9" s="38" t="inlineStr">
        <is>
          <t>&lt;.1&gt; PPE Lead Sheet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</row>
    <row r="10" ht="120" customHeight="1">
      <c r="A10" s="35" t="inlineStr">
        <is>
          <t>Applicable</t>
        </is>
      </c>
      <c r="B10" s="35" t="inlineStr">
        <is>
          <t>Required</t>
        </is>
      </c>
      <c r="C10" s="35" t="inlineStr">
        <is>
          <t>Not Started</t>
        </is>
      </c>
      <c r="D10" s="35" t="inlineStr">
        <is>
          <t>Missing</t>
        </is>
      </c>
      <c r="E10" s="35" t="inlineStr">
        <is>
          <t>Unable to Conclude</t>
        </is>
      </c>
      <c r="F10" s="35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2. Obtain the PPE lead sheet and agree gross cost, accumulated depreciation and net book value to the trial balance and general ledger by asset class.</t>
        </is>
      </c>
      <c r="J10" s="36" t="inlineStr">
        <is>
          <t>Existence; Valuation &amp; Allocation; Completeness</t>
        </is>
      </c>
      <c r="K10" s="36" t="inlineStr">
        <is>
          <t>&lt;.1&gt;</t>
        </is>
      </c>
      <c r="L10" s="36" t="n"/>
      <c r="M10" s="37" t="n"/>
      <c r="N10" s="36" t="n"/>
      <c r="O10" s="36" t="n"/>
      <c r="P10" s="36" t="inlineStr">
        <is>
          <t>PROC:PROC-FIXED-ASSETS</t>
        </is>
      </c>
      <c r="Q10" s="36" t="n"/>
    </row>
    <row r="11" ht="120" customHeight="1">
      <c r="A11" s="35" t="inlineStr">
        <is>
          <t>Applicable</t>
        </is>
      </c>
      <c r="B11" s="35" t="inlineStr">
        <is>
          <t>Required</t>
        </is>
      </c>
      <c r="C11" s="35" t="inlineStr">
        <is>
          <t>Not Started</t>
        </is>
      </c>
      <c r="D11" s="35" t="inlineStr">
        <is>
          <t>Missing</t>
        </is>
      </c>
      <c r="E11" s="35" t="inlineStr">
        <is>
          <t>Unable to Conclude</t>
        </is>
      </c>
      <c r="F11" s="35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3. Reconcile the fixed-asset register to the trial balance (cost, accumulated depreciation and depreciation expense) — mandatory register-to-TB reconciliation.</t>
        </is>
      </c>
      <c r="J11" s="36" t="inlineStr">
        <is>
          <t>Completeness; Valuation &amp; Allocation</t>
        </is>
      </c>
      <c r="K11" s="36" t="inlineStr">
        <is>
          <t>&lt;.1&gt;</t>
        </is>
      </c>
      <c r="L11" s="36" t="n"/>
      <c r="M11" s="37" t="n"/>
      <c r="N11" s="36" t="n"/>
      <c r="O11" s="36" t="n"/>
      <c r="P11" s="36" t="inlineStr">
        <is>
          <t>PROC:PROC-FIXED-ASSETS</t>
        </is>
      </c>
      <c r="Q11" s="36" t="n"/>
    </row>
    <row r="12" ht="120" customHeight="1">
      <c r="A12" s="35" t="inlineStr">
        <is>
          <t>Applicable</t>
        </is>
      </c>
      <c r="B12" s="35" t="inlineStr">
        <is>
          <t>Required</t>
        </is>
      </c>
      <c r="C12" s="35" t="inlineStr">
        <is>
          <t>Not Started</t>
        </is>
      </c>
      <c r="D12" s="35" t="inlineStr">
        <is>
          <t>Missing</t>
        </is>
      </c>
      <c r="E12" s="35" t="inlineStr">
        <is>
          <t>Unable to Conclude</t>
        </is>
      </c>
      <c r="F12" s="35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4. Map the register asset classes to the trial-balance GL cost accounts (crosswalk) and investigate classification differences.</t>
        </is>
      </c>
      <c r="J12" s="36" t="inlineStr">
        <is>
          <t>Classification; Completeness</t>
        </is>
      </c>
      <c r="K12" s="36" t="inlineStr">
        <is>
          <t>&lt;.1&gt;</t>
        </is>
      </c>
      <c r="L12" s="36" t="n"/>
      <c r="M12" s="37" t="n"/>
      <c r="N12" s="36" t="n"/>
      <c r="O12" s="36" t="n"/>
      <c r="P12" s="36" t="inlineStr">
        <is>
          <t>PROC:PROC-FIXED-ASSETS</t>
        </is>
      </c>
      <c r="Q12" s="36" t="n"/>
    </row>
    <row r="13" ht="120" customHeight="1">
      <c r="A13" s="35" t="inlineStr">
        <is>
          <t>Applicable</t>
        </is>
      </c>
      <c r="B13" s="35" t="inlineStr">
        <is>
          <t>Required</t>
        </is>
      </c>
      <c r="C13" s="35" t="inlineStr">
        <is>
          <t>Not Started</t>
        </is>
      </c>
      <c r="D13" s="35" t="inlineStr">
        <is>
          <t>Missing</t>
        </is>
      </c>
      <c r="E13" s="35" t="inlineStr">
        <is>
          <t>Unable to Conclude</t>
        </is>
      </c>
      <c r="F13" s="35" t="inlineStr">
        <is>
          <t>None</t>
        </is>
      </c>
      <c r="G13" s="36" t="inlineStr">
        <is>
          <t>Unsigned</t>
        </is>
      </c>
      <c r="H13" s="3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36" t="inlineStr">
        <is>
          <t>5. Verify title / ownership of significant assets and identify liens or pledged assets.</t>
        </is>
      </c>
      <c r="J13" s="36" t="inlineStr">
        <is>
          <t>Rights &amp; Obligations</t>
        </is>
      </c>
      <c r="K13" s="36" t="inlineStr">
        <is>
          <t>&lt;.1&gt;</t>
        </is>
      </c>
      <c r="L13" s="36" t="n"/>
      <c r="M13" s="37" t="n"/>
      <c r="N13" s="36" t="n"/>
      <c r="O13" s="36" t="n"/>
      <c r="P13" s="36" t="inlineStr">
        <is>
          <t>PROC:PROC-FIXED-ASSETS</t>
        </is>
      </c>
      <c r="Q13" s="36" t="n"/>
    </row>
    <row r="14" ht="15" customHeight="1">
      <c r="A14" s="33" t="n"/>
      <c r="B14" s="29" t="n"/>
      <c r="C14" s="29" t="n"/>
      <c r="D14" s="29" t="n"/>
      <c r="E14" s="29" t="n"/>
      <c r="F14" s="29" t="n"/>
      <c r="G14" s="29" t="n"/>
      <c r="H14" s="29" t="n"/>
      <c r="I14" s="38" t="inlineStr">
        <is>
          <t>&lt;.2&gt; PPE Rollforward</t>
        </is>
      </c>
      <c r="J14" s="29" t="n"/>
      <c r="K14" s="29" t="n"/>
      <c r="L14" s="29" t="n"/>
      <c r="M14" s="29" t="n"/>
      <c r="N14" s="29" t="n"/>
      <c r="O14" s="29" t="n"/>
      <c r="P14" s="29" t="n"/>
      <c r="Q14" s="29" t="n"/>
    </row>
    <row r="15" ht="120" customHeight="1">
      <c r="A15" s="35" t="inlineStr">
        <is>
          <t>Applicable</t>
        </is>
      </c>
      <c r="B15" s="35" t="inlineStr">
        <is>
          <t>Required</t>
        </is>
      </c>
      <c r="C15" s="35" t="inlineStr">
        <is>
          <t>Not Started</t>
        </is>
      </c>
      <c r="D15" s="35" t="inlineStr">
        <is>
          <t>Missing</t>
        </is>
      </c>
      <c r="E15" s="35" t="inlineStr">
        <is>
          <t>Unable to Conclude</t>
        </is>
      </c>
      <c r="F15" s="35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J15" s="36" t="inlineStr">
        <is>
          <t>Completeness; Valuation &amp; Allocation; Accuracy</t>
        </is>
      </c>
      <c r="K15" s="36" t="inlineStr">
        <is>
          <t>&lt;.2&gt;</t>
        </is>
      </c>
      <c r="L15" s="36" t="n"/>
      <c r="M15" s="37" t="n"/>
      <c r="N15" s="36" t="n"/>
      <c r="O15" s="36" t="n"/>
      <c r="P15" s="36" t="inlineStr">
        <is>
          <t>PROC:PROC-FIXED-ASSETS; WINDOW:WIN-FA-CUTOFF</t>
        </is>
      </c>
      <c r="Q15" s="36" t="n"/>
    </row>
    <row r="16" ht="15" customHeight="1">
      <c r="A16" s="33" t="n"/>
      <c r="B16" s="29" t="n"/>
      <c r="C16" s="29" t="n"/>
      <c r="D16" s="29" t="n"/>
      <c r="E16" s="29" t="n"/>
      <c r="F16" s="29" t="n"/>
      <c r="G16" s="29" t="n"/>
      <c r="H16" s="29" t="n"/>
      <c r="I16" s="38" t="inlineStr">
        <is>
          <t>&lt;.3&gt; Additions &amp; Disposals</t>
        </is>
      </c>
      <c r="J16" s="29" t="n"/>
      <c r="K16" s="29" t="n"/>
      <c r="L16" s="29" t="n"/>
      <c r="M16" s="29" t="n"/>
      <c r="N16" s="29" t="n"/>
      <c r="O16" s="29" t="n"/>
      <c r="P16" s="29" t="n"/>
      <c r="Q16" s="29" t="n"/>
    </row>
    <row r="17" ht="120" customHeight="1">
      <c r="A17" s="35" t="inlineStr">
        <is>
          <t>Applicable</t>
        </is>
      </c>
      <c r="B17" s="35" t="inlineStr">
        <is>
          <t>Required</t>
        </is>
      </c>
      <c r="C17" s="35" t="inlineStr">
        <is>
          <t>Not Started</t>
        </is>
      </c>
      <c r="D17" s="35" t="inlineStr">
        <is>
          <t>Missing</t>
        </is>
      </c>
      <c r="E17" s="35" t="inlineStr">
        <is>
          <t>Unable to Conclude</t>
        </is>
      </c>
      <c r="F17" s="35" t="inlineStr">
        <is>
          <t>None</t>
        </is>
      </c>
      <c r="G17" s="36" t="inlineStr">
        <is>
          <t>Unsigned</t>
        </is>
      </c>
      <c r="H17" s="3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6" t="inlineStr">
        <is>
          <t>7. Vouch current-year additions to invoices / purchase orders / receiving / approval; confirm the in-service date and that capitalization follows policy (capital vs expense threshold).</t>
        </is>
      </c>
      <c r="J17" s="36" t="inlineStr">
        <is>
          <t>Existence; Accuracy; Rights &amp; Obligations</t>
        </is>
      </c>
      <c r="K17" s="36" t="inlineStr">
        <is>
          <t>&lt;.3&gt;</t>
        </is>
      </c>
      <c r="L17" s="36" t="n"/>
      <c r="M17" s="37" t="n"/>
      <c r="N17" s="36" t="n"/>
      <c r="O17" s="36" t="n"/>
      <c r="P17" s="36" t="inlineStr">
        <is>
          <t>PROC:PROC-FIXED-ASSETS</t>
        </is>
      </c>
      <c r="Q17" s="36" t="n"/>
    </row>
    <row r="18" ht="120" customHeight="1">
      <c r="A18" s="35" t="inlineStr">
        <is>
          <t>Applicable</t>
        </is>
      </c>
      <c r="B18" s="35" t="inlineStr">
        <is>
          <t>Required</t>
        </is>
      </c>
      <c r="C18" s="35" t="inlineStr">
        <is>
          <t>Not Started</t>
        </is>
      </c>
      <c r="D18" s="35" t="inlineStr">
        <is>
          <t>Missing</t>
        </is>
      </c>
      <c r="E18" s="35" t="inlineStr">
        <is>
          <t>Unable to Conclude</t>
        </is>
      </c>
      <c r="F18" s="35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8. Physically inspect (or obtain serial / photographic / tag evidence for) selected high-value additions.</t>
        </is>
      </c>
      <c r="J18" s="36" t="inlineStr">
        <is>
          <t>Existence</t>
        </is>
      </c>
      <c r="K18" s="36" t="inlineStr">
        <is>
          <t>&lt;.3&gt;</t>
        </is>
      </c>
      <c r="L18" s="36" t="n"/>
      <c r="M18" s="37" t="n"/>
      <c r="N18" s="36" t="n"/>
      <c r="O18" s="36" t="n"/>
      <c r="P18" s="36" t="inlineStr">
        <is>
          <t>PROC:PROC-FIXED-ASSETS</t>
        </is>
      </c>
      <c r="Q18" s="36" t="n"/>
    </row>
    <row r="19" ht="120" customHeight="1">
      <c r="A19" s="35" t="inlineStr">
        <is>
          <t>Applicable</t>
        </is>
      </c>
      <c r="B19" s="35" t="inlineStr">
        <is>
          <t>Required</t>
        </is>
      </c>
      <c r="C19" s="35" t="inlineStr">
        <is>
          <t>Not Started</t>
        </is>
      </c>
      <c r="D19" s="35" t="inlineStr">
        <is>
          <t>Missing</t>
        </is>
      </c>
      <c r="E19" s="35" t="inlineStr">
        <is>
          <t>Unable to Conclude</t>
        </is>
      </c>
      <c r="F19" s="35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9. Scan repairs &amp; maintenance for items that should have been capitalized, and capitalized items that should be expensed.</t>
        </is>
      </c>
      <c r="J19" s="36" t="inlineStr">
        <is>
          <t>Completeness; Classification</t>
        </is>
      </c>
      <c r="K19" s="36" t="inlineStr">
        <is>
          <t>&lt;.3&gt;</t>
        </is>
      </c>
      <c r="L19" s="36" t="n"/>
      <c r="M19" s="37" t="n"/>
      <c r="N19" s="36" t="n"/>
      <c r="O19" s="36" t="n"/>
      <c r="P19" s="36" t="inlineStr">
        <is>
          <t>PROC:PROC-FIXED-ASSETS</t>
        </is>
      </c>
      <c r="Q19" s="36" t="n"/>
    </row>
    <row r="20" ht="120" customHeight="1">
      <c r="A20" s="35" t="inlineStr">
        <is>
          <t>Applicable</t>
        </is>
      </c>
      <c r="B20" s="35" t="inlineStr">
        <is>
          <t>Required</t>
        </is>
      </c>
      <c r="C20" s="35" t="inlineStr">
        <is>
          <t>Not Started</t>
        </is>
      </c>
      <c r="D20" s="35" t="inlineStr">
        <is>
          <t>Missing</t>
        </is>
      </c>
      <c r="E20" s="35" t="inlineStr">
        <is>
          <t>Unable to Conclude</t>
        </is>
      </c>
      <c r="F20" s="35" t="inlineStr">
        <is>
          <t>None</t>
        </is>
      </c>
      <c r="G20" s="36" t="inlineStr">
        <is>
          <t>Unsigned</t>
        </is>
      </c>
      <c r="H20" s="3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6" t="inlineStr">
        <is>
          <t>10. Obtain the complete disposal / retirement listing; test disposals — remove cost and accumulated depreciation, agree proceeds, and recompute the gain/loss.</t>
        </is>
      </c>
      <c r="J20" s="36" t="inlineStr">
        <is>
          <t>Completeness; Accuracy</t>
        </is>
      </c>
      <c r="K20" s="36" t="inlineStr">
        <is>
          <t>&lt;.3&gt;</t>
        </is>
      </c>
      <c r="L20" s="36" t="n"/>
      <c r="M20" s="37" t="n"/>
      <c r="N20" s="36" t="n"/>
      <c r="O20" s="36" t="n"/>
      <c r="P20" s="36" t="inlineStr">
        <is>
          <t>PROC:PROC-FIXED-ASSETS</t>
        </is>
      </c>
      <c r="Q20" s="36" t="n"/>
    </row>
    <row r="21" ht="15" customHeight="1">
      <c r="A21" s="33" t="n"/>
      <c r="B21" s="29" t="n"/>
      <c r="C21" s="29" t="n"/>
      <c r="D21" s="29" t="n"/>
      <c r="E21" s="29" t="n"/>
      <c r="F21" s="29" t="n"/>
      <c r="G21" s="29" t="n"/>
      <c r="H21" s="29" t="n"/>
      <c r="I21" s="38" t="inlineStr">
        <is>
          <t>&lt;.4&gt; CIP Additions &amp; Transfers</t>
        </is>
      </c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120" customHeight="1">
      <c r="A22" s="35" t="inlineStr">
        <is>
          <t>Applicable</t>
        </is>
      </c>
      <c r="B22" s="35" t="inlineStr">
        <is>
          <t>Required</t>
        </is>
      </c>
      <c r="C22" s="35" t="inlineStr">
        <is>
          <t>Not Started</t>
        </is>
      </c>
      <c r="D22" s="35" t="inlineStr">
        <is>
          <t>Missing</t>
        </is>
      </c>
      <c r="E22" s="35" t="inlineStr">
        <is>
          <t>Unable to Conclude</t>
        </is>
      </c>
      <c r="F22" s="35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11. Test CIP additions / transfers in — vouch costs incurred, evaluate capitalizability (incl. capitalized interest), and confirm no depreciation is recorded on CIP.</t>
        </is>
      </c>
      <c r="J22" s="36" t="inlineStr">
        <is>
          <t>Existence; Accuracy; Classification</t>
        </is>
      </c>
      <c r="K22" s="36" t="inlineStr">
        <is>
          <t>&lt;.4&gt;</t>
        </is>
      </c>
      <c r="L22" s="36" t="n"/>
      <c r="M22" s="37" t="n"/>
      <c r="N22" s="36" t="n"/>
      <c r="O22" s="36" t="n"/>
      <c r="P22" s="36" t="inlineStr">
        <is>
          <t>PROC:PROC-FIXED-ASSETS</t>
        </is>
      </c>
      <c r="Q22" s="36" t="n"/>
    </row>
    <row r="23" ht="120" customHeight="1">
      <c r="A23" s="35" t="inlineStr">
        <is>
          <t>Applicable</t>
        </is>
      </c>
      <c r="B23" s="35" t="inlineStr">
        <is>
          <t>Required</t>
        </is>
      </c>
      <c r="C23" s="35" t="inlineStr">
        <is>
          <t>Not Started</t>
        </is>
      </c>
      <c r="D23" s="35" t="inlineStr">
        <is>
          <t>Missing</t>
        </is>
      </c>
      <c r="E23" s="35" t="inlineStr">
        <is>
          <t>Unable to Conclude</t>
        </is>
      </c>
      <c r="F23" s="35" t="inlineStr">
        <is>
          <t>None</t>
        </is>
      </c>
      <c r="G23" s="36" t="inlineStr">
        <is>
          <t>Unsigned</t>
        </is>
      </c>
      <c r="H23" s="36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6" t="inlineStr">
        <is>
          <t>12. Test transfers from CIP to in-service PPE — confirm the placed-in-service date and that depreciation commenced when the asset was ready for use; roll the CIP balance forward.</t>
        </is>
      </c>
      <c r="J23" s="36" t="inlineStr">
        <is>
          <t>Completeness; Cutoff; Classification</t>
        </is>
      </c>
      <c r="K23" s="36" t="inlineStr">
        <is>
          <t>&lt;.4&gt;</t>
        </is>
      </c>
      <c r="L23" s="36" t="n"/>
      <c r="M23" s="37" t="n"/>
      <c r="N23" s="36" t="n"/>
      <c r="O23" s="36" t="n"/>
      <c r="P23" s="36" t="inlineStr">
        <is>
          <t>PROC:PROC-FIXED-ASSETS</t>
        </is>
      </c>
      <c r="Q23" s="36" t="n"/>
    </row>
    <row r="24" ht="15" customHeight="1">
      <c r="A24" s="33" t="n"/>
      <c r="B24" s="29" t="n"/>
      <c r="C24" s="29" t="n"/>
      <c r="D24" s="29" t="n"/>
      <c r="E24" s="29" t="n"/>
      <c r="F24" s="29" t="n"/>
      <c r="G24" s="29" t="n"/>
      <c r="H24" s="29" t="n"/>
      <c r="I24" s="38" t="inlineStr">
        <is>
          <t>&lt;.5&gt; Depreciation Recompute &amp; Analytics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 ht="120" customHeight="1">
      <c r="A25" s="35" t="inlineStr">
        <is>
          <t>Applicable</t>
        </is>
      </c>
      <c r="B25" s="35" t="inlineStr">
        <is>
          <t>Required</t>
        </is>
      </c>
      <c r="C25" s="35" t="inlineStr">
        <is>
          <t>Not Started</t>
        </is>
      </c>
      <c r="D25" s="35" t="inlineStr">
        <is>
          <t>Missing</t>
        </is>
      </c>
      <c r="E25" s="35" t="inlineStr">
        <is>
          <t>Unable to Conclude</t>
        </is>
      </c>
      <c r="F25" s="35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J25" s="36" t="inlineStr">
        <is>
          <t>Valuation &amp; Allocation; Accuracy</t>
        </is>
      </c>
      <c r="K25" s="36" t="inlineStr">
        <is>
          <t>&lt;.5&gt;</t>
        </is>
      </c>
      <c r="L25" s="36" t="n"/>
      <c r="M25" s="37" t="n"/>
      <c r="N25" s="36" t="n"/>
      <c r="O25" s="36" t="n"/>
      <c r="P25" s="36" t="inlineStr">
        <is>
          <t>PROC:PROC-FIXED-ASSETS</t>
        </is>
      </c>
      <c r="Q25" s="36" t="n"/>
    </row>
    <row r="26" ht="120" customHeight="1">
      <c r="A26" s="35" t="inlineStr">
        <is>
          <t>Applicable</t>
        </is>
      </c>
      <c r="B26" s="35" t="inlineStr">
        <is>
          <t>Required</t>
        </is>
      </c>
      <c r="C26" s="35" t="inlineStr">
        <is>
          <t>Not Started</t>
        </is>
      </c>
      <c r="D26" s="35" t="inlineStr">
        <is>
          <t>Missing</t>
        </is>
      </c>
      <c r="E26" s="35" t="inlineStr">
        <is>
          <t>Unable to Conclude</t>
        </is>
      </c>
      <c r="F26" s="35" t="inlineStr">
        <is>
          <t>None</t>
        </is>
      </c>
      <c r="G26" s="36" t="inlineStr">
        <is>
          <t>Unsigned</t>
        </is>
      </c>
      <c r="H26" s="36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6" t="inlineStr">
        <is>
          <t>14. Evaluate the reasonableness of useful lives by class (challenge a uniform life applied to dissimilar assets) and the depreciation method and policy.</t>
        </is>
      </c>
      <c r="J26" s="36" t="inlineStr">
        <is>
          <t>Valuation &amp; Allocation</t>
        </is>
      </c>
      <c r="K26" s="36" t="inlineStr">
        <is>
          <t>&lt;.5&gt;</t>
        </is>
      </c>
      <c r="L26" s="36" t="n"/>
      <c r="M26" s="37" t="n"/>
      <c r="N26" s="36" t="n"/>
      <c r="O26" s="36" t="n"/>
      <c r="P26" s="36" t="inlineStr">
        <is>
          <t>PROC:PROC-FIXED-ASSETS</t>
        </is>
      </c>
      <c r="Q26" s="36" t="n"/>
    </row>
    <row r="27" ht="120" customHeight="1">
      <c r="A27" s="35" t="inlineStr">
        <is>
          <t>Applicable</t>
        </is>
      </c>
      <c r="B27" s="35" t="inlineStr">
        <is>
          <t>Required</t>
        </is>
      </c>
      <c r="C27" s="35" t="inlineStr">
        <is>
          <t>Not Started</t>
        </is>
      </c>
      <c r="D27" s="35" t="inlineStr">
        <is>
          <t>Missing</t>
        </is>
      </c>
      <c r="E27" s="35" t="inlineStr">
        <is>
          <t>Unable to Conclude</t>
        </is>
      </c>
      <c r="F27" s="35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Perform depreciation analytics (depreciation as % of gross cost, accumulated depreciation as % of cost, PY comparison) and identify fully-depreciated assets still in use.</t>
        </is>
      </c>
      <c r="J27" s="36" t="inlineStr">
        <is>
          <t>Valuation &amp; Allocation</t>
        </is>
      </c>
      <c r="K27" s="36" t="inlineStr">
        <is>
          <t>&lt;.5&gt;</t>
        </is>
      </c>
      <c r="L27" s="36" t="n"/>
      <c r="M27" s="37" t="n"/>
      <c r="N27" s="36" t="n"/>
      <c r="O27" s="36" t="n"/>
      <c r="P27" s="36" t="inlineStr">
        <is>
          <t>PROC:PROC-FIXED-ASSETS</t>
        </is>
      </c>
      <c r="Q27" s="36" t="n"/>
    </row>
    <row r="28" ht="15" customHeight="1">
      <c r="A28" s="33" t="n"/>
      <c r="B28" s="29" t="n"/>
      <c r="C28" s="29" t="n"/>
      <c r="D28" s="29" t="n"/>
      <c r="E28" s="29" t="n"/>
      <c r="F28" s="29" t="n"/>
      <c r="G28" s="29" t="n"/>
      <c r="H28" s="29" t="n"/>
      <c r="I28" s="38" t="inlineStr">
        <is>
          <t>&lt;.6&gt; Impairment — Triggering Events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</row>
    <row r="29" ht="120" customHeight="1">
      <c r="A29" s="35" t="inlineStr">
        <is>
          <t>Applicable</t>
        </is>
      </c>
      <c r="B29" s="35" t="inlineStr">
        <is>
          <t>Required</t>
        </is>
      </c>
      <c r="C29" s="35" t="inlineStr">
        <is>
          <t>Not Started</t>
        </is>
      </c>
      <c r="D29" s="35" t="inlineStr">
        <is>
          <t>Missing</t>
        </is>
      </c>
      <c r="E29" s="35" t="inlineStr">
        <is>
          <t>Unable to Conclude</t>
        </is>
      </c>
      <c r="F29" s="35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J29" s="36" t="inlineStr">
        <is>
          <t>Valuation &amp; Allocation</t>
        </is>
      </c>
      <c r="K29" s="36" t="inlineStr">
        <is>
          <t>&lt;.6&gt;</t>
        </is>
      </c>
      <c r="L29" s="36" t="n"/>
      <c r="M29" s="37" t="n"/>
      <c r="N29" s="36" t="n"/>
      <c r="O29" s="36" t="n"/>
      <c r="P29" s="36" t="inlineStr">
        <is>
          <t>PROC:PROC-FIXED-ASSETS</t>
        </is>
      </c>
      <c r="Q29" s="36" t="n"/>
    </row>
    <row r="30" ht="15" customHeight="1">
      <c r="A30" s="33" t="n"/>
      <c r="B30" s="29" t="n"/>
      <c r="C30" s="29" t="n"/>
      <c r="D30" s="29" t="n"/>
      <c r="E30" s="29" t="n"/>
      <c r="F30" s="29" t="n"/>
      <c r="G30" s="29" t="n"/>
      <c r="H30" s="29" t="n"/>
      <c r="I30" s="38" t="inlineStr">
        <is>
          <t>&lt;.7&gt; Impairment — Assets Held &amp; Used</t>
        </is>
      </c>
      <c r="J30" s="29" t="n"/>
      <c r="K30" s="29" t="n"/>
      <c r="L30" s="29" t="n"/>
      <c r="M30" s="29" t="n"/>
      <c r="N30" s="29" t="n"/>
      <c r="O30" s="29" t="n"/>
      <c r="P30" s="29" t="n"/>
      <c r="Q30" s="29" t="n"/>
    </row>
    <row r="31" ht="120" customHeight="1">
      <c r="A31" s="35" t="inlineStr">
        <is>
          <t>Applicable</t>
        </is>
      </c>
      <c r="B31" s="35" t="inlineStr">
        <is>
          <t>Required</t>
        </is>
      </c>
      <c r="C31" s="35" t="inlineStr">
        <is>
          <t>Not Started</t>
        </is>
      </c>
      <c r="D31" s="35" t="inlineStr">
        <is>
          <t>Missing</t>
        </is>
      </c>
      <c r="E31" s="35" t="inlineStr">
        <is>
          <t>Unable to Conclude</t>
        </is>
      </c>
      <c r="F31" s="35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17. Where a triggering event exists, perform the ASC 360 recoverability test — compare the asset group's carrying amount to the sum of its undiscounted future cash flows.</t>
        </is>
      </c>
      <c r="J31" s="36" t="inlineStr">
        <is>
          <t>Valuation &amp; Allocation</t>
        </is>
      </c>
      <c r="K31" s="36" t="inlineStr">
        <is>
          <t>&lt;.7&gt;</t>
        </is>
      </c>
      <c r="L31" s="36" t="n"/>
      <c r="M31" s="37" t="n"/>
      <c r="N31" s="36" t="n"/>
      <c r="O31" s="36" t="n"/>
      <c r="P31" s="36" t="inlineStr">
        <is>
          <t>PROC:PROC-FIXED-ASSETS</t>
        </is>
      </c>
      <c r="Q31" s="36" t="n"/>
    </row>
    <row r="32" ht="120" customHeight="1">
      <c r="A32" s="35" t="inlineStr">
        <is>
          <t>Applicable</t>
        </is>
      </c>
      <c r="B32" s="35" t="inlineStr">
        <is>
          <t>Required</t>
        </is>
      </c>
      <c r="C32" s="35" t="inlineStr">
        <is>
          <t>Not Started</t>
        </is>
      </c>
      <c r="D32" s="35" t="inlineStr">
        <is>
          <t>Missing</t>
        </is>
      </c>
      <c r="E32" s="35" t="inlineStr">
        <is>
          <t>Unable to Conclude</t>
        </is>
      </c>
      <c r="F32" s="35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18. Where the asset group is not recoverable, measure the impairment loss as the excess of carrying amount over fair value; do not write the asset below fair value.</t>
        </is>
      </c>
      <c r="J32" s="36" t="inlineStr">
        <is>
          <t>Valuation &amp; Allocation</t>
        </is>
      </c>
      <c r="K32" s="36" t="inlineStr">
        <is>
          <t>&lt;.7&gt;</t>
        </is>
      </c>
      <c r="L32" s="36" t="n"/>
      <c r="M32" s="37" t="n"/>
      <c r="N32" s="36" t="n"/>
      <c r="O32" s="36" t="n"/>
      <c r="P32" s="36" t="inlineStr">
        <is>
          <t>PROC:PROC-FIXED-ASSETS</t>
        </is>
      </c>
      <c r="Q32" s="36" t="n"/>
    </row>
    <row r="33" ht="15" customHeight="1">
      <c r="A33" s="33" t="n"/>
      <c r="B33" s="29" t="n"/>
      <c r="C33" s="29" t="n"/>
      <c r="D33" s="29" t="n"/>
      <c r="E33" s="29" t="n"/>
      <c r="F33" s="29" t="n"/>
      <c r="G33" s="29" t="n"/>
      <c r="H33" s="29" t="n"/>
      <c r="I33" s="38" t="inlineStr">
        <is>
          <t>&lt;.8&gt; Presentation &amp; Disclosures</t>
        </is>
      </c>
      <c r="J33" s="29" t="n"/>
      <c r="K33" s="29" t="n"/>
      <c r="L33" s="29" t="n"/>
      <c r="M33" s="29" t="n"/>
      <c r="N33" s="29" t="n"/>
      <c r="O33" s="29" t="n"/>
      <c r="P33" s="29" t="n"/>
      <c r="Q33" s="29" t="n"/>
    </row>
    <row r="34" ht="120" customHeight="1">
      <c r="A34" s="35" t="inlineStr">
        <is>
          <t>Applicable</t>
        </is>
      </c>
      <c r="B34" s="35" t="inlineStr">
        <is>
          <t>Required</t>
        </is>
      </c>
      <c r="C34" s="35" t="inlineStr">
        <is>
          <t>Not Started</t>
        </is>
      </c>
      <c r="D34" s="35" t="inlineStr">
        <is>
          <t>Missing</t>
        </is>
      </c>
      <c r="E34" s="35" t="inlineStr">
        <is>
          <t>Unable to Conclude</t>
        </is>
      </c>
      <c r="F34" s="35" t="inlineStr">
        <is>
          <t>None</t>
        </is>
      </c>
      <c r="G34" s="36" t="inlineStr">
        <is>
          <t>Unsigned</t>
        </is>
      </c>
      <c r="H34" s="36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6" t="inlineStr">
        <is>
          <t>19. Evaluate depreciation method and useful-life disclosures by class and consistency with the prior year.</t>
        </is>
      </c>
      <c r="J34" s="36" t="inlineStr">
        <is>
          <t>Presentation &amp; Disclosure</t>
        </is>
      </c>
      <c r="K34" s="36" t="inlineStr">
        <is>
          <t>&lt;.8&gt;</t>
        </is>
      </c>
      <c r="L34" s="36" t="n"/>
      <c r="M34" s="37" t="n"/>
      <c r="N34" s="36" t="n"/>
      <c r="O34" s="36" t="n"/>
      <c r="P34" s="36" t="inlineStr">
        <is>
          <t>PROC:PROC-FIXED-ASSETS</t>
        </is>
      </c>
      <c r="Q34" s="36" t="n"/>
    </row>
    <row r="35" ht="120" customHeight="1">
      <c r="A35" s="35" t="inlineStr">
        <is>
          <t>Applicable</t>
        </is>
      </c>
      <c r="B35" s="35" t="inlineStr">
        <is>
          <t>Required</t>
        </is>
      </c>
      <c r="C35" s="35" t="inlineStr">
        <is>
          <t>Not Started</t>
        </is>
      </c>
      <c r="D35" s="35" t="inlineStr">
        <is>
          <t>Missing</t>
        </is>
      </c>
      <c r="E35" s="35" t="inlineStr">
        <is>
          <t>Unable to Conclude</t>
        </is>
      </c>
      <c r="F35" s="35" t="inlineStr">
        <is>
          <t>None</t>
        </is>
      </c>
      <c r="G35" s="36" t="inlineStr">
        <is>
          <t>Unsigned</t>
        </is>
      </c>
      <c r="H35" s="36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6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J35" s="36" t="inlineStr">
        <is>
          <t>Presentation &amp; Disclosure; Classification</t>
        </is>
      </c>
      <c r="K35" s="36" t="inlineStr">
        <is>
          <t>&lt;.8&gt;</t>
        </is>
      </c>
      <c r="L35" s="36" t="n"/>
      <c r="M35" s="37" t="n"/>
      <c r="N35" s="36" t="n"/>
      <c r="O35" s="36" t="n"/>
      <c r="P35" s="36" t="inlineStr">
        <is>
          <t>PROC:PROC-FIXED-ASSETS</t>
        </is>
      </c>
      <c r="Q35" s="36" t="n"/>
    </row>
    <row r="36" ht="15" customHeight="1">
      <c r="A36" s="33" t="n"/>
      <c r="B36" s="29" t="n"/>
      <c r="C36" s="29" t="n"/>
      <c r="D36" s="29" t="n"/>
      <c r="E36" s="29" t="n"/>
      <c r="F36" s="29" t="n"/>
      <c r="G36" s="29" t="n"/>
      <c r="H36" s="29" t="n"/>
      <c r="I36" s="38" t="inlineStr">
        <is>
          <t>Documentation &amp; Review</t>
        </is>
      </c>
      <c r="J36" s="29" t="n"/>
      <c r="K36" s="29" t="n"/>
      <c r="L36" s="29" t="n"/>
      <c r="M36" s="29" t="n"/>
      <c r="N36" s="29" t="n"/>
      <c r="O36" s="29" t="n"/>
      <c r="P36" s="29" t="n"/>
      <c r="Q36" s="29" t="n"/>
    </row>
    <row r="37" ht="120" customHeight="1">
      <c r="A37" s="35" t="inlineStr">
        <is>
          <t>Applicable</t>
        </is>
      </c>
      <c r="B37" s="35" t="inlineStr">
        <is>
          <t>Required</t>
        </is>
      </c>
      <c r="C37" s="35" t="inlineStr">
        <is>
          <t>Not Started</t>
        </is>
      </c>
      <c r="D37" s="35" t="inlineStr">
        <is>
          <t>Missing</t>
        </is>
      </c>
      <c r="E37" s="35" t="inlineStr">
        <is>
          <t>Unable to Conclude</t>
        </is>
      </c>
      <c r="F37" s="35" t="inlineStr">
        <is>
          <t>None</t>
        </is>
      </c>
      <c r="G37" s="36" t="inlineStr">
        <is>
          <t>Unsigned</t>
        </is>
      </c>
      <c r="H37" s="36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6" t="inlineStr">
        <is>
          <t>21. Cross-reference each procedure to its workpaper tab and link it to the relevant assertion(s).</t>
        </is>
      </c>
      <c r="J37" s="36" t="inlineStr">
        <is>
          <t>Overall</t>
        </is>
      </c>
      <c r="K37" s="36" t="inlineStr">
        <is>
          <t>&lt;.0&gt;-&lt;.8&gt;</t>
        </is>
      </c>
      <c r="L37" s="36" t="n"/>
      <c r="M37" s="37" t="n"/>
      <c r="N37" s="36" t="n"/>
      <c r="O37" s="36" t="n"/>
      <c r="P37" s="36" t="inlineStr">
        <is>
          <t>PROC:PROC-FIXED-ASSETS</t>
        </is>
      </c>
      <c r="Q37" s="36" t="n"/>
    </row>
    <row r="38" ht="120" customHeight="1">
      <c r="A38" s="35" t="inlineStr">
        <is>
          <t>Applicable</t>
        </is>
      </c>
      <c r="B38" s="35" t="inlineStr">
        <is>
          <t>Required</t>
        </is>
      </c>
      <c r="C38" s="35" t="inlineStr">
        <is>
          <t>Not Started</t>
        </is>
      </c>
      <c r="D38" s="35" t="inlineStr">
        <is>
          <t>Missing</t>
        </is>
      </c>
      <c r="E38" s="35" t="inlineStr">
        <is>
          <t>Unable to Conclude</t>
        </is>
      </c>
      <c r="F38" s="35" t="inlineStr">
        <is>
          <t>None</t>
        </is>
      </c>
      <c r="G38" s="36" t="inlineStr">
        <is>
          <t>Unsigned</t>
        </is>
      </c>
      <c r="H38" s="36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6" t="inlineStr">
        <is>
          <t>22. Verify lead-sheet and rollforward tie-out formulas foot correctly and the workbook source trail is complete.</t>
        </is>
      </c>
      <c r="J38" s="36" t="inlineStr">
        <is>
          <t>Accuracy; Completeness</t>
        </is>
      </c>
      <c r="K38" s="36" t="inlineStr">
        <is>
          <t>&lt;.1&gt;/&lt;.2&gt;</t>
        </is>
      </c>
      <c r="L38" s="36" t="n"/>
      <c r="M38" s="37" t="n"/>
      <c r="N38" s="36" t="n"/>
      <c r="O38" s="36" t="n"/>
      <c r="P38" s="36" t="inlineStr">
        <is>
          <t>PROC:PROC-FIXED-ASSETS; WINDOW:WIN-FA-CUTOFF</t>
        </is>
      </c>
      <c r="Q38" s="36" t="n"/>
    </row>
    <row r="39" ht="15" customHeight="1">
      <c r="A39" s="33" t="n"/>
      <c r="B39" s="29" t="n"/>
      <c r="C39" s="29" t="n"/>
      <c r="D39" s="29" t="n"/>
      <c r="E39" s="29" t="n"/>
      <c r="F39" s="29" t="n"/>
      <c r="G39" s="29" t="n"/>
      <c r="H39" s="29" t="n"/>
      <c r="I39" s="34" t="inlineStr">
        <is>
          <t>Conclusion</t>
        </is>
      </c>
      <c r="J39" s="29" t="n"/>
      <c r="K39" s="29" t="n"/>
      <c r="L39" s="29" t="n"/>
      <c r="M39" s="29" t="n"/>
      <c r="N39" s="29" t="n"/>
      <c r="O39" s="29" t="n"/>
      <c r="P39" s="29" t="n"/>
      <c r="Q39" s="29" t="n"/>
    </row>
    <row r="40" ht="120" customHeight="1">
      <c r="A40" s="35" t="inlineStr">
        <is>
          <t>Applicable</t>
        </is>
      </c>
      <c r="B40" s="35" t="inlineStr">
        <is>
          <t>Required</t>
        </is>
      </c>
      <c r="C40" s="35" t="inlineStr">
        <is>
          <t>Not Started</t>
        </is>
      </c>
      <c r="D40" s="35" t="inlineStr">
        <is>
          <t>Missing</t>
        </is>
      </c>
      <c r="E40" s="35" t="inlineStr">
        <is>
          <t>Unable to Conclude</t>
        </is>
      </c>
      <c r="F40" s="35" t="inlineStr">
        <is>
          <t>None</t>
        </is>
      </c>
      <c r="G40" s="36" t="inlineStr">
        <is>
          <t>Unsigned</t>
        </is>
      </c>
      <c r="H40" s="36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6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J40" s="36" t="inlineStr">
        <is>
          <t>Overall</t>
        </is>
      </c>
      <c r="K40" s="36" t="inlineStr">
        <is>
          <t>&lt;.0&gt;-&lt;.8&gt;</t>
        </is>
      </c>
      <c r="L40" s="36" t="n"/>
      <c r="M40" s="37" t="n"/>
      <c r="N40" s="36" t="n"/>
      <c r="O40" s="36" t="n"/>
      <c r="P40" s="36" t="inlineStr">
        <is>
          <t>PROC:PROC-FIXED-ASSETS</t>
        </is>
      </c>
      <c r="Q40" s="36" t="n"/>
    </row>
  </sheetData>
  <autoFilter ref="A6:Q40"/>
  <mergeCells count="12">
    <mergeCell ref="I16:Q16"/>
    <mergeCell ref="I24:Q24"/>
    <mergeCell ref="I7:Q7"/>
    <mergeCell ref="I30:Q30"/>
    <mergeCell ref="I33:Q33"/>
    <mergeCell ref="A4:Q4"/>
    <mergeCell ref="I36:Q36"/>
    <mergeCell ref="I14:Q14"/>
    <mergeCell ref="I28:Q28"/>
    <mergeCell ref="I9:Q9"/>
    <mergeCell ref="I39:Q39"/>
    <mergeCell ref="I21:Q21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5 A17 A18 A19 A20 A22 A23 A25 A26 A27 A29 A31 A32 A34 A35 A37 A38 A40" showDropDown="0" showInputMessage="0" showErrorMessage="0" allowBlank="0" type="list">
      <formula1>"Applicable,Not Applicable - Fact Driven"</formula1>
    </dataValidation>
    <dataValidation sqref="B8 B10 B11 B12 B13 B15 B17 B18 B19 B20 B22 B23 B25 B26 B27 B29 B31 B32 B34 B35 B37 B38 B40" showDropDown="0" showInputMessage="0" showErrorMessage="0" allowBlank="0" type="list">
      <formula1>"Required,Recommended"</formula1>
    </dataValidation>
    <dataValidation sqref="C8 C10 C11 C12 C13 C15 C17 C18 C19 C20 C22 C23 C25 C26 C27 C29 C31 C32 C34 C35 C37 C38 C40" showDropDown="0" showInputMessage="0" showErrorMessage="0" allowBlank="0" type="list">
      <formula1>"Not Started,In Progress,Performed,Not Performed"</formula1>
    </dataValidation>
    <dataValidation sqref="D8 D10 D11 D12 D13 D15 D17 D18 D19 D20 D22 D23 D25 D26 D27 D29 D31 D32 D34 D35 D37 D38 D40" showDropDown="0" showInputMessage="0" showErrorMessage="0" allowBlank="0" type="list">
      <formula1>"Sufficient,Missing,Unreadable,Unreliable,Contradictory,Not Required"</formula1>
    </dataValidation>
    <dataValidation sqref="E8 E10 E11 E12 E13 E15 E17 E18 E19 E20 E22 E23 E25 E26 E27 E29 E31 E32 E34 E35 E37 E38 E40" showDropDown="0" showInputMessage="0" showErrorMessage="0" allowBlank="0" type="list">
      <formula1>"No Exception,Exception Identified,Unable to Conclude"</formula1>
    </dataValidation>
    <dataValidation sqref="F8 F10 F11 F12 F13 F15 F17 F18 F19 F20 F22 F23 F25 F26 F27 F29 F31 F32 F34 F35 F37 F38 F40" showDropDown="0" showInputMessage="0" showErrorMessage="0" allowBlank="0" type="list">
      <formula1>"None,Open,Adjusted,Passed,Resolved,Superseded"</formula1>
    </dataValidation>
    <dataValidation sqref="G8 G10 G11 G12 G13 G15 G17 G18 G19 G20 G22 G23 G25 G26 G27 G29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25" customHeight="1">
      <c r="A1" s="39" t="inlineStr">
        <is>
          <t>Source Index</t>
        </is>
      </c>
      <c r="B1" s="29" t="n"/>
      <c r="C1" s="29" t="n"/>
      <c r="D1" s="29" t="n"/>
      <c r="E1" s="29" t="n"/>
      <c r="F1" s="29" t="n"/>
      <c r="G1" s="29" t="n"/>
      <c r="H1" s="29" t="n"/>
    </row>
    <row r="2" ht="15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</row>
    <row r="4" ht="15" customHeight="1">
      <c r="A4" s="45" t="inlineStr">
        <is>
          <t>Purpose:</t>
        </is>
      </c>
      <c r="B4" s="46" t="inlineStr">
        <is>
          <t>Map every PPE PBC source and its limitations so the evidence trail is complete and traceable.</t>
        </is>
      </c>
      <c r="C4" s="29" t="n"/>
      <c r="D4" s="29" t="n"/>
      <c r="E4" s="29" t="n"/>
      <c r="F4" s="29" t="n"/>
      <c r="G4" s="29" t="n"/>
      <c r="H4" s="29" t="n"/>
    </row>
    <row r="5" ht="42" customHeight="1">
      <c r="A5" s="45" t="inlineStr">
        <is>
          <t>Scope:</t>
        </is>
      </c>
      <c r="B5" s="46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Completeness</t>
        </is>
      </c>
      <c r="C6" s="29" t="n"/>
      <c r="D6" s="29" t="n"/>
      <c r="E6" s="29" t="n"/>
      <c r="F6" s="29" t="n"/>
      <c r="G6" s="29" t="n"/>
      <c r="H6" s="29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9" t="n"/>
    </row>
    <row r="8" ht="15" customHeight="1">
      <c r="A8" s="48" t="n"/>
      <c r="B8" s="48" t="n"/>
      <c r="C8" s="48" t="n"/>
      <c r="D8" s="48" t="n"/>
      <c r="E8" s="48" t="n"/>
      <c r="F8" s="48" t="n"/>
      <c r="G8" s="48" t="n"/>
      <c r="H8" s="29" t="n"/>
    </row>
    <row r="9" ht="15" customHeight="1">
      <c r="A9" s="48" t="n"/>
      <c r="B9" s="48" t="n"/>
      <c r="C9" s="48" t="n"/>
      <c r="D9" s="48" t="n"/>
      <c r="E9" s="48" t="n"/>
      <c r="F9" s="48" t="n"/>
      <c r="G9" s="48" t="n"/>
      <c r="H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48" t="n"/>
      <c r="H10" s="29" t="n"/>
    </row>
    <row r="11" ht="15" customHeight="1">
      <c r="A11" s="48" t="n"/>
      <c r="B11" s="48" t="n"/>
      <c r="C11" s="48" t="n"/>
      <c r="D11" s="48" t="n"/>
      <c r="E11" s="48" t="n"/>
      <c r="F11" s="48" t="n"/>
      <c r="G11" s="48" t="n"/>
      <c r="H11" s="29" t="n"/>
    </row>
    <row r="12" ht="15" customHeight="1">
      <c r="A12" s="48" t="n"/>
      <c r="B12" s="48" t="n"/>
      <c r="C12" s="48" t="n"/>
      <c r="D12" s="48" t="n"/>
      <c r="E12" s="48" t="n"/>
      <c r="F12" s="48" t="n"/>
      <c r="G12" s="48" t="n"/>
      <c r="H12" s="29" t="n"/>
    </row>
    <row r="13" ht="15" customHeight="1">
      <c r="A13" s="48" t="n"/>
      <c r="B13" s="48" t="n"/>
      <c r="C13" s="48" t="n"/>
      <c r="D13" s="48" t="n"/>
      <c r="E13" s="48" t="n"/>
      <c r="F13" s="48" t="n"/>
      <c r="G13" s="48" t="n"/>
      <c r="H13" s="29" t="n"/>
    </row>
    <row r="14" ht="15" customHeight="1">
      <c r="A14" s="48" t="n"/>
      <c r="B14" s="48" t="n"/>
      <c r="C14" s="48" t="n"/>
      <c r="D14" s="48" t="n"/>
      <c r="E14" s="48" t="n"/>
      <c r="F14" s="48" t="n"/>
      <c r="G14" s="48" t="n"/>
      <c r="H14" s="29" t="n"/>
    </row>
    <row r="15" ht="15" customHeight="1">
      <c r="A15" s="48" t="n"/>
      <c r="B15" s="48" t="n"/>
      <c r="C15" s="48" t="n"/>
      <c r="D15" s="48" t="n"/>
      <c r="E15" s="48" t="n"/>
      <c r="F15" s="48" t="n"/>
      <c r="G15" s="48" t="n"/>
      <c r="H15" s="29" t="n"/>
    </row>
    <row r="16" ht="15" customHeight="1">
      <c r="A16" s="48" t="n"/>
      <c r="B16" s="48" t="n"/>
      <c r="C16" s="48" t="n"/>
      <c r="D16" s="48" t="n"/>
      <c r="E16" s="48" t="n"/>
      <c r="F16" s="48" t="n"/>
      <c r="G16" s="48" t="n"/>
      <c r="H16" s="29" t="n"/>
    </row>
    <row r="17" ht="15" customHeight="1">
      <c r="A17" s="48" t="n"/>
      <c r="B17" s="48" t="n"/>
      <c r="C17" s="48" t="n"/>
      <c r="D17" s="48" t="n"/>
      <c r="E17" s="48" t="n"/>
      <c r="F17" s="48" t="n"/>
      <c r="G17" s="48" t="n"/>
      <c r="H17" s="29" t="n"/>
    </row>
    <row r="18" ht="15" customHeight="1">
      <c r="A18" s="48" t="n"/>
      <c r="B18" s="48" t="n"/>
      <c r="C18" s="48" t="n"/>
      <c r="D18" s="48" t="n"/>
      <c r="E18" s="48" t="n"/>
      <c r="F18" s="48" t="n"/>
      <c r="G18" s="48" t="n"/>
      <c r="H18" s="29" t="n"/>
    </row>
    <row r="19" ht="15" customHeight="1">
      <c r="A19" s="48" t="n"/>
      <c r="B19" s="48" t="n"/>
      <c r="C19" s="48" t="n"/>
      <c r="D19" s="48" t="n"/>
      <c r="E19" s="48" t="n"/>
      <c r="F19" s="48" t="n"/>
      <c r="G19" s="48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 1 (source completeness &amp; limitations).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baseColWidth="8" defaultColWidth="8.6328125" defaultRowHeight="14.5"/>
  <cols>
    <col width="36" customWidth="1" min="1" max="1"/>
    <col width="30.05" customWidth="1" min="2" max="2"/>
    <col width="16.45" customWidth="1" min="3" max="6"/>
    <col width="37.7" customWidth="1" min="4" max="4"/>
    <col width="30.9" customWidth="1" min="5" max="5"/>
    <col width="13" customWidth="1" min="6" max="6"/>
    <col width="30.9" customWidth="1" min="7" max="7"/>
    <col width="34.3" customWidth="1" min="8" max="8"/>
    <col width="26" customWidth="1" min="9" max="9"/>
  </cols>
  <sheetData>
    <row r="1" ht="17.25" customHeight="1">
      <c r="A1" s="39" t="inlineStr">
        <is>
          <t>PPE Lead Sheet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  <c r="I3" s="29" t="n"/>
    </row>
    <row r="4" ht="27.75" customHeight="1">
      <c r="A4" s="52" t="inlineStr">
        <is>
          <t>Purpose:</t>
        </is>
      </c>
      <c r="B4" s="53" t="inlineStr">
        <is>
          <t>Summarize property &amp; equipment by asset class, map to GL accounts, and tie gross cost, accumulated depreciation and net book value to the trial balance.</t>
        </is>
      </c>
      <c r="C4" s="54" t="n"/>
      <c r="D4" s="54" t="n"/>
      <c r="E4" s="54" t="n"/>
      <c r="F4" s="54" t="n"/>
      <c r="G4" s="54" t="n"/>
      <c r="H4" s="54" t="n"/>
      <c r="I4" s="55" t="n"/>
    </row>
    <row r="5" ht="27.75" customHeight="1">
      <c r="A5" s="52" t="inlineStr">
        <is>
          <t>Scope:</t>
        </is>
      </c>
      <c r="B5" s="53" t="inlineStr">
        <is>
          <t>All PPE classes (land, buildings, machinery &amp; equipment, furniture &amp; fixtures, vehicles, leasehold improvements, computer equipment, CIP), mapped to GL cost accounts.</t>
        </is>
      </c>
      <c r="C5" s="54" t="n"/>
      <c r="D5" s="54" t="n"/>
      <c r="E5" s="54" t="n"/>
      <c r="F5" s="54" t="n"/>
      <c r="G5" s="54" t="n"/>
      <c r="H5" s="54" t="n"/>
      <c r="I5" s="55" t="n"/>
    </row>
    <row r="6" ht="15" customHeight="1">
      <c r="A6" s="52" t="inlineStr">
        <is>
          <t>Assertions:</t>
        </is>
      </c>
      <c r="B6" s="53" t="inlineStr">
        <is>
          <t>Existence; Rights &amp; Obligations; Valuation &amp; Allocation; Completeness</t>
        </is>
      </c>
      <c r="C6" s="54" t="n"/>
      <c r="D6" s="54" t="n"/>
      <c r="E6" s="54" t="n"/>
      <c r="F6" s="54" t="n"/>
      <c r="G6" s="54" t="n"/>
      <c r="H6" s="54" t="n"/>
      <c r="I6" s="55" t="n"/>
    </row>
    <row r="7" ht="30" customHeight="1">
      <c r="A7" s="56" t="inlineStr">
        <is>
          <t>Asset Class</t>
        </is>
      </c>
      <c r="B7" s="56" t="inlineStr">
        <is>
          <t>GL Account</t>
        </is>
      </c>
      <c r="C7" s="56" t="inlineStr">
        <is>
          <t>Gross Cost (CY)</t>
        </is>
      </c>
      <c r="D7" s="56" t="inlineStr">
        <is>
          <t>Accum. Deprec. (CY)</t>
        </is>
      </c>
      <c r="E7" s="56" t="inlineStr">
        <is>
          <t>Net Book Value (CY)</t>
        </is>
      </c>
      <c r="F7" s="56" t="inlineStr">
        <is>
          <t>NBV (PY)</t>
        </is>
      </c>
      <c r="G7" s="56" t="inlineStr">
        <is>
          <t>Difference</t>
        </is>
      </c>
      <c r="H7" s="56" t="inlineStr">
        <is>
          <t>% Change</t>
        </is>
      </c>
      <c r="I7" s="56" t="inlineStr">
        <is>
          <t>Source / Comments</t>
        </is>
      </c>
    </row>
    <row r="8" ht="15" customHeight="1">
      <c r="A8" s="29" t="n"/>
      <c r="B8" s="29" t="n"/>
      <c r="C8" s="57" t="inlineStr">
        <is>
          <t>TB</t>
        </is>
      </c>
      <c r="D8" s="57" t="inlineStr">
        <is>
          <t>TB</t>
        </is>
      </c>
      <c r="E8" s="57" t="inlineStr">
        <is>
          <t>R</t>
        </is>
      </c>
      <c r="F8" s="57" t="inlineStr">
        <is>
          <t>PY</t>
        </is>
      </c>
      <c r="G8" s="57" t="inlineStr">
        <is>
          <t>R</t>
        </is>
      </c>
      <c r="H8" s="29" t="n"/>
      <c r="I8" s="29" t="n"/>
    </row>
    <row r="9" ht="15" customHeight="1">
      <c r="A9" s="48" t="n"/>
      <c r="B9" s="48" t="n"/>
      <c r="C9" s="58" t="n"/>
      <c r="D9" s="58" t="n"/>
      <c r="E9" s="59">
        <f>IF(AND(C9="",D9=""),"",C9-D9)</f>
        <v/>
      </c>
      <c r="F9" s="58" t="n"/>
      <c r="G9" s="59">
        <f>IF(AND(E9="",F9=""),"",E9-F9)</f>
        <v/>
      </c>
      <c r="H9" s="60">
        <f>IF(OR(F9="",F9=0),"",(E9-F9)/F9)</f>
        <v/>
      </c>
      <c r="I9" s="48" t="n"/>
    </row>
    <row r="10" ht="27" customHeight="1">
      <c r="A10" s="48" t="n"/>
      <c r="B10" s="48" t="n"/>
      <c r="C10" s="58" t="n"/>
      <c r="D10" s="58" t="n"/>
      <c r="E10" s="59">
        <f>IF(AND(C10="",D10=""),"",C10-D10)</f>
        <v/>
      </c>
      <c r="F10" s="58" t="n"/>
      <c r="G10" s="59">
        <f>IF(AND(E10="",F10=""),"",E10-F10)</f>
        <v/>
      </c>
      <c r="H10" s="60">
        <f>IF(OR(F10="",F10=0),"",(E10-F10)/F10)</f>
        <v/>
      </c>
      <c r="I10" s="48" t="n"/>
    </row>
    <row r="11" ht="27" customHeight="1">
      <c r="A11" s="48" t="n"/>
      <c r="B11" s="48" t="n"/>
      <c r="C11" s="58" t="n"/>
      <c r="D11" s="58" t="n"/>
      <c r="E11" s="59">
        <f>IF(AND(C11="",D11=""),"",C11-D11)</f>
        <v/>
      </c>
      <c r="F11" s="58" t="n"/>
      <c r="G11" s="59">
        <f>IF(AND(E11="",F11=""),"",E11-F11)</f>
        <v/>
      </c>
      <c r="H11" s="60">
        <f>IF(OR(F11="",F11=0),"",(E11-F11)/F11)</f>
        <v/>
      </c>
      <c r="I11" s="48" t="n"/>
    </row>
    <row r="12" ht="27" customHeight="1">
      <c r="A12" s="48" t="n"/>
      <c r="B12" s="48" t="n"/>
      <c r="C12" s="58" t="n"/>
      <c r="D12" s="58" t="n"/>
      <c r="E12" s="59">
        <f>IF(AND(C12="",D12=""),"",C12-D12)</f>
        <v/>
      </c>
      <c r="F12" s="58" t="n"/>
      <c r="G12" s="59">
        <f>IF(AND(E12="",F12=""),"",E12-F12)</f>
        <v/>
      </c>
      <c r="H12" s="60">
        <f>IF(OR(F12="",F12=0),"",(E12-F12)/F12)</f>
        <v/>
      </c>
      <c r="I12" s="48" t="n"/>
    </row>
    <row r="13" ht="27" customHeight="1">
      <c r="A13" s="48" t="n"/>
      <c r="B13" s="48" t="n"/>
      <c r="C13" s="58" t="n"/>
      <c r="D13" s="58" t="n"/>
      <c r="E13" s="59">
        <f>IF(AND(C13="",D13=""),"",C13-D13)</f>
        <v/>
      </c>
      <c r="F13" s="58" t="n"/>
      <c r="G13" s="59">
        <f>IF(AND(E13="",F13=""),"",E13-F13)</f>
        <v/>
      </c>
      <c r="H13" s="60">
        <f>IF(OR(F13="",F13=0),"",(E13-F13)/F13)</f>
        <v/>
      </c>
      <c r="I13" s="48" t="n"/>
    </row>
    <row r="14" ht="27" customHeight="1">
      <c r="A14" s="48" t="n"/>
      <c r="B14" s="48" t="n"/>
      <c r="C14" s="58" t="n"/>
      <c r="D14" s="58" t="n"/>
      <c r="E14" s="59">
        <f>IF(AND(C14="",D14=""),"",C14-D14)</f>
        <v/>
      </c>
      <c r="F14" s="58" t="n"/>
      <c r="G14" s="59">
        <f>IF(AND(E14="",F14=""),"",E14-F14)</f>
        <v/>
      </c>
      <c r="H14" s="60">
        <f>IF(OR(F14="",F14=0),"",(E14-F14)/F14)</f>
        <v/>
      </c>
      <c r="I14" s="48" t="n"/>
    </row>
    <row r="15" ht="27" customHeight="1">
      <c r="A15" s="48" t="n"/>
      <c r="B15" s="48" t="n"/>
      <c r="C15" s="58" t="n"/>
      <c r="D15" s="58" t="n"/>
      <c r="E15" s="59">
        <f>IF(AND(C15="",D15=""),"",C15-D15)</f>
        <v/>
      </c>
      <c r="F15" s="58" t="n"/>
      <c r="G15" s="59">
        <f>IF(AND(E15="",F15=""),"",E15-F15)</f>
        <v/>
      </c>
      <c r="H15" s="60">
        <f>IF(OR(F15="",F15=0),"",(E15-F15)/F15)</f>
        <v/>
      </c>
      <c r="I15" s="48" t="n"/>
    </row>
    <row r="16" ht="27" customHeight="1">
      <c r="A16" s="48" t="n"/>
      <c r="B16" s="48" t="n"/>
      <c r="C16" s="58" t="n"/>
      <c r="D16" s="58" t="n"/>
      <c r="E16" s="59">
        <f>IF(AND(C16="",D16=""),"",C16-D16)</f>
        <v/>
      </c>
      <c r="F16" s="58" t="n"/>
      <c r="G16" s="59">
        <f>IF(AND(E16="",F16=""),"",E16-F16)</f>
        <v/>
      </c>
      <c r="H16" s="60">
        <f>IF(OR(F16="",F16=0),"",(E16-F16)/F16)</f>
        <v/>
      </c>
      <c r="I16" s="48" t="n"/>
    </row>
    <row r="17" ht="27" customHeight="1">
      <c r="A17" s="48" t="n"/>
      <c r="B17" s="48" t="n"/>
      <c r="C17" s="58" t="n"/>
      <c r="D17" s="58" t="n"/>
      <c r="E17" s="59">
        <f>IF(AND(C17="",D17=""),"",C17-D17)</f>
        <v/>
      </c>
      <c r="F17" s="58" t="n"/>
      <c r="G17" s="59">
        <f>IF(AND(E17="",F17=""),"",E17-F17)</f>
        <v/>
      </c>
      <c r="H17" s="60">
        <f>IF(OR(F17="",F17=0),"",(E17-F17)/F17)</f>
        <v/>
      </c>
      <c r="I17" s="48" t="n"/>
    </row>
    <row r="18" ht="27" customHeight="1">
      <c r="A18" s="48" t="n"/>
      <c r="B18" s="48" t="n"/>
      <c r="C18" s="58" t="n"/>
      <c r="D18" s="58" t="n"/>
      <c r="E18" s="59">
        <f>IF(AND(C18="",D18=""),"",C18-D18)</f>
        <v/>
      </c>
      <c r="F18" s="58" t="n"/>
      <c r="G18" s="59">
        <f>IF(AND(E18="",F18=""),"",E18-F18)</f>
        <v/>
      </c>
      <c r="H18" s="60">
        <f>IF(OR(F18="",F18=0),"",(E18-F18)/F18)</f>
        <v/>
      </c>
      <c r="I18" s="48" t="n"/>
    </row>
    <row r="19" ht="15" customHeight="1">
      <c r="A19" s="61" t="inlineStr">
        <is>
          <t>Total PPE</t>
        </is>
      </c>
      <c r="B19" s="61" t="n"/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1" t="n"/>
      <c r="I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27" customHeight="1">
      <c r="A21" s="63" t="inlineStr">
        <is>
          <t>Register-to-Trial-Balance Reconciliation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8" customHeight="1">
      <c r="A22" s="47" t="inlineStr">
        <is>
          <t>Item</t>
        </is>
      </c>
      <c r="B22" s="47" t="inlineStr">
        <is>
          <t>Per register</t>
        </is>
      </c>
      <c r="C22" s="47" t="inlineStr">
        <is>
          <t>Per trial balance</t>
        </is>
      </c>
      <c r="D22" s="47" t="inlineStr">
        <is>
          <t>Difference</t>
        </is>
      </c>
      <c r="E22" s="47" t="inlineStr">
        <is>
          <t>Note</t>
        </is>
      </c>
      <c r="F22" s="29" t="n"/>
      <c r="G22" s="29" t="n"/>
      <c r="H22" s="29" t="n"/>
      <c r="I22" s="29" t="n"/>
    </row>
    <row r="23" ht="15" customHeight="1">
      <c r="A23" s="48" t="inlineStr">
        <is>
          <t>Gross cost</t>
        </is>
      </c>
      <c r="B23" s="58" t="n"/>
      <c r="C23" s="58" t="n"/>
      <c r="D23" s="64">
        <f>IF(AND(B23="",C23=""),"",B23-C23)</f>
        <v/>
      </c>
      <c r="E23" s="48" t="inlineStr">
        <is>
          <t>should be 0</t>
        </is>
      </c>
      <c r="F23" s="29" t="n"/>
      <c r="G23" s="29" t="n"/>
      <c r="H23" s="29" t="n"/>
      <c r="I23" s="29" t="n"/>
    </row>
    <row r="24" ht="15" customHeight="1">
      <c r="A24" s="35" t="inlineStr">
        <is>
          <t>Accumulated depreciation</t>
        </is>
      </c>
      <c r="B24" s="58" t="n"/>
      <c r="C24" s="58" t="n"/>
      <c r="D24" s="64">
        <f>IF(AND(B24="",C24=""),"",B24-C24)</f>
        <v/>
      </c>
      <c r="E24" s="48" t="inlineStr">
        <is>
          <t>should be 0</t>
        </is>
      </c>
      <c r="F24" s="29" t="n"/>
      <c r="G24" s="29" t="n"/>
      <c r="H24" s="29" t="n"/>
      <c r="I24" s="29" t="n"/>
    </row>
    <row r="25" ht="15" customHeight="1">
      <c r="A25" s="35" t="inlineStr">
        <is>
          <t>Depreciation expense (period)</t>
        </is>
      </c>
      <c r="B25" s="58" t="n"/>
      <c r="C25" s="58" t="n"/>
      <c r="D25" s="64">
        <f>IF(AND(B25="",C25=""),"",B25-C25)</f>
        <v/>
      </c>
      <c r="E25" s="48" t="inlineStr">
        <is>
          <t>should be 0</t>
        </is>
      </c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25.5" customHeight="1">
      <c r="A27" s="31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45" t="inlineStr">
        <is>
          <t>TM Legends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49" t="inlineStr">
        <is>
          <t>TB</t>
        </is>
      </c>
      <c r="B30" s="35" t="inlineStr">
        <is>
          <t>Agreed to trial balance</t>
        </is>
      </c>
      <c r="C30" s="50" t="n"/>
      <c r="D30" s="51" t="n"/>
      <c r="E30" s="29" t="n"/>
      <c r="F30" s="29" t="n"/>
      <c r="G30" s="29" t="n"/>
      <c r="H30" s="29" t="n"/>
      <c r="I30" s="29" t="n"/>
    </row>
    <row r="31" ht="15" customHeight="1">
      <c r="A31" s="49" t="inlineStr">
        <is>
          <t>GL</t>
        </is>
      </c>
      <c r="B31" s="35" t="inlineStr">
        <is>
          <t>Agreed to general ledger</t>
        </is>
      </c>
      <c r="C31" s="50" t="n"/>
      <c r="D31" s="51" t="n"/>
      <c r="E31" s="29" t="n"/>
      <c r="F31" s="29" t="n"/>
      <c r="G31" s="29" t="n"/>
      <c r="H31" s="29" t="n"/>
      <c r="I31" s="29" t="n"/>
    </row>
    <row r="32" ht="15" customHeight="1">
      <c r="A32" s="49" t="inlineStr">
        <is>
          <t>CF</t>
        </is>
      </c>
      <c r="B32" s="35" t="inlineStr">
        <is>
          <t>Confirmed with third party</t>
        </is>
      </c>
      <c r="C32" s="50" t="n"/>
      <c r="D32" s="51" t="n"/>
      <c r="E32" s="29" t="n"/>
      <c r="F32" s="29" t="n"/>
      <c r="G32" s="29" t="n"/>
      <c r="H32" s="29" t="n"/>
      <c r="I32" s="29" t="n"/>
    </row>
    <row r="33" ht="15" customHeight="1">
      <c r="A33" s="49" t="inlineStr">
        <is>
          <t>V</t>
        </is>
      </c>
      <c r="B33" s="35" t="inlineStr">
        <is>
          <t>Vouched to source document</t>
        </is>
      </c>
      <c r="C33" s="50" t="n"/>
      <c r="D33" s="51" t="n"/>
      <c r="E33" s="29" t="n"/>
      <c r="F33" s="29" t="n"/>
      <c r="G33" s="29" t="n"/>
      <c r="H33" s="29" t="n"/>
      <c r="I33" s="29" t="n"/>
    </row>
    <row r="34" ht="15" customHeight="1">
      <c r="A34" s="49" t="inlineStr">
        <is>
          <t>SR</t>
        </is>
      </c>
      <c r="B34" s="35" t="inlineStr">
        <is>
          <t>Agreed to subsequent bank-cleared receipt</t>
        </is>
      </c>
      <c r="C34" s="50" t="n"/>
      <c r="D34" s="51" t="n"/>
      <c r="E34" s="29" t="n"/>
      <c r="F34" s="29" t="n"/>
      <c r="G34" s="29" t="n"/>
      <c r="H34" s="29" t="n"/>
      <c r="I34" s="29" t="n"/>
    </row>
    <row r="35" ht="15" customHeight="1">
      <c r="A35" s="49" t="inlineStr">
        <is>
          <t>R</t>
        </is>
      </c>
      <c r="B35" s="35" t="inlineStr">
        <is>
          <t>Recalculated independently</t>
        </is>
      </c>
      <c r="C35" s="50" t="n"/>
      <c r="D35" s="51" t="n"/>
      <c r="E35" s="29" t="n"/>
      <c r="F35" s="29" t="n"/>
      <c r="G35" s="29" t="n"/>
      <c r="H35" s="29" t="n"/>
      <c r="I35" s="29" t="n"/>
    </row>
    <row r="36" ht="15" customHeight="1">
      <c r="A36" s="49" t="inlineStr">
        <is>
          <t>F</t>
        </is>
      </c>
      <c r="B36" s="35" t="inlineStr">
        <is>
          <t>Footed / cross-cast</t>
        </is>
      </c>
      <c r="C36" s="50" t="n"/>
      <c r="D36" s="51" t="n"/>
      <c r="E36" s="29" t="n"/>
      <c r="F36" s="29" t="n"/>
      <c r="G36" s="29" t="n"/>
      <c r="H36" s="29" t="n"/>
      <c r="I36" s="29" t="n"/>
    </row>
    <row r="37" ht="15" customHeight="1">
      <c r="A37" s="49" t="inlineStr">
        <is>
          <t>T</t>
        </is>
      </c>
      <c r="B37" s="35" t="inlineStr">
        <is>
          <t>Traced to downstream record</t>
        </is>
      </c>
      <c r="C37" s="50" t="n"/>
      <c r="D37" s="51" t="n"/>
      <c r="E37" s="29" t="n"/>
      <c r="F37" s="29" t="n"/>
      <c r="G37" s="29" t="n"/>
      <c r="H37" s="29" t="n"/>
      <c r="I37" s="29" t="n"/>
    </row>
    <row r="38" ht="15" customHeight="1">
      <c r="A38" s="49" t="inlineStr">
        <is>
          <t>PBC</t>
        </is>
      </c>
      <c r="B38" s="35" t="inlineStr">
        <is>
          <t>Prepared by client</t>
        </is>
      </c>
      <c r="C38" s="50" t="n"/>
      <c r="D38" s="51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25.5" customHeight="1">
      <c r="A40" s="31" t="inlineStr">
        <is>
          <t>Before sign-off complete Library Procedures 2-5 (lead sheet, register-to-TB reconciliation, class crosswalk, title/liens).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30.05" customWidth="1" min="2" max="2"/>
    <col width="14" customWidth="1" min="3" max="3"/>
    <col width="37.7" customWidth="1" min="4" max="6"/>
    <col width="16.45" customWidth="1" min="5" max="5"/>
    <col width="36" customWidth="1" min="6" max="6"/>
    <col width="16" customWidth="1" min="7" max="7"/>
    <col width="15" customWidth="1" min="8" max="9"/>
    <col width="14.75" customWidth="1" min="9" max="9"/>
    <col width="32.59999999999999" customWidth="1" min="10" max="10"/>
    <col width="30.9" customWidth="1" min="11" max="11"/>
    <col width="24" customWidth="1" min="12" max="12"/>
  </cols>
  <sheetData>
    <row r="1" ht="17.25" customHeight="1">
      <c r="A1" s="39" t="inlineStr">
        <is>
          <t>PPE Rollforward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Roll each asset class forward: beginning + additions − disposals ± transfers = ending cost; beginning A/D + depreciation − disposal A/D = ending A/D; agree endings to the lead sheet.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15" customHeight="1">
      <c r="A5" s="52" t="inlineStr">
        <is>
          <t>Scope:</t>
        </is>
      </c>
      <c r="B5" s="53" t="inlineStr">
        <is>
          <t>Every asset class; beginning balances bridged to the prior-year trial balance.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Completeness; Valuation &amp; Allocation; Accuracy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31.5" customHeight="1">
      <c r="A7" s="56" t="inlineStr">
        <is>
          <t>Asset Class</t>
        </is>
      </c>
      <c r="B7" s="56" t="inlineStr">
        <is>
          <t>Beg Cost</t>
        </is>
      </c>
      <c r="C7" s="56" t="inlineStr">
        <is>
          <t>Additions</t>
        </is>
      </c>
      <c r="D7" s="56" t="inlineStr">
        <is>
          <t>Disposals (cost)</t>
        </is>
      </c>
      <c r="E7" s="56" t="inlineStr">
        <is>
          <t>Transfers (± CIP)</t>
        </is>
      </c>
      <c r="F7" s="56" t="inlineStr">
        <is>
          <t>End Cost</t>
        </is>
      </c>
      <c r="G7" s="56" t="inlineStr">
        <is>
          <t>Beg Accum Deprec</t>
        </is>
      </c>
      <c r="H7" s="56" t="inlineStr">
        <is>
          <t>Deprec Expense</t>
        </is>
      </c>
      <c r="I7" s="56" t="inlineStr">
        <is>
          <t>Disposals (A/D)</t>
        </is>
      </c>
      <c r="J7" s="56" t="inlineStr">
        <is>
          <t>End Accum Deprec</t>
        </is>
      </c>
      <c r="K7" s="56" t="inlineStr">
        <is>
          <t>End NBV</t>
        </is>
      </c>
      <c r="L7" s="56" t="inlineStr">
        <is>
          <t>Comments</t>
        </is>
      </c>
    </row>
    <row r="8" ht="15" customHeight="1">
      <c r="A8" s="29" t="n"/>
      <c r="B8" s="57" t="inlineStr">
        <is>
          <t>PY</t>
        </is>
      </c>
      <c r="C8" s="57" t="inlineStr">
        <is>
          <t>T</t>
        </is>
      </c>
      <c r="D8" s="57" t="inlineStr">
        <is>
          <t>T</t>
        </is>
      </c>
      <c r="E8" s="57" t="inlineStr">
        <is>
          <t>T</t>
        </is>
      </c>
      <c r="F8" s="29" t="n"/>
      <c r="G8" s="29" t="n"/>
      <c r="H8" s="57" t="inlineStr">
        <is>
          <t>R</t>
        </is>
      </c>
      <c r="I8" s="29" t="n"/>
      <c r="J8" s="29" t="n"/>
      <c r="K8" s="29" t="n"/>
      <c r="L8" s="29" t="n"/>
    </row>
    <row r="9" ht="15" customHeight="1">
      <c r="A9" s="48" t="n"/>
      <c r="B9" s="58" t="n"/>
      <c r="C9" s="58" t="n"/>
      <c r="D9" s="58" t="n"/>
      <c r="E9" s="58" t="n"/>
      <c r="F9" s="59">
        <f>IF(COUNT(B9:E9)=0,"",B9+C9-D9+E9)</f>
        <v/>
      </c>
      <c r="G9" s="58" t="n"/>
      <c r="H9" s="58" t="n"/>
      <c r="I9" s="58" t="n"/>
      <c r="J9" s="59">
        <f>IF(COUNT(G9:I9)=0,"",G9+H9-I9)</f>
        <v/>
      </c>
      <c r="K9" s="59">
        <f>IF(AND(F9="",J9=""),"",F9-J9)</f>
        <v/>
      </c>
      <c r="L9" s="48" t="n"/>
    </row>
    <row r="10" ht="27" customHeight="1">
      <c r="A10" s="48" t="n"/>
      <c r="B10" s="58" t="n"/>
      <c r="C10" s="58" t="n"/>
      <c r="D10" s="58" t="n"/>
      <c r="E10" s="58" t="n"/>
      <c r="F10" s="59">
        <f>IF(COUNT(B10:E10)=0,"",B10+C10-D10+E10)</f>
        <v/>
      </c>
      <c r="G10" s="58" t="n"/>
      <c r="H10" s="58" t="n"/>
      <c r="I10" s="58" t="n"/>
      <c r="J10" s="59">
        <f>IF(COUNT(G10:I10)=0,"",G10+H10-I10)</f>
        <v/>
      </c>
      <c r="K10" s="59">
        <f>IF(AND(F10="",J10=""),"",F10-J10)</f>
        <v/>
      </c>
      <c r="L10" s="48" t="n"/>
    </row>
    <row r="11" ht="27" customHeight="1">
      <c r="A11" s="48" t="n"/>
      <c r="B11" s="58" t="n"/>
      <c r="C11" s="58" t="n"/>
      <c r="D11" s="58" t="n"/>
      <c r="E11" s="58" t="n"/>
      <c r="F11" s="59">
        <f>IF(COUNT(B11:E11)=0,"",B11+C11-D11+E11)</f>
        <v/>
      </c>
      <c r="G11" s="58" t="n"/>
      <c r="H11" s="58" t="n"/>
      <c r="I11" s="58" t="n"/>
      <c r="J11" s="59">
        <f>IF(COUNT(G11:I11)=0,"",G11+H11-I11)</f>
        <v/>
      </c>
      <c r="K11" s="59">
        <f>IF(AND(F11="",J11=""),"",F11-J11)</f>
        <v/>
      </c>
      <c r="L11" s="48" t="n"/>
    </row>
    <row r="12" ht="27" customHeight="1">
      <c r="A12" s="48" t="n"/>
      <c r="B12" s="58" t="n"/>
      <c r="C12" s="58" t="n"/>
      <c r="D12" s="58" t="n"/>
      <c r="E12" s="58" t="n"/>
      <c r="F12" s="59">
        <f>IF(COUNT(B12:E12)=0,"",B12+C12-D12+E12)</f>
        <v/>
      </c>
      <c r="G12" s="58" t="n"/>
      <c r="H12" s="58" t="n"/>
      <c r="I12" s="58" t="n"/>
      <c r="J12" s="59">
        <f>IF(COUNT(G12:I12)=0,"",G12+H12-I12)</f>
        <v/>
      </c>
      <c r="K12" s="59">
        <f>IF(AND(F12="",J12=""),"",F12-J12)</f>
        <v/>
      </c>
      <c r="L12" s="48" t="n"/>
    </row>
    <row r="13" ht="27" customHeight="1">
      <c r="A13" s="48" t="n"/>
      <c r="B13" s="58" t="n"/>
      <c r="C13" s="58" t="n"/>
      <c r="D13" s="58" t="n"/>
      <c r="E13" s="58" t="n"/>
      <c r="F13" s="59">
        <f>IF(COUNT(B13:E13)=0,"",B13+C13-D13+E13)</f>
        <v/>
      </c>
      <c r="G13" s="58" t="n"/>
      <c r="H13" s="58" t="n"/>
      <c r="I13" s="58" t="n"/>
      <c r="J13" s="59">
        <f>IF(COUNT(G13:I13)=0,"",G13+H13-I13)</f>
        <v/>
      </c>
      <c r="K13" s="59">
        <f>IF(AND(F13="",J13=""),"",F13-J13)</f>
        <v/>
      </c>
      <c r="L13" s="48" t="n"/>
    </row>
    <row r="14" ht="27" customHeight="1">
      <c r="A14" s="48" t="n"/>
      <c r="B14" s="58" t="n"/>
      <c r="C14" s="58" t="n"/>
      <c r="D14" s="58" t="n"/>
      <c r="E14" s="58" t="n"/>
      <c r="F14" s="59">
        <f>IF(COUNT(B14:E14)=0,"",B14+C14-D14+E14)</f>
        <v/>
      </c>
      <c r="G14" s="58" t="n"/>
      <c r="H14" s="58" t="n"/>
      <c r="I14" s="58" t="n"/>
      <c r="J14" s="59">
        <f>IF(COUNT(G14:I14)=0,"",G14+H14-I14)</f>
        <v/>
      </c>
      <c r="K14" s="59">
        <f>IF(AND(F14="",J14=""),"",F14-J14)</f>
        <v/>
      </c>
      <c r="L14" s="48" t="n"/>
    </row>
    <row r="15" ht="27" customHeight="1">
      <c r="A15" s="48" t="n"/>
      <c r="B15" s="58" t="n"/>
      <c r="C15" s="58" t="n"/>
      <c r="D15" s="58" t="n"/>
      <c r="E15" s="58" t="n"/>
      <c r="F15" s="59">
        <f>IF(COUNT(B15:E15)=0,"",B15+C15-D15+E15)</f>
        <v/>
      </c>
      <c r="G15" s="58" t="n"/>
      <c r="H15" s="58" t="n"/>
      <c r="I15" s="58" t="n"/>
      <c r="J15" s="59">
        <f>IF(COUNT(G15:I15)=0,"",G15+H15-I15)</f>
        <v/>
      </c>
      <c r="K15" s="59">
        <f>IF(AND(F15="",J15=""),"",F15-J15)</f>
        <v/>
      </c>
      <c r="L15" s="48" t="n"/>
    </row>
    <row r="16" ht="27" customHeight="1">
      <c r="A16" s="48" t="n"/>
      <c r="B16" s="58" t="n"/>
      <c r="C16" s="58" t="n"/>
      <c r="D16" s="58" t="n"/>
      <c r="E16" s="58" t="n"/>
      <c r="F16" s="59">
        <f>IF(COUNT(B16:E16)=0,"",B16+C16-D16+E16)</f>
        <v/>
      </c>
      <c r="G16" s="58" t="n"/>
      <c r="H16" s="58" t="n"/>
      <c r="I16" s="58" t="n"/>
      <c r="J16" s="59">
        <f>IF(COUNT(G16:I16)=0,"",G16+H16-I16)</f>
        <v/>
      </c>
      <c r="K16" s="59">
        <f>IF(AND(F16="",J16=""),"",F16-J16)</f>
        <v/>
      </c>
      <c r="L16" s="48" t="n"/>
    </row>
    <row r="17" ht="27" customHeight="1">
      <c r="A17" s="48" t="n"/>
      <c r="B17" s="58" t="n"/>
      <c r="C17" s="58" t="n"/>
      <c r="D17" s="58" t="n"/>
      <c r="E17" s="58" t="n"/>
      <c r="F17" s="59">
        <f>IF(COUNT(B17:E17)=0,"",B17+C17-D17+E17)</f>
        <v/>
      </c>
      <c r="G17" s="58" t="n"/>
      <c r="H17" s="58" t="n"/>
      <c r="I17" s="58" t="n"/>
      <c r="J17" s="59">
        <f>IF(COUNT(G17:I17)=0,"",G17+H17-I17)</f>
        <v/>
      </c>
      <c r="K17" s="59">
        <f>IF(AND(F17="",J17=""),"",F17-J17)</f>
        <v/>
      </c>
      <c r="L17" s="48" t="n"/>
    </row>
    <row r="18" ht="27" customHeight="1">
      <c r="A18" s="48" t="n"/>
      <c r="B18" s="58" t="n"/>
      <c r="C18" s="58" t="n"/>
      <c r="D18" s="58" t="n"/>
      <c r="E18" s="58" t="n"/>
      <c r="F18" s="59">
        <f>IF(COUNT(B18:E18)=0,"",B18+C18-D18+E18)</f>
        <v/>
      </c>
      <c r="G18" s="58" t="n"/>
      <c r="H18" s="58" t="n"/>
      <c r="I18" s="58" t="n"/>
      <c r="J18" s="59">
        <f>IF(COUNT(G18:I18)=0,"",G18+H18-I18)</f>
        <v/>
      </c>
      <c r="K18" s="59">
        <f>IF(AND(F18="",J18=""),"",F18-J18)</f>
        <v/>
      </c>
      <c r="L18" s="48" t="n"/>
    </row>
    <row r="19" ht="15" customHeight="1">
      <c r="A19" s="61" t="inlineStr">
        <is>
          <t>Total</t>
        </is>
      </c>
      <c r="B19" s="62">
        <f>SUM(B9:B18)</f>
        <v/>
      </c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2">
        <f>SUM(H9:H18)</f>
        <v/>
      </c>
      <c r="I19" s="62">
        <f>SUM(I9:I18)</f>
        <v/>
      </c>
      <c r="J19" s="62">
        <f>SUM(J9:J18)</f>
        <v/>
      </c>
      <c r="K19" s="62">
        <f>SUM(K9:K18)</f>
        <v/>
      </c>
      <c r="L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5.5" customHeight="1">
      <c r="A21" s="31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>
      <c r="A23" s="45" t="inlineStr">
        <is>
          <t>TM Legends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15" customHeight="1">
      <c r="A24" s="49" t="inlineStr">
        <is>
          <t>TB</t>
        </is>
      </c>
      <c r="B24" s="35" t="inlineStr">
        <is>
          <t>Agreed to trial balance</t>
        </is>
      </c>
      <c r="C24" s="50" t="n"/>
      <c r="D24" s="51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 ht="15" customHeight="1">
      <c r="A25" s="49" t="inlineStr">
        <is>
          <t>GL</t>
        </is>
      </c>
      <c r="B25" s="35" t="inlineStr">
        <is>
          <t>Agreed to general ledger</t>
        </is>
      </c>
      <c r="C25" s="50" t="n"/>
      <c r="D25" s="51" t="n"/>
      <c r="E25" s="29" t="n"/>
      <c r="F25" s="29" t="n"/>
      <c r="G25" s="29" t="n"/>
      <c r="H25" s="29" t="n"/>
      <c r="I25" s="29" t="n"/>
      <c r="J25" s="29" t="n"/>
      <c r="K25" s="29" t="n"/>
      <c r="L25" s="29" t="n"/>
    </row>
    <row r="26" ht="15" customHeight="1">
      <c r="A26" s="49" t="inlineStr">
        <is>
          <t>CF</t>
        </is>
      </c>
      <c r="B26" s="35" t="inlineStr">
        <is>
          <t>Confirmed with third party</t>
        </is>
      </c>
      <c r="C26" s="50" t="n"/>
      <c r="D26" s="51" t="n"/>
      <c r="E26" s="29" t="n"/>
      <c r="F26" s="29" t="n"/>
      <c r="G26" s="29" t="n"/>
      <c r="H26" s="29" t="n"/>
      <c r="I26" s="29" t="n"/>
      <c r="J26" s="29" t="n"/>
      <c r="K26" s="29" t="n"/>
      <c r="L26" s="29" t="n"/>
    </row>
    <row r="27" ht="15" customHeight="1">
      <c r="A27" s="49" t="inlineStr">
        <is>
          <t>V</t>
        </is>
      </c>
      <c r="B27" s="35" t="inlineStr">
        <is>
          <t>Vouched to source document</t>
        </is>
      </c>
      <c r="C27" s="50" t="n"/>
      <c r="D27" s="51" t="n"/>
      <c r="E27" s="29" t="n"/>
      <c r="F27" s="29" t="n"/>
      <c r="G27" s="29" t="n"/>
      <c r="H27" s="29" t="n"/>
      <c r="I27" s="29" t="n"/>
      <c r="J27" s="29" t="n"/>
      <c r="K27" s="29" t="n"/>
      <c r="L27" s="29" t="n"/>
    </row>
    <row r="28" ht="15" customHeight="1">
      <c r="A28" s="49" t="inlineStr">
        <is>
          <t>SR</t>
        </is>
      </c>
      <c r="B28" s="35" t="inlineStr">
        <is>
          <t>Agreed to subsequent bank-cleared receipt</t>
        </is>
      </c>
      <c r="C28" s="50" t="n"/>
      <c r="D28" s="51" t="n"/>
      <c r="E28" s="29" t="n"/>
      <c r="F28" s="29" t="n"/>
      <c r="G28" s="29" t="n"/>
      <c r="H28" s="29" t="n"/>
      <c r="I28" s="29" t="n"/>
      <c r="J28" s="29" t="n"/>
      <c r="K28" s="29" t="n"/>
      <c r="L28" s="29" t="n"/>
    </row>
    <row r="29" ht="15" customHeight="1">
      <c r="A29" s="49" t="inlineStr">
        <is>
          <t>R</t>
        </is>
      </c>
      <c r="B29" s="35" t="inlineStr">
        <is>
          <t>Recalculated independently</t>
        </is>
      </c>
      <c r="C29" s="50" t="n"/>
      <c r="D29" s="51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5" customHeight="1">
      <c r="A30" s="49" t="inlineStr">
        <is>
          <t>F</t>
        </is>
      </c>
      <c r="B30" s="35" t="inlineStr">
        <is>
          <t>Footed / cross-cast</t>
        </is>
      </c>
      <c r="C30" s="50" t="n"/>
      <c r="D30" s="51" t="n"/>
      <c r="E30" s="29" t="n"/>
      <c r="F30" s="29" t="n"/>
      <c r="G30" s="29" t="n"/>
      <c r="H30" s="29" t="n"/>
      <c r="I30" s="29" t="n"/>
      <c r="J30" s="29" t="n"/>
      <c r="K30" s="29" t="n"/>
      <c r="L30" s="29" t="n"/>
    </row>
    <row r="31" ht="15" customHeight="1">
      <c r="A31" s="49" t="inlineStr">
        <is>
          <t>T</t>
        </is>
      </c>
      <c r="B31" s="35" t="inlineStr">
        <is>
          <t>Traced to downstream record</t>
        </is>
      </c>
      <c r="C31" s="50" t="n"/>
      <c r="D31" s="51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15" customHeight="1">
      <c r="A32" s="49" t="inlineStr">
        <is>
          <t>PBC</t>
        </is>
      </c>
      <c r="B32" s="35" t="inlineStr">
        <is>
          <t>Prepared by client</t>
        </is>
      </c>
      <c r="C32" s="50" t="n"/>
      <c r="D32" s="51" t="n"/>
      <c r="E32" s="29" t="n"/>
      <c r="F32" s="29" t="n"/>
      <c r="G32" s="29" t="n"/>
      <c r="H32" s="29" t="n"/>
      <c r="I32" s="29" t="n"/>
      <c r="J32" s="29" t="n"/>
      <c r="K32" s="29" t="n"/>
      <c r="L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25.5" customHeight="1">
      <c r="A34" s="31" t="inlineStr">
        <is>
          <t>Before sign-off complete Library Procedure 6 (rollforward &amp; PY bridge).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L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0.9" customWidth="1" min="1" max="1"/>
    <col width="30.05" customWidth="1" min="2" max="2"/>
    <col width="20" customWidth="1" min="3" max="3"/>
    <col width="37.7" customWidth="1" min="4" max="4"/>
    <col width="22.4" customWidth="1" min="5" max="5"/>
    <col width="30.9" customWidth="1" min="6" max="7"/>
    <col width="13.05" customWidth="1" min="7" max="7"/>
    <col width="30.05" customWidth="1" min="8" max="8"/>
    <col width="23.25" customWidth="1" min="9" max="9"/>
    <col width="14.75" customWidth="1" min="10" max="10"/>
    <col width="21.55" customWidth="1" min="11" max="11"/>
    <col width="22" customWidth="1" min="12" max="12"/>
  </cols>
  <sheetData>
    <row r="1" ht="17.25" customHeight="1">
      <c r="A1" s="28" t="inlineStr">
        <is>
          <t>Additions &amp; Disposals (PPE)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Test current-year PPE additions and disposals separately — vouch additions to support and policy; recompute gain/loss on disposals.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27.75" customHeight="1">
      <c r="A5" s="52" t="inlineStr">
        <is>
          <t>Scope:</t>
        </is>
      </c>
      <c r="B5" s="53" t="inlineStr">
        <is>
          <t>Current-year additions (excluding CIP) and the complete disposal/retirement listing, above the testing threshold.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Existence; Rights &amp; Obligations; Accuracy; Classification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15" customHeight="1">
      <c r="A7" s="63" t="inlineStr">
        <is>
          <t>A. Additions testing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 ht="30" customHeight="1">
      <c r="A8" s="47" t="inlineStr">
        <is>
          <t>Asset / description</t>
        </is>
      </c>
      <c r="B8" s="47" t="inlineStr">
        <is>
          <t>Class</t>
        </is>
      </c>
      <c r="C8" s="47" t="inlineStr">
        <is>
          <t>Vendor</t>
        </is>
      </c>
      <c r="D8" s="47" t="inlineStr">
        <is>
          <t>Invoice / PO ref</t>
        </is>
      </c>
      <c r="E8" s="47" t="inlineStr">
        <is>
          <t>Invoice date</t>
        </is>
      </c>
      <c r="F8" s="47" t="inlineStr">
        <is>
          <t>In-service date</t>
        </is>
      </c>
      <c r="G8" s="47" t="inlineStr">
        <is>
          <t>Amount</t>
        </is>
      </c>
      <c r="H8" s="47" t="inlineStr">
        <is>
          <t>Capitalize per policy? (Y/N)</t>
        </is>
      </c>
      <c r="I8" s="47" t="inlineStr">
        <is>
          <t>Vouched (Y/N)</t>
        </is>
      </c>
      <c r="J8" s="47" t="inlineStr">
        <is>
          <t>Inspected (Y/N)</t>
        </is>
      </c>
      <c r="K8" s="47" t="inlineStr">
        <is>
          <t>Title / rights evidence</t>
        </is>
      </c>
      <c r="L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V</t>
        </is>
      </c>
      <c r="H9" s="29" t="n"/>
      <c r="I9" s="57" t="inlineStr">
        <is>
          <t>V</t>
        </is>
      </c>
      <c r="J9" s="57" t="inlineStr">
        <is>
          <t>V</t>
        </is>
      </c>
      <c r="K9" s="29" t="n"/>
      <c r="L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58" t="n"/>
      <c r="H10" s="48" t="n"/>
      <c r="I10" s="48" t="n"/>
      <c r="J10" s="48" t="n"/>
      <c r="K10" s="48" t="n"/>
      <c r="L10" s="48" t="n"/>
    </row>
    <row r="11" ht="15" customHeight="1">
      <c r="A11" s="48" t="n"/>
      <c r="B11" s="48" t="n"/>
      <c r="C11" s="48" t="n"/>
      <c r="D11" s="48" t="n"/>
      <c r="E11" s="48" t="n"/>
      <c r="F11" s="48" t="n"/>
      <c r="G11" s="58" t="n"/>
      <c r="H11" s="48" t="n"/>
      <c r="I11" s="48" t="n"/>
      <c r="J11" s="48" t="n"/>
      <c r="K11" s="48" t="n"/>
      <c r="L11" s="48" t="n"/>
    </row>
    <row r="12" ht="15" customHeight="1">
      <c r="A12" s="48" t="n"/>
      <c r="B12" s="48" t="n"/>
      <c r="C12" s="48" t="n"/>
      <c r="D12" s="48" t="n"/>
      <c r="E12" s="48" t="n"/>
      <c r="F12" s="48" t="n"/>
      <c r="G12" s="58" t="n"/>
      <c r="H12" s="48" t="n"/>
      <c r="I12" s="48" t="n"/>
      <c r="J12" s="48" t="n"/>
      <c r="K12" s="48" t="n"/>
      <c r="L12" s="48" t="n"/>
    </row>
    <row r="13" ht="15" customHeight="1">
      <c r="A13" s="48" t="n"/>
      <c r="B13" s="48" t="n"/>
      <c r="C13" s="48" t="n"/>
      <c r="D13" s="48" t="n"/>
      <c r="E13" s="48" t="n"/>
      <c r="F13" s="48" t="n"/>
      <c r="G13" s="58" t="n"/>
      <c r="H13" s="48" t="n"/>
      <c r="I13" s="48" t="n"/>
      <c r="J13" s="48" t="n"/>
      <c r="K13" s="48" t="n"/>
      <c r="L13" s="48" t="n"/>
    </row>
    <row r="14" ht="15" customHeight="1">
      <c r="A14" s="48" t="n"/>
      <c r="B14" s="48" t="n"/>
      <c r="C14" s="48" t="n"/>
      <c r="D14" s="48" t="n"/>
      <c r="E14" s="48" t="n"/>
      <c r="F14" s="48" t="n"/>
      <c r="G14" s="58" t="n"/>
      <c r="H14" s="48" t="n"/>
      <c r="I14" s="48" t="n"/>
      <c r="J14" s="48" t="n"/>
      <c r="K14" s="48" t="n"/>
      <c r="L14" s="48" t="n"/>
    </row>
    <row r="15" ht="15" customHeight="1">
      <c r="A15" s="48" t="n"/>
      <c r="B15" s="48" t="n"/>
      <c r="C15" s="48" t="n"/>
      <c r="D15" s="48" t="n"/>
      <c r="E15" s="48" t="n"/>
      <c r="F15" s="48" t="n"/>
      <c r="G15" s="58" t="n"/>
      <c r="H15" s="48" t="n"/>
      <c r="I15" s="48" t="n"/>
      <c r="J15" s="48" t="n"/>
      <c r="K15" s="48" t="n"/>
      <c r="L15" s="48" t="n"/>
    </row>
    <row r="16" ht="15" customHeight="1">
      <c r="A16" s="48" t="n"/>
      <c r="B16" s="48" t="n"/>
      <c r="C16" s="48" t="n"/>
      <c r="D16" s="48" t="n"/>
      <c r="E16" s="48" t="n"/>
      <c r="F16" s="48" t="n"/>
      <c r="G16" s="58" t="n"/>
      <c r="H16" s="48" t="n"/>
      <c r="I16" s="48" t="n"/>
      <c r="J16" s="48" t="n"/>
      <c r="K16" s="48" t="n"/>
      <c r="L16" s="48" t="n"/>
    </row>
    <row r="17" ht="15" customHeight="1">
      <c r="A17" s="48" t="n"/>
      <c r="B17" s="48" t="n"/>
      <c r="C17" s="48" t="n"/>
      <c r="D17" s="48" t="n"/>
      <c r="E17" s="48" t="n"/>
      <c r="F17" s="48" t="n"/>
      <c r="G17" s="58" t="n"/>
      <c r="H17" s="48" t="n"/>
      <c r="I17" s="48" t="n"/>
      <c r="J17" s="48" t="n"/>
      <c r="K17" s="48" t="n"/>
      <c r="L17" s="48" t="n"/>
    </row>
    <row r="18" ht="15" customHeight="1">
      <c r="A18" s="48" t="n"/>
      <c r="B18" s="48" t="n"/>
      <c r="C18" s="48" t="n"/>
      <c r="D18" s="48" t="n"/>
      <c r="E18" s="48" t="n"/>
      <c r="F18" s="48" t="n"/>
      <c r="G18" s="58" t="n"/>
      <c r="H18" s="48" t="n"/>
      <c r="I18" s="48" t="n"/>
      <c r="J18" s="48" t="n"/>
      <c r="K18" s="48" t="n"/>
      <c r="L18" s="48" t="n"/>
    </row>
    <row r="19" ht="15" customHeight="1">
      <c r="A19" s="48" t="n"/>
      <c r="B19" s="48" t="n"/>
      <c r="C19" s="48" t="n"/>
      <c r="D19" s="48" t="n"/>
      <c r="E19" s="48" t="n"/>
      <c r="F19" s="48" t="n"/>
      <c r="G19" s="58" t="n"/>
      <c r="H19" s="48" t="n"/>
      <c r="I19" s="48" t="n"/>
      <c r="J19" s="48" t="n"/>
      <c r="K19" s="48" t="n"/>
      <c r="L19" s="48" t="n"/>
    </row>
    <row r="20" ht="15" customHeight="1">
      <c r="A20" s="48" t="n"/>
      <c r="B20" s="48" t="n"/>
      <c r="C20" s="48" t="n"/>
      <c r="D20" s="48" t="n"/>
      <c r="E20" s="48" t="n"/>
      <c r="F20" s="48" t="n"/>
      <c r="G20" s="58" t="n"/>
      <c r="H20" s="48" t="n"/>
      <c r="I20" s="48" t="n"/>
      <c r="J20" s="48" t="n"/>
      <c r="K20" s="48" t="n"/>
      <c r="L20" s="48" t="n"/>
    </row>
    <row r="21">
      <c r="A21" s="61" t="inlineStr">
        <is>
          <t>Total additions</t>
        </is>
      </c>
      <c r="B21" s="61" t="n"/>
      <c r="C21" s="61" t="n"/>
      <c r="D21" s="61" t="n"/>
      <c r="E21" s="61" t="n"/>
      <c r="F21" s="61" t="n"/>
      <c r="G21" s="62" t="n"/>
      <c r="H21" s="61" t="n"/>
      <c r="I21" s="61" t="n"/>
      <c r="J21" s="61" t="n"/>
      <c r="K21" s="61" t="n"/>
      <c r="L21" s="61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30" customHeight="1">
      <c r="A23" s="63" t="inlineStr">
        <is>
          <t>B. Disposals / retirements testing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7" customHeight="1">
      <c r="A24" s="47" t="inlineStr">
        <is>
          <t>Asset / description</t>
        </is>
      </c>
      <c r="B24" s="47" t="inlineStr">
        <is>
          <t>Class</t>
        </is>
      </c>
      <c r="C24" s="47" t="inlineStr">
        <is>
          <t>Disposal date</t>
        </is>
      </c>
      <c r="D24" s="47" t="inlineStr">
        <is>
          <t>Original cost</t>
        </is>
      </c>
      <c r="E24" s="47" t="inlineStr">
        <is>
          <t>Accum deprec at disposal</t>
        </is>
      </c>
      <c r="F24" s="47" t="inlineStr">
        <is>
          <t>NBV at disposal</t>
        </is>
      </c>
      <c r="G24" s="47" t="inlineStr">
        <is>
          <t>Proceeds</t>
        </is>
      </c>
      <c r="H24" s="47" t="inlineStr">
        <is>
          <t>Gain / (loss)</t>
        </is>
      </c>
      <c r="I24" s="47" t="inlineStr">
        <is>
          <t>Cost &amp; A/D removed? (Y/N)</t>
        </is>
      </c>
      <c r="J24" s="47" t="n"/>
      <c r="K24" s="47" t="n"/>
      <c r="L24" s="47" t="inlineStr">
        <is>
          <t>Comments</t>
        </is>
      </c>
    </row>
    <row r="25" ht="27" customHeight="1">
      <c r="A25" s="48" t="n"/>
      <c r="B25" s="48" t="n"/>
      <c r="C25" s="48" t="n"/>
      <c r="D25" s="58" t="n"/>
      <c r="E25" s="58" t="n"/>
      <c r="F25" s="59">
        <f>IF(AND(D25="",E25=""),"",D25-E25)</f>
        <v/>
      </c>
      <c r="G25" s="58" t="n"/>
      <c r="H25" s="59">
        <f>IF(OR(G25="",F25=""),"",G25-F25)</f>
        <v/>
      </c>
      <c r="I25" s="48" t="n"/>
      <c r="J25" s="48" t="n"/>
      <c r="K25" s="48" t="n"/>
      <c r="L25" s="48" t="n"/>
    </row>
    <row r="26" ht="27" customHeight="1">
      <c r="A26" s="48" t="n"/>
      <c r="B26" s="48" t="n"/>
      <c r="C26" s="48" t="n"/>
      <c r="D26" s="58" t="n"/>
      <c r="E26" s="58" t="n"/>
      <c r="F26" s="59">
        <f>IF(AND(D26="",E26=""),"",D26-E26)</f>
        <v/>
      </c>
      <c r="G26" s="58" t="n"/>
      <c r="H26" s="59">
        <f>IF(OR(G26="",F26=""),"",G26-F26)</f>
        <v/>
      </c>
      <c r="I26" s="48" t="n"/>
      <c r="J26" s="48" t="n"/>
      <c r="K26" s="48" t="n"/>
      <c r="L26" s="48" t="n"/>
    </row>
    <row r="27" ht="27" customHeight="1">
      <c r="A27" s="48" t="n"/>
      <c r="B27" s="48" t="n"/>
      <c r="C27" s="48" t="n"/>
      <c r="D27" s="58" t="n"/>
      <c r="E27" s="58" t="n"/>
      <c r="F27" s="59">
        <f>IF(AND(D27="",E27=""),"",D27-E27)</f>
        <v/>
      </c>
      <c r="G27" s="58" t="n"/>
      <c r="H27" s="59">
        <f>IF(OR(G27="",F27=""),"",G27-F27)</f>
        <v/>
      </c>
      <c r="I27" s="48" t="n"/>
      <c r="J27" s="48" t="n"/>
      <c r="K27" s="48" t="n"/>
      <c r="L27" s="48" t="n"/>
    </row>
    <row r="28" ht="27" customHeight="1">
      <c r="A28" s="48" t="n"/>
      <c r="B28" s="48" t="n"/>
      <c r="C28" s="48" t="n"/>
      <c r="D28" s="58" t="n"/>
      <c r="E28" s="58" t="n"/>
      <c r="F28" s="59">
        <f>IF(AND(D28="",E28=""),"",D28-E28)</f>
        <v/>
      </c>
      <c r="G28" s="58" t="n"/>
      <c r="H28" s="59">
        <f>IF(OR(G28="",F28=""),"",G28-F28)</f>
        <v/>
      </c>
      <c r="I28" s="48" t="n"/>
      <c r="J28" s="48" t="n"/>
      <c r="K28" s="48" t="n"/>
      <c r="L28" s="48" t="n"/>
    </row>
    <row r="29" ht="27" customHeight="1">
      <c r="A29" s="48" t="n"/>
      <c r="B29" s="48" t="n"/>
      <c r="C29" s="48" t="n"/>
      <c r="D29" s="58" t="n"/>
      <c r="E29" s="58" t="n"/>
      <c r="F29" s="59">
        <f>IF(AND(D29="",E29=""),"",D29-E29)</f>
        <v/>
      </c>
      <c r="G29" s="58" t="n"/>
      <c r="H29" s="59">
        <f>IF(OR(G29="",F29=""),"",G29-F29)</f>
        <v/>
      </c>
      <c r="I29" s="48" t="n"/>
      <c r="J29" s="48" t="n"/>
      <c r="K29" s="48" t="n"/>
      <c r="L29" s="48" t="n"/>
    </row>
    <row r="30" ht="27" customHeight="1">
      <c r="A30" s="48" t="n"/>
      <c r="B30" s="48" t="n"/>
      <c r="C30" s="48" t="n"/>
      <c r="D30" s="58" t="n"/>
      <c r="E30" s="58" t="n"/>
      <c r="F30" s="59">
        <f>IF(AND(D30="",E30=""),"",D30-E30)</f>
        <v/>
      </c>
      <c r="G30" s="58" t="n"/>
      <c r="H30" s="59">
        <f>IF(OR(G30="",F30=""),"",G30-F30)</f>
        <v/>
      </c>
      <c r="I30" s="48" t="n"/>
      <c r="J30" s="48" t="n"/>
      <c r="K30" s="48" t="n"/>
      <c r="L30" s="48" t="n"/>
    </row>
    <row r="31" ht="27" customHeight="1">
      <c r="A31" s="48" t="n"/>
      <c r="B31" s="48" t="n"/>
      <c r="C31" s="48" t="n"/>
      <c r="D31" s="58" t="n"/>
      <c r="E31" s="58" t="n"/>
      <c r="F31" s="59">
        <f>IF(AND(D31="",E31=""),"",D31-E31)</f>
        <v/>
      </c>
      <c r="G31" s="58" t="n"/>
      <c r="H31" s="59">
        <f>IF(OR(G31="",F31=""),"",G31-F31)</f>
        <v/>
      </c>
      <c r="I31" s="48" t="n"/>
      <c r="J31" s="48" t="n"/>
      <c r="K31" s="48" t="n"/>
      <c r="L31" s="48" t="n"/>
    </row>
    <row r="32" ht="27" customHeight="1">
      <c r="A32" s="48" t="n"/>
      <c r="B32" s="48" t="n"/>
      <c r="C32" s="48" t="n"/>
      <c r="D32" s="58" t="n"/>
      <c r="E32" s="58" t="n"/>
      <c r="F32" s="59">
        <f>IF(AND(D32="",E32=""),"",D32-E32)</f>
        <v/>
      </c>
      <c r="G32" s="58" t="n"/>
      <c r="H32" s="59">
        <f>IF(OR(G32="",F32=""),"",G32-F32)</f>
        <v/>
      </c>
      <c r="I32" s="48" t="n"/>
      <c r="J32" s="48" t="n"/>
      <c r="K32" s="48" t="n"/>
      <c r="L32" s="48" t="n"/>
    </row>
    <row r="33">
      <c r="A33" s="61" t="inlineStr">
        <is>
          <t>Total disposals</t>
        </is>
      </c>
      <c r="B33" s="61" t="n"/>
      <c r="C33" s="61" t="n"/>
      <c r="D33" s="62">
        <f>SUM(D25:D32)</f>
        <v/>
      </c>
      <c r="E33" s="62">
        <f>SUM(E25:E32)</f>
        <v/>
      </c>
      <c r="F33" s="62">
        <f>SUM(F25:F32)</f>
        <v/>
      </c>
      <c r="G33" s="62">
        <f>SUM(G25:G32)</f>
        <v/>
      </c>
      <c r="H33" s="62">
        <f>SUM(H25:H32)</f>
        <v/>
      </c>
      <c r="I33" s="61" t="n"/>
      <c r="J33" s="61" t="n"/>
      <c r="K33" s="61" t="n"/>
      <c r="L33" s="61" t="n"/>
    </row>
    <row r="34" ht="25.5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 ht="27" customHeight="1">
      <c r="A35" s="31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</row>
    <row r="36" ht="15" customHeight="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 ht="15" customHeight="1">
      <c r="A37" s="45" t="inlineStr">
        <is>
          <t>TM Legends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15" customHeight="1">
      <c r="A38" s="49" t="inlineStr">
        <is>
          <t>TB</t>
        </is>
      </c>
      <c r="B38" s="35" t="inlineStr">
        <is>
          <t>Agreed to trial balance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>
      <c r="A39" s="49" t="inlineStr">
        <is>
          <t>GL</t>
        </is>
      </c>
      <c r="B39" s="35" t="inlineStr">
        <is>
          <t>Agreed to general ledger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 ht="15" customHeight="1">
      <c r="A40" s="49" t="inlineStr">
        <is>
          <t>CF</t>
        </is>
      </c>
      <c r="B40" s="35" t="inlineStr">
        <is>
          <t>Confirmed with third party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 ht="15" customHeight="1">
      <c r="A41" s="49" t="inlineStr">
        <is>
          <t>V</t>
        </is>
      </c>
      <c r="B41" s="35" t="inlineStr">
        <is>
          <t>Vouched to source document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 ht="15" customHeight="1">
      <c r="A42" s="49" t="inlineStr">
        <is>
          <t>SR</t>
        </is>
      </c>
      <c r="B42" s="35" t="inlineStr">
        <is>
          <t>Agreed to subsequent bank-cleared receipt</t>
        </is>
      </c>
      <c r="C42" s="50" t="n"/>
      <c r="D42" s="51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 ht="15" customHeight="1">
      <c r="A43" s="49" t="inlineStr">
        <is>
          <t>R</t>
        </is>
      </c>
      <c r="B43" s="35" t="inlineStr">
        <is>
          <t>Recalculated independently</t>
        </is>
      </c>
      <c r="C43" s="50" t="n"/>
      <c r="D43" s="51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15" customHeight="1">
      <c r="A44" s="49" t="inlineStr">
        <is>
          <t>F</t>
        </is>
      </c>
      <c r="B44" s="35" t="inlineStr">
        <is>
          <t>Footed / cross-cast</t>
        </is>
      </c>
      <c r="C44" s="50" t="n"/>
      <c r="D44" s="51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 ht="15" customHeight="1">
      <c r="A45" s="49" t="inlineStr">
        <is>
          <t>T</t>
        </is>
      </c>
      <c r="B45" s="35" t="inlineStr">
        <is>
          <t>Traced to downstream record</t>
        </is>
      </c>
      <c r="C45" s="50" t="n"/>
      <c r="D45" s="51" t="n"/>
      <c r="E45" s="29" t="n"/>
      <c r="F45" s="29" t="n"/>
      <c r="G45" s="29" t="n"/>
      <c r="H45" s="29" t="n"/>
      <c r="I45" s="29" t="n"/>
      <c r="J45" s="29" t="n"/>
      <c r="K45" s="29" t="n"/>
      <c r="L45" s="29" t="n"/>
    </row>
    <row r="46">
      <c r="A46" s="49" t="inlineStr">
        <is>
          <t>PBC</t>
        </is>
      </c>
      <c r="B46" s="35" t="inlineStr">
        <is>
          <t>Prepared by client</t>
        </is>
      </c>
      <c r="C46" s="50" t="n"/>
      <c r="D46" s="51" t="n"/>
      <c r="E46" s="29" t="n"/>
      <c r="F46" s="29" t="n"/>
      <c r="G46" s="29" t="n"/>
      <c r="H46" s="29" t="n"/>
      <c r="I46" s="29" t="n"/>
      <c r="J46" s="29" t="n"/>
      <c r="K46" s="29" t="n"/>
      <c r="L46" s="29" t="n"/>
    </row>
    <row r="47" ht="25.5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</row>
    <row r="48">
      <c r="A48" s="31" t="inlineStr">
        <is>
          <t>Before sign-off complete Library Procedures 7-10 (additions vouching, physical inspection, R&amp;M scan, disposals).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</row>
  </sheetData>
  <autoFilter ref="A8:L20"/>
  <mergeCells count="14">
    <mergeCell ref="B42:D42"/>
    <mergeCell ref="B4:L4"/>
    <mergeCell ref="B45:D45"/>
    <mergeCell ref="B41:D41"/>
    <mergeCell ref="B44:D44"/>
    <mergeCell ref="B38:D38"/>
    <mergeCell ref="A48:L48"/>
    <mergeCell ref="B6:L6"/>
    <mergeCell ref="B46:D46"/>
    <mergeCell ref="B40:D40"/>
    <mergeCell ref="B5:L5"/>
    <mergeCell ref="B43:D43"/>
    <mergeCell ref="B39:D39"/>
    <mergeCell ref="A35:L3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45"/>
  <sheetViews>
    <sheetView showGridLines="0" zoomScale="90" zoomScaleNormal="100" workbookViewId="0">
      <pane ySplit="7" topLeftCell="A8" activePane="bottomLeft" state="frozen"/>
      <selection pane="bottomLeft" activeCell="E18" sqref="E18"/>
    </sheetView>
  </sheetViews>
  <sheetFormatPr baseColWidth="8" defaultColWidth="8.6328125" defaultRowHeight="14.5"/>
  <cols>
    <col width="35.15" customWidth="1" min="1" max="2"/>
    <col width="30.05" customWidth="1" min="2" max="2"/>
    <col width="17.3" customWidth="1" min="3" max="3"/>
    <col width="37.7" customWidth="1" min="4" max="4"/>
    <col width="26.65" customWidth="1" min="5" max="6"/>
    <col width="19" customWidth="1" min="6" max="6"/>
    <col width="24" customWidth="1" min="7" max="7"/>
    <col width="13" customWidth="1" min="8" max="8"/>
  </cols>
  <sheetData>
    <row r="1" ht="17.25" customHeight="1">
      <c r="A1" s="28" t="inlineStr">
        <is>
          <t>CIP Additions &amp; Transfers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</row>
    <row r="4" ht="27.75" customHeight="1">
      <c r="A4" s="45" t="inlineStr">
        <is>
          <t>Purpose:</t>
        </is>
      </c>
      <c r="B4" s="46" t="inlineStr">
        <is>
          <t>Test construction-in-progress additions/transfers in and transfers from CIP to in-service PPE; confirm capitalization, placed-in-service date, and that no depreciation is recorded on CIP.</t>
        </is>
      </c>
      <c r="C4" s="29" t="n"/>
      <c r="D4" s="29" t="n"/>
      <c r="E4" s="29" t="n"/>
      <c r="F4" s="29" t="n"/>
      <c r="G4" s="29" t="n"/>
      <c r="H4" s="29" t="n"/>
    </row>
    <row r="5" ht="27.75" customHeight="1">
      <c r="A5" s="45" t="inlineStr">
        <is>
          <t>Scope:</t>
        </is>
      </c>
      <c r="B5" s="46" t="inlineStr">
        <is>
          <t>CIP project schedule: costs incurred in the year and transfers out to in-service asset classes.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Existence; Accuracy; Classification; Completeness; Cutoff</t>
        </is>
      </c>
      <c r="C6" s="29" t="n"/>
      <c r="D6" s="29" t="n"/>
      <c r="E6" s="29" t="n"/>
      <c r="F6" s="29" t="n"/>
      <c r="G6" s="29" t="n"/>
      <c r="H6" s="29" t="n"/>
    </row>
    <row r="7" ht="15" customHeight="1">
      <c r="A7" s="63" t="inlineStr">
        <is>
          <t>A. CIP additions / transfers in</t>
        </is>
      </c>
      <c r="B7" s="29" t="n"/>
      <c r="C7" s="29" t="n"/>
      <c r="D7" s="29" t="n"/>
      <c r="E7" s="29" t="n"/>
      <c r="F7" s="29" t="n"/>
      <c r="G7" s="29" t="n"/>
      <c r="H7" s="29" t="n"/>
    </row>
    <row r="8" ht="27" customHeight="1">
      <c r="A8" s="47" t="inlineStr">
        <is>
          <t>Project</t>
        </is>
      </c>
      <c r="B8" s="47" t="inlineStr">
        <is>
          <t>Description</t>
        </is>
      </c>
      <c r="C8" s="47" t="inlineStr">
        <is>
          <t>Cost incurred (CY)</t>
        </is>
      </c>
      <c r="D8" s="47" t="inlineStr">
        <is>
          <t>Vendor / PO ref</t>
        </is>
      </c>
      <c r="E8" s="47" t="inlineStr">
        <is>
          <t>Capitalizable? (Y/N)</t>
        </is>
      </c>
      <c r="F8" s="47" t="inlineStr">
        <is>
          <t>Interest capitalized</t>
        </is>
      </c>
      <c r="G8" s="47" t="inlineStr">
        <is>
          <t>Comments</t>
        </is>
      </c>
      <c r="H8" s="29" t="n"/>
    </row>
    <row r="9" ht="15" customHeight="1">
      <c r="A9" s="29" t="n"/>
      <c r="B9" s="29" t="n"/>
      <c r="C9" s="57" t="inlineStr">
        <is>
          <t>V</t>
        </is>
      </c>
      <c r="D9" s="29" t="n"/>
      <c r="E9" s="29" t="n"/>
      <c r="F9" s="29" t="n"/>
      <c r="G9" s="29" t="n"/>
      <c r="H9" s="29" t="n"/>
    </row>
    <row r="10" ht="15" customHeight="1">
      <c r="A10" s="48" t="n"/>
      <c r="B10" s="48" t="n"/>
      <c r="C10" s="58" t="n"/>
      <c r="D10" s="48" t="n"/>
      <c r="E10" s="48" t="n"/>
      <c r="F10" s="58" t="n"/>
      <c r="G10" s="48" t="n"/>
      <c r="H10" s="29" t="n"/>
    </row>
    <row r="11" ht="15" customHeight="1">
      <c r="A11" s="48" t="n"/>
      <c r="B11" s="48" t="n"/>
      <c r="C11" s="58" t="n"/>
      <c r="D11" s="48" t="n"/>
      <c r="E11" s="48" t="n"/>
      <c r="F11" s="58" t="n"/>
      <c r="G11" s="48" t="n"/>
      <c r="H11" s="29" t="n"/>
    </row>
    <row r="12" ht="15" customHeight="1">
      <c r="A12" s="48" t="n"/>
      <c r="B12" s="48" t="n"/>
      <c r="C12" s="58" t="n"/>
      <c r="D12" s="48" t="n"/>
      <c r="E12" s="48" t="n"/>
      <c r="F12" s="58" t="n"/>
      <c r="G12" s="48" t="n"/>
      <c r="H12" s="29" t="n"/>
    </row>
    <row r="13" ht="15" customHeight="1">
      <c r="A13" s="48" t="n"/>
      <c r="B13" s="48" t="n"/>
      <c r="C13" s="58" t="n"/>
      <c r="D13" s="48" t="n"/>
      <c r="E13" s="48" t="n"/>
      <c r="F13" s="58" t="n"/>
      <c r="G13" s="48" t="n"/>
      <c r="H13" s="29" t="n"/>
    </row>
    <row r="14" ht="15" customHeight="1">
      <c r="A14" s="48" t="n"/>
      <c r="B14" s="48" t="n"/>
      <c r="C14" s="58" t="n"/>
      <c r="D14" s="48" t="n"/>
      <c r="E14" s="48" t="n"/>
      <c r="F14" s="58" t="n"/>
      <c r="G14" s="48" t="n"/>
      <c r="H14" s="29" t="n"/>
    </row>
    <row r="15" ht="15" customHeight="1">
      <c r="A15" s="48" t="n"/>
      <c r="B15" s="48" t="n"/>
      <c r="C15" s="58" t="n"/>
      <c r="D15" s="48" t="n"/>
      <c r="E15" s="48" t="n"/>
      <c r="F15" s="58" t="n"/>
      <c r="G15" s="48" t="n"/>
      <c r="H15" s="29" t="n"/>
    </row>
    <row r="16" ht="15" customHeight="1">
      <c r="A16" s="48" t="n"/>
      <c r="B16" s="48" t="n"/>
      <c r="C16" s="58" t="n"/>
      <c r="D16" s="48" t="n"/>
      <c r="E16" s="48" t="n"/>
      <c r="F16" s="58" t="n"/>
      <c r="G16" s="48" t="n"/>
      <c r="H16" s="29" t="n"/>
    </row>
    <row r="17" ht="15" customHeight="1">
      <c r="A17" s="48" t="n"/>
      <c r="B17" s="48" t="n"/>
      <c r="C17" s="58" t="n"/>
      <c r="D17" s="48" t="n"/>
      <c r="E17" s="48" t="n"/>
      <c r="F17" s="58" t="n"/>
      <c r="G17" s="48" t="n"/>
      <c r="H17" s="29" t="n"/>
    </row>
    <row r="18" ht="15" customHeight="1">
      <c r="A18" s="65" t="inlineStr">
        <is>
          <t>Total CIP additions</t>
        </is>
      </c>
      <c r="B18" s="61" t="n"/>
      <c r="C18" s="61" t="n"/>
      <c r="D18" s="61" t="n"/>
      <c r="E18" s="62">
        <f>SUM(E10:E17)</f>
        <v/>
      </c>
      <c r="F18" s="61" t="n"/>
      <c r="G18" s="61" t="n"/>
      <c r="H18" s="66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7" customHeight="1">
      <c r="A20" s="63" t="inlineStr">
        <is>
          <t>B. Transfers from CIP to in-service PPE</t>
        </is>
      </c>
      <c r="B20" s="29" t="n"/>
      <c r="C20" s="29" t="n"/>
      <c r="D20" s="29" t="n"/>
      <c r="E20" s="29" t="n"/>
      <c r="F20" s="29" t="n"/>
      <c r="G20" s="29" t="n"/>
      <c r="H20" s="29" t="n"/>
    </row>
    <row r="21" ht="27" customHeight="1">
      <c r="A21" s="47" t="inlineStr">
        <is>
          <t>Project</t>
        </is>
      </c>
      <c r="B21" s="47" t="inlineStr">
        <is>
          <t>Amount transferred out</t>
        </is>
      </c>
      <c r="C21" s="47" t="inlineStr">
        <is>
          <t>To asset class</t>
        </is>
      </c>
      <c r="D21" s="47" t="inlineStr">
        <is>
          <t>Placed-in-service date</t>
        </is>
      </c>
      <c r="E21" s="47" t="inlineStr">
        <is>
          <t>Depreciation commenced? (Y/N)</t>
        </is>
      </c>
      <c r="F21" s="47" t="n"/>
      <c r="G21" s="47" t="inlineStr">
        <is>
          <t>Comments</t>
        </is>
      </c>
      <c r="H21" s="29" t="n"/>
    </row>
    <row r="22" ht="15" customHeight="1">
      <c r="A22" s="48" t="n"/>
      <c r="B22" s="58" t="n"/>
      <c r="C22" s="48" t="n"/>
      <c r="D22" s="48" t="n"/>
      <c r="E22" s="48" t="n"/>
      <c r="F22" s="48" t="n"/>
      <c r="G22" s="48" t="n"/>
      <c r="H22" s="29" t="n"/>
    </row>
    <row r="23" ht="15" customHeight="1">
      <c r="A23" s="48" t="n"/>
      <c r="B23" s="58" t="n"/>
      <c r="C23" s="48" t="n"/>
      <c r="D23" s="48" t="n"/>
      <c r="E23" s="48" t="n"/>
      <c r="F23" s="48" t="n"/>
      <c r="G23" s="48" t="n"/>
      <c r="H23" s="29" t="n"/>
    </row>
    <row r="24" ht="15" customHeight="1">
      <c r="A24" s="48" t="n"/>
      <c r="B24" s="58" t="n"/>
      <c r="C24" s="48" t="n"/>
      <c r="D24" s="48" t="n"/>
      <c r="E24" s="48" t="n"/>
      <c r="F24" s="48" t="n"/>
      <c r="G24" s="48" t="n"/>
      <c r="H24" s="29" t="n"/>
    </row>
    <row r="25" ht="15" customHeight="1">
      <c r="A25" s="48" t="n"/>
      <c r="B25" s="58" t="n"/>
      <c r="C25" s="48" t="n"/>
      <c r="D25" s="48" t="n"/>
      <c r="E25" s="48" t="n"/>
      <c r="F25" s="48" t="n"/>
      <c r="G25" s="48" t="n"/>
      <c r="H25" s="29" t="n"/>
    </row>
    <row r="26" ht="15" customHeight="1">
      <c r="A26" s="48" t="n"/>
      <c r="B26" s="58" t="n"/>
      <c r="C26" s="48" t="n"/>
      <c r="D26" s="48" t="n"/>
      <c r="E26" s="48" t="n"/>
      <c r="F26" s="48" t="n"/>
      <c r="G26" s="48" t="n"/>
      <c r="H26" s="29" t="n"/>
    </row>
    <row r="27" ht="15" customHeight="1">
      <c r="A27" s="48" t="n"/>
      <c r="B27" s="58" t="n"/>
      <c r="C27" s="48" t="n"/>
      <c r="D27" s="48" t="n"/>
      <c r="E27" s="48" t="n"/>
      <c r="F27" s="48" t="n"/>
      <c r="G27" s="48" t="n"/>
      <c r="H27" s="29" t="n"/>
    </row>
    <row r="28" ht="15" customHeight="1">
      <c r="A28" s="48" t="n"/>
      <c r="B28" s="58" t="n"/>
      <c r="C28" s="48" t="n"/>
      <c r="D28" s="48" t="n"/>
      <c r="E28" s="48" t="n"/>
      <c r="F28" s="48" t="n"/>
      <c r="G28" s="48" t="n"/>
      <c r="H28" s="29" t="n"/>
    </row>
    <row r="29" ht="15" customHeight="1">
      <c r="A29" s="48" t="n"/>
      <c r="B29" s="58" t="n"/>
      <c r="C29" s="48" t="n"/>
      <c r="D29" s="48" t="n"/>
      <c r="E29" s="48" t="n"/>
      <c r="F29" s="48" t="n"/>
      <c r="G29" s="48" t="n"/>
      <c r="H29" s="29" t="n"/>
    </row>
    <row r="30" ht="15" customHeight="1">
      <c r="A30" s="65" t="inlineStr">
        <is>
          <t>Total transfers out</t>
        </is>
      </c>
      <c r="B30" s="62">
        <f>SUM(B22:B29)</f>
        <v/>
      </c>
      <c r="C30" s="61" t="n"/>
      <c r="D30" s="61" t="n"/>
      <c r="E30" s="61" t="n"/>
      <c r="F30" s="61" t="n"/>
      <c r="G30" s="61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7" customHeight="1">
      <c r="A32" s="31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  <c r="B32" s="29" t="n"/>
      <c r="C32" s="29" t="n"/>
      <c r="D32" s="29" t="n"/>
      <c r="E32" s="29" t="n"/>
      <c r="F32" s="29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5" customHeight="1">
      <c r="A34" s="45" t="inlineStr">
        <is>
          <t>TM Legends</t>
        </is>
      </c>
      <c r="B34" s="29" t="n"/>
      <c r="C34" s="29" t="n"/>
      <c r="D34" s="29" t="n"/>
      <c r="E34" s="29" t="n"/>
      <c r="F34" s="29" t="n"/>
      <c r="G34" s="29" t="n"/>
      <c r="H34" s="29" t="n"/>
    </row>
    <row r="35" ht="15" customHeight="1">
      <c r="A35" s="49" t="inlineStr">
        <is>
          <t>TB</t>
        </is>
      </c>
      <c r="B35" s="35" t="inlineStr">
        <is>
          <t>Agreed to trial balance</t>
        </is>
      </c>
      <c r="C35" s="50" t="n"/>
      <c r="D35" s="51" t="n"/>
      <c r="E35" s="29" t="n"/>
      <c r="F35" s="29" t="n"/>
      <c r="G35" s="29" t="n"/>
      <c r="H35" s="29" t="n"/>
    </row>
    <row r="36" ht="15" customHeight="1">
      <c r="A36" s="49" t="inlineStr">
        <is>
          <t>GL</t>
        </is>
      </c>
      <c r="B36" s="35" t="inlineStr">
        <is>
          <t>Agreed to general ledger</t>
        </is>
      </c>
      <c r="C36" s="50" t="n"/>
      <c r="D36" s="51" t="n"/>
      <c r="E36" s="29" t="n"/>
      <c r="F36" s="29" t="n"/>
      <c r="G36" s="29" t="n"/>
      <c r="H36" s="29" t="n"/>
    </row>
    <row r="37" ht="15" customHeight="1">
      <c r="A37" s="49" t="inlineStr">
        <is>
          <t>CF</t>
        </is>
      </c>
      <c r="B37" s="35" t="inlineStr">
        <is>
          <t>Confirmed with third party</t>
        </is>
      </c>
      <c r="C37" s="50" t="n"/>
      <c r="D37" s="51" t="n"/>
      <c r="E37" s="29" t="n"/>
      <c r="F37" s="29" t="n"/>
      <c r="G37" s="29" t="n"/>
      <c r="H37" s="29" t="n"/>
    </row>
    <row r="38" ht="15" customHeight="1">
      <c r="A38" s="49" t="inlineStr">
        <is>
          <t>V</t>
        </is>
      </c>
      <c r="B38" s="35" t="inlineStr">
        <is>
          <t>Vouched to source document</t>
        </is>
      </c>
      <c r="C38" s="50" t="n"/>
      <c r="D38" s="51" t="n"/>
      <c r="E38" s="29" t="n"/>
      <c r="F38" s="29" t="n"/>
      <c r="G38" s="29" t="n"/>
      <c r="H38" s="29" t="n"/>
    </row>
    <row r="39" ht="15" customHeight="1">
      <c r="A39" s="49" t="inlineStr">
        <is>
          <t>SR</t>
        </is>
      </c>
      <c r="B39" s="35" t="inlineStr">
        <is>
          <t>Agreed to subsequent bank-cleared receipt</t>
        </is>
      </c>
      <c r="C39" s="50" t="n"/>
      <c r="D39" s="51" t="n"/>
      <c r="E39" s="29" t="n"/>
      <c r="F39" s="29" t="n"/>
      <c r="G39" s="29" t="n"/>
      <c r="H39" s="29" t="n"/>
    </row>
    <row r="40" ht="15" customHeight="1">
      <c r="A40" s="49" t="inlineStr">
        <is>
          <t>R</t>
        </is>
      </c>
      <c r="B40" s="35" t="inlineStr">
        <is>
          <t>Recalculated independently</t>
        </is>
      </c>
      <c r="C40" s="50" t="n"/>
      <c r="D40" s="51" t="n"/>
      <c r="E40" s="29" t="n"/>
      <c r="F40" s="29" t="n"/>
      <c r="G40" s="29" t="n"/>
      <c r="H40" s="29" t="n"/>
    </row>
    <row r="41" ht="15" customHeight="1">
      <c r="A41" s="49" t="inlineStr">
        <is>
          <t>F</t>
        </is>
      </c>
      <c r="B41" s="35" t="inlineStr">
        <is>
          <t>Footed / cross-cast</t>
        </is>
      </c>
      <c r="C41" s="50" t="n"/>
      <c r="D41" s="51" t="n"/>
      <c r="E41" s="29" t="n"/>
      <c r="F41" s="29" t="n"/>
      <c r="G41" s="29" t="n"/>
      <c r="H41" s="29" t="n"/>
    </row>
    <row r="42" ht="15" customHeight="1">
      <c r="A42" s="49" t="inlineStr">
        <is>
          <t>T</t>
        </is>
      </c>
      <c r="B42" s="35" t="inlineStr">
        <is>
          <t>Traced to downstream record</t>
        </is>
      </c>
      <c r="C42" s="50" t="n"/>
      <c r="D42" s="51" t="n"/>
      <c r="E42" s="29" t="n"/>
      <c r="F42" s="29" t="n"/>
      <c r="G42" s="29" t="n"/>
      <c r="H42" s="29" t="n"/>
    </row>
    <row r="43" ht="15" customHeight="1">
      <c r="A43" s="49" t="inlineStr">
        <is>
          <t>PBC</t>
        </is>
      </c>
      <c r="B43" s="35" t="inlineStr">
        <is>
          <t>Prepared by client</t>
        </is>
      </c>
      <c r="C43" s="50" t="n"/>
      <c r="D43" s="51" t="n"/>
      <c r="E43" s="29" t="n"/>
      <c r="F43" s="29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</row>
    <row r="45" ht="25.5" customHeight="1">
      <c r="A45" s="31" t="inlineStr">
        <is>
          <t>Before sign-off complete Library Procedures 11-12 (CIP additions and transfers to in-service).</t>
        </is>
      </c>
      <c r="B45" s="29" t="n"/>
      <c r="C45" s="29" t="n"/>
      <c r="D45" s="29" t="n"/>
      <c r="E45" s="29" t="n"/>
      <c r="F45" s="29" t="n"/>
      <c r="G45" s="29" t="n"/>
      <c r="H45" s="29" t="n"/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4.3" customWidth="1" min="1" max="1"/>
    <col width="30.05" customWidth="1" min="2" max="2"/>
    <col width="16.45" customWidth="1" min="3" max="3"/>
    <col width="37.7" customWidth="1" min="4" max="4"/>
    <col width="27.5" customWidth="1" min="5" max="5"/>
    <col width="21.55" customWidth="1" min="6" max="8"/>
    <col width="35.15" customWidth="1" min="7" max="7"/>
    <col width="19.85" customWidth="1" min="8" max="8"/>
    <col width="30.05" customWidth="1" min="9" max="9"/>
    <col width="24" customWidth="1" min="10" max="10"/>
  </cols>
  <sheetData>
    <row r="1" ht="17.25" customHeight="1">
      <c r="A1" s="28" t="inlineStr">
        <is>
          <t>Depreciation Recompute &amp; Analytics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  <c r="I3" s="29" t="n"/>
      <c r="J3" s="29" t="n"/>
    </row>
    <row r="4" ht="27.75" customHeight="1">
      <c r="A4" s="45" t="inlineStr">
        <is>
          <t>Purpose:</t>
        </is>
      </c>
      <c r="B4" s="46" t="inlineStr">
        <is>
          <t>Independently recompute depreciation by class and reconcile to the recorded expense; evaluate useful lives and perform depreciation analytics.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27.75" customHeight="1">
      <c r="A5" s="45" t="inlineStr">
        <is>
          <t>Scope:</t>
        </is>
      </c>
      <c r="B5" s="46" t="inlineStr">
        <is>
          <t>Depreciation by asset class using the depreciable base, useful life and partial-year convention; analytics over the period.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</row>
    <row r="6" ht="15" customHeight="1">
      <c r="A6" s="45" t="inlineStr">
        <is>
          <t>Assertions:</t>
        </is>
      </c>
      <c r="B6" s="46" t="inlineStr">
        <is>
          <t>Valuation &amp; Allocation; Accuracy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</row>
    <row r="7" ht="27" customHeight="1">
      <c r="A7" s="63" t="inlineStr">
        <is>
          <t>A. Depreciation recomputation by class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</row>
    <row r="8" ht="31.5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(yrs)</t>
        </is>
      </c>
      <c r="D8" s="47" t="inlineStr">
        <is>
          <t>Depreciable base (cost − salvage)</t>
        </is>
      </c>
      <c r="E8" s="47" t="inlineStr">
        <is>
          <t>Annual rate</t>
        </is>
      </c>
      <c r="F8" s="47" t="inlineStr">
        <is>
          <t>Partial-year convention</t>
        </is>
      </c>
      <c r="G8" s="47" t="inlineStr">
        <is>
          <t>Recomputed depreciation</t>
        </is>
      </c>
      <c r="H8" s="47" t="inlineStr">
        <is>
          <t>Recorded depreciation</t>
        </is>
      </c>
      <c r="I8" s="47" t="inlineStr">
        <is>
          <t>Difference</t>
        </is>
      </c>
      <c r="J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R</t>
        </is>
      </c>
      <c r="H9" s="57" t="inlineStr">
        <is>
          <t>TB</t>
        </is>
      </c>
      <c r="I9" s="29" t="n"/>
      <c r="J9" s="29" t="n"/>
    </row>
    <row r="10" ht="27" customHeight="1">
      <c r="A10" s="48" t="n"/>
      <c r="B10" s="48" t="n"/>
      <c r="C10" s="48" t="n"/>
      <c r="D10" s="58" t="n"/>
      <c r="E10" s="60">
        <f>IF(OR(C10="",C10=0),"",1/C10)</f>
        <v/>
      </c>
      <c r="F10" s="48" t="n"/>
      <c r="G10" s="59">
        <f>IF(OR(D10="",C10="",C10=0),"",D10/C10)</f>
        <v/>
      </c>
      <c r="H10" s="58" t="n"/>
      <c r="I10" s="59">
        <f>IF(OR(H10="",G10=""),"",H10-G10)</f>
        <v/>
      </c>
      <c r="J10" s="48" t="n"/>
    </row>
    <row r="11" ht="27" customHeight="1">
      <c r="A11" s="48" t="n"/>
      <c r="B11" s="48" t="n"/>
      <c r="C11" s="48" t="n"/>
      <c r="D11" s="58" t="n"/>
      <c r="E11" s="60">
        <f>IF(OR(C11="",C11=0),"",1/C11)</f>
        <v/>
      </c>
      <c r="F11" s="48" t="n"/>
      <c r="G11" s="59">
        <f>IF(OR(D11="",C11="",C11=0),"",D11/C11)</f>
        <v/>
      </c>
      <c r="H11" s="58" t="n"/>
      <c r="I11" s="59">
        <f>IF(OR(H11="",G11=""),"",H11-G11)</f>
        <v/>
      </c>
      <c r="J11" s="48" t="n"/>
    </row>
    <row r="12" ht="27" customHeight="1">
      <c r="A12" s="48" t="n"/>
      <c r="B12" s="48" t="n"/>
      <c r="C12" s="48" t="n"/>
      <c r="D12" s="58" t="n"/>
      <c r="E12" s="60">
        <f>IF(OR(C12="",C12=0),"",1/C12)</f>
        <v/>
      </c>
      <c r="F12" s="48" t="n"/>
      <c r="G12" s="59">
        <f>IF(OR(D12="",C12="",C12=0),"",D12/C12)</f>
        <v/>
      </c>
      <c r="H12" s="58" t="n"/>
      <c r="I12" s="59">
        <f>IF(OR(H12="",G12=""),"",H12-G12)</f>
        <v/>
      </c>
      <c r="J12" s="48" t="n"/>
    </row>
    <row r="13" ht="27" customHeight="1">
      <c r="A13" s="48" t="n"/>
      <c r="B13" s="48" t="n"/>
      <c r="C13" s="48" t="n"/>
      <c r="D13" s="58" t="n"/>
      <c r="E13" s="60">
        <f>IF(OR(C13="",C13=0),"",1/C13)</f>
        <v/>
      </c>
      <c r="F13" s="48" t="n"/>
      <c r="G13" s="59">
        <f>IF(OR(D13="",C13="",C13=0),"",D13/C13)</f>
        <v/>
      </c>
      <c r="H13" s="58" t="n"/>
      <c r="I13" s="59">
        <f>IF(OR(H13="",G13=""),"",H13-G13)</f>
        <v/>
      </c>
      <c r="J13" s="48" t="n"/>
    </row>
    <row r="14" ht="27" customHeight="1">
      <c r="A14" s="48" t="n"/>
      <c r="B14" s="48" t="n"/>
      <c r="C14" s="48" t="n"/>
      <c r="D14" s="58" t="n"/>
      <c r="E14" s="60">
        <f>IF(OR(C14="",C14=0),"",1/C14)</f>
        <v/>
      </c>
      <c r="F14" s="48" t="n"/>
      <c r="G14" s="59">
        <f>IF(OR(D14="",C14="",C14=0),"",D14/C14)</f>
        <v/>
      </c>
      <c r="H14" s="58" t="n"/>
      <c r="I14" s="59">
        <f>IF(OR(H14="",G14=""),"",H14-G14)</f>
        <v/>
      </c>
      <c r="J14" s="48" t="n"/>
    </row>
    <row r="15" ht="27" customHeight="1">
      <c r="A15" s="48" t="n"/>
      <c r="B15" s="48" t="n"/>
      <c r="C15" s="48" t="n"/>
      <c r="D15" s="58" t="n"/>
      <c r="E15" s="60">
        <f>IF(OR(C15="",C15=0),"",1/C15)</f>
        <v/>
      </c>
      <c r="F15" s="48" t="n"/>
      <c r="G15" s="59">
        <f>IF(OR(D15="",C15="",C15=0),"",D15/C15)</f>
        <v/>
      </c>
      <c r="H15" s="58" t="n"/>
      <c r="I15" s="59">
        <f>IF(OR(H15="",G15=""),"",H15-G15)</f>
        <v/>
      </c>
      <c r="J15" s="48" t="n"/>
    </row>
    <row r="16" ht="27" customHeight="1">
      <c r="A16" s="48" t="n"/>
      <c r="B16" s="48" t="n"/>
      <c r="C16" s="48" t="n"/>
      <c r="D16" s="58" t="n"/>
      <c r="E16" s="60">
        <f>IF(OR(C16="",C16=0),"",1/C16)</f>
        <v/>
      </c>
      <c r="F16" s="48" t="n"/>
      <c r="G16" s="59">
        <f>IF(OR(D16="",C16="",C16=0),"",D16/C16)</f>
        <v/>
      </c>
      <c r="H16" s="58" t="n"/>
      <c r="I16" s="59">
        <f>IF(OR(H16="",G16=""),"",H16-G16)</f>
        <v/>
      </c>
      <c r="J16" s="48" t="n"/>
    </row>
    <row r="17" ht="27" customHeight="1">
      <c r="A17" s="48" t="n"/>
      <c r="B17" s="48" t="n"/>
      <c r="C17" s="48" t="n"/>
      <c r="D17" s="58" t="n"/>
      <c r="E17" s="60">
        <f>IF(OR(C17="",C17=0),"",1/C17)</f>
        <v/>
      </c>
      <c r="F17" s="48" t="n"/>
      <c r="G17" s="59">
        <f>IF(OR(D17="",C17="",C17=0),"",D17/C17)</f>
        <v/>
      </c>
      <c r="H17" s="58" t="n"/>
      <c r="I17" s="59">
        <f>IF(OR(H17="",G17=""),"",H17-G17)</f>
        <v/>
      </c>
      <c r="J17" s="48" t="n"/>
    </row>
    <row r="18" ht="27" customHeight="1">
      <c r="A18" s="48" t="n"/>
      <c r="B18" s="48" t="n"/>
      <c r="C18" s="48" t="n"/>
      <c r="D18" s="58" t="n"/>
      <c r="E18" s="60">
        <f>IF(OR(C18="",C18=0),"",1/C18)</f>
        <v/>
      </c>
      <c r="F18" s="48" t="n"/>
      <c r="G18" s="59">
        <f>IF(OR(D18="",C18="",C18=0),"",D18/C18)</f>
        <v/>
      </c>
      <c r="H18" s="58" t="n"/>
      <c r="I18" s="59">
        <f>IF(OR(H18="",G18=""),"",H18-G18)</f>
        <v/>
      </c>
      <c r="J18" s="48" t="n"/>
    </row>
    <row r="19" ht="27" customHeight="1">
      <c r="A19" s="48" t="n"/>
      <c r="B19" s="48" t="n"/>
      <c r="C19" s="48" t="n"/>
      <c r="D19" s="58" t="n"/>
      <c r="E19" s="60">
        <f>IF(OR(C19="",C19=0),"",1/C19)</f>
        <v/>
      </c>
      <c r="F19" s="48" t="n"/>
      <c r="G19" s="59">
        <f>IF(OR(D19="",C19="",C19=0),"",D19/C19)</f>
        <v/>
      </c>
      <c r="H19" s="58" t="n"/>
      <c r="I19" s="59">
        <f>IF(OR(H19="",G19=""),"",H19-G19)</f>
        <v/>
      </c>
      <c r="J19" s="48" t="n"/>
    </row>
    <row r="20" ht="15" customHeight="1">
      <c r="A20" s="61" t="inlineStr">
        <is>
          <t>Total</t>
        </is>
      </c>
      <c r="B20" s="61" t="n"/>
      <c r="C20" s="61" t="n"/>
      <c r="D20" s="62">
        <f>SUM(D10:D19)</f>
        <v/>
      </c>
      <c r="E20" s="61" t="n"/>
      <c r="F20" s="61" t="n"/>
      <c r="G20" s="62">
        <f>SUM(G10:G19)</f>
        <v/>
      </c>
      <c r="H20" s="62">
        <f>SUM(H10:H19)</f>
        <v/>
      </c>
      <c r="I20" s="62">
        <f>SUM(I10:I19)</f>
        <v/>
      </c>
      <c r="J20" s="61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 ht="15" customHeight="1">
      <c r="A22" s="67" t="inlineStr">
        <is>
          <t>B. Analytics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18" customHeight="1">
      <c r="A23" s="47" t="inlineStr">
        <is>
          <t>Metric</t>
        </is>
      </c>
      <c r="B23" s="47" t="inlineStr">
        <is>
          <t>CY</t>
        </is>
      </c>
      <c r="C23" s="47" t="inlineStr">
        <is>
          <t>PY</t>
        </is>
      </c>
      <c r="D23" s="47" t="inlineStr">
        <is>
          <t>Change</t>
        </is>
      </c>
      <c r="E23" s="47" t="inlineStr">
        <is>
          <t>Note</t>
        </is>
      </c>
      <c r="F23" s="29" t="n"/>
      <c r="G23" s="29" t="n"/>
      <c r="H23" s="29" t="n"/>
      <c r="I23" s="29" t="n"/>
      <c r="J23" s="29" t="n"/>
    </row>
    <row r="24" ht="15" customHeight="1">
      <c r="A24" s="35" t="inlineStr">
        <is>
          <t>Depreciation expense</t>
        </is>
      </c>
      <c r="B24" s="48" t="n"/>
      <c r="C24" s="48" t="n"/>
      <c r="D24" s="35">
        <f>IF(OR(B24="",C24=""),"",B24-C24)</f>
        <v/>
      </c>
      <c r="E24" s="48" t="n"/>
      <c r="F24" s="29" t="n"/>
      <c r="G24" s="29" t="n"/>
      <c r="H24" s="29" t="n"/>
      <c r="I24" s="29" t="n"/>
      <c r="J24" s="29" t="n"/>
    </row>
    <row r="25" ht="15" customHeight="1">
      <c r="A25" s="35" t="inlineStr">
        <is>
          <t>Depreciation as % of gross cost</t>
        </is>
      </c>
      <c r="B25" s="48" t="n"/>
      <c r="C25" s="48" t="n"/>
      <c r="D25" s="35">
        <f>IF(OR(B25="",C25=""),"",B25-C25)</f>
        <v/>
      </c>
      <c r="E25" s="48" t="n"/>
      <c r="F25" s="29" t="n"/>
      <c r="G25" s="29" t="n"/>
      <c r="H25" s="29" t="n"/>
      <c r="I25" s="29" t="n"/>
      <c r="J25" s="29" t="n"/>
    </row>
    <row r="26" ht="15" customHeight="1">
      <c r="A26" s="35" t="inlineStr">
        <is>
          <t>Accum. deprec. as % of gross cost</t>
        </is>
      </c>
      <c r="B26" s="48" t="n"/>
      <c r="C26" s="48" t="n"/>
      <c r="D26" s="35">
        <f>IF(OR(B26="",C26=""),"",B26-C26)</f>
        <v/>
      </c>
      <c r="E26" s="48" t="n"/>
      <c r="F26" s="29" t="n"/>
      <c r="G26" s="29" t="n"/>
      <c r="H26" s="29" t="n"/>
      <c r="I26" s="29" t="n"/>
      <c r="J26" s="29" t="n"/>
    </row>
    <row r="27" ht="15" customHeight="1">
      <c r="A27" s="35" t="inlineStr">
        <is>
          <t>Average useful life (yrs)</t>
        </is>
      </c>
      <c r="B27" s="48" t="n"/>
      <c r="C27" s="48" t="n"/>
      <c r="D27" s="35">
        <f>IF(OR(B27="",C27=""),"",B27-C27)</f>
        <v/>
      </c>
      <c r="E27" s="48" t="n"/>
      <c r="F27" s="29" t="n"/>
      <c r="G27" s="29" t="n"/>
      <c r="H27" s="29" t="n"/>
      <c r="I27" s="29" t="n"/>
      <c r="J27" s="29" t="n"/>
    </row>
    <row r="28" ht="27" customHeight="1">
      <c r="A28" s="35" t="inlineStr">
        <is>
          <t>Fully-depreciated assets still in use</t>
        </is>
      </c>
      <c r="B28" s="48" t="n"/>
      <c r="C28" s="48" t="n"/>
      <c r="D28" s="35">
        <f>IF(OR(B28="",C28=""),"",B28-C28)</f>
        <v/>
      </c>
      <c r="E28" s="48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25.5" customHeight="1">
      <c r="A30" s="31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 ht="15" customHeight="1">
      <c r="A32" s="45" t="inlineStr">
        <is>
          <t>TM Legends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 ht="15" customHeight="1">
      <c r="A33" s="49" t="inlineStr">
        <is>
          <t>TB</t>
        </is>
      </c>
      <c r="B33" s="35" t="inlineStr">
        <is>
          <t>Agreed to trial balance</t>
        </is>
      </c>
      <c r="C33" s="50" t="n"/>
      <c r="D33" s="51" t="n"/>
      <c r="E33" s="29" t="n"/>
      <c r="F33" s="29" t="n"/>
      <c r="G33" s="29" t="n"/>
      <c r="H33" s="29" t="n"/>
      <c r="I33" s="29" t="n"/>
      <c r="J33" s="29" t="n"/>
    </row>
    <row r="34" ht="15" customHeight="1">
      <c r="A34" s="49" t="inlineStr">
        <is>
          <t>GL</t>
        </is>
      </c>
      <c r="B34" s="35" t="inlineStr">
        <is>
          <t>Agreed to general ledger</t>
        </is>
      </c>
      <c r="C34" s="50" t="n"/>
      <c r="D34" s="51" t="n"/>
      <c r="E34" s="29" t="n"/>
      <c r="F34" s="29" t="n"/>
      <c r="G34" s="29" t="n"/>
      <c r="H34" s="29" t="n"/>
      <c r="I34" s="29" t="n"/>
      <c r="J34" s="29" t="n"/>
    </row>
    <row r="35" ht="15" customHeight="1">
      <c r="A35" s="49" t="inlineStr">
        <is>
          <t>CF</t>
        </is>
      </c>
      <c r="B35" s="35" t="inlineStr">
        <is>
          <t>Confirmed with third party</t>
        </is>
      </c>
      <c r="C35" s="50" t="n"/>
      <c r="D35" s="51" t="n"/>
      <c r="E35" s="29" t="n"/>
      <c r="F35" s="29" t="n"/>
      <c r="G35" s="29" t="n"/>
      <c r="H35" s="29" t="n"/>
      <c r="I35" s="29" t="n"/>
      <c r="J35" s="29" t="n"/>
    </row>
    <row r="36" ht="15" customHeight="1">
      <c r="A36" s="49" t="inlineStr">
        <is>
          <t>V</t>
        </is>
      </c>
      <c r="B36" s="35" t="inlineStr">
        <is>
          <t>Vouched to source document</t>
        </is>
      </c>
      <c r="C36" s="50" t="n"/>
      <c r="D36" s="51" t="n"/>
      <c r="E36" s="29" t="n"/>
      <c r="F36" s="29" t="n"/>
      <c r="G36" s="29" t="n"/>
      <c r="H36" s="29" t="n"/>
      <c r="I36" s="29" t="n"/>
      <c r="J36" s="29" t="n"/>
    </row>
    <row r="37" ht="15" customHeight="1">
      <c r="A37" s="49" t="inlineStr">
        <is>
          <t>SR</t>
        </is>
      </c>
      <c r="B37" s="35" t="inlineStr">
        <is>
          <t>Agreed to subsequent bank-cleared receipt</t>
        </is>
      </c>
      <c r="C37" s="50" t="n"/>
      <c r="D37" s="51" t="n"/>
      <c r="E37" s="29" t="n"/>
      <c r="F37" s="29" t="n"/>
      <c r="G37" s="29" t="n"/>
      <c r="H37" s="29" t="n"/>
      <c r="I37" s="29" t="n"/>
      <c r="J37" s="29" t="n"/>
    </row>
    <row r="38" ht="15" customHeight="1">
      <c r="A38" s="49" t="inlineStr">
        <is>
          <t>R</t>
        </is>
      </c>
      <c r="B38" s="35" t="inlineStr">
        <is>
          <t>Recalculated independently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</row>
    <row r="39" ht="15" customHeight="1">
      <c r="A39" s="49" t="inlineStr">
        <is>
          <t>F</t>
        </is>
      </c>
      <c r="B39" s="35" t="inlineStr">
        <is>
          <t>Footed / cross-cast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</row>
    <row r="40" ht="15" customHeight="1">
      <c r="A40" s="49" t="inlineStr">
        <is>
          <t>T</t>
        </is>
      </c>
      <c r="B40" s="35" t="inlineStr">
        <is>
          <t>Traced to downstream record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</row>
    <row r="41" ht="15" customHeight="1">
      <c r="A41" s="49" t="inlineStr">
        <is>
          <t>PBC</t>
        </is>
      </c>
      <c r="B41" s="35" t="inlineStr">
        <is>
          <t>Prepared by client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25.5" customHeight="1">
      <c r="A43" s="31" t="inlineStr">
        <is>
          <t>Before sign-off complete Library Procedures 13-15 (recompute, useful-life reasonableness, analytics &amp; fully-depreciated).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8" customWidth="1" min="1" max="1"/>
    <col width="30.05" customWidth="1" min="2" max="2"/>
    <col width="30" customWidth="1" min="3" max="3"/>
    <col width="37.7" customWidth="1" min="4" max="4"/>
    <col width="31.75" customWidth="1" min="5" max="5"/>
    <col width="26" customWidth="1" min="6" max="6"/>
    <col width="13" customWidth="1" min="7" max="7"/>
    <col width="13" customWidth="1" min="8" max="8"/>
  </cols>
  <sheetData>
    <row r="1" ht="17.25" customHeight="1">
      <c r="A1" s="28" t="inlineStr">
        <is>
          <t>Impairment — Triggering Events (ASC 360-10-35-21)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whether any event or change in circumstances indicates the carrying amount of a long-lived asset (group) may not be recoverable.</t>
        </is>
      </c>
      <c r="C4" s="54" t="n"/>
      <c r="D4" s="54" t="n"/>
      <c r="E4" s="54" t="n"/>
      <c r="F4" s="55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All long-lived asset groups held and used; consider each impairment indicator.</t>
        </is>
      </c>
      <c r="C5" s="54" t="n"/>
      <c r="D5" s="54" t="n"/>
      <c r="E5" s="54" t="n"/>
      <c r="F5" s="55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5" t="n"/>
      <c r="G6" s="29" t="n"/>
      <c r="H6" s="29" t="n"/>
    </row>
    <row r="7" ht="27.75" customHeight="1">
      <c r="A7" s="56" t="inlineStr">
        <is>
          <t>Impairment indicator</t>
        </is>
      </c>
      <c r="B7" s="56" t="inlineStr">
        <is>
          <t>Present? (Y/N)</t>
        </is>
      </c>
      <c r="C7" s="56" t="inlineStr">
        <is>
          <t>Evidence / basis</t>
        </is>
      </c>
      <c r="D7" s="56" t="inlineStr">
        <is>
          <t>Asset(s) affected</t>
        </is>
      </c>
      <c r="E7" s="56" t="inlineStr">
        <is>
          <t>Recoverability test required? (Y/N)</t>
        </is>
      </c>
      <c r="F7" s="56" t="inlineStr">
        <is>
          <t>Comments</t>
        </is>
      </c>
      <c r="G7" s="29" t="n"/>
      <c r="H7" s="29" t="n"/>
    </row>
    <row r="8" ht="27.75" customHeight="1">
      <c r="A8" s="68" t="inlineStr">
        <is>
          <t>Significant decrease in market price of a long-lived asset (group)</t>
        </is>
      </c>
      <c r="B8" s="48" t="n"/>
      <c r="C8" s="48" t="n"/>
      <c r="D8" s="48" t="n"/>
      <c r="E8" s="48" t="n"/>
      <c r="F8" s="48" t="n"/>
      <c r="G8" s="29" t="n"/>
      <c r="H8" s="29" t="n"/>
    </row>
    <row r="9" ht="27.75" customHeight="1">
      <c r="A9" s="68" t="inlineStr">
        <is>
          <t>Significant adverse change in the extent/manner of use or physical condition</t>
        </is>
      </c>
      <c r="B9" s="48" t="n"/>
      <c r="C9" s="48" t="n"/>
      <c r="D9" s="48" t="n"/>
      <c r="E9" s="48" t="n"/>
      <c r="F9" s="48" t="n"/>
      <c r="G9" s="29" t="n"/>
      <c r="H9" s="29" t="n"/>
    </row>
    <row r="10" ht="27.75" customHeight="1">
      <c r="A10" s="68" t="inlineStr">
        <is>
          <t>Significant adverse change in legal factors or business climate / regulation</t>
        </is>
      </c>
      <c r="B10" s="48" t="n"/>
      <c r="C10" s="48" t="n"/>
      <c r="D10" s="48" t="n"/>
      <c r="E10" s="48" t="n"/>
      <c r="F10" s="48" t="n"/>
      <c r="G10" s="29" t="n"/>
      <c r="H10" s="29" t="n"/>
    </row>
    <row r="11" ht="27.75" customHeight="1">
      <c r="A11" s="68" t="inlineStr">
        <is>
          <t>Accumulated costs significantly exceed the amount originally expected (e.g. CIP overrun)</t>
        </is>
      </c>
      <c r="B11" s="48" t="n"/>
      <c r="C11" s="48" t="n"/>
      <c r="D11" s="48" t="n"/>
      <c r="E11" s="48" t="n"/>
      <c r="F11" s="48" t="n"/>
      <c r="G11" s="29" t="n"/>
      <c r="H11" s="29" t="n"/>
    </row>
    <row r="12" ht="27.75" customHeight="1">
      <c r="A12" s="68" t="inlineStr">
        <is>
          <t>Current-period operating loss or negative cash flows combined with a history / forecast of losses</t>
        </is>
      </c>
      <c r="B12" s="48" t="n"/>
      <c r="C12" s="48" t="n"/>
      <c r="D12" s="48" t="n"/>
      <c r="E12" s="48" t="n"/>
      <c r="F12" s="48" t="n"/>
      <c r="G12" s="29" t="n"/>
      <c r="H12" s="29" t="n"/>
    </row>
    <row r="13" ht="40.5" customHeight="1">
      <c r="A13" s="68" t="inlineStr">
        <is>
          <t>Expectation that the asset (group) will be sold or disposed of significantly before the end of its useful life</t>
        </is>
      </c>
      <c r="B13" s="48" t="n"/>
      <c r="C13" s="48" t="n"/>
      <c r="D13" s="48" t="n"/>
      <c r="E13" s="48" t="n"/>
      <c r="F13" s="48" t="n"/>
      <c r="G13" s="29" t="n"/>
      <c r="H13" s="29" t="n"/>
    </row>
    <row r="14" ht="15" customHeight="1">
      <c r="A14" s="65" t="inlineStr">
        <is>
          <t>Conclusion — triggering event exists? (Y/N)</t>
        </is>
      </c>
      <c r="B14" s="61" t="n"/>
      <c r="C14" s="61" t="n"/>
      <c r="D14" s="61" t="n"/>
      <c r="E14" s="61" t="n"/>
      <c r="F14" s="61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5.5" customHeight="1">
      <c r="A16" s="31" t="inlineStr">
        <is>
          <t>If any indicator is present, a recoverability test is required for the affected asset group — proceed to &lt;.7&gt; Impairment — Held &amp; Used.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5" customHeight="1">
      <c r="A18" s="45" t="inlineStr">
        <is>
          <t>TM Legends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>
      <c r="A19" s="49" t="inlineStr">
        <is>
          <t>TB</t>
        </is>
      </c>
      <c r="B19" s="35" t="inlineStr">
        <is>
          <t>Agreed to trial balance</t>
        </is>
      </c>
      <c r="C19" s="50" t="n"/>
      <c r="D19" s="51" t="n"/>
      <c r="E19" s="29" t="n"/>
      <c r="F19" s="29" t="n"/>
      <c r="G19" s="29" t="n"/>
      <c r="H19" s="29" t="n"/>
    </row>
    <row r="20" ht="15" customHeight="1">
      <c r="A20" s="49" t="inlineStr">
        <is>
          <t>GL</t>
        </is>
      </c>
      <c r="B20" s="35" t="inlineStr">
        <is>
          <t>Agreed to general ledger</t>
        </is>
      </c>
      <c r="C20" s="50" t="n"/>
      <c r="D20" s="51" t="n"/>
      <c r="E20" s="29" t="n"/>
      <c r="F20" s="29" t="n"/>
      <c r="G20" s="29" t="n"/>
      <c r="H20" s="29" t="n"/>
    </row>
    <row r="21" ht="15" customHeight="1">
      <c r="A21" s="49" t="inlineStr">
        <is>
          <t>CF</t>
        </is>
      </c>
      <c r="B21" s="35" t="inlineStr">
        <is>
          <t>Confirmed with third party</t>
        </is>
      </c>
      <c r="C21" s="50" t="n"/>
      <c r="D21" s="51" t="n"/>
      <c r="E21" s="29" t="n"/>
      <c r="F21" s="29" t="n"/>
      <c r="G21" s="29" t="n"/>
      <c r="H21" s="29" t="n"/>
    </row>
    <row r="22" ht="15" customHeight="1">
      <c r="A22" s="49" t="inlineStr">
        <is>
          <t>V</t>
        </is>
      </c>
      <c r="B22" s="35" t="inlineStr">
        <is>
          <t>Vouched to source document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SR</t>
        </is>
      </c>
      <c r="B23" s="35" t="inlineStr">
        <is>
          <t>Agreed to subsequent bank-cleared receipt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R</t>
        </is>
      </c>
      <c r="B24" s="35" t="inlineStr">
        <is>
          <t>Recalculated independently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F</t>
        </is>
      </c>
      <c r="B25" s="35" t="inlineStr">
        <is>
          <t>Footed / cross-cast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T</t>
        </is>
      </c>
      <c r="B26" s="35" t="inlineStr">
        <is>
          <t>Traced to downstream record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PBC</t>
        </is>
      </c>
      <c r="B27" s="35" t="inlineStr">
        <is>
          <t>Prepared by client</t>
        </is>
      </c>
      <c r="C27" s="50" t="n"/>
      <c r="D27" s="51" t="n"/>
      <c r="E27" s="29" t="n"/>
      <c r="F27" s="29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25.5" customHeight="1">
      <c r="A29" s="31" t="inlineStr">
        <is>
          <t>Before sign-off complete Library Procedure 16 (evaluate triggering events / impairment indicators).</t>
        </is>
      </c>
      <c r="B29" s="29" t="n"/>
      <c r="C29" s="29" t="n"/>
      <c r="D29" s="29" t="n"/>
      <c r="E29" s="29" t="n"/>
      <c r="F29" s="29" t="n"/>
      <c r="G29" s="29" t="n"/>
      <c r="H29" s="29" t="n"/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H6"/>
    </sheetView>
  </sheetViews>
  <sheetFormatPr baseColWidth="8" defaultColWidth="8.6328125" defaultRowHeight="14.5"/>
  <cols>
    <col width="36.85" customWidth="1" min="1" max="1"/>
    <col width="30.05" customWidth="1" min="2" max="2"/>
    <col width="33.45" customWidth="1" min="3" max="3"/>
    <col width="42" customWidth="1" min="4" max="4"/>
    <col width="28.35" customWidth="1" min="5" max="6"/>
    <col width="38.55" customWidth="1" min="6" max="6"/>
    <col width="28" customWidth="1" min="7" max="7"/>
    <col width="24" customWidth="1" min="8" max="8"/>
  </cols>
  <sheetData>
    <row r="1" ht="27" customHeight="1">
      <c r="A1" s="28" t="inlineStr">
        <is>
          <t>Impairment — Assets Held &amp; Used (ASC 360)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15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For asset groups with a triggering event, perform the recoverability test (undiscounted cash flows vs carrying amount) and measure any impairment loss.</t>
        </is>
      </c>
      <c r="C4" s="54" t="n"/>
      <c r="D4" s="54" t="n"/>
      <c r="E4" s="54" t="n"/>
      <c r="F4" s="54" t="n"/>
      <c r="G4" s="54" t="n"/>
      <c r="H4" s="55" t="n"/>
    </row>
    <row r="5" ht="15" customHeight="1">
      <c r="A5" s="52" t="inlineStr">
        <is>
          <t>Scope:</t>
        </is>
      </c>
      <c r="B5" s="53" t="inlineStr">
        <is>
          <t>Asset groups identified on &lt;.6&gt; as having an impairment indicator.</t>
        </is>
      </c>
      <c r="C5" s="54" t="n"/>
      <c r="D5" s="54" t="n"/>
      <c r="E5" s="54" t="n"/>
      <c r="F5" s="54" t="n"/>
      <c r="G5" s="54" t="n"/>
      <c r="H5" s="55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4" t="n"/>
      <c r="G6" s="54" t="n"/>
      <c r="H6" s="55" t="n"/>
    </row>
    <row r="7" ht="39.75" customHeight="1">
      <c r="A7" s="56" t="inlineStr">
        <is>
          <t>Asset group</t>
        </is>
      </c>
      <c r="B7" s="56" t="inlineStr">
        <is>
          <t>Carrying amount</t>
        </is>
      </c>
      <c r="C7" s="56" t="inlineStr">
        <is>
          <t>Sum of undiscounted future cash flows</t>
        </is>
      </c>
      <c r="D7" s="56" t="inlineStr">
        <is>
          <t>Recoverable? (Y/N)</t>
        </is>
      </c>
      <c r="E7" s="56" t="inlineStr">
        <is>
          <t>Fair value (if not recoverable)</t>
        </is>
      </c>
      <c r="F7" s="56" t="inlineStr">
        <is>
          <t>Impairment loss</t>
        </is>
      </c>
      <c r="G7" s="56" t="inlineStr">
        <is>
          <t>Basis / key assumptions</t>
        </is>
      </c>
      <c r="H7" s="56" t="inlineStr">
        <is>
          <t>Conclusion</t>
        </is>
      </c>
    </row>
    <row r="8" ht="15" customHeight="1">
      <c r="A8" s="29" t="n"/>
      <c r="B8" s="57" t="inlineStr">
        <is>
          <t>TB</t>
        </is>
      </c>
      <c r="C8" s="29" t="n"/>
      <c r="D8" s="29" t="n"/>
      <c r="E8" s="29" t="n"/>
      <c r="F8" s="57" t="inlineStr">
        <is>
          <t>R</t>
        </is>
      </c>
      <c r="G8" s="29" t="n"/>
      <c r="H8" s="29" t="n"/>
    </row>
    <row r="9" ht="27" customHeight="1">
      <c r="A9" s="48" t="n"/>
      <c r="B9" s="58" t="n"/>
      <c r="C9" s="58" t="n"/>
      <c r="D9" s="35">
        <f>IF(OR(B9="",C9=""),"",IF(C9&gt;=B9,"Yes","No"))</f>
        <v/>
      </c>
      <c r="E9" s="58" t="n"/>
      <c r="F9" s="59">
        <f>IF(AND(D9="No",E9&lt;&gt;""),MAX(0,B9-E9),0)</f>
        <v/>
      </c>
      <c r="G9" s="48" t="n"/>
      <c r="H9" s="48" t="n"/>
    </row>
    <row r="10" ht="27" customHeight="1">
      <c r="A10" s="48" t="n"/>
      <c r="B10" s="58" t="n"/>
      <c r="C10" s="58" t="n"/>
      <c r="D10" s="35">
        <f>IF(OR(B10="",C10=""),"",IF(C10&gt;=B10,"Yes","No"))</f>
        <v/>
      </c>
      <c r="E10" s="58" t="n"/>
      <c r="F10" s="59">
        <f>IF(AND(D10="No",E10&lt;&gt;""),MAX(0,B10-E10),0)</f>
        <v/>
      </c>
      <c r="G10" s="48" t="n"/>
      <c r="H10" s="48" t="n"/>
    </row>
    <row r="11" ht="27" customHeight="1">
      <c r="A11" s="48" t="n"/>
      <c r="B11" s="58" t="n"/>
      <c r="C11" s="58" t="n"/>
      <c r="D11" s="35">
        <f>IF(OR(B11="",C11=""),"",IF(C11&gt;=B11,"Yes","No"))</f>
        <v/>
      </c>
      <c r="E11" s="58" t="n"/>
      <c r="F11" s="59">
        <f>IF(AND(D11="No",E11&lt;&gt;""),MAX(0,B11-E11),0)</f>
        <v/>
      </c>
      <c r="G11" s="48" t="n"/>
      <c r="H11" s="48" t="n"/>
    </row>
    <row r="12" ht="27" customHeight="1">
      <c r="A12" s="48" t="n"/>
      <c r="B12" s="58" t="n"/>
      <c r="C12" s="58" t="n"/>
      <c r="D12" s="35">
        <f>IF(OR(B12="",C12=""),"",IF(C12&gt;=B12,"Yes","No"))</f>
        <v/>
      </c>
      <c r="E12" s="58" t="n"/>
      <c r="F12" s="59">
        <f>IF(AND(D12="No",E12&lt;&gt;""),MAX(0,B12-E12),0)</f>
        <v/>
      </c>
      <c r="G12" s="48" t="n"/>
      <c r="H12" s="48" t="n"/>
    </row>
    <row r="13" ht="27" customHeight="1">
      <c r="A13" s="48" t="n"/>
      <c r="B13" s="58" t="n"/>
      <c r="C13" s="58" t="n"/>
      <c r="D13" s="35">
        <f>IF(OR(B13="",C13=""),"",IF(C13&gt;=B13,"Yes","No"))</f>
        <v/>
      </c>
      <c r="E13" s="58" t="n"/>
      <c r="F13" s="59">
        <f>IF(AND(D13="No",E13&lt;&gt;""),MAX(0,B13-E13),0)</f>
        <v/>
      </c>
      <c r="G13" s="48" t="n"/>
      <c r="H13" s="48" t="n"/>
    </row>
    <row r="14" ht="27" customHeight="1">
      <c r="A14" s="48" t="n"/>
      <c r="B14" s="58" t="n"/>
      <c r="C14" s="58" t="n"/>
      <c r="D14" s="35">
        <f>IF(OR(B14="",C14=""),"",IF(C14&gt;=B14,"Yes","No"))</f>
        <v/>
      </c>
      <c r="E14" s="58" t="n"/>
      <c r="F14" s="59">
        <f>IF(AND(D14="No",E14&lt;&gt;""),MAX(0,B14-E14),0)</f>
        <v/>
      </c>
      <c r="G14" s="48" t="n"/>
      <c r="H14" s="48" t="n"/>
    </row>
    <row r="15" ht="27" customHeight="1">
      <c r="A15" s="48" t="n"/>
      <c r="B15" s="58" t="n"/>
      <c r="C15" s="58" t="n"/>
      <c r="D15" s="35">
        <f>IF(OR(B15="",C15=""),"",IF(C15&gt;=B15,"Yes","No"))</f>
        <v/>
      </c>
      <c r="E15" s="58" t="n"/>
      <c r="F15" s="59">
        <f>IF(AND(D15="No",E15&lt;&gt;""),MAX(0,B15-E15),0)</f>
        <v/>
      </c>
      <c r="G15" s="48" t="n"/>
      <c r="H15" s="48" t="n"/>
    </row>
    <row r="16" ht="27" customHeight="1">
      <c r="A16" s="48" t="n"/>
      <c r="B16" s="58" t="n"/>
      <c r="C16" s="58" t="n"/>
      <c r="D16" s="35">
        <f>IF(OR(B16="",C16=""),"",IF(C16&gt;=B16,"Yes","No"))</f>
        <v/>
      </c>
      <c r="E16" s="58" t="n"/>
      <c r="F16" s="59">
        <f>IF(AND(D16="No",E16&lt;&gt;""),MAX(0,B16-E16),0)</f>
        <v/>
      </c>
      <c r="G16" s="48" t="n"/>
      <c r="H16" s="48" t="n"/>
    </row>
    <row r="17" ht="15" customHeight="1">
      <c r="A17" s="65" t="inlineStr">
        <is>
          <t>Total impairment loss</t>
        </is>
      </c>
      <c r="B17" s="61" t="n"/>
      <c r="C17" s="61" t="n"/>
      <c r="D17" s="61" t="n"/>
      <c r="E17" s="61" t="n"/>
      <c r="F17" s="62">
        <f>SUM(F9:F16)</f>
        <v/>
      </c>
      <c r="G17" s="61" t="n"/>
      <c r="H17" s="61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25.5" customHeight="1">
      <c r="A19" s="31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Procedures 17-18 (recoverability test and impairment measurement).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6"/>
  <sheetViews>
    <sheetView showGridLines="0" zoomScale="90" zoomScaleNormal="100" workbookViewId="0">
      <pane ySplit="7" topLeftCell="A8" activePane="bottomLeft" state="frozen"/>
      <selection pane="bottomLeft" activeCell="D8" sqref="D8"/>
    </sheetView>
  </sheetViews>
  <sheetFormatPr baseColWidth="8" defaultColWidth="8.6328125" defaultRowHeight="14.5"/>
  <cols>
    <col width="41.95" customWidth="1" min="1" max="1"/>
    <col width="30.05" customWidth="1" min="2" max="3"/>
    <col width="16.45" customWidth="1" min="3" max="3"/>
    <col width="37.7" customWidth="1" min="4" max="4"/>
    <col width="32" customWidth="1" min="5" max="5"/>
    <col width="13" customWidth="1" min="6" max="6"/>
    <col width="13" customWidth="1" min="7" max="7"/>
    <col width="13" customWidth="1" min="8" max="8"/>
  </cols>
  <sheetData>
    <row r="1" ht="17.25" customHeight="1">
      <c r="A1" s="28" t="inlineStr">
        <is>
          <t>Presentation &amp; Disclosures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Zephirax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19100</v>
      </c>
      <c r="C3" s="29" t="n"/>
      <c r="D3" s="43" t="inlineStr">
        <is>
          <t>Tolerable misstatement / testing threshold</t>
        </is>
      </c>
      <c r="E3" s="44" t="n">
        <v>17200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depreciation-method and useful-life disclosures and other PPE presentation and disclosure matters.</t>
        </is>
      </c>
      <c r="C4" s="54" t="n"/>
      <c r="D4" s="54" t="n"/>
      <c r="E4" s="55" t="n"/>
      <c r="F4" s="29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Depreciation policy by class and PPE disclosure areas.</t>
        </is>
      </c>
      <c r="C5" s="54" t="n"/>
      <c r="D5" s="54" t="n"/>
      <c r="E5" s="55" t="n"/>
      <c r="F5" s="29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Presentation &amp; Disclosure; Classification</t>
        </is>
      </c>
      <c r="C6" s="54" t="n"/>
      <c r="D6" s="54" t="n"/>
      <c r="E6" s="55" t="n"/>
      <c r="F6" s="29" t="n"/>
      <c r="G6" s="29" t="n"/>
      <c r="H6" s="29" t="n"/>
    </row>
    <row r="7" ht="27" customHeight="1">
      <c r="A7" s="63" t="inlineStr">
        <is>
          <t>A. Depreciation methods &amp; useful lives by class</t>
        </is>
      </c>
      <c r="B7" s="29" t="n"/>
      <c r="C7" s="29" t="n"/>
      <c r="D7" s="29" t="n"/>
      <c r="E7" s="29" t="n"/>
      <c r="F7" s="29" t="n"/>
      <c r="G7" s="29" t="n"/>
      <c r="H7" s="29" t="n"/>
    </row>
    <row r="8" ht="22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range</t>
        </is>
      </c>
      <c r="D8" s="47" t="inlineStr">
        <is>
          <t>Consistent w/ PY? (Y/N)</t>
        </is>
      </c>
      <c r="E8" s="47" t="inlineStr">
        <is>
          <t>Comments</t>
        </is>
      </c>
      <c r="F8" s="29" t="n"/>
      <c r="G8" s="29" t="n"/>
      <c r="H8" s="29" t="n"/>
    </row>
    <row r="9" ht="15" customHeight="1">
      <c r="A9" s="48" t="n"/>
      <c r="B9" s="48" t="n"/>
      <c r="C9" s="48" t="n"/>
      <c r="D9" s="48" t="n"/>
      <c r="E9" s="48" t="n"/>
      <c r="F9" s="29" t="n"/>
      <c r="G9" s="29" t="n"/>
      <c r="H9" s="29" t="n"/>
    </row>
    <row r="10" ht="15" customHeight="1">
      <c r="A10" s="48" t="n"/>
      <c r="B10" s="48" t="n"/>
      <c r="C10" s="48" t="n"/>
      <c r="D10" s="48" t="n"/>
      <c r="E10" s="48" t="n"/>
      <c r="F10" s="29" t="n"/>
      <c r="G10" s="29" t="n"/>
      <c r="H10" s="29" t="n"/>
    </row>
    <row r="11" ht="15" customHeight="1">
      <c r="A11" s="48" t="n"/>
      <c r="B11" s="48" t="n"/>
      <c r="C11" s="48" t="n"/>
      <c r="D11" s="48" t="n"/>
      <c r="E11" s="48" t="n"/>
      <c r="F11" s="29" t="n"/>
      <c r="G11" s="29" t="n"/>
      <c r="H11" s="29" t="n"/>
    </row>
    <row r="12" ht="15" customHeight="1">
      <c r="A12" s="48" t="n"/>
      <c r="B12" s="48" t="n"/>
      <c r="C12" s="48" t="n"/>
      <c r="D12" s="48" t="n"/>
      <c r="E12" s="48" t="n"/>
      <c r="F12" s="29" t="n"/>
      <c r="G12" s="29" t="n"/>
      <c r="H12" s="29" t="n"/>
    </row>
    <row r="13" ht="15" customHeight="1">
      <c r="A13" s="48" t="n"/>
      <c r="B13" s="48" t="n"/>
      <c r="C13" s="48" t="n"/>
      <c r="D13" s="48" t="n"/>
      <c r="E13" s="48" t="n"/>
      <c r="F13" s="29" t="n"/>
      <c r="G13" s="29" t="n"/>
      <c r="H13" s="29" t="n"/>
    </row>
    <row r="14" ht="15" customHeight="1">
      <c r="A14" s="48" t="n"/>
      <c r="B14" s="48" t="n"/>
      <c r="C14" s="48" t="n"/>
      <c r="D14" s="48" t="n"/>
      <c r="E14" s="48" t="n"/>
      <c r="F14" s="29" t="n"/>
      <c r="G14" s="29" t="n"/>
      <c r="H14" s="29" t="n"/>
    </row>
    <row r="15" ht="15" customHeight="1">
      <c r="A15" s="48" t="n"/>
      <c r="B15" s="48" t="n"/>
      <c r="C15" s="48" t="n"/>
      <c r="D15" s="48" t="n"/>
      <c r="E15" s="48" t="n"/>
      <c r="F15" s="29" t="n"/>
      <c r="G15" s="29" t="n"/>
      <c r="H15" s="29" t="n"/>
    </row>
    <row r="16" ht="15" customHeight="1">
      <c r="A16" s="63" t="inlineStr">
        <is>
          <t>B. Disclosure matters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 ht="18" customHeight="1">
      <c r="A17" s="47" t="inlineStr">
        <is>
          <t>Area</t>
        </is>
      </c>
      <c r="B17" s="47" t="inlineStr">
        <is>
          <t>Relevant? (Y/N)</t>
        </is>
      </c>
      <c r="C17" s="47" t="inlineStr">
        <is>
          <t>Support / source</t>
        </is>
      </c>
      <c r="D17" s="47" t="inlineStr">
        <is>
          <t>Conclusion</t>
        </is>
      </c>
      <c r="E17" s="47" t="inlineStr">
        <is>
          <t>Comments</t>
        </is>
      </c>
      <c r="F17" s="29" t="n"/>
      <c r="G17" s="29" t="n"/>
      <c r="H17" s="29" t="n"/>
    </row>
    <row r="18" ht="15" customHeight="1">
      <c r="A18" s="35" t="inlineStr">
        <is>
          <t>Fully-depreciated assets still in use</t>
        </is>
      </c>
      <c r="B18" s="48" t="n"/>
      <c r="C18" s="48" t="n"/>
      <c r="D18" s="48" t="n"/>
      <c r="E18" s="48" t="n"/>
      <c r="F18" s="29" t="n"/>
      <c r="G18" s="29" t="n"/>
      <c r="H18" s="29" t="n"/>
    </row>
    <row r="19" ht="15" customHeight="1">
      <c r="A19" s="35" t="inlineStr">
        <is>
          <t>Idle / held-for-sale assets (ASC 360-10-45)</t>
        </is>
      </c>
      <c r="B19" s="48" t="n"/>
      <c r="C19" s="48" t="n"/>
      <c r="D19" s="48" t="n"/>
      <c r="E19" s="48" t="n"/>
      <c r="F19" s="29" t="n"/>
      <c r="G19" s="29" t="n"/>
      <c r="H19" s="29" t="n"/>
    </row>
    <row r="20" ht="15" customHeight="1">
      <c r="A20" s="35" t="inlineStr">
        <is>
          <t>Pledged assets / liens (title &amp; collateral)</t>
        </is>
      </c>
      <c r="B20" s="48" t="n"/>
      <c r="C20" s="48" t="n"/>
      <c r="D20" s="48" t="n"/>
      <c r="E20" s="48" t="n"/>
      <c r="F20" s="29" t="n"/>
      <c r="G20" s="29" t="n"/>
      <c r="H20" s="29" t="n"/>
    </row>
    <row r="21" ht="15" customHeight="1">
      <c r="A21" s="35" t="inlineStr">
        <is>
          <t>Capital commitments / purchase obligations</t>
        </is>
      </c>
      <c r="B21" s="48" t="n"/>
      <c r="C21" s="48" t="n"/>
      <c r="D21" s="48" t="n"/>
      <c r="E21" s="48" t="n"/>
      <c r="F21" s="29" t="n"/>
      <c r="G21" s="29" t="n"/>
      <c r="H21" s="29" t="n"/>
    </row>
    <row r="22" ht="15" customHeight="1">
      <c r="A22" s="35" t="inlineStr">
        <is>
          <t>Gains/losses on disposal presentation</t>
        </is>
      </c>
      <c r="B22" s="48" t="n"/>
      <c r="C22" s="48" t="n"/>
      <c r="D22" s="48" t="n"/>
      <c r="E22" s="48" t="n"/>
      <c r="F22" s="29" t="n"/>
      <c r="G22" s="29" t="n"/>
      <c r="H22" s="29" t="n"/>
    </row>
    <row r="23" ht="15" customHeight="1">
      <c r="A23" s="35" t="inlineStr">
        <is>
          <t>Depreciation expense classification</t>
        </is>
      </c>
      <c r="B23" s="48" t="n"/>
      <c r="C23" s="48" t="n"/>
      <c r="D23" s="48" t="n"/>
      <c r="E23" s="48" t="n"/>
      <c r="F23" s="29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5" customHeight="1">
      <c r="A25" s="45" t="inlineStr">
        <is>
          <t>TM Legends</t>
        </is>
      </c>
      <c r="B25" s="29" t="n"/>
      <c r="C25" s="29" t="n"/>
      <c r="D25" s="29" t="n"/>
      <c r="E25" s="29" t="n"/>
      <c r="F25" s="29" t="n"/>
      <c r="G25" s="29" t="n"/>
      <c r="H25" s="29" t="n"/>
    </row>
    <row r="26" ht="15" customHeight="1">
      <c r="A26" s="49" t="inlineStr">
        <is>
          <t>TB</t>
        </is>
      </c>
      <c r="B26" s="35" t="inlineStr">
        <is>
          <t>Agreed to trial balance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GL</t>
        </is>
      </c>
      <c r="B27" s="35" t="inlineStr">
        <is>
          <t>Agreed to general ledger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CF</t>
        </is>
      </c>
      <c r="B28" s="35" t="inlineStr">
        <is>
          <t>Confirmed with third party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V</t>
        </is>
      </c>
      <c r="B29" s="35" t="inlineStr">
        <is>
          <t>Vouched to source document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SR</t>
        </is>
      </c>
      <c r="B30" s="35" t="inlineStr">
        <is>
          <t>Agreed to subsequent bank-cleared receipt</t>
        </is>
      </c>
      <c r="C30" s="50" t="n"/>
      <c r="D30" s="51" t="n"/>
      <c r="E30" s="29" t="n"/>
      <c r="F30" s="29" t="n"/>
      <c r="G30" s="29" t="n"/>
      <c r="H30" s="29" t="n"/>
    </row>
    <row r="31" ht="15" customHeight="1">
      <c r="A31" s="49" t="inlineStr">
        <is>
          <t>R</t>
        </is>
      </c>
      <c r="B31" s="35" t="inlineStr">
        <is>
          <t>Recalculated independently</t>
        </is>
      </c>
      <c r="C31" s="50" t="n"/>
      <c r="D31" s="51" t="n"/>
      <c r="E31" s="29" t="n"/>
      <c r="F31" s="29" t="n"/>
      <c r="G31" s="29" t="n"/>
      <c r="H31" s="29" t="n"/>
    </row>
    <row r="32" ht="15" customHeight="1">
      <c r="A32" s="49" t="inlineStr">
        <is>
          <t>F</t>
        </is>
      </c>
      <c r="B32" s="35" t="inlineStr">
        <is>
          <t>Footed / cross-cast</t>
        </is>
      </c>
      <c r="C32" s="50" t="n"/>
      <c r="D32" s="51" t="n"/>
      <c r="E32" s="29" t="n"/>
      <c r="F32" s="29" t="n"/>
      <c r="G32" s="29" t="n"/>
      <c r="H32" s="29" t="n"/>
    </row>
    <row r="33" ht="15" customHeight="1">
      <c r="A33" s="49" t="inlineStr">
        <is>
          <t>T</t>
        </is>
      </c>
      <c r="B33" s="35" t="inlineStr">
        <is>
          <t>Traced to downstream record</t>
        </is>
      </c>
      <c r="C33" s="50" t="n"/>
      <c r="D33" s="51" t="n"/>
      <c r="E33" s="29" t="n"/>
      <c r="F33" s="29" t="n"/>
      <c r="G33" s="29" t="n"/>
      <c r="H33" s="29" t="n"/>
    </row>
    <row r="34" ht="15" customHeight="1">
      <c r="A34" s="49" t="inlineStr">
        <is>
          <t>PBC</t>
        </is>
      </c>
      <c r="B34" s="35" t="inlineStr">
        <is>
          <t>Prepared by client</t>
        </is>
      </c>
      <c r="C34" s="50" t="n"/>
      <c r="D34" s="51" t="n"/>
      <c r="E34" s="29" t="n"/>
      <c r="F34" s="29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5.5" customHeight="1">
      <c r="A36" s="31" t="inlineStr">
        <is>
          <t>Before sign-off complete Library Procedures 19-20 (depreciation disclosures; PPE presentation &amp; disclosure).</t>
        </is>
      </c>
      <c r="B36" s="29" t="n"/>
      <c r="C36" s="29" t="n"/>
      <c r="D36" s="29" t="n"/>
      <c r="E36" s="29" t="n"/>
      <c r="F36" s="29" t="n"/>
      <c r="G36" s="29" t="n"/>
      <c r="H36" s="29" t="n"/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9" t="inlineStr">
        <is>
          <t>AUTHORITATIVE PLANNING CONTEXT</t>
        </is>
      </c>
      <c r="B1" s="29" t="n"/>
    </row>
    <row r="2">
      <c r="A2" s="29" t="inlineStr">
        <is>
          <t>Field</t>
        </is>
      </c>
      <c r="B2" s="29" t="inlineStr">
        <is>
          <t>Value</t>
        </is>
      </c>
    </row>
    <row r="3">
      <c r="A3" s="29" t="inlineStr">
        <is>
          <t>Entity Name</t>
        </is>
      </c>
      <c r="B3" s="69" t="inlineStr">
        <is>
          <t>Zephirax Industrial Holdings, LLC</t>
        </is>
      </c>
    </row>
    <row r="4">
      <c r="A4" s="69" t="inlineStr">
        <is>
          <t>Financial Statement Date</t>
        </is>
      </c>
      <c r="B4" s="70" t="n">
        <v>46022</v>
      </c>
    </row>
    <row r="5">
      <c r="A5" s="69" t="inlineStr">
        <is>
          <t>Reporting Currency</t>
        </is>
      </c>
      <c r="B5" s="29" t="inlineStr">
        <is>
          <t>USD</t>
        </is>
      </c>
    </row>
    <row r="6">
      <c r="A6" s="69" t="inlineStr">
        <is>
          <t>Overall Materiality</t>
        </is>
      </c>
      <c r="B6" s="71" t="n">
        <v>31700</v>
      </c>
    </row>
    <row r="7">
      <c r="A7" s="69" t="inlineStr">
        <is>
          <t>Performance Materiality</t>
        </is>
      </c>
      <c r="B7" s="71" t="n">
        <v>19100</v>
      </c>
    </row>
    <row r="8">
      <c r="A8" s="69" t="inlineStr">
        <is>
          <t>Tolerable Misstatement</t>
        </is>
      </c>
      <c r="B8" s="71" t="n">
        <v>17200</v>
      </c>
    </row>
    <row r="9">
      <c r="A9" s="69" t="inlineStr">
        <is>
          <t>Individually Significant Threshold</t>
        </is>
      </c>
      <c r="B9" s="71" t="n">
        <v>9600</v>
      </c>
    </row>
    <row r="10">
      <c r="A10" s="29" t="inlineStr">
        <is>
          <t>Posting Threshold</t>
        </is>
      </c>
      <c r="B10" s="71" t="n">
        <v>1000</v>
      </c>
    </row>
    <row r="11">
      <c r="A11" s="69" t="inlineStr">
        <is>
          <t>Clearly Trivial Threshold</t>
        </is>
      </c>
      <c r="B11" s="71" t="n">
        <v>1000</v>
      </c>
    </row>
    <row r="12">
      <c r="A12" s="69" t="inlineStr">
        <is>
          <t>Analytical Precision</t>
        </is>
      </c>
      <c r="B12" s="71" t="n">
        <v>17200</v>
      </c>
    </row>
    <row r="13">
      <c r="A13" s="29" t="n"/>
      <c r="B13" s="29" t="n"/>
    </row>
    <row r="14">
      <c r="A14" s="69" t="inlineStr">
        <is>
          <t>Bound planning records</t>
        </is>
      </c>
      <c r="B14" s="29" t="inlineStr">
        <is>
          <t>Canonical IDs</t>
        </is>
      </c>
    </row>
    <row r="15">
      <c r="A15" s="29" t="inlineStr">
        <is>
          <t>Sampling plan ID</t>
        </is>
      </c>
      <c r="B15" s="69" t="inlineStr">
        <is>
          <t>SAMPLE-FIXED-ASSETS</t>
        </is>
      </c>
    </row>
    <row r="16" ht="81" customHeight="1">
      <c r="A16" s="29" t="inlineStr">
        <is>
          <t>Selection IDs</t>
        </is>
      </c>
      <c r="B16" s="69" t="inlineStr">
        <is>
          <t>PROC-FA-ADDITIONS:Fixed Asset reference 011; PROC-FA-ADDITIONS:Fixed Asset reference 004; PROC-FA-ADDITIONS:Fixed Asset reference 008; PROC-FA-ADDITIONS:Fixed Asset reference 006; PROC-FA-ADDITIONS:Fixed Asset reference 002; PROC-FA-ADDITIONS:Fixed Asset reference 005; PROC-FA-ADDITIONS:Fixed Asset reference 009; PROC-FA-ADDITIONS:Fixed Asset reference 001; PROC-FA-ADDITIONS:Fixed Asset reference 003; PROC-FA-ADDITIONS:Fixed Asset reference 007; PROC-FA-ADDITIONS:Fixed Asset reference 010</t>
        </is>
      </c>
    </row>
    <row r="17">
      <c r="A17" s="69" t="inlineStr">
        <is>
          <t>Selection requirements</t>
        </is>
      </c>
      <c r="B17" s="69" t="inlineStr">
        <is>
          <t>qualitative mandatory items; individually significant items</t>
        </is>
      </c>
    </row>
    <row r="18">
      <c r="A18" s="29" t="inlineStr">
        <is>
          <t>Procedure IDs</t>
        </is>
      </c>
      <c r="B18" s="29" t="inlineStr">
        <is>
          <t>PROC-FIXED-ASSETS</t>
        </is>
      </c>
    </row>
    <row r="19">
      <c r="A19" s="69" t="inlineStr">
        <is>
          <t>Procedure window IDs</t>
        </is>
      </c>
      <c r="B19" s="29" t="inlineStr">
        <is>
          <t>WIN-FA-CUTOFF</t>
        </is>
      </c>
    </row>
    <row r="20">
      <c r="A20" s="69" t="inlineStr">
        <is>
          <t>Significant-risk response IDs</t>
        </is>
      </c>
      <c r="B20" s="29" t="inlineStr"/>
    </row>
    <row r="21">
      <c r="A21" s="69" t="inlineStr">
        <is>
          <t>Audit team assignments</t>
        </is>
      </c>
      <c r="B21" s="69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2" t="inlineStr">
        <is>
          <t>WORKPAPER COMPLETION AND SIGN-OFF</t>
        </is>
      </c>
      <c r="B1" s="29" t="n"/>
      <c r="C1" s="29" t="n"/>
      <c r="D1" s="29" t="n"/>
      <c r="E1" s="29" t="n"/>
      <c r="F1" s="29" t="n"/>
    </row>
    <row r="2">
      <c r="A2" s="29" t="n"/>
      <c r="B2" s="29" t="n"/>
      <c r="C2" s="29" t="n"/>
      <c r="D2" s="29" t="n"/>
      <c r="E2" s="29" t="n"/>
      <c r="F2" s="29" t="n"/>
    </row>
    <row r="3" ht="27" customHeight="1">
      <c r="A3" s="29" t="inlineStr">
        <is>
          <t>Workpaper</t>
        </is>
      </c>
      <c r="B3" s="69" t="inlineStr">
        <is>
          <t>fixed_assets/fixed_assets_workpaper.xlsx</t>
        </is>
      </c>
      <c r="C3" s="29" t="n"/>
      <c r="D3" s="29" t="n"/>
      <c r="E3" s="29" t="n"/>
      <c r="F3" s="29" t="n"/>
    </row>
    <row r="4">
      <c r="A4" s="69" t="inlineStr">
        <is>
          <t>Required completion stage</t>
        </is>
      </c>
      <c r="B4" s="29" t="inlineStr">
        <is>
          <t>prepared</t>
        </is>
      </c>
      <c r="C4" s="29" t="n"/>
      <c r="D4" s="29" t="inlineStr">
        <is>
          <t>Contract version</t>
        </is>
      </c>
      <c r="E4" s="69" t="inlineStr">
        <is>
          <t>workpaper-signoff-v2.1.0</t>
        </is>
      </c>
      <c r="F4" s="29" t="n"/>
    </row>
    <row r="5">
      <c r="A5" s="29" t="n"/>
      <c r="B5" s="29" t="n"/>
      <c r="C5" s="29" t="n"/>
      <c r="D5" s="29" t="n"/>
      <c r="E5" s="29" t="n"/>
      <c r="F5" s="29" t="n"/>
    </row>
    <row r="6">
      <c r="A6" s="73" t="inlineStr">
        <is>
          <t>Assigned preparer</t>
        </is>
      </c>
      <c r="B6" s="74" t="inlineStr">
        <is>
          <t>Audit Senior 28BD</t>
        </is>
      </c>
      <c r="C6" s="29" t="n"/>
      <c r="D6" s="73" t="inlineStr">
        <is>
          <t>Assigned reviewer</t>
        </is>
      </c>
      <c r="E6" s="75" t="inlineStr">
        <is>
          <t>Audit Manager 508F</t>
        </is>
      </c>
      <c r="F6" s="29" t="n"/>
    </row>
    <row r="7">
      <c r="A7" s="73" t="inlineStr">
        <is>
          <t>Preparation state</t>
        </is>
      </c>
      <c r="B7" s="74" t="inlineStr">
        <is>
          <t>Unsigned</t>
        </is>
      </c>
      <c r="C7" s="29" t="n"/>
      <c r="D7" s="73" t="inlineStr">
        <is>
          <t>Review state</t>
        </is>
      </c>
      <c r="E7" s="74" t="inlineStr">
        <is>
          <t>Unsigned</t>
        </is>
      </c>
      <c r="F7" s="29" t="n"/>
    </row>
    <row r="8">
      <c r="A8" s="73" t="inlineStr">
        <is>
          <t>Prepared by</t>
        </is>
      </c>
      <c r="B8" s="74" t="n"/>
      <c r="C8" s="29" t="n"/>
      <c r="D8" s="73" t="inlineStr">
        <is>
          <t>Reviewed by</t>
        </is>
      </c>
      <c r="E8" s="74" t="n"/>
      <c r="F8" s="29" t="n"/>
    </row>
    <row r="9">
      <c r="A9" s="73" t="inlineStr">
        <is>
          <t>Preparation date</t>
        </is>
      </c>
      <c r="B9" s="76" t="n"/>
      <c r="C9" s="29" t="n"/>
      <c r="D9" s="73" t="inlineStr">
        <is>
          <t>Review date</t>
        </is>
      </c>
      <c r="E9" s="76" t="n"/>
      <c r="F9" s="29" t="n"/>
    </row>
    <row r="10">
      <c r="A10" s="29" t="n"/>
      <c r="B10" s="29" t="n"/>
      <c r="C10" s="29" t="n"/>
      <c r="D10" s="29" t="n"/>
      <c r="E10" s="29" t="n"/>
      <c r="F10" s="29" t="n"/>
    </row>
    <row r="11">
      <c r="A11" s="29" t="n"/>
      <c r="B11" s="29" t="n"/>
      <c r="C11" s="29" t="n"/>
      <c r="D11" s="29" t="n"/>
      <c r="E11" s="29" t="n"/>
      <c r="F11" s="29" t="n"/>
    </row>
    <row r="12" ht="50" customHeight="1">
      <c r="A12" s="7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9" t="n"/>
      <c r="C12" s="29" t="n"/>
      <c r="D12" s="29" t="n"/>
      <c r="E12" s="29" t="n"/>
      <c r="F12" s="2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lastModifiedBy>jerry.huang@modusaudit.com</cp:lastModifiedBy>
  <cp:revision>0</cp:revision>
</cp:coreProperties>
</file>