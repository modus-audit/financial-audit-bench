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600" firstSheet="0" activeTab="0" autoFilterDateGrouping="1"/>
  </bookViews>
  <sheets>
    <sheet xmlns:r="http://schemas.openxmlformats.org/officeDocument/2006/relationships" name="Credit Memo Register" sheetId="1" state="visible" r:id="rId1"/>
  </sheets>
  <definedNames>
    <definedName name="_xlnm._FilterDatabase" localSheetId="0" hidden="1">'Credit Memo Register'!$A$5:$K$18</definedName>
    <definedName name="_xlnm.Print_Area" localSheetId="0">'Credit Memo Register'!$A$1:$K$19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2">
    <numFmt numFmtId="164" formatCode="mm/dd/yyyy"/>
    <numFmt numFmtId="165" formatCode="#,##0.00;\(#,##0.00\)"/>
  </numFmts>
  <fonts count="8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mbria"/>
      <charset val="1"/>
      <family val="0"/>
      <b val="1"/>
      <color rgb="FF1F3864"/>
      <sz val="14"/>
    </font>
    <font>
      <name val="Cambria"/>
      <charset val="1"/>
      <family val="0"/>
      <b val="1"/>
      <color rgb="FF1F3864"/>
      <sz val="11"/>
    </font>
    <font>
      <name val="Cambria"/>
      <charset val="1"/>
      <family val="0"/>
      <b val="1"/>
      <color rgb="FF1F3864"/>
      <sz val="10"/>
    </font>
    <font>
      <name val="Cambria"/>
      <charset val="1"/>
      <family val="0"/>
      <b val="1"/>
      <sz val="11"/>
    </font>
  </fonts>
  <fills count="3">
    <fill>
      <patternFill/>
    </fill>
    <fill>
      <patternFill patternType="gray125"/>
    </fill>
    <fill>
      <patternFill patternType="solid">
        <fgColor rgb="FFD9E1F2"/>
        <bgColor rgb="FFCCFFFF"/>
      </patternFill>
    </fill>
  </fills>
  <borders count="3">
    <border>
      <left/>
      <right/>
      <top/>
      <bottom/>
      <diagonal/>
    </border>
    <border>
      <left/>
      <right/>
      <top/>
      <bottom style="medium">
        <color rgb="FF8EA9DB"/>
      </bottom>
      <diagonal/>
    </border>
    <border>
      <left/>
      <right/>
      <top style="thin">
        <color rgb="FF404040"/>
      </top>
      <bottom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19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2" borderId="1" applyAlignment="1" pivotButton="0" quotePrefix="0" xfId="0">
      <alignment horizontal="general" vertical="bottom"/>
    </xf>
    <xf numFmtId="164" fontId="0" fillId="0" borderId="0" applyAlignment="1" pivotButton="0" quotePrefix="0" xfId="0">
      <alignment horizontal="general" vertical="bottom"/>
    </xf>
    <xf numFmtId="165" fontId="0" fillId="0" borderId="0" applyAlignment="1" pivotButton="0" quotePrefix="0" xfId="0">
      <alignment horizontal="general" vertical="bottom"/>
    </xf>
    <xf numFmtId="0" fontId="7" fillId="0" borderId="2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165" fontId="7" fillId="0" borderId="2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2" borderId="1" applyAlignment="1" pivotButton="0" quotePrefix="0" xfId="0">
      <alignment horizontal="general" vertical="bottom"/>
    </xf>
    <xf numFmtId="164" fontId="0" fillId="0" borderId="0" applyAlignment="1" pivotButton="0" quotePrefix="0" xfId="0">
      <alignment horizontal="general" vertical="bottom"/>
    </xf>
    <xf numFmtId="165" fontId="0" fillId="0" borderId="0" applyAlignment="1" pivotButton="0" quotePrefix="0" xfId="0">
      <alignment horizontal="general" vertical="bottom"/>
    </xf>
    <xf numFmtId="0" fontId="7" fillId="0" borderId="2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165" fontId="7" fillId="0" borderId="2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4">
    <dxf>
      <fill>
        <patternFill patternType="solid">
          <fgColor rgb="FFD9E1F2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1F3864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8EA9DB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404040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1"/>
  </sheetPr>
  <dimension ref="A1:K19"/>
  <sheetViews>
    <sheetView showFormulas="0" showGridLines="0" showRowColHeaders="1" showZeros="1" rightToLeft="0" tabSelected="1" showOutlineSymbols="1" defaultGridColor="1" view="normal" topLeftCell="A1" colorId="64" zoomScale="90" zoomScaleNormal="9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10" customWidth="1" style="9" min="1" max="1"/>
    <col width="35" customWidth="1" style="9" min="2" max="3"/>
    <col width="35" customWidth="1" style="10" min="3" max="3"/>
    <col width="12" customWidth="1" style="9" min="4" max="4"/>
    <col width="11" customWidth="1" style="9" min="5" max="5"/>
    <col width="20" customWidth="1" style="9" min="6" max="6"/>
    <col width="17" customWidth="1" style="9" min="7" max="7"/>
    <col width="10" customWidth="1" style="9" min="8" max="8"/>
    <col width="19" customWidth="1" style="9" min="9" max="10"/>
    <col width="19" customWidth="1" style="10" min="10" max="10"/>
    <col width="15" customWidth="1" style="9" min="11" max="11"/>
  </cols>
  <sheetData>
    <row r="1" ht="17.35" customHeight="1" s="10">
      <c r="A1" s="11" t="inlineStr">
        <is>
          <t>Zephirax Industrial Holdings, LLC</t>
        </is>
      </c>
    </row>
    <row r="2" ht="15" customHeight="1" s="10">
      <c r="A2" s="9" t="inlineStr">
        <is>
          <t>Credit Memo Register</t>
        </is>
      </c>
    </row>
    <row r="3" ht="15" customHeight="1" s="10">
      <c r="A3" s="12" t="inlineStr">
        <is>
          <t>For the year ended December 31, 2025</t>
        </is>
      </c>
    </row>
    <row r="4"/>
    <row r="5" ht="15" customHeight="1" s="10">
      <c r="A5" s="13" t="inlineStr">
        <is>
          <t>Ref</t>
        </is>
      </c>
      <c r="B5" s="13" t="inlineStr">
        <is>
          <t>Customer</t>
        </is>
      </c>
      <c r="C5" s="13" t="inlineStr">
        <is>
          <t>Customer account</t>
        </is>
      </c>
      <c r="D5" s="13" t="inlineStr">
        <is>
          <t>Date</t>
        </is>
      </c>
      <c r="E5" s="13" t="inlineStr">
        <is>
          <t>Amount</t>
        </is>
      </c>
      <c r="F5" s="13" t="inlineStr">
        <is>
          <t>Reason</t>
        </is>
      </c>
      <c r="G5" s="13" t="inlineStr">
        <is>
          <t>Related invoice</t>
        </is>
      </c>
      <c r="H5" s="13" t="inlineStr">
        <is>
          <t>Approval</t>
        </is>
      </c>
      <c r="I5" s="13" t="inlineStr">
        <is>
          <t>Accounting period</t>
        </is>
      </c>
      <c r="J5" s="13" t="inlineStr">
        <is>
          <t>Settlement status</t>
        </is>
      </c>
      <c r="K5" s="13" t="inlineStr">
        <is>
          <t>Post-year-end</t>
        </is>
      </c>
    </row>
    <row r="6" ht="15" customHeight="1" s="10">
      <c r="A6" s="9" t="inlineStr">
        <is>
          <t>CM-2747</t>
        </is>
      </c>
      <c r="B6" s="9" t="inlineStr">
        <is>
          <t>Zelvaxin Zixwater Group, LLC</t>
        </is>
      </c>
      <c r="C6" s="9" t="inlineStr">
        <is>
          <t>Zelvaxin Zixwater Group, LLC</t>
        </is>
      </c>
      <c r="D6" s="14" t="n">
        <v>45840</v>
      </c>
      <c r="E6" s="15" t="n">
        <v>2047.62</v>
      </c>
      <c r="F6" s="9" t="inlineStr">
        <is>
          <t>billing correction</t>
        </is>
      </c>
      <c r="G6" s="9" t="inlineStr">
        <is>
          <t>INV-49726</t>
        </is>
      </c>
      <c r="H6" s="9" t="inlineStr">
        <is>
          <t>Approved</t>
        </is>
      </c>
      <c r="I6" s="9" t="inlineStr">
        <is>
          <t>2025-07</t>
        </is>
      </c>
      <c r="J6" s="9" t="inlineStr">
        <is>
          <t>Applied</t>
        </is>
      </c>
      <c r="K6" s="9" t="inlineStr">
        <is>
          <t>No</t>
        </is>
      </c>
    </row>
    <row r="7" ht="15" customHeight="1" s="10">
      <c r="A7" s="9" t="inlineStr">
        <is>
          <t>CM-2729</t>
        </is>
      </c>
      <c r="B7" s="9" t="inlineStr">
        <is>
          <t>Quizzalex Quotley Solutions, Inc.</t>
        </is>
      </c>
      <c r="C7" s="9" t="inlineStr">
        <is>
          <t>Quizzalex Quotley Solutions, Inc.</t>
        </is>
      </c>
      <c r="D7" s="14" t="n">
        <v>45674</v>
      </c>
      <c r="E7" s="15" t="n">
        <v>1134.55</v>
      </c>
      <c r="F7" s="9" t="inlineStr">
        <is>
          <t>returned goods</t>
        </is>
      </c>
      <c r="G7" s="9" t="inlineStr">
        <is>
          <t>INV-49546</t>
        </is>
      </c>
      <c r="H7" s="9" t="inlineStr">
        <is>
          <t>Approved</t>
        </is>
      </c>
      <c r="I7" s="9" t="inlineStr">
        <is>
          <t>2025-01</t>
        </is>
      </c>
      <c r="J7" s="9" t="inlineStr">
        <is>
          <t>Applied</t>
        </is>
      </c>
      <c r="K7" s="9" t="inlineStr">
        <is>
          <t>No</t>
        </is>
      </c>
    </row>
    <row r="8" ht="15" customHeight="1" s="10">
      <c r="A8" s="9" t="inlineStr">
        <is>
          <t>CM-2765</t>
        </is>
      </c>
      <c r="B8" s="9" t="inlineStr">
        <is>
          <t>Vaquilex Quizlame Services, LLC</t>
        </is>
      </c>
      <c r="C8" s="9" t="inlineStr">
        <is>
          <t>Vaquilex Quizlame Services, LLC</t>
        </is>
      </c>
      <c r="D8" s="14" t="n">
        <v>46001</v>
      </c>
      <c r="E8" s="15" t="n">
        <v>1547.98</v>
      </c>
      <c r="F8" s="9" t="inlineStr">
        <is>
          <t>returned goods</t>
        </is>
      </c>
      <c r="G8" s="9" t="inlineStr">
        <is>
          <t>INV-49941</t>
        </is>
      </c>
      <c r="H8" s="9" t="inlineStr">
        <is>
          <t>Approved</t>
        </is>
      </c>
      <c r="I8" s="9" t="inlineStr">
        <is>
          <t>2025-12</t>
        </is>
      </c>
      <c r="J8" s="9" t="inlineStr">
        <is>
          <t>Applied</t>
        </is>
      </c>
      <c r="K8" s="9" t="inlineStr">
        <is>
          <t>No</t>
        </is>
      </c>
    </row>
    <row r="9" ht="15" customHeight="1" s="10">
      <c r="A9" s="9" t="inlineStr">
        <is>
          <t>CM-2738</t>
        </is>
      </c>
      <c r="B9" s="9" t="inlineStr">
        <is>
          <t>Quotivex Voraxle Group, LLC</t>
        </is>
      </c>
      <c r="C9" s="9" t="inlineStr">
        <is>
          <t>Quotivex Voraxle Group, LLC</t>
        </is>
      </c>
      <c r="D9" s="14" t="n">
        <v>45727</v>
      </c>
      <c r="E9" s="15" t="n">
        <v>847.03</v>
      </c>
      <c r="F9" s="9" t="inlineStr">
        <is>
          <t>damaged in transit</t>
        </is>
      </c>
      <c r="G9" s="9" t="inlineStr">
        <is>
          <t>INV-49612</t>
        </is>
      </c>
      <c r="H9" s="9" t="inlineStr">
        <is>
          <t>Approved</t>
        </is>
      </c>
      <c r="I9" s="9" t="inlineStr">
        <is>
          <t>2025-03</t>
        </is>
      </c>
      <c r="J9" s="9" t="inlineStr">
        <is>
          <t>Applied</t>
        </is>
      </c>
      <c r="K9" s="9" t="inlineStr">
        <is>
          <t>No</t>
        </is>
      </c>
    </row>
    <row r="10" ht="15" customHeight="1" s="10">
      <c r="A10" s="9" t="inlineStr">
        <is>
          <t>CM-2741</t>
        </is>
      </c>
      <c r="B10" s="9" t="inlineStr">
        <is>
          <t>Zenvoque Quotler Group, LLC</t>
        </is>
      </c>
      <c r="C10" s="9" t="inlineStr">
        <is>
          <t>Zenvoque Quotler Group, LLC</t>
        </is>
      </c>
      <c r="D10" s="14" t="n">
        <v>45727</v>
      </c>
      <c r="E10" s="15" t="n">
        <v>939.9</v>
      </c>
      <c r="F10" s="9" t="inlineStr">
        <is>
          <t>billing correction</t>
        </is>
      </c>
      <c r="G10" s="9" t="inlineStr">
        <is>
          <t>INV-49608</t>
        </is>
      </c>
      <c r="H10" s="9" t="inlineStr">
        <is>
          <t>Approved</t>
        </is>
      </c>
      <c r="I10" s="9" t="inlineStr">
        <is>
          <t>2025-03</t>
        </is>
      </c>
      <c r="J10" s="9" t="inlineStr">
        <is>
          <t>Applied</t>
        </is>
      </c>
      <c r="K10" s="9" t="inlineStr">
        <is>
          <t>No</t>
        </is>
      </c>
    </row>
    <row r="11" ht="15" customHeight="1" s="10">
      <c r="A11" s="9" t="inlineStr">
        <is>
          <t>CM-2750</t>
        </is>
      </c>
      <c r="B11" s="9" t="inlineStr">
        <is>
          <t>Zixtrova Quotley Services, LLC</t>
        </is>
      </c>
      <c r="C11" s="9" t="inlineStr">
        <is>
          <t>Zixtrova Quotley Services, LLC</t>
        </is>
      </c>
      <c r="D11" s="14" t="n">
        <v>45842</v>
      </c>
      <c r="E11" s="15" t="n">
        <v>1881.12</v>
      </c>
      <c r="F11" s="9" t="inlineStr">
        <is>
          <t>billing correction</t>
        </is>
      </c>
      <c r="G11" s="9" t="inlineStr">
        <is>
          <t>INV-49729</t>
        </is>
      </c>
      <c r="H11" s="9" t="inlineStr">
        <is>
          <t>Approved</t>
        </is>
      </c>
      <c r="I11" s="9" t="inlineStr">
        <is>
          <t>2025-07</t>
        </is>
      </c>
      <c r="J11" s="9" t="inlineStr">
        <is>
          <t>Applied</t>
        </is>
      </c>
      <c r="K11" s="9" t="inlineStr">
        <is>
          <t>No</t>
        </is>
      </c>
    </row>
    <row r="12" ht="15" customHeight="1" s="10">
      <c r="A12" s="9" t="inlineStr">
        <is>
          <t>CM-2756</t>
        </is>
      </c>
      <c r="B12" s="9" t="inlineStr">
        <is>
          <t>Zenvoque Quotler Group, LLC</t>
        </is>
      </c>
      <c r="C12" s="9" t="inlineStr">
        <is>
          <t>Zenvoque Quotler Group, LLC</t>
        </is>
      </c>
      <c r="D12" s="14" t="n">
        <v>45846</v>
      </c>
      <c r="E12" s="15" t="n">
        <v>1475.96</v>
      </c>
      <c r="F12" s="9" t="inlineStr">
        <is>
          <t>damaged in transit</t>
        </is>
      </c>
      <c r="G12" s="9" t="inlineStr">
        <is>
          <t>INV-49731</t>
        </is>
      </c>
      <c r="H12" s="9" t="inlineStr">
        <is>
          <t>Approved</t>
        </is>
      </c>
      <c r="I12" s="9" t="inlineStr">
        <is>
          <t>2025-07</t>
        </is>
      </c>
      <c r="J12" s="9" t="inlineStr">
        <is>
          <t>Applied</t>
        </is>
      </c>
      <c r="K12" s="9" t="inlineStr">
        <is>
          <t>No</t>
        </is>
      </c>
    </row>
    <row r="13" ht="15" customHeight="1" s="10">
      <c r="A13" s="9" t="inlineStr">
        <is>
          <t>CM-2753</t>
        </is>
      </c>
      <c r="B13" s="9" t="inlineStr">
        <is>
          <t>Zaxmorive Veltman Holdings, Inc.</t>
        </is>
      </c>
      <c r="C13" s="9" t="inlineStr">
        <is>
          <t>Zaxmorive Veltman Holdings, Inc.</t>
        </is>
      </c>
      <c r="D13" s="14" t="n">
        <v>45843</v>
      </c>
      <c r="E13" s="15" t="n">
        <v>1273.31</v>
      </c>
      <c r="F13" s="9" t="inlineStr">
        <is>
          <t>damaged in transit</t>
        </is>
      </c>
      <c r="G13" s="9" t="inlineStr">
        <is>
          <t>INV-49730</t>
        </is>
      </c>
      <c r="H13" s="9" t="inlineStr">
        <is>
          <t>Approved</t>
        </is>
      </c>
      <c r="I13" s="9" t="inlineStr">
        <is>
          <t>2025-07</t>
        </is>
      </c>
      <c r="J13" s="9" t="inlineStr">
        <is>
          <t>Applied</t>
        </is>
      </c>
      <c r="K13" s="9" t="inlineStr">
        <is>
          <t>No</t>
        </is>
      </c>
    </row>
    <row r="14" ht="15" customHeight="1" s="10">
      <c r="A14" s="9" t="inlineStr">
        <is>
          <t>CM-2735</t>
        </is>
      </c>
      <c r="B14" s="9" t="inlineStr">
        <is>
          <t>Vaxilume Voxmere Group, LLC</t>
        </is>
      </c>
      <c r="C14" s="9" t="inlineStr">
        <is>
          <t>Vaxilume Voxmere Group, LLC</t>
        </is>
      </c>
      <c r="D14" s="14" t="n">
        <v>45710</v>
      </c>
      <c r="E14" s="15" t="n">
        <v>1386.2</v>
      </c>
      <c r="F14" s="9" t="inlineStr">
        <is>
          <t>returned goods</t>
        </is>
      </c>
      <c r="G14" s="9" t="inlineStr">
        <is>
          <t>INV-49591</t>
        </is>
      </c>
      <c r="H14" s="9" t="inlineStr">
        <is>
          <t>Approved</t>
        </is>
      </c>
      <c r="I14" s="9" t="inlineStr">
        <is>
          <t>2025-02</t>
        </is>
      </c>
      <c r="J14" s="9" t="inlineStr">
        <is>
          <t>Applied</t>
        </is>
      </c>
      <c r="K14" s="9" t="inlineStr">
        <is>
          <t>No</t>
        </is>
      </c>
    </row>
    <row r="15" ht="15" customHeight="1" s="10">
      <c r="A15" s="9" t="inlineStr">
        <is>
          <t>CM-2732</t>
        </is>
      </c>
      <c r="B15" s="9" t="inlineStr">
        <is>
          <t>Quotaxis Vixmore Holdings, Inc.</t>
        </is>
      </c>
      <c r="C15" s="9" t="inlineStr">
        <is>
          <t>Quotaxis Vixmore Holdings, Inc.</t>
        </is>
      </c>
      <c r="D15" s="14" t="n">
        <v>45688</v>
      </c>
      <c r="E15" s="15" t="n">
        <v>310.97</v>
      </c>
      <c r="F15" s="9" t="inlineStr">
        <is>
          <t>billing correction</t>
        </is>
      </c>
      <c r="G15" s="9" t="inlineStr">
        <is>
          <t>INV-49561</t>
        </is>
      </c>
      <c r="H15" s="9" t="inlineStr">
        <is>
          <t>Approved</t>
        </is>
      </c>
      <c r="I15" s="9" t="inlineStr">
        <is>
          <t>2025-01</t>
        </is>
      </c>
      <c r="J15" s="9" t="inlineStr">
        <is>
          <t>Applied</t>
        </is>
      </c>
      <c r="K15" s="9" t="inlineStr">
        <is>
          <t>No</t>
        </is>
      </c>
    </row>
    <row r="16" ht="15" customHeight="1" s="10">
      <c r="A16" s="9" t="inlineStr">
        <is>
          <t>CM-2759</t>
        </is>
      </c>
      <c r="B16" s="9" t="inlineStr">
        <is>
          <t>Quoxmark Quizmute Solutions, Inc.</t>
        </is>
      </c>
      <c r="C16" s="9" t="inlineStr">
        <is>
          <t>Quoxmark Quizmute Solutions, Inc.</t>
        </is>
      </c>
      <c r="D16" s="14" t="n">
        <v>45874</v>
      </c>
      <c r="E16" s="15" t="n">
        <v>1843.21</v>
      </c>
      <c r="F16" s="9" t="inlineStr">
        <is>
          <t>pricing concession</t>
        </is>
      </c>
      <c r="G16" s="9" t="inlineStr">
        <is>
          <t>INV-49766</t>
        </is>
      </c>
      <c r="H16" s="9" t="inlineStr">
        <is>
          <t>Approved</t>
        </is>
      </c>
      <c r="I16" s="9" t="inlineStr">
        <is>
          <t>2025-08</t>
        </is>
      </c>
      <c r="J16" s="9" t="inlineStr">
        <is>
          <t>Applied</t>
        </is>
      </c>
      <c r="K16" s="9" t="inlineStr">
        <is>
          <t>No</t>
        </is>
      </c>
    </row>
    <row r="17" ht="15" customHeight="1" s="10">
      <c r="A17" s="9" t="inlineStr">
        <is>
          <t>CM-2744</t>
        </is>
      </c>
      <c r="B17" s="9" t="inlineStr">
        <is>
          <t>Quovalize Vixmore Services, LLC</t>
        </is>
      </c>
      <c r="C17" s="9" t="inlineStr">
        <is>
          <t>Quovalize Vixmore Services, LLC</t>
        </is>
      </c>
      <c r="D17" s="14" t="n">
        <v>45789</v>
      </c>
      <c r="E17" s="15" t="n">
        <v>1323.65</v>
      </c>
      <c r="F17" s="9" t="inlineStr">
        <is>
          <t>returned goods</t>
        </is>
      </c>
      <c r="G17" s="9" t="inlineStr">
        <is>
          <t>INV-49672</t>
        </is>
      </c>
      <c r="H17" s="9" t="inlineStr">
        <is>
          <t>Approved</t>
        </is>
      </c>
      <c r="I17" s="9" t="inlineStr">
        <is>
          <t>2025-05</t>
        </is>
      </c>
      <c r="J17" s="9" t="inlineStr">
        <is>
          <t>Applied</t>
        </is>
      </c>
      <c r="K17" s="9" t="inlineStr">
        <is>
          <t>No</t>
        </is>
      </c>
    </row>
    <row r="18" ht="15" customHeight="1" s="10">
      <c r="A18" s="9" t="inlineStr">
        <is>
          <t>CM-2762</t>
        </is>
      </c>
      <c r="B18" s="9" t="inlineStr">
        <is>
          <t>Zixmantel Zixford Services, LLC</t>
        </is>
      </c>
      <c r="C18" s="9" t="inlineStr">
        <is>
          <t>Zixmantel Zixford Services, LLC</t>
        </is>
      </c>
      <c r="D18" s="14" t="n">
        <v>45902</v>
      </c>
      <c r="E18" s="15" t="n">
        <v>1911.71</v>
      </c>
      <c r="F18" s="9" t="inlineStr">
        <is>
          <t>damaged in transit</t>
        </is>
      </c>
      <c r="G18" s="9" t="inlineStr">
        <is>
          <t>INV-49794</t>
        </is>
      </c>
      <c r="H18" s="9" t="inlineStr">
        <is>
          <t>Approved</t>
        </is>
      </c>
      <c r="I18" s="9" t="inlineStr">
        <is>
          <t>2025-09</t>
        </is>
      </c>
      <c r="J18" s="9" t="inlineStr">
        <is>
          <t>Applied</t>
        </is>
      </c>
      <c r="K18" s="9" t="inlineStr">
        <is>
          <t>No</t>
        </is>
      </c>
    </row>
    <row r="19" ht="15" customHeight="1" s="10">
      <c r="A19" s="16" t="inlineStr">
        <is>
          <t>Total</t>
        </is>
      </c>
      <c r="B19" s="17" t="n"/>
      <c r="C19" s="17" t="n"/>
      <c r="D19" s="17" t="n"/>
      <c r="E19" s="18">
        <f>SUM(E6:E18)</f>
        <v>17923.21</v>
      </c>
      <c r="F19" s="17" t="n"/>
      <c r="G19" s="17" t="n"/>
      <c r="H19" s="17" t="n"/>
      <c r="I19" s="17" t="n"/>
      <c r="J19" s="17" t="n"/>
      <c r="K19" s="17" t="n"/>
    </row>
  </sheetData>
  <autoFilter ref="A5:K18"/>
  <printOptions horizontalCentered="0" verticalCentered="0" headings="0" gridLines="0" gridLinesSet="1"/>
  <pageMargins left="0.35" right="0.35" top="0.5" bottom="0.5" header="0.511811023622047" footer="0.511811023622047"/>
  <pageSetup orientation="landscape" paperSize="1" scale="100" fitToHeight="0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</Application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Thomas Voxmere</dc:creator>
  <cp:lastModifiedBy>Carol Zelvane</cp:lastModifiedBy>
  <dcterms:created xsi:type="dcterms:W3CDTF">2026-01-27T11:48:00Z</dcterms:created>
  <dcterms:modified xsi:type="dcterms:W3CDTF">2026-01-27T14:25:00Z</dcterms:modified>
</cp:coreProperties>
</file>