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st Layer Detail" sheetId="1" state="visible" r:id="rId3"/>
  </sheets>
  <definedNames>
    <definedName function="false" hidden="false" localSheetId="0" name="_xlnm.Print_Area" vbProcedure="false">'Cost Layer Detail'!$A$1:$I$39</definedName>
    <definedName function="false" hidden="false" localSheetId="0" name="_xlnm.Print_Titles" vbProcedure="false">'Cost Layer Detail'!$5:$5</definedName>
    <definedName function="false" hidden="true" localSheetId="0" name="_xlnm._FilterDatabase" vbProcedure="false">'Cost Layer Detail'!$A$5:$I$39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<sst xmlns="http://schemas.openxmlformats.org/spreadsheetml/2006/main" count="178" uniqueCount="71">
  <si>
    <t xml:space="preserve">Zephirax Industrial Holdings, LLC</t>
  </si>
  <si>
    <t xml:space="preserve">Cost Layer Detail</t>
  </si>
  <si>
    <t xml:space="preserve">As of December 31, 2025</t>
  </si>
  <si>
    <t xml:space="preserve">Layers</t>
  </si>
  <si>
    <t xml:space="preserve">SKU</t>
  </si>
  <si>
    <t xml:space="preserve">Category</t>
  </si>
  <si>
    <t xml:space="preserve">Method</t>
  </si>
  <si>
    <t xml:space="preserve">Unit cost</t>
  </si>
  <si>
    <t xml:space="preserve">Effective date</t>
  </si>
  <si>
    <t xml:space="preserve">Quantities</t>
  </si>
  <si>
    <t xml:space="preserve">Variances</t>
  </si>
  <si>
    <t xml:space="preserve">Approvals</t>
  </si>
  <si>
    <t xml:space="preserve">Layer 0071</t>
  </si>
  <si>
    <t xml:space="preserve">RM-1551</t>
  </si>
  <si>
    <t xml:space="preserve">Raw material</t>
  </si>
  <si>
    <t xml:space="preserve">fifo</t>
  </si>
  <si>
    <t xml:space="preserve">Approved</t>
  </si>
  <si>
    <t xml:space="preserve">Layer 0077</t>
  </si>
  <si>
    <t xml:space="preserve">Layer 0072</t>
  </si>
  <si>
    <t xml:space="preserve">RM-1552</t>
  </si>
  <si>
    <t xml:space="preserve">Layer 0078</t>
  </si>
  <si>
    <t xml:space="preserve">Layer 0073</t>
  </si>
  <si>
    <t xml:space="preserve">RM-1560</t>
  </si>
  <si>
    <t xml:space="preserve">Layer 0079</t>
  </si>
  <si>
    <t xml:space="preserve">Layer 0074</t>
  </si>
  <si>
    <t xml:space="preserve">RM-1567</t>
  </si>
  <si>
    <t xml:space="preserve">Layer 0080</t>
  </si>
  <si>
    <t xml:space="preserve">Layer 0075</t>
  </si>
  <si>
    <t xml:space="preserve">RM-1568</t>
  </si>
  <si>
    <t xml:space="preserve">Layer 0076</t>
  </si>
  <si>
    <t xml:space="preserve">RM-1571</t>
  </si>
  <si>
    <t xml:space="preserve">Layer 0081</t>
  </si>
  <si>
    <t xml:space="preserve">Layer 0082</t>
  </si>
  <si>
    <t xml:space="preserve">Layer 0145</t>
  </si>
  <si>
    <t xml:space="preserve">WIP-1579</t>
  </si>
  <si>
    <t xml:space="preserve">Work in process</t>
  </si>
  <si>
    <t xml:space="preserve">Layer 0151</t>
  </si>
  <si>
    <t xml:space="preserve">Layer 0152</t>
  </si>
  <si>
    <t xml:space="preserve">WIP-1583</t>
  </si>
  <si>
    <t xml:space="preserve">Layer 0147</t>
  </si>
  <si>
    <t xml:space="preserve">WIP-1588</t>
  </si>
  <si>
    <t xml:space="preserve">Layer 0153</t>
  </si>
  <si>
    <t xml:space="preserve">Layer 0148</t>
  </si>
  <si>
    <t xml:space="preserve">WIP-1595</t>
  </si>
  <si>
    <t xml:space="preserve">Layer 0154</t>
  </si>
  <si>
    <t xml:space="preserve">Layer 0149</t>
  </si>
  <si>
    <t xml:space="preserve">WIP-1599</t>
  </si>
  <si>
    <t xml:space="preserve">Layer 0155</t>
  </si>
  <si>
    <t xml:space="preserve">WIP-1606</t>
  </si>
  <si>
    <t xml:space="preserve">Layer 0248</t>
  </si>
  <si>
    <t xml:space="preserve">FG-1614</t>
  </si>
  <si>
    <t xml:space="preserve">Finished goods</t>
  </si>
  <si>
    <t xml:space="preserve">Layer 0241</t>
  </si>
  <si>
    <t xml:space="preserve">FG-1621</t>
  </si>
  <si>
    <t xml:space="preserve">Layer 0249</t>
  </si>
  <si>
    <t xml:space="preserve">Layer 0242</t>
  </si>
  <si>
    <t xml:space="preserve">FG-1630</t>
  </si>
  <si>
    <t xml:space="preserve">Layer 0250</t>
  </si>
  <si>
    <t xml:space="preserve">Layer 0251</t>
  </si>
  <si>
    <t xml:space="preserve">FG-1634</t>
  </si>
  <si>
    <t xml:space="preserve">Layer 0252</t>
  </si>
  <si>
    <t xml:space="preserve">FG-1642</t>
  </si>
  <si>
    <t xml:space="preserve">Layer 0253</t>
  </si>
  <si>
    <t xml:space="preserve">FG-1650</t>
  </si>
  <si>
    <t xml:space="preserve">Layer 0246</t>
  </si>
  <si>
    <t xml:space="preserve">FG-1658</t>
  </si>
  <si>
    <t xml:space="preserve">Layer 0254</t>
  </si>
  <si>
    <t xml:space="preserve">Layer 0247</t>
  </si>
  <si>
    <t xml:space="preserve">FG-1662</t>
  </si>
  <si>
    <t xml:space="preserve">Layer 0255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</si>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</sst>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4" t="n">
        <v>3167.76</v>
      </c>
      <c r="F6" s="5" t="n">
        <v>45964</v>
      </c>
      <c r="G6" s="0" t="n">
        <v>4</v>
      </c>
      <c r="H6" s="4" t="n">
        <v>3167.76</v>
      </c>
      <c r="I6" s="0" t="s">
        <v>16</v>
      </c>
    </row>
    <row r="7" customFormat="false" ht="15" hidden="false" customHeight="false" outlineLevel="0" collapsed="false">
      <c r="A7" s="0" t="s">
        <v>17</v>
      </c>
      <c r="B7" s="0" t="s">
        <v>13</v>
      </c>
      <c r="C7" s="0" t="s">
        <v>14</v>
      </c>
      <c r="D7" s="0" t="s">
        <v>15</v>
      </c>
      <c r="E7" s="4" t="n">
        <v>3198.51</v>
      </c>
      <c r="F7" s="5" t="n">
        <v>45994</v>
      </c>
      <c r="G7" s="0" t="n">
        <v>8</v>
      </c>
      <c r="H7" s="4" t="n">
        <v>3198.51</v>
      </c>
      <c r="I7" s="0" t="s">
        <v>16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14</v>
      </c>
      <c r="D8" s="0" t="s">
        <v>15</v>
      </c>
      <c r="E8" s="4" t="n">
        <v>12371.33</v>
      </c>
      <c r="F8" s="5" t="n">
        <v>45964</v>
      </c>
      <c r="G8" s="0" t="n">
        <v>1</v>
      </c>
      <c r="H8" s="4" t="n">
        <v>12371.33</v>
      </c>
      <c r="I8" s="0" t="s">
        <v>16</v>
      </c>
    </row>
    <row r="9" customFormat="false" ht="15" hidden="false" customHeight="false" outlineLevel="0" collapsed="false">
      <c r="A9" s="0" t="s">
        <v>20</v>
      </c>
      <c r="B9" s="0" t="s">
        <v>19</v>
      </c>
      <c r="C9" s="0" t="s">
        <v>14</v>
      </c>
      <c r="D9" s="0" t="s">
        <v>15</v>
      </c>
      <c r="E9" s="4" t="n">
        <v>12490.28</v>
      </c>
      <c r="F9" s="5" t="n">
        <v>45994</v>
      </c>
      <c r="G9" s="0" t="n">
        <v>2</v>
      </c>
      <c r="H9" s="4" t="n">
        <v>12490.28</v>
      </c>
      <c r="I9" s="0" t="s">
        <v>16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14</v>
      </c>
      <c r="D10" s="0" t="s">
        <v>15</v>
      </c>
      <c r="E10" s="4" t="n">
        <v>12747.24</v>
      </c>
      <c r="F10" s="5" t="n">
        <v>45964</v>
      </c>
      <c r="G10" s="0" t="n">
        <v>1</v>
      </c>
      <c r="H10" s="4" t="n">
        <v>12747.24</v>
      </c>
      <c r="I10" s="0" t="s">
        <v>16</v>
      </c>
    </row>
    <row r="11" customFormat="false" ht="15" hidden="false" customHeight="false" outlineLevel="0" collapsed="false">
      <c r="A11" s="0" t="s">
        <v>23</v>
      </c>
      <c r="B11" s="0" t="s">
        <v>22</v>
      </c>
      <c r="C11" s="0" t="s">
        <v>14</v>
      </c>
      <c r="D11" s="0" t="s">
        <v>15</v>
      </c>
      <c r="E11" s="4" t="n">
        <v>12868.65</v>
      </c>
      <c r="F11" s="5" t="n">
        <v>45994</v>
      </c>
      <c r="G11" s="0" t="n">
        <v>2</v>
      </c>
      <c r="H11" s="4" t="n">
        <v>12868.65</v>
      </c>
      <c r="I11" s="0" t="s">
        <v>16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14</v>
      </c>
      <c r="D12" s="0" t="s">
        <v>15</v>
      </c>
      <c r="E12" s="4" t="n">
        <v>13789.22</v>
      </c>
      <c r="F12" s="5" t="n">
        <v>45964</v>
      </c>
      <c r="G12" s="0" t="n">
        <v>1</v>
      </c>
      <c r="H12" s="4" t="n">
        <v>13789.22</v>
      </c>
      <c r="I12" s="0" t="s">
        <v>16</v>
      </c>
    </row>
    <row r="13" customFormat="false" ht="15" hidden="false" customHeight="false" outlineLevel="0" collapsed="false">
      <c r="A13" s="0" t="s">
        <v>26</v>
      </c>
      <c r="B13" s="0" t="s">
        <v>25</v>
      </c>
      <c r="C13" s="0" t="s">
        <v>14</v>
      </c>
      <c r="D13" s="0" t="s">
        <v>15</v>
      </c>
      <c r="E13" s="4" t="n">
        <v>13919.31</v>
      </c>
      <c r="F13" s="5" t="n">
        <v>45994</v>
      </c>
      <c r="G13" s="0" t="n">
        <v>2</v>
      </c>
      <c r="H13" s="4" t="n">
        <v>13919.31</v>
      </c>
      <c r="I13" s="0" t="s">
        <v>16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s">
        <v>14</v>
      </c>
      <c r="D14" s="0" t="s">
        <v>15</v>
      </c>
      <c r="E14" s="4" t="n">
        <v>24760.13</v>
      </c>
      <c r="F14" s="5" t="n">
        <v>45964</v>
      </c>
      <c r="G14" s="0" t="n">
        <v>1</v>
      </c>
      <c r="H14" s="4" t="n">
        <v>24760.13</v>
      </c>
      <c r="I14" s="0" t="s">
        <v>16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0" t="s">
        <v>14</v>
      </c>
      <c r="D15" s="0" t="s">
        <v>15</v>
      </c>
      <c r="E15" s="4" t="n">
        <v>14172.77</v>
      </c>
      <c r="F15" s="5" t="n">
        <v>45964</v>
      </c>
      <c r="G15" s="0" t="n">
        <v>2</v>
      </c>
      <c r="H15" s="4" t="n">
        <v>14172.77</v>
      </c>
      <c r="I15" s="0" t="s">
        <v>16</v>
      </c>
    </row>
    <row r="16" customFormat="false" ht="15" hidden="false" customHeight="false" outlineLevel="0" collapsed="false">
      <c r="A16" s="0" t="s">
        <v>31</v>
      </c>
      <c r="B16" s="0" t="s">
        <v>30</v>
      </c>
      <c r="C16" s="0" t="s">
        <v>14</v>
      </c>
      <c r="D16" s="0" t="s">
        <v>15</v>
      </c>
      <c r="E16" s="4" t="n">
        <v>14310.37</v>
      </c>
      <c r="F16" s="5" t="n">
        <v>45994</v>
      </c>
      <c r="G16" s="0" t="n">
        <v>1</v>
      </c>
      <c r="H16" s="4" t="n">
        <v>14310.37</v>
      </c>
      <c r="I16" s="0" t="s">
        <v>16</v>
      </c>
    </row>
    <row r="17" customFormat="false" ht="15" hidden="false" customHeight="false" outlineLevel="0" collapsed="false">
      <c r="A17" s="0" t="s">
        <v>32</v>
      </c>
      <c r="B17" s="0" t="s">
        <v>30</v>
      </c>
      <c r="C17" s="0" t="s">
        <v>14</v>
      </c>
      <c r="D17" s="0" t="s">
        <v>15</v>
      </c>
      <c r="E17" s="4" t="n">
        <v>14310.37</v>
      </c>
      <c r="F17" s="5" t="n">
        <v>46017</v>
      </c>
      <c r="G17" s="0" t="n">
        <v>1</v>
      </c>
      <c r="H17" s="4" t="n">
        <v>14310.37</v>
      </c>
      <c r="I17" s="0" t="s">
        <v>16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0" t="s">
        <v>35</v>
      </c>
      <c r="D18" s="0" t="s">
        <v>15</v>
      </c>
      <c r="E18" s="4" t="n">
        <v>8783.14</v>
      </c>
      <c r="F18" s="5" t="n">
        <v>45974</v>
      </c>
      <c r="G18" s="0" t="n">
        <v>1</v>
      </c>
      <c r="H18" s="4" t="n">
        <v>8783.14</v>
      </c>
      <c r="I18" s="0" t="s">
        <v>16</v>
      </c>
    </row>
    <row r="19" customFormat="false" ht="15" hidden="false" customHeight="false" outlineLevel="0" collapsed="false">
      <c r="A19" s="0" t="s">
        <v>36</v>
      </c>
      <c r="B19" s="0" t="s">
        <v>34</v>
      </c>
      <c r="C19" s="0" t="s">
        <v>35</v>
      </c>
      <c r="D19" s="0" t="s">
        <v>15</v>
      </c>
      <c r="E19" s="4" t="n">
        <v>8034.53</v>
      </c>
      <c r="F19" s="5" t="n">
        <v>46004</v>
      </c>
      <c r="G19" s="0" t="n">
        <v>1</v>
      </c>
      <c r="H19" s="4" t="n">
        <v>8034.53</v>
      </c>
      <c r="I19" s="0" t="s">
        <v>16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0" t="s">
        <v>35</v>
      </c>
      <c r="D20" s="0" t="s">
        <v>15</v>
      </c>
      <c r="E20" s="4" t="n">
        <v>8034.53</v>
      </c>
      <c r="F20" s="5" t="n">
        <v>46004</v>
      </c>
      <c r="G20" s="0" t="n">
        <v>1</v>
      </c>
      <c r="H20" s="4" t="n">
        <v>8034.53</v>
      </c>
      <c r="I20" s="0" t="s">
        <v>16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0" t="s">
        <v>35</v>
      </c>
      <c r="D21" s="0" t="s">
        <v>15</v>
      </c>
      <c r="E21" s="4" t="n">
        <v>8783.14</v>
      </c>
      <c r="F21" s="5" t="n">
        <v>45974</v>
      </c>
      <c r="G21" s="0" t="n">
        <v>3</v>
      </c>
      <c r="H21" s="4" t="n">
        <v>8783.14</v>
      </c>
      <c r="I21" s="0" t="s">
        <v>16</v>
      </c>
    </row>
    <row r="22" customFormat="false" ht="15" hidden="false" customHeight="false" outlineLevel="0" collapsed="false">
      <c r="A22" s="0" t="s">
        <v>41</v>
      </c>
      <c r="B22" s="0" t="s">
        <v>40</v>
      </c>
      <c r="C22" s="0" t="s">
        <v>35</v>
      </c>
      <c r="D22" s="0" t="s">
        <v>15</v>
      </c>
      <c r="E22" s="4" t="n">
        <v>8034.53</v>
      </c>
      <c r="F22" s="5" t="n">
        <v>46004</v>
      </c>
      <c r="G22" s="0" t="n">
        <v>8</v>
      </c>
      <c r="H22" s="4" t="n">
        <v>8034.53</v>
      </c>
      <c r="I22" s="0" t="s">
        <v>16</v>
      </c>
    </row>
    <row r="23" customFormat="false" ht="15" hidden="false" customHeight="false" outlineLevel="0" collapsed="false">
      <c r="A23" s="0" t="s">
        <v>42</v>
      </c>
      <c r="B23" s="0" t="s">
        <v>43</v>
      </c>
      <c r="C23" s="0" t="s">
        <v>35</v>
      </c>
      <c r="D23" s="0" t="s">
        <v>15</v>
      </c>
      <c r="E23" s="4" t="n">
        <v>8783.14</v>
      </c>
      <c r="F23" s="5" t="n">
        <v>45974</v>
      </c>
      <c r="G23" s="0" t="n">
        <v>1</v>
      </c>
      <c r="H23" s="4" t="n">
        <v>8783.14</v>
      </c>
      <c r="I23" s="0" t="s">
        <v>16</v>
      </c>
    </row>
    <row r="24" customFormat="false" ht="15" hidden="false" customHeight="false" outlineLevel="0" collapsed="false">
      <c r="A24" s="0" t="s">
        <v>44</v>
      </c>
      <c r="B24" s="0" t="s">
        <v>43</v>
      </c>
      <c r="C24" s="0" t="s">
        <v>35</v>
      </c>
      <c r="D24" s="0" t="s">
        <v>15</v>
      </c>
      <c r="E24" s="4" t="n">
        <v>8034.53</v>
      </c>
      <c r="F24" s="5" t="n">
        <v>46004</v>
      </c>
      <c r="G24" s="0" t="n">
        <v>1</v>
      </c>
      <c r="H24" s="4" t="n">
        <v>8034.53</v>
      </c>
      <c r="I24" s="0" t="s">
        <v>16</v>
      </c>
    </row>
    <row r="25" customFormat="false" ht="15" hidden="false" customHeight="false" outlineLevel="0" collapsed="false">
      <c r="A25" s="0" t="s">
        <v>45</v>
      </c>
      <c r="B25" s="0" t="s">
        <v>46</v>
      </c>
      <c r="C25" s="0" t="s">
        <v>35</v>
      </c>
      <c r="D25" s="0" t="s">
        <v>15</v>
      </c>
      <c r="E25" s="4" t="n">
        <v>8783.13</v>
      </c>
      <c r="F25" s="5" t="n">
        <v>45974</v>
      </c>
      <c r="G25" s="0" t="n">
        <v>1</v>
      </c>
      <c r="H25" s="4" t="n">
        <v>8783.13</v>
      </c>
      <c r="I25" s="0" t="s">
        <v>16</v>
      </c>
    </row>
    <row r="26" customFormat="false" ht="15" hidden="false" customHeight="false" outlineLevel="0" collapsed="false">
      <c r="A26" s="0" t="s">
        <v>47</v>
      </c>
      <c r="B26" s="0" t="s">
        <v>48</v>
      </c>
      <c r="C26" s="0" t="s">
        <v>35</v>
      </c>
      <c r="D26" s="0" t="s">
        <v>15</v>
      </c>
      <c r="E26" s="4" t="n">
        <v>8034.53</v>
      </c>
      <c r="F26" s="5" t="n">
        <v>46004</v>
      </c>
      <c r="G26" s="0" t="n">
        <v>1</v>
      </c>
      <c r="H26" s="4" t="n">
        <v>8034.53</v>
      </c>
      <c r="I26" s="0" t="s">
        <v>16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0" t="s">
        <v>51</v>
      </c>
      <c r="D27" s="0" t="s">
        <v>15</v>
      </c>
      <c r="E27" s="4" t="n">
        <v>11308.13</v>
      </c>
      <c r="F27" s="5" t="n">
        <v>46009</v>
      </c>
      <c r="G27" s="0" t="n">
        <v>1</v>
      </c>
      <c r="H27" s="4" t="n">
        <v>11308.13</v>
      </c>
      <c r="I27" s="0" t="s">
        <v>16</v>
      </c>
    </row>
    <row r="28" customFormat="false" ht="15" hidden="false" customHeight="false" outlineLevel="0" collapsed="false">
      <c r="A28" s="0" t="s">
        <v>52</v>
      </c>
      <c r="B28" s="0" t="s">
        <v>53</v>
      </c>
      <c r="C28" s="0" t="s">
        <v>51</v>
      </c>
      <c r="D28" s="0" t="s">
        <v>15</v>
      </c>
      <c r="E28" s="4" t="n">
        <v>11749.13</v>
      </c>
      <c r="F28" s="5" t="n">
        <v>45979</v>
      </c>
      <c r="G28" s="0" t="n">
        <v>1</v>
      </c>
      <c r="H28" s="4" t="n">
        <v>11749.13</v>
      </c>
      <c r="I28" s="0" t="s">
        <v>16</v>
      </c>
    </row>
    <row r="29" customFormat="false" ht="15" hidden="false" customHeight="false" outlineLevel="0" collapsed="false">
      <c r="A29" s="0" t="s">
        <v>54</v>
      </c>
      <c r="B29" s="0" t="s">
        <v>53</v>
      </c>
      <c r="C29" s="0" t="s">
        <v>51</v>
      </c>
      <c r="D29" s="0" t="s">
        <v>15</v>
      </c>
      <c r="E29" s="4" t="n">
        <v>11308.13</v>
      </c>
      <c r="F29" s="5" t="n">
        <v>46009</v>
      </c>
      <c r="G29" s="0" t="n">
        <v>1</v>
      </c>
      <c r="H29" s="4" t="n">
        <v>11308.13</v>
      </c>
      <c r="I29" s="0" t="s">
        <v>16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0" t="s">
        <v>51</v>
      </c>
      <c r="D30" s="0" t="s">
        <v>15</v>
      </c>
      <c r="E30" s="4" t="n">
        <v>11749.13</v>
      </c>
      <c r="F30" s="5" t="n">
        <v>45979</v>
      </c>
      <c r="G30" s="0" t="n">
        <v>1</v>
      </c>
      <c r="H30" s="4" t="n">
        <v>11749.13</v>
      </c>
      <c r="I30" s="0" t="s">
        <v>16</v>
      </c>
    </row>
    <row r="31" customFormat="false" ht="15" hidden="false" customHeight="false" outlineLevel="0" collapsed="false">
      <c r="A31" s="0" t="s">
        <v>57</v>
      </c>
      <c r="B31" s="0" t="s">
        <v>56</v>
      </c>
      <c r="C31" s="0" t="s">
        <v>51</v>
      </c>
      <c r="D31" s="0" t="s">
        <v>15</v>
      </c>
      <c r="E31" s="4" t="n">
        <v>11308.13</v>
      </c>
      <c r="F31" s="5" t="n">
        <v>46009</v>
      </c>
      <c r="G31" s="0" t="n">
        <v>2</v>
      </c>
      <c r="H31" s="4" t="n">
        <v>11308.13</v>
      </c>
      <c r="I31" s="0" t="s">
        <v>16</v>
      </c>
    </row>
    <row r="32" customFormat="false" ht="15" hidden="false" customHeight="false" outlineLevel="0" collapsed="false">
      <c r="A32" s="0" t="s">
        <v>58</v>
      </c>
      <c r="B32" s="0" t="s">
        <v>59</v>
      </c>
      <c r="C32" s="0" t="s">
        <v>51</v>
      </c>
      <c r="D32" s="0" t="s">
        <v>15</v>
      </c>
      <c r="E32" s="4" t="n">
        <v>11308.13</v>
      </c>
      <c r="F32" s="5" t="n">
        <v>46009</v>
      </c>
      <c r="G32" s="0" t="n">
        <v>1</v>
      </c>
      <c r="H32" s="4" t="n">
        <v>11308.13</v>
      </c>
      <c r="I32" s="0" t="s">
        <v>16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0" t="s">
        <v>51</v>
      </c>
      <c r="D33" s="0" t="s">
        <v>15</v>
      </c>
      <c r="E33" s="4" t="n">
        <v>11308.13</v>
      </c>
      <c r="F33" s="5" t="n">
        <v>46009</v>
      </c>
      <c r="G33" s="0" t="n">
        <v>1</v>
      </c>
      <c r="H33" s="4" t="n">
        <v>11308.13</v>
      </c>
      <c r="I33" s="0" t="s">
        <v>16</v>
      </c>
    </row>
    <row r="34" customFormat="false" ht="15" hidden="false" customHeight="false" outlineLevel="0" collapsed="false">
      <c r="A34" s="0" t="s">
        <v>62</v>
      </c>
      <c r="B34" s="0" t="s">
        <v>63</v>
      </c>
      <c r="C34" s="0" t="s">
        <v>51</v>
      </c>
      <c r="D34" s="0" t="s">
        <v>15</v>
      </c>
      <c r="E34" s="4" t="n">
        <v>11308.13</v>
      </c>
      <c r="F34" s="5" t="n">
        <v>46009</v>
      </c>
      <c r="G34" s="0" t="n">
        <v>2</v>
      </c>
      <c r="H34" s="4" t="n">
        <v>11308.13</v>
      </c>
      <c r="I34" s="0" t="s">
        <v>16</v>
      </c>
    </row>
    <row r="35" customFormat="false" ht="15" hidden="false" customHeight="false" outlineLevel="0" collapsed="false">
      <c r="A35" s="0" t="s">
        <v>64</v>
      </c>
      <c r="B35" s="0" t="s">
        <v>65</v>
      </c>
      <c r="C35" s="0" t="s">
        <v>51</v>
      </c>
      <c r="D35" s="0" t="s">
        <v>15</v>
      </c>
      <c r="E35" s="4" t="n">
        <v>11749.11</v>
      </c>
      <c r="F35" s="5" t="n">
        <v>45979</v>
      </c>
      <c r="G35" s="0" t="n">
        <v>1</v>
      </c>
      <c r="H35" s="4" t="n">
        <v>11749.11</v>
      </c>
      <c r="I35" s="0" t="s">
        <v>16</v>
      </c>
    </row>
    <row r="36" customFormat="false" ht="15" hidden="false" customHeight="false" outlineLevel="0" collapsed="false">
      <c r="A36" s="0" t="s">
        <v>66</v>
      </c>
      <c r="B36" s="0" t="s">
        <v>65</v>
      </c>
      <c r="C36" s="0" t="s">
        <v>51</v>
      </c>
      <c r="D36" s="0" t="s">
        <v>15</v>
      </c>
      <c r="E36" s="4" t="n">
        <v>11308.13</v>
      </c>
      <c r="F36" s="5" t="n">
        <v>46009</v>
      </c>
      <c r="G36" s="0" t="n">
        <v>1</v>
      </c>
      <c r="H36" s="4" t="n">
        <v>11308.13</v>
      </c>
      <c r="I36" s="0" t="s">
        <v>16</v>
      </c>
    </row>
    <row r="37" customFormat="false" ht="15" hidden="false" customHeight="false" outlineLevel="0" collapsed="false">
      <c r="A37" s="0" t="s">
        <v>67</v>
      </c>
      <c r="B37" s="0" t="s">
        <v>68</v>
      </c>
      <c r="C37" s="0" t="s">
        <v>51</v>
      </c>
      <c r="D37" s="0" t="s">
        <v>15</v>
      </c>
      <c r="E37" s="4" t="n">
        <v>11749.11</v>
      </c>
      <c r="F37" s="5" t="n">
        <v>45979</v>
      </c>
      <c r="G37" s="0" t="n">
        <v>1</v>
      </c>
      <c r="H37" s="4" t="n">
        <v>11749.11</v>
      </c>
      <c r="I37" s="0" t="s">
        <v>16</v>
      </c>
    </row>
    <row r="38" customFormat="false" ht="15" hidden="false" customHeight="false" outlineLevel="0" collapsed="false">
      <c r="A38" s="0" t="s">
        <v>69</v>
      </c>
      <c r="B38" s="0" t="s">
        <v>68</v>
      </c>
      <c r="C38" s="0" t="s">
        <v>51</v>
      </c>
      <c r="D38" s="0" t="s">
        <v>15</v>
      </c>
      <c r="E38" s="4" t="n">
        <v>11308.13</v>
      </c>
      <c r="F38" s="5" t="n">
        <v>46009</v>
      </c>
      <c r="G38" s="0" t="n">
        <v>1</v>
      </c>
      <c r="H38" s="4" t="n">
        <v>11308.13</v>
      </c>
      <c r="I38" s="0" t="s">
        <v>16</v>
      </c>
    </row>
    <row r="39" customFormat="false" ht="15" hidden="false" customHeight="false" outlineLevel="0" collapsed="false">
      <c r="A39" s="6" t="s">
        <v>70</v>
      </c>
      <c r="B39" s="7"/>
      <c r="C39" s="7"/>
      <c r="D39" s="7"/>
      <c r="E39" s="7"/>
      <c r="F39" s="7"/>
      <c r="G39" s="8" t="n">
        <f aca="false">SUM(G6:G38)</f>
        <v>58</v>
      </c>
      <c r="H39" s="8" t="n">
        <f aca="false">SUM(H6:H38)</f>
        <v>364872.66</v>
      </c>
      <c r="I39" s="7"/>
    </row>
  </sheetData>
  <autoFilter ref="A5:I3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2026-01-31T17:09:00Z</dcterms:created>
  <dcterms:modified xsi:type="dcterms:W3CDTF">2026-01-31T19:53:00Z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