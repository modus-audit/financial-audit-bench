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Schedule'!$A$1:$K$33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false" localSheetId="2" name="_xlnm.Print_Area" vbProcedure="false">'Schedule to GL'!$A$1:$B$9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<sst xmlns="http://schemas.openxmlformats.org/spreadsheetml/2006/main" count="214" uniqueCount="107">
  <si>
    <t xml:space="preserve">Zephirax Industrial Holdings, LLC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</si>
  <si>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</si>
  <si>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</si>
  <si>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</si>
  <si>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</si>
  <si>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</si>
  <si>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</si>
  <si>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</si>
  <si>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</si>
  <si>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</si>
  <si>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</si>
  <si>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</si>
  <si>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</si>
  <si>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</si>
  <si>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FA-1008</t>
  </si>
  <si>
    <t xml:space="preserve">Plant floor improvements</t>
  </si>
  <si>
    <t xml:space="preserve">Building improvement</t>
  </si>
  <si>
    <t xml:space="preserve">10/01/2023</t>
  </si>
  <si>
    <t xml:space="preserve">S/L</t>
  </si>
  <si>
    <t xml:space="preserve">3.0</t>
  </si>
  <si>
    <t xml:space="preserve">FA-1005</t>
  </si>
  <si>
    <t xml:space="preserve">Office buildout improvements</t>
  </si>
  <si>
    <t xml:space="preserve">04/01/2022</t>
  </si>
  <si>
    <t xml:space="preserve">7.0</t>
  </si>
  <si>
    <t xml:space="preserve">Total building improvement</t>
  </si>
  <si>
    <t xml:space="preserve">building improvement ending accumulated depreciation</t>
  </si>
  <si>
    <t xml:space="preserve">FA-1003</t>
  </si>
  <si>
    <t xml:space="preserve">Processing equipment line</t>
  </si>
  <si>
    <t xml:space="preserve">Equipment</t>
  </si>
  <si>
    <t xml:space="preserve">07/01/2021</t>
  </si>
  <si>
    <t xml:space="preserve">10.0</t>
  </si>
  <si>
    <t xml:space="preserve">FA-1002</t>
  </si>
  <si>
    <t xml:space="preserve">Quality-control and testing equipment</t>
  </si>
  <si>
    <t xml:space="preserve">01/01/2021</t>
  </si>
  <si>
    <t xml:space="preserve">FA-1007</t>
  </si>
  <si>
    <t xml:space="preserve">Warehouse racking and conveyors</t>
  </si>
  <si>
    <t xml:space="preserve">01/01/2023</t>
  </si>
  <si>
    <t xml:space="preserve">5.0</t>
  </si>
  <si>
    <t xml:space="preserve">FA-1009</t>
  </si>
  <si>
    <t xml:space="preserve">Forklifts and pallet handling equipment</t>
  </si>
  <si>
    <t xml:space="preserve">01/01/2024</t>
  </si>
  <si>
    <t xml:space="preserve">6.0</t>
  </si>
  <si>
    <t xml:space="preserve">Total equipment</t>
  </si>
  <si>
    <t xml:space="preserve">equipment ending accumulated depreciation</t>
  </si>
  <si>
    <t xml:space="preserve">FA-1006</t>
  </si>
  <si>
    <t xml:space="preserve">Stamping and forming line</t>
  </si>
  <si>
    <t xml:space="preserve">Machinery</t>
  </si>
  <si>
    <t xml:space="preserve">10/01/2022</t>
  </si>
  <si>
    <t xml:space="preserve">FA-1004</t>
  </si>
  <si>
    <t xml:space="preserve">CNC machining centers</t>
  </si>
  <si>
    <t xml:space="preserve">01/01/2022</t>
  </si>
  <si>
    <t xml:space="preserve">8.0</t>
  </si>
  <si>
    <t xml:space="preserve">FA-1010</t>
  </si>
  <si>
    <t xml:space="preserve">Assembly and packaging line</t>
  </si>
  <si>
    <t xml:space="preserve">04/01/2024</t>
  </si>
  <si>
    <t xml:space="preserve">Total machinery</t>
  </si>
  <si>
    <t xml:space="preserve">machinery ending accumulated depreciation</t>
  </si>
  <si>
    <t xml:space="preserve">FA-1001</t>
  </si>
  <si>
    <t xml:space="preserve">Delivery trucks</t>
  </si>
  <si>
    <t xml:space="preserve">Vehicle</t>
  </si>
  <si>
    <t xml:space="preserve">01/01/2018</t>
  </si>
  <si>
    <t xml:space="preserve">FA-1011</t>
  </si>
  <si>
    <t xml:space="preserve">Box vans and service pickups</t>
  </si>
  <si>
    <t xml:space="preserve">10/01/2024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</si>
  <si>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</si>
  <si>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</si>
  <si>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</si>
  <si>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</si>
  <si>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</si>
  <si>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</si>
  <si>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</si>
  <si>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</si>
  <si>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</si>
  <si>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</si>
  <si>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</si>
  <si>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</si>
  <si>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</si>
  <si>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</si>
  <si>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</si>
  <si>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</si>
  <si>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Machinery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</si>
  <si>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</si>
  <si>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</si>
  <si>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</si>
  <si>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</si>
  <si>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</si>
  <si>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</si>
  <si>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</si>
  <si>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Equipment capitalization policy</t>
  </si>
  <si>
    <t xml:space="preserve">7</t>
  </si>
  <si>
    <t xml:space="preserve">Vehicle capitalization policy</t>
  </si>
  <si>
    <t xml:space="preserve">4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</si>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</sst>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#,##0.00;\(#,##0.00\)"/>
    <numFmt numFmtId="167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41120</v>
      </c>
      <c r="H6" s="4" t="n">
        <v>17133.33</v>
      </c>
      <c r="I6" s="4" t="n">
        <v>13706.67</v>
      </c>
      <c r="J6" s="0" t="n">
        <f aca="false">H6+I6</f>
        <v>30840</v>
      </c>
      <c r="K6" s="0" t="n">
        <f aca="false">G6-J6</f>
        <v>10280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232030</v>
      </c>
      <c r="H7" s="4" t="n">
        <v>91154.64</v>
      </c>
      <c r="I7" s="4" t="n">
        <v>33147.14</v>
      </c>
      <c r="J7" s="0" t="n">
        <f aca="false">H7+I7</f>
        <v>124301.78</v>
      </c>
      <c r="K7" s="0" t="n">
        <f aca="false">G7-J7</f>
        <v>107728.22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273150</v>
      </c>
      <c r="H8" s="7" t="n">
        <f aca="false">SUM(H6:H7)</f>
        <v>108287.97</v>
      </c>
      <c r="I8" s="7" t="n">
        <f aca="false">SUM(I6:I7)</f>
        <v>46853.81</v>
      </c>
      <c r="J8" s="7" t="n">
        <v>155141.78</v>
      </c>
      <c r="K8" s="7" t="n">
        <v>118008.22</v>
      </c>
    </row>
    <row r="10" customFormat="false" ht="15" hidden="false" customHeight="false" outlineLevel="0" collapsed="false">
      <c r="A10" s="0" t="s">
        <v>25</v>
      </c>
      <c r="B10" s="4" t="n">
        <v>155141.78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190940</v>
      </c>
      <c r="H12" s="4" t="n">
        <v>66829</v>
      </c>
      <c r="I12" s="4" t="n">
        <v>19094</v>
      </c>
      <c r="J12" s="0" t="n">
        <f aca="false">H12+I12</f>
        <v>85923</v>
      </c>
      <c r="K12" s="0" t="n">
        <f aca="false">G12-J12</f>
        <v>105017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23</v>
      </c>
      <c r="G13" s="4" t="n">
        <v>85620</v>
      </c>
      <c r="H13" s="4" t="n">
        <v>48925.71</v>
      </c>
      <c r="I13" s="4" t="n">
        <v>12231.43</v>
      </c>
      <c r="J13" s="0" t="n">
        <f aca="false">H13+I13</f>
        <v>61157.14</v>
      </c>
      <c r="K13" s="0" t="n">
        <f aca="false">G13-J13</f>
        <v>24462.86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s">
        <v>28</v>
      </c>
      <c r="D14" s="0" t="s">
        <v>36</v>
      </c>
      <c r="E14" s="0" t="s">
        <v>18</v>
      </c>
      <c r="F14" s="0" t="s">
        <v>37</v>
      </c>
      <c r="G14" s="4" t="n">
        <v>141080</v>
      </c>
      <c r="H14" s="4" t="n">
        <v>56432</v>
      </c>
      <c r="I14" s="4" t="n">
        <v>28216</v>
      </c>
      <c r="J14" s="0" t="n">
        <f aca="false">H14+I14</f>
        <v>84648</v>
      </c>
      <c r="K14" s="0" t="n">
        <f aca="false">G14-J14</f>
        <v>56432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s">
        <v>28</v>
      </c>
      <c r="D15" s="0" t="s">
        <v>40</v>
      </c>
      <c r="E15" s="0" t="s">
        <v>18</v>
      </c>
      <c r="F15" s="0" t="s">
        <v>41</v>
      </c>
      <c r="G15" s="4" t="n">
        <v>82810</v>
      </c>
      <c r="H15" s="4" t="n">
        <v>13801.67</v>
      </c>
      <c r="I15" s="4" t="n">
        <v>13801.67</v>
      </c>
      <c r="J15" s="0" t="n">
        <f aca="false">H15+I15</f>
        <v>27603.34</v>
      </c>
      <c r="K15" s="0" t="n">
        <f aca="false">G15-J15</f>
        <v>55206.66</v>
      </c>
    </row>
    <row r="16" customFormat="false" ht="15" hidden="false" customHeight="false" outlineLevel="0" collapsed="false">
      <c r="A16" s="5"/>
      <c r="B16" s="6" t="s">
        <v>42</v>
      </c>
      <c r="C16" s="5"/>
      <c r="D16" s="5"/>
      <c r="E16" s="5"/>
      <c r="F16" s="5"/>
      <c r="G16" s="7" t="n">
        <f aca="false">SUM(G12:G15)</f>
        <v>500450</v>
      </c>
      <c r="H16" s="7" t="n">
        <f aca="false">SUM(H12:H15)</f>
        <v>185988.38</v>
      </c>
      <c r="I16" s="7" t="n">
        <f aca="false">SUM(I12:I15)</f>
        <v>73343.1</v>
      </c>
      <c r="J16" s="7" t="n">
        <v>259331.48</v>
      </c>
      <c r="K16" s="7" t="n">
        <v>241118.52</v>
      </c>
    </row>
    <row r="18" customFormat="false" ht="15" hidden="false" customHeight="false" outlineLevel="0" collapsed="false">
      <c r="A18" s="0" t="s">
        <v>43</v>
      </c>
      <c r="B18" s="4" t="n">
        <v>259331.48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46</v>
      </c>
      <c r="D20" s="0" t="s">
        <v>47</v>
      </c>
      <c r="E20" s="0" t="s">
        <v>18</v>
      </c>
      <c r="F20" s="0" t="s">
        <v>37</v>
      </c>
      <c r="G20" s="4" t="n">
        <v>79700</v>
      </c>
      <c r="H20" s="4" t="n">
        <v>35865</v>
      </c>
      <c r="I20" s="4" t="n">
        <v>15940</v>
      </c>
      <c r="J20" s="0" t="n">
        <f aca="false">H20+I20</f>
        <v>51805</v>
      </c>
      <c r="K20" s="0" t="n">
        <f aca="false">G20-J20</f>
        <v>27895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0" t="s">
        <v>46</v>
      </c>
      <c r="D21" s="0" t="s">
        <v>50</v>
      </c>
      <c r="E21" s="0" t="s">
        <v>18</v>
      </c>
      <c r="F21" s="0" t="s">
        <v>51</v>
      </c>
      <c r="G21" s="4" t="n">
        <v>91490</v>
      </c>
      <c r="H21" s="4" t="n">
        <v>34308.75</v>
      </c>
      <c r="I21" s="4" t="n">
        <v>11436.25</v>
      </c>
      <c r="J21" s="0" t="n">
        <f aca="false">H21+I21</f>
        <v>45745</v>
      </c>
      <c r="K21" s="0" t="n">
        <f aca="false">G21-J21</f>
        <v>45745</v>
      </c>
    </row>
    <row r="22" customFormat="false" ht="15" hidden="false" customHeight="false" outlineLevel="0" collapsed="false">
      <c r="A22" s="0" t="s">
        <v>52</v>
      </c>
      <c r="B22" s="0" t="s">
        <v>53</v>
      </c>
      <c r="C22" s="0" t="s">
        <v>46</v>
      </c>
      <c r="D22" s="0" t="s">
        <v>54</v>
      </c>
      <c r="E22" s="0" t="s">
        <v>18</v>
      </c>
      <c r="F22" s="0" t="s">
        <v>19</v>
      </c>
      <c r="G22" s="4" t="n">
        <v>55880</v>
      </c>
      <c r="H22" s="4" t="n">
        <v>13970</v>
      </c>
      <c r="I22" s="4" t="n">
        <v>18626.67</v>
      </c>
      <c r="J22" s="0" t="n">
        <f aca="false">H22+I22</f>
        <v>32596.67</v>
      </c>
      <c r="K22" s="0" t="n">
        <f aca="false">G22-J22</f>
        <v>23283.33</v>
      </c>
    </row>
    <row r="23" customFormat="false" ht="15" hidden="false" customHeight="false" outlineLevel="0" collapsed="false">
      <c r="A23" s="5"/>
      <c r="B23" s="6" t="s">
        <v>55</v>
      </c>
      <c r="C23" s="5"/>
      <c r="D23" s="5"/>
      <c r="E23" s="5"/>
      <c r="F23" s="5"/>
      <c r="G23" s="7" t="n">
        <f aca="false">SUM(G20:G22)</f>
        <v>227070</v>
      </c>
      <c r="H23" s="7" t="n">
        <f aca="false">SUM(H20:H22)</f>
        <v>84143.75</v>
      </c>
      <c r="I23" s="7" t="n">
        <f aca="false">SUM(I20:I22)</f>
        <v>46002.92</v>
      </c>
      <c r="J23" s="7" t="n">
        <v>130146.67</v>
      </c>
      <c r="K23" s="7" t="n">
        <v>96923.33</v>
      </c>
    </row>
    <row r="25" customFormat="false" ht="15" hidden="false" customHeight="false" outlineLevel="0" collapsed="false">
      <c r="A25" s="0" t="s">
        <v>56</v>
      </c>
      <c r="B25" s="4" t="n">
        <v>130146.67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s">
        <v>59</v>
      </c>
      <c r="D27" s="0" t="s">
        <v>60</v>
      </c>
      <c r="E27" s="0" t="s">
        <v>18</v>
      </c>
      <c r="F27" s="0" t="s">
        <v>30</v>
      </c>
      <c r="G27" s="4" t="n">
        <v>112740</v>
      </c>
      <c r="H27" s="4" t="n">
        <v>78918</v>
      </c>
      <c r="I27" s="4" t="n">
        <v>11274</v>
      </c>
      <c r="J27" s="0" t="n">
        <f aca="false">H27+I27</f>
        <v>90192</v>
      </c>
      <c r="K27" s="0" t="n">
        <f aca="false">G27-J27</f>
        <v>22548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59</v>
      </c>
      <c r="D28" s="0" t="s">
        <v>63</v>
      </c>
      <c r="E28" s="0" t="s">
        <v>18</v>
      </c>
      <c r="F28" s="0" t="s">
        <v>64</v>
      </c>
      <c r="G28" s="4" t="n">
        <v>53480</v>
      </c>
      <c r="H28" s="4" t="n">
        <v>3342.5</v>
      </c>
      <c r="I28" s="4" t="n">
        <v>13370</v>
      </c>
      <c r="J28" s="0" t="n">
        <f aca="false">H28+I28</f>
        <v>16712.5</v>
      </c>
      <c r="K28" s="0" t="n">
        <f aca="false">G28-J28</f>
        <v>36767.5</v>
      </c>
    </row>
    <row r="29" customFormat="false" ht="15" hidden="false" customHeight="false" outlineLevel="0" collapsed="false">
      <c r="A29" s="5"/>
      <c r="B29" s="6" t="s">
        <v>65</v>
      </c>
      <c r="C29" s="5"/>
      <c r="D29" s="5"/>
      <c r="E29" s="5"/>
      <c r="F29" s="5"/>
      <c r="G29" s="7" t="n">
        <f aca="false">SUM(G27:G28)</f>
        <v>166220</v>
      </c>
      <c r="H29" s="7" t="n">
        <f aca="false">SUM(H27:H28)</f>
        <v>82260.5</v>
      </c>
      <c r="I29" s="7" t="n">
        <f aca="false">SUM(I27:I28)</f>
        <v>24644</v>
      </c>
      <c r="J29" s="7" t="n">
        <v>106904.5</v>
      </c>
      <c r="K29" s="7" t="n">
        <v>59315.5</v>
      </c>
    </row>
    <row r="31" customFormat="false" ht="15" hidden="false" customHeight="false" outlineLevel="0" collapsed="false">
      <c r="A31" s="0" t="s">
        <v>66</v>
      </c>
      <c r="B31" s="4" t="n">
        <v>106904.5</v>
      </c>
    </row>
    <row r="33" customFormat="false" ht="15" hidden="false" customHeight="false" outlineLevel="0" collapsed="false">
      <c r="A33" s="5"/>
      <c r="B33" s="6" t="s">
        <v>67</v>
      </c>
      <c r="C33" s="5"/>
      <c r="D33" s="5"/>
      <c r="E33" s="5"/>
      <c r="F33" s="5"/>
      <c r="G33" s="7" t="n">
        <v>1166890</v>
      </c>
      <c r="H33" s="7" t="n">
        <v>460680.6</v>
      </c>
      <c r="I33" s="7" t="n">
        <v>190843.83</v>
      </c>
      <c r="J33" s="7" t="n">
        <v>651524.43</v>
      </c>
      <c r="K33" s="7" t="n">
        <f aca="false">G33-J33</f>
        <v>515365.57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68</v>
      </c>
      <c r="E1" s="3" t="s">
        <v>69</v>
      </c>
      <c r="F1" s="3" t="s">
        <v>70</v>
      </c>
      <c r="G1" s="3" t="s">
        <v>6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</row>
    <row r="2" customFormat="false" ht="15" hidden="false" customHeight="false" outlineLevel="0" collapsed="false">
      <c r="A2" s="0" t="s">
        <v>44</v>
      </c>
      <c r="B2" s="0" t="s">
        <v>46</v>
      </c>
      <c r="C2" s="0" t="s">
        <v>78</v>
      </c>
      <c r="D2" s="0" t="s">
        <v>79</v>
      </c>
      <c r="E2" s="0" t="s">
        <v>80</v>
      </c>
      <c r="F2" s="8" t="n">
        <v>79700</v>
      </c>
      <c r="G2" s="9" t="n">
        <v>44835</v>
      </c>
      <c r="H2" s="0" t="s">
        <v>81</v>
      </c>
      <c r="I2" s="0" t="s">
        <v>82</v>
      </c>
      <c r="J2" s="0" t="s">
        <v>83</v>
      </c>
      <c r="K2" s="8" t="n">
        <v>15940</v>
      </c>
      <c r="L2" s="8" t="n">
        <v>15940</v>
      </c>
      <c r="M2" s="0" t="n">
        <f aca="false">L2-K2</f>
        <v>0</v>
      </c>
      <c r="N2" s="0" t="s">
        <v>84</v>
      </c>
    </row>
    <row r="3" customFormat="false" ht="15" hidden="false" customHeight="false" outlineLevel="0" collapsed="false">
      <c r="A3" s="0" t="s">
        <v>48</v>
      </c>
      <c r="B3" s="0" t="s">
        <v>46</v>
      </c>
      <c r="C3" s="0" t="s">
        <v>78</v>
      </c>
      <c r="D3" s="0" t="s">
        <v>85</v>
      </c>
      <c r="E3" s="0" t="s">
        <v>80</v>
      </c>
      <c r="F3" s="4" t="n">
        <v>91490</v>
      </c>
      <c r="G3" s="9" t="n">
        <v>44562</v>
      </c>
      <c r="H3" s="0" t="s">
        <v>81</v>
      </c>
      <c r="I3" s="0" t="s">
        <v>82</v>
      </c>
      <c r="J3" s="0" t="s">
        <v>83</v>
      </c>
      <c r="K3" s="4" t="n">
        <v>11436.25</v>
      </c>
      <c r="L3" s="4" t="n">
        <v>11436.25</v>
      </c>
      <c r="M3" s="0" t="n">
        <f aca="false">L3-K3</f>
        <v>0</v>
      </c>
      <c r="N3" s="0" t="s">
        <v>84</v>
      </c>
    </row>
    <row r="4" customFormat="false" ht="15" hidden="false" customHeight="false" outlineLevel="0" collapsed="false">
      <c r="A4" s="0" t="s">
        <v>52</v>
      </c>
      <c r="B4" s="0" t="s">
        <v>46</v>
      </c>
      <c r="C4" s="0" t="s">
        <v>78</v>
      </c>
      <c r="D4" s="0" t="s">
        <v>86</v>
      </c>
      <c r="E4" s="0" t="s">
        <v>80</v>
      </c>
      <c r="F4" s="4" t="n">
        <v>55880</v>
      </c>
      <c r="G4" s="9" t="n">
        <v>45383</v>
      </c>
      <c r="H4" s="0" t="s">
        <v>81</v>
      </c>
      <c r="I4" s="0" t="s">
        <v>82</v>
      </c>
      <c r="J4" s="0" t="s">
        <v>83</v>
      </c>
      <c r="K4" s="4" t="n">
        <v>18626.67</v>
      </c>
      <c r="L4" s="4" t="n">
        <v>18626.67</v>
      </c>
      <c r="M4" s="0" t="n">
        <f aca="false">L4-K4</f>
        <v>0</v>
      </c>
      <c r="N4" s="0" t="s">
        <v>84</v>
      </c>
    </row>
    <row r="5" customFormat="false" ht="15" hidden="false" customHeight="false" outlineLevel="0" collapsed="false">
      <c r="A5" s="0" t="s">
        <v>26</v>
      </c>
      <c r="B5" s="0" t="s">
        <v>28</v>
      </c>
      <c r="C5" s="0" t="s">
        <v>78</v>
      </c>
      <c r="D5" s="0" t="s">
        <v>87</v>
      </c>
      <c r="E5" s="0" t="s">
        <v>88</v>
      </c>
      <c r="F5" s="4" t="n">
        <v>190940</v>
      </c>
      <c r="G5" s="9" t="n">
        <v>44378</v>
      </c>
      <c r="H5" s="0" t="s">
        <v>81</v>
      </c>
      <c r="I5" s="0" t="s">
        <v>82</v>
      </c>
      <c r="J5" s="0" t="s">
        <v>83</v>
      </c>
      <c r="K5" s="4" t="n">
        <v>19094</v>
      </c>
      <c r="L5" s="4" t="n">
        <v>19094</v>
      </c>
      <c r="M5" s="0" t="n">
        <f aca="false">L5-K5</f>
        <v>0</v>
      </c>
      <c r="N5" s="0" t="s">
        <v>84</v>
      </c>
    </row>
    <row r="6" customFormat="false" ht="15" hidden="false" customHeight="false" outlineLevel="0" collapsed="false">
      <c r="A6" s="0" t="s">
        <v>31</v>
      </c>
      <c r="B6" s="0" t="s">
        <v>28</v>
      </c>
      <c r="C6" s="0" t="s">
        <v>78</v>
      </c>
      <c r="D6" s="0" t="s">
        <v>89</v>
      </c>
      <c r="E6" s="0" t="s">
        <v>88</v>
      </c>
      <c r="F6" s="4" t="n">
        <v>85620</v>
      </c>
      <c r="G6" s="9" t="n">
        <v>44197</v>
      </c>
      <c r="H6" s="0" t="s">
        <v>81</v>
      </c>
      <c r="I6" s="0" t="s">
        <v>82</v>
      </c>
      <c r="J6" s="0" t="s">
        <v>83</v>
      </c>
      <c r="K6" s="4" t="n">
        <v>12231.43</v>
      </c>
      <c r="L6" s="4" t="n">
        <v>12231.43</v>
      </c>
      <c r="M6" s="0" t="n">
        <f aca="false">L6-K6</f>
        <v>0</v>
      </c>
      <c r="N6" s="0" t="s">
        <v>84</v>
      </c>
    </row>
    <row r="7" customFormat="false" ht="15" hidden="false" customHeight="false" outlineLevel="0" collapsed="false">
      <c r="A7" s="0" t="s">
        <v>57</v>
      </c>
      <c r="B7" s="0" t="s">
        <v>59</v>
      </c>
      <c r="C7" s="0" t="s">
        <v>78</v>
      </c>
      <c r="D7" s="0" t="s">
        <v>87</v>
      </c>
      <c r="E7" s="0" t="s">
        <v>90</v>
      </c>
      <c r="F7" s="4" t="n">
        <v>112740</v>
      </c>
      <c r="G7" s="9" t="n">
        <v>43101</v>
      </c>
      <c r="H7" s="0" t="s">
        <v>81</v>
      </c>
      <c r="I7" s="0" t="s">
        <v>82</v>
      </c>
      <c r="J7" s="0" t="s">
        <v>83</v>
      </c>
      <c r="K7" s="4" t="n">
        <v>11274</v>
      </c>
      <c r="L7" s="4" t="n">
        <v>11274</v>
      </c>
      <c r="M7" s="0" t="n">
        <f aca="false">L7-K7</f>
        <v>0</v>
      </c>
      <c r="N7" s="0" t="s">
        <v>84</v>
      </c>
    </row>
    <row r="8" customFormat="false" ht="15" hidden="false" customHeight="false" outlineLevel="0" collapsed="false">
      <c r="A8" s="0" t="s">
        <v>61</v>
      </c>
      <c r="B8" s="0" t="s">
        <v>59</v>
      </c>
      <c r="C8" s="0" t="s">
        <v>78</v>
      </c>
      <c r="D8" s="0" t="s">
        <v>91</v>
      </c>
      <c r="E8" s="0" t="s">
        <v>90</v>
      </c>
      <c r="F8" s="4" t="n">
        <v>53480</v>
      </c>
      <c r="G8" s="9" t="n">
        <v>45566</v>
      </c>
      <c r="H8" s="0" t="s">
        <v>81</v>
      </c>
      <c r="I8" s="0" t="s">
        <v>82</v>
      </c>
      <c r="J8" s="0" t="s">
        <v>83</v>
      </c>
      <c r="K8" s="4" t="n">
        <v>13370</v>
      </c>
      <c r="L8" s="4" t="n">
        <v>13370</v>
      </c>
      <c r="M8" s="0" t="n">
        <f aca="false">L8-K8</f>
        <v>0</v>
      </c>
      <c r="N8" s="0" t="s">
        <v>84</v>
      </c>
    </row>
    <row r="9" customFormat="false" ht="15" hidden="false" customHeight="false" outlineLevel="0" collapsed="false">
      <c r="A9" s="0" t="s">
        <v>34</v>
      </c>
      <c r="B9" s="0" t="s">
        <v>28</v>
      </c>
      <c r="C9" s="0" t="s">
        <v>78</v>
      </c>
      <c r="D9" s="0" t="s">
        <v>79</v>
      </c>
      <c r="E9" s="0" t="s">
        <v>88</v>
      </c>
      <c r="F9" s="4" t="n">
        <v>141080</v>
      </c>
      <c r="G9" s="9" t="n">
        <v>44927</v>
      </c>
      <c r="H9" s="0" t="s">
        <v>81</v>
      </c>
      <c r="I9" s="0" t="s">
        <v>82</v>
      </c>
      <c r="J9" s="0" t="s">
        <v>83</v>
      </c>
      <c r="K9" s="4" t="n">
        <v>28216</v>
      </c>
      <c r="L9" s="4" t="n">
        <v>28216</v>
      </c>
      <c r="M9" s="0" t="n">
        <f aca="false">L9-K9</f>
        <v>0</v>
      </c>
      <c r="N9" s="0" t="s">
        <v>84</v>
      </c>
    </row>
    <row r="10" customFormat="false" ht="15" hidden="false" customHeight="false" outlineLevel="0" collapsed="false">
      <c r="A10" s="0" t="s">
        <v>38</v>
      </c>
      <c r="B10" s="0" t="s">
        <v>28</v>
      </c>
      <c r="C10" s="0" t="s">
        <v>78</v>
      </c>
      <c r="D10" s="0" t="s">
        <v>92</v>
      </c>
      <c r="E10" s="0" t="s">
        <v>88</v>
      </c>
      <c r="F10" s="4" t="n">
        <v>82810</v>
      </c>
      <c r="G10" s="9" t="n">
        <v>45292</v>
      </c>
      <c r="H10" s="0" t="s">
        <v>81</v>
      </c>
      <c r="I10" s="0" t="s">
        <v>82</v>
      </c>
      <c r="J10" s="0" t="s">
        <v>83</v>
      </c>
      <c r="K10" s="4" t="n">
        <v>13801.67</v>
      </c>
      <c r="L10" s="4" t="n">
        <v>13801.67</v>
      </c>
      <c r="M10" s="0" t="n">
        <f aca="false">L10-K10</f>
        <v>0</v>
      </c>
      <c r="N10" s="0" t="s">
        <v>84</v>
      </c>
    </row>
    <row r="11" customFormat="false" ht="15" hidden="false" customHeight="false" outlineLevel="0" collapsed="false">
      <c r="A11" s="0" t="s">
        <v>14</v>
      </c>
      <c r="B11" s="0" t="s">
        <v>93</v>
      </c>
      <c r="C11" s="0" t="s">
        <v>78</v>
      </c>
      <c r="D11" s="0" t="s">
        <v>86</v>
      </c>
      <c r="E11" s="0" t="s">
        <v>94</v>
      </c>
      <c r="F11" s="4" t="n">
        <v>41120</v>
      </c>
      <c r="G11" s="9" t="n">
        <v>45200</v>
      </c>
      <c r="H11" s="0" t="s">
        <v>81</v>
      </c>
      <c r="I11" s="0" t="s">
        <v>82</v>
      </c>
      <c r="J11" s="0" t="s">
        <v>83</v>
      </c>
      <c r="K11" s="4" t="n">
        <v>13706.67</v>
      </c>
      <c r="L11" s="4" t="n">
        <v>13706.67</v>
      </c>
      <c r="M11" s="0" t="n">
        <f aca="false">L11-K11</f>
        <v>0</v>
      </c>
      <c r="N11" s="0" t="s">
        <v>84</v>
      </c>
    </row>
    <row r="12" customFormat="false" ht="15" hidden="false" customHeight="false" outlineLevel="0" collapsed="false">
      <c r="A12" s="0" t="s">
        <v>20</v>
      </c>
      <c r="B12" s="0" t="s">
        <v>93</v>
      </c>
      <c r="C12" s="0" t="s">
        <v>78</v>
      </c>
      <c r="D12" s="0" t="s">
        <v>89</v>
      </c>
      <c r="E12" s="0" t="s">
        <v>94</v>
      </c>
      <c r="F12" s="4" t="n">
        <v>232030</v>
      </c>
      <c r="G12" s="9" t="n">
        <v>44652</v>
      </c>
      <c r="H12" s="0" t="s">
        <v>81</v>
      </c>
      <c r="I12" s="0" t="s">
        <v>82</v>
      </c>
      <c r="J12" s="0" t="s">
        <v>83</v>
      </c>
      <c r="K12" s="4" t="n">
        <v>33147.14</v>
      </c>
      <c r="L12" s="4" t="n">
        <v>33147.14</v>
      </c>
      <c r="M12" s="0" t="n">
        <f aca="false">L12-K12</f>
        <v>0</v>
      </c>
      <c r="N12" s="0" t="s">
        <v>84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95</v>
      </c>
      <c r="B1" s="3" t="s">
        <v>96</v>
      </c>
    </row>
    <row r="2" customFormat="false" ht="15" hidden="false" customHeight="false" outlineLevel="0" collapsed="false">
      <c r="A2" s="0" t="s">
        <v>97</v>
      </c>
      <c r="B2" s="8" t="n">
        <v>190843.83</v>
      </c>
    </row>
    <row r="3" customFormat="false" ht="15" hidden="false" customHeight="false" outlineLevel="0" collapsed="false">
      <c r="A3" s="0" t="s">
        <v>98</v>
      </c>
      <c r="B3" s="4" t="n">
        <v>190843.83</v>
      </c>
    </row>
    <row r="4" customFormat="false" ht="15" hidden="false" customHeight="false" outlineLevel="0" collapsed="false">
      <c r="A4" s="0" t="s">
        <v>99</v>
      </c>
      <c r="B4" s="4" t="n">
        <v>190843.83</v>
      </c>
    </row>
    <row r="5" customFormat="false" ht="15" hidden="false" customHeight="false" outlineLevel="0" collapsed="false">
      <c r="A5" s="0" t="s">
        <v>100</v>
      </c>
      <c r="B5" s="4" t="n">
        <v>0</v>
      </c>
    </row>
    <row r="6" customFormat="false" ht="15" hidden="false" customHeight="false" outlineLevel="0" collapsed="false">
      <c r="A6" s="0" t="s">
        <v>101</v>
      </c>
      <c r="B6" s="4" t="n">
        <v>0</v>
      </c>
    </row>
    <row r="7" customFormat="false" ht="15" hidden="false" customHeight="false" outlineLevel="0" collapsed="false">
      <c r="A7" s="0" t="s">
        <v>102</v>
      </c>
      <c r="B7" s="4" t="n">
        <v>0</v>
      </c>
    </row>
    <row r="8" customFormat="false" ht="15" hidden="false" customHeight="false" outlineLevel="0" collapsed="false">
      <c r="A8" s="0" t="s">
        <v>103</v>
      </c>
      <c r="B8" s="0" t="s">
        <v>104</v>
      </c>
    </row>
    <row r="9" customFormat="false" ht="15" hidden="false" customHeight="false" outlineLevel="0" collapsed="false">
      <c r="A9" s="0" t="s">
        <v>105</v>
      </c>
      <c r="B9" s="0" t="s">
        <v>106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2026-02-03T10:57:00Z</dcterms:created>
  <dcterms:modified xsi:type="dcterms:W3CDTF">2026-02-03T11:29:00Z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