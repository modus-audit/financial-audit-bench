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_xlnm.Print_Area" localSheetId="0">'Cash Account Listing'!$A$1:$I$7</definedName>
    <definedName name="_xlnm._FilterDatabase" localSheetId="1" hidden="1">'Operating Checking Rec'!$A$5:$L$26</definedName>
    <definedName name="_xlnm.Print_Titles" localSheetId="1">'Operating Checking Rec'!$5:$5</definedName>
    <definedName name="_xlnm.Print_Area" localSheetId="1">'Operating Checking Rec'!$A$1:$L$26</definedName>
    <definedName name="_xlnm.Print_Area" localSheetId="2">'Payroll Rec'!$A$1:$B$21</definedName>
    <definedName name="_xlnm.Print_Area" localSheetId="3">'Recon Testing Bridge'!$A$1:$D$15</definedName>
    <definedName name="_xlnm.Print_Area" localSheetId="4">'Deposit Insurance Coverage'!$A$1:$J$7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Population'!$A$5:$N$29</definedName>
    <definedName name="_xlnm.Print_Titles" localSheetId="7">'Kiting Cutoff Population'!$5:$5</definedName>
    <definedName name="_xlnm.Print_Area" localSheetId="7">'Kiting Cutoff Population'!$A$1:$N$29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10" min="1" max="1"/>
    <col width="20" customWidth="1" style="10" min="2" max="2"/>
    <col width="46" customWidth="1" style="10" min="3" max="3"/>
    <col width="16" customWidth="1" style="10" min="4" max="4"/>
    <col width="10" customWidth="1" style="10" min="5" max="5"/>
    <col width="14" customWidth="1" style="10" min="6" max="6"/>
    <col width="25" customWidth="1" style="10" min="7" max="7"/>
    <col width="14" customWidth="1" style="10" min="8" max="9"/>
    <col width="14" customWidth="1" style="11" min="9" max="9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Cash Account Listing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Institution</t>
        </is>
      </c>
      <c r="B5" s="14" t="inlineStr">
        <is>
          <t>Account Name</t>
        </is>
      </c>
      <c r="C5" s="14" t="inlineStr">
        <is>
          <t>Purpose</t>
        </is>
      </c>
      <c r="D5" s="14" t="inlineStr">
        <is>
          <t>Account Number</t>
        </is>
      </c>
      <c r="E5" s="14" t="inlineStr">
        <is>
          <t>Currency</t>
        </is>
      </c>
      <c r="F5" s="14" t="inlineStr">
        <is>
          <t>Restriction</t>
        </is>
      </c>
      <c r="G5" s="14" t="inlineStr">
        <is>
          <t>GL Account</t>
        </is>
      </c>
      <c r="H5" s="14" t="inlineStr">
        <is>
          <t>Bank Balance</t>
        </is>
      </c>
      <c r="I5" s="14" t="inlineStr">
        <is>
          <t>Book Balance</t>
        </is>
      </c>
    </row>
    <row r="6" ht="15" customHeight="1" s="11">
      <c r="A6" s="10" t="inlineStr">
        <is>
          <t>Quothill Bank</t>
        </is>
      </c>
      <c r="B6" s="10" t="inlineStr">
        <is>
          <t>Operating Checking</t>
        </is>
      </c>
      <c r="C6" s="10" t="inlineStr">
        <is>
          <t>Primary operating disbursements and receipts</t>
        </is>
      </c>
      <c r="D6" s="10" t="inlineStr">
        <is>
          <t>****2536</t>
        </is>
      </c>
      <c r="E6" s="10" t="inlineStr">
        <is>
          <t>USD</t>
        </is>
      </c>
      <c r="F6" s="10" t="inlineStr">
        <is>
          <t>Unrestricted</t>
        </is>
      </c>
      <c r="G6" s="10" t="inlineStr">
        <is>
          <t>1000 - Cash - operating</t>
        </is>
      </c>
      <c r="H6" s="10" t="n">
        <v>999110.24</v>
      </c>
      <c r="I6" s="10" t="n">
        <v>1029048.86</v>
      </c>
    </row>
    <row r="7" ht="15" customHeight="1" s="11">
      <c r="A7" s="10" t="inlineStr">
        <is>
          <t>Quothill Bank</t>
        </is>
      </c>
      <c r="B7" s="10" t="inlineStr">
        <is>
          <t>Payroll</t>
        </is>
      </c>
      <c r="C7" s="10" t="inlineStr">
        <is>
          <t>Payroll clearing</t>
        </is>
      </c>
      <c r="D7" s="10" t="inlineStr">
        <is>
          <t>****0659</t>
        </is>
      </c>
      <c r="E7" s="10" t="inlineStr">
        <is>
          <t>USD</t>
        </is>
      </c>
      <c r="F7" s="10" t="inlineStr">
        <is>
          <t>Unrestricted</t>
        </is>
      </c>
      <c r="G7" s="10" t="inlineStr">
        <is>
          <t>Clearing account</t>
        </is>
      </c>
      <c r="H7" s="10" t="n">
        <v>0</v>
      </c>
      <c r="I7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2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0" min="1" max="1"/>
    <col width="20" customWidth="1" style="10" min="2" max="2"/>
    <col width="24" customWidth="1" style="10" min="3" max="3"/>
    <col width="16" customWidth="1" style="10" min="4" max="4"/>
    <col width="12" customWidth="1" style="10" min="5" max="5"/>
    <col width="11" customWidth="1" style="10" min="6" max="7"/>
    <col width="13" customWidth="1" style="11" min="7" max="7"/>
    <col width="15" customWidth="1" style="10" min="8" max="8"/>
    <col width="24" customWidth="1" style="10" min="9" max="9"/>
    <col width="22" customWidth="1" style="10" min="10" max="10"/>
    <col width="28" customWidth="1" style="10" min="11" max="11"/>
    <col width="52" customWidth="1" style="10" min="12" max="12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Operating Checking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999110.24</v>
      </c>
    </row>
    <row r="7" ht="15" customHeight="1" s="11">
      <c r="A7" s="10" t="inlineStr">
        <is>
          <t>Add: deposits in transit</t>
        </is>
      </c>
      <c r="B7" s="10" t="n">
        <v>29938.62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1029048.86</v>
      </c>
    </row>
    <row r="10" ht="15" customHeight="1" s="11">
      <c r="A10" s="10" t="inlineStr">
        <is>
          <t>Book balance</t>
        </is>
      </c>
      <c r="B10" s="10" t="n">
        <v>1029048.86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1029048.86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3</v>
      </c>
    </row>
    <row r="15" ht="15" customHeight="1" s="11">
      <c r="A15" s="10" t="inlineStr">
        <is>
          <t>Source reconciling-item absolute amount</t>
        </is>
      </c>
      <c r="B15" s="10" t="n">
        <v>29938.62</v>
      </c>
    </row>
    <row r="16" ht="15" customHeight="1" s="11">
      <c r="A16" s="10" t="inlineStr">
        <is>
          <t>Items included in support sample</t>
        </is>
      </c>
      <c r="B16" s="10" t="n">
        <v>3</v>
      </c>
    </row>
    <row r="17" ht="15" customHeight="1" s="11">
      <c r="A17" s="10" t="inlineStr">
        <is>
          <t>Support-sample absolute amount</t>
        </is>
      </c>
      <c r="B17" s="10" t="n">
        <v>29938.62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  <row r="22"/>
    <row r="23" ht="15" customHeight="1" s="11">
      <c r="A23" s="14" t="inlineStr">
        <is>
          <t>Item ID</t>
        </is>
      </c>
      <c r="B23" s="14" t="inlineStr">
        <is>
          <t>Type</t>
        </is>
      </c>
      <c r="C23" s="14" t="inlineStr">
        <is>
          <t>Book Source ID</t>
        </is>
      </c>
      <c r="D23" s="14" t="inlineStr">
        <is>
          <t>Bank Source ID</t>
        </is>
      </c>
      <c r="E23" s="14" t="inlineStr">
        <is>
          <t>Book Date</t>
        </is>
      </c>
      <c r="F23" s="14" t="inlineStr">
        <is>
          <t>Bank Date</t>
        </is>
      </c>
      <c r="G23" s="14" t="inlineStr">
        <is>
          <t>Amount</t>
        </is>
      </c>
      <c r="H23" s="14" t="inlineStr">
        <is>
          <t>Clearing Date</t>
        </is>
      </c>
      <c r="I23" s="14" t="inlineStr">
        <is>
          <t>Clearing Reference</t>
        </is>
      </c>
      <c r="J23" s="14" t="inlineStr">
        <is>
          <t>Status</t>
        </is>
      </c>
      <c r="K23" s="14" t="inlineStr">
        <is>
          <t>Testing Disposition</t>
        </is>
      </c>
      <c r="L23" s="14" t="inlineStr">
        <is>
          <t>Resolution / Classification</t>
        </is>
      </c>
    </row>
    <row r="24" ht="15" customHeight="1" s="11">
      <c r="A24" s="10" t="inlineStr">
        <is>
          <t>Deposit 12/31 - Zemvortex Quotley Holdings, Inc.</t>
        </is>
      </c>
      <c r="B24" s="10" t="inlineStr">
        <is>
          <t>Deposit In Transit</t>
        </is>
      </c>
      <c r="C24" s="10" t="inlineStr">
        <is>
          <t>Book reference Cr 0292</t>
        </is>
      </c>
      <c r="E24" s="15" t="n">
        <v>46022</v>
      </c>
      <c r="G24" s="16" t="n">
        <v>7792.4</v>
      </c>
      <c r="H24" s="15" t="n">
        <v>46024</v>
      </c>
      <c r="I24" s="10" t="inlineStr">
        <is>
          <t>MOVE-Cash receipt 0292</t>
        </is>
      </c>
      <c r="J24" s="10" t="inlineStr">
        <is>
          <t>Cleared Subsequently</t>
        </is>
      </c>
      <c r="K24" s="10" t="inlineStr">
        <is>
          <t>Included in support sample</t>
        </is>
      </c>
      <c r="L24" s="17" t="inlineStr">
        <is>
          <t>Recorded before year end; credited by bank after year end</t>
        </is>
      </c>
    </row>
    <row r="25" ht="15" customHeight="1" s="11">
      <c r="A25" s="10" t="inlineStr">
        <is>
          <t>Deposit 12/31 - Zelvaxin Zixwater Group, LLC</t>
        </is>
      </c>
      <c r="B25" s="10" t="inlineStr">
        <is>
          <t>Deposit In Transit</t>
        </is>
      </c>
      <c r="C25" s="10" t="inlineStr">
        <is>
          <t>Book reference Cr 0295</t>
        </is>
      </c>
      <c r="E25" s="15" t="n">
        <v>46022</v>
      </c>
      <c r="G25" s="16" t="n">
        <v>19715.05</v>
      </c>
      <c r="H25" s="15" t="n">
        <v>46024</v>
      </c>
      <c r="I25" s="10" t="inlineStr">
        <is>
          <t>MOVE-Cash receipt 0295</t>
        </is>
      </c>
      <c r="J25" s="10" t="inlineStr">
        <is>
          <t>Cleared Subsequently</t>
        </is>
      </c>
      <c r="K25" s="10" t="inlineStr">
        <is>
          <t>Included in support sample</t>
        </is>
      </c>
      <c r="L25" s="17" t="inlineStr">
        <is>
          <t>Recorded before year end; credited by bank after year end</t>
        </is>
      </c>
    </row>
    <row r="26" ht="15" customHeight="1" s="11">
      <c r="A26" s="10" t="inlineStr">
        <is>
          <t>Deposit 12/31 - Vorquine Voraxle Holdings, Inc.</t>
        </is>
      </c>
      <c r="B26" s="10" t="inlineStr">
        <is>
          <t>Deposit In Transit</t>
        </is>
      </c>
      <c r="C26" s="10" t="inlineStr">
        <is>
          <t>Book reference Cr 0296</t>
        </is>
      </c>
      <c r="E26" s="15" t="n">
        <v>46022</v>
      </c>
      <c r="G26" s="16" t="n">
        <v>2431.17</v>
      </c>
      <c r="H26" s="15" t="n">
        <v>46024</v>
      </c>
      <c r="I26" s="10" t="inlineStr">
        <is>
          <t>MOVE-Cash receipt 0296</t>
        </is>
      </c>
      <c r="J26" s="10" t="inlineStr">
        <is>
          <t>Cleared Subsequently</t>
        </is>
      </c>
      <c r="K26" s="10" t="inlineStr">
        <is>
          <t>Included in support sample</t>
        </is>
      </c>
      <c r="L26" s="17" t="inlineStr">
        <is>
          <t>Recorded before year end; credited by bank after year end</t>
        </is>
      </c>
    </row>
  </sheetData>
  <autoFilter ref="A5:L26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10" min="1" max="1"/>
    <col width="10" customWidth="1" style="10" min="2" max="2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Payroll Bank Reconciliation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Bank statement balance</t>
        </is>
      </c>
      <c r="B6" s="10" t="n">
        <v>0</v>
      </c>
    </row>
    <row r="7" ht="15" customHeight="1" s="11">
      <c r="A7" s="10" t="inlineStr">
        <is>
          <t>Add: deposits in transit</t>
        </is>
      </c>
      <c r="B7" s="10" t="n">
        <v>0</v>
      </c>
    </row>
    <row r="8" ht="15" customHeight="1" s="11">
      <c r="A8" s="10" t="inlineStr">
        <is>
          <t>Less: outstanding checks and charges</t>
        </is>
      </c>
      <c r="B8" s="10" t="n">
        <v>0</v>
      </c>
    </row>
    <row r="9" ht="15" customHeight="1" s="11">
      <c r="A9" s="10" t="inlineStr">
        <is>
          <t>Adjusted bank balance</t>
        </is>
      </c>
      <c r="B9" s="10" t="n">
        <v>0</v>
      </c>
    </row>
    <row r="10" ht="15" customHeight="1" s="11">
      <c r="A10" s="10" t="inlineStr">
        <is>
          <t>Book balance</t>
        </is>
      </c>
      <c r="B10" s="10" t="n">
        <v>0</v>
      </c>
    </row>
    <row r="11" ht="15" customHeight="1" s="11">
      <c r="A11" s="10" t="inlineStr">
        <is>
          <t>Bank items not yet recorded in books</t>
        </is>
      </c>
      <c r="B11" s="10" t="n">
        <v>0</v>
      </c>
    </row>
    <row r="12" ht="15" customHeight="1" s="11">
      <c r="A12" s="10" t="inlineStr">
        <is>
          <t>Adjusted book balance</t>
        </is>
      </c>
      <c r="B12" s="10" t="n">
        <v>0</v>
      </c>
    </row>
    <row r="13" ht="15" customHeight="1" s="11">
      <c r="A13" s="10" t="inlineStr">
        <is>
          <t>Difference</t>
        </is>
      </c>
      <c r="B13" s="10" t="n">
        <v>0</v>
      </c>
    </row>
    <row r="14" ht="15" customHeight="1" s="11">
      <c r="A14" s="10" t="inlineStr">
        <is>
          <t>Source reconciling-item count</t>
        </is>
      </c>
      <c r="B14" s="10" t="n">
        <v>0</v>
      </c>
    </row>
    <row r="15" ht="15" customHeight="1" s="11">
      <c r="A15" s="10" t="inlineStr">
        <is>
          <t>Source reconciling-item absolute amount</t>
        </is>
      </c>
      <c r="B15" s="10" t="n">
        <v>0</v>
      </c>
    </row>
    <row r="16" ht="15" customHeight="1" s="11">
      <c r="A16" s="10" t="inlineStr">
        <is>
          <t>Items included in support sample</t>
        </is>
      </c>
      <c r="B16" s="10" t="n">
        <v>0</v>
      </c>
    </row>
    <row r="17" ht="15" customHeight="1" s="11">
      <c r="A17" s="10" t="inlineStr">
        <is>
          <t>Support-sample absolute amount</t>
        </is>
      </c>
      <c r="B17" s="10" t="n">
        <v>0</v>
      </c>
    </row>
    <row r="18" ht="15" customHeight="1" s="11">
      <c r="A18" s="10" t="inlineStr">
        <is>
          <t>Explicitly untested count</t>
        </is>
      </c>
      <c r="B18" s="10" t="n">
        <v>0</v>
      </c>
    </row>
    <row r="19" ht="15" customHeight="1" s="11">
      <c r="A19" s="10" t="inlineStr">
        <is>
          <t>Explicitly untested absolute amount</t>
        </is>
      </c>
      <c r="B19" s="10" t="n">
        <v>0</v>
      </c>
    </row>
    <row r="20" ht="15" customHeight="1" s="11">
      <c r="A20" s="10" t="inlineStr">
        <is>
          <t>Testing bridge count difference</t>
        </is>
      </c>
      <c r="B20" s="10" t="n">
        <v>0</v>
      </c>
    </row>
    <row r="21" ht="15" customHeight="1" s="11">
      <c r="A21" s="10" t="inlineStr">
        <is>
          <t>Testing bridge absolute amount difference</t>
        </is>
      </c>
      <c r="B21" s="10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0" customWidth="1" style="10" min="1" max="1"/>
    <col width="15" customWidth="1" style="10" min="2" max="2"/>
    <col width="17" customWidth="1" style="10" min="3" max="3"/>
    <col width="28" customWidth="1" style="10" min="4" max="4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Year-End Reconciling-Item Testing Scope Bridge</t>
        </is>
      </c>
    </row>
    <row r="3" ht="15" customHeight="1" s="11">
      <c r="A3" s="13" t="inlineStr">
        <is>
          <t>As of 2025-12-31</t>
        </is>
      </c>
    </row>
    <row r="4" ht="15" customHeight="1" s="11">
      <c r="A4" s="18" t="inlineStr">
        <is>
          <t>Selection for testing does not by itself imply procedure execution.</t>
        </is>
      </c>
    </row>
    <row r="5"/>
    <row r="6" ht="15" customHeight="1" s="11">
      <c r="A6" s="14" t="inlineStr">
        <is>
          <t>Population</t>
        </is>
      </c>
      <c r="B6" s="14" t="inlineStr">
        <is>
          <t>Count</t>
        </is>
      </c>
      <c r="C6" s="14" t="inlineStr">
        <is>
          <t>Signed Amount</t>
        </is>
      </c>
      <c r="D6" s="14" t="inlineStr">
        <is>
          <t>Absolute Amount</t>
        </is>
      </c>
    </row>
    <row r="7" ht="15" customHeight="1" s="11">
      <c r="A7" s="10" t="inlineStr">
        <is>
          <t>Source population</t>
        </is>
      </c>
      <c r="B7" s="10" t="n">
        <v>3</v>
      </c>
      <c r="C7" s="10" t="n">
        <v>29938.62</v>
      </c>
      <c r="D7" s="10" t="n">
        <v>29938.62</v>
      </c>
    </row>
    <row r="8" ht="15" customHeight="1" s="11">
      <c r="A8" s="10" t="inlineStr">
        <is>
          <t>Included in support sample</t>
        </is>
      </c>
      <c r="B8" s="10" t="n">
        <v>3</v>
      </c>
      <c r="C8" s="10" t="n">
        <v>29938.62</v>
      </c>
      <c r="D8" s="10" t="n">
        <v>29938.62</v>
      </c>
    </row>
    <row r="9" ht="15" customHeight="1" s="11">
      <c r="A9" s="10" t="inlineStr">
        <is>
          <t>Explicitly untested</t>
        </is>
      </c>
      <c r="B9" s="10" t="n">
        <v>0</v>
      </c>
      <c r="C9" s="10" t="n">
        <v>0</v>
      </c>
      <c r="D9" s="10" t="n">
        <v>0</v>
      </c>
    </row>
    <row r="10" ht="15" customHeight="1" s="11">
      <c r="A10" s="10" t="inlineStr">
        <is>
          <t>Difference</t>
        </is>
      </c>
      <c r="B10" s="10" t="n">
        <v>0</v>
      </c>
      <c r="C10" s="10" t="n">
        <v>0</v>
      </c>
      <c r="D10" s="10" t="n">
        <v>0</v>
      </c>
    </row>
    <row r="11"/>
    <row r="12" ht="15" customHeight="1" s="11">
      <c r="A12" s="14" t="inlineStr">
        <is>
          <t>Source Item ID</t>
        </is>
      </c>
      <c r="B12" s="14" t="inlineStr">
        <is>
          <t>Signed Amount</t>
        </is>
      </c>
      <c r="C12" s="14" t="inlineStr">
        <is>
          <t>Absolute Amount</t>
        </is>
      </c>
      <c r="D12" s="14" t="inlineStr">
        <is>
          <t>Disposition</t>
        </is>
      </c>
    </row>
    <row r="13" ht="15" customHeight="1" s="11">
      <c r="A13" s="10" t="inlineStr">
        <is>
          <t>Deposit 12/31 - Zemvortex Quotley Holdings, Inc.</t>
        </is>
      </c>
      <c r="B13" s="10" t="n">
        <v>7792.4</v>
      </c>
      <c r="C13" s="10" t="n">
        <v>7792.4</v>
      </c>
      <c r="D13" s="10" t="inlineStr">
        <is>
          <t>Included in support sample</t>
        </is>
      </c>
    </row>
    <row r="14" ht="15" customHeight="1" s="11">
      <c r="A14" s="10" t="inlineStr">
        <is>
          <t>Deposit 12/31 - Zelvaxin Zixwater Group, LLC</t>
        </is>
      </c>
      <c r="B14" s="10" t="n">
        <v>19715.05</v>
      </c>
      <c r="C14" s="10" t="n">
        <v>19715.05</v>
      </c>
      <c r="D14" s="10" t="inlineStr">
        <is>
          <t>Included in support sample</t>
        </is>
      </c>
    </row>
    <row r="15" ht="15" customHeight="1" s="11">
      <c r="A15" s="10" t="inlineStr">
        <is>
          <t>Deposit 12/31 - Vorquine Voraxle Holdings, Inc.</t>
        </is>
      </c>
      <c r="B15" s="10" t="n">
        <v>2431.17</v>
      </c>
      <c r="C15" s="10" t="n">
        <v>2431.17</v>
      </c>
      <c r="D15" s="10" t="inlineStr">
        <is>
          <t>Included in support sample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35" customWidth="1" style="10" min="2" max="2"/>
    <col width="15" customWidth="1" style="10" min="3" max="3"/>
    <col width="20" customWidth="1" style="10" min="4" max="4"/>
    <col width="36" customWidth="1" style="10" min="5" max="5"/>
    <col width="15" customWidth="1" style="10" min="6" max="6"/>
    <col width="19" customWidth="1" style="10" min="7" max="7"/>
    <col width="16" customWidth="1" style="10" min="8" max="8"/>
    <col width="17" customWidth="1" style="10" min="9" max="9"/>
    <col width="20" customWidth="1" style="10" min="10" max="10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Deposit Insurance Coverage by Statutory Coverage Unit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Coverage Group</t>
        </is>
      </c>
      <c r="B5" s="14" t="inlineStr">
        <is>
          <t>Depositor</t>
        </is>
      </c>
      <c r="C5" s="14" t="inlineStr">
        <is>
          <t>Institution</t>
        </is>
      </c>
      <c r="D5" s="14" t="inlineStr">
        <is>
          <t>Ownership Category</t>
        </is>
      </c>
      <c r="E5" s="14" t="inlineStr">
        <is>
          <t>Account IDs</t>
        </is>
      </c>
      <c r="F5" s="14" t="inlineStr">
        <is>
          <t>Account Count</t>
        </is>
      </c>
      <c r="G5" s="14" t="inlineStr">
        <is>
          <t>Aggregate Balance</t>
        </is>
      </c>
      <c r="H5" s="14" t="inlineStr">
        <is>
          <t>Coverage Limit</t>
        </is>
      </c>
      <c r="I5" s="14" t="inlineStr">
        <is>
          <t>Insured Balance</t>
        </is>
      </c>
      <c r="J5" s="14" t="inlineStr">
        <is>
          <t>Uninsured Exposure</t>
        </is>
      </c>
    </row>
    <row r="6" ht="15" customHeight="1" s="11">
      <c r="A6" s="10" t="inlineStr">
        <is>
          <t>FDIC-Coverage group 001</t>
        </is>
      </c>
      <c r="B6" s="10" t="inlineStr">
        <is>
          <t>Zephirax Industrial Holdings, LLC</t>
        </is>
      </c>
      <c r="C6" s="10" t="inlineStr">
        <is>
          <t>Quothill Bank</t>
        </is>
      </c>
      <c r="D6" s="10" t="inlineStr">
        <is>
          <t>Business Accounts</t>
        </is>
      </c>
      <c r="E6" s="10" t="inlineStr">
        <is>
          <t>Bank account 001, Bank account 003</t>
        </is>
      </c>
      <c r="F6" s="10" t="n">
        <v>2</v>
      </c>
      <c r="G6" s="10" t="n">
        <v>999110.24</v>
      </c>
      <c r="H6" s="10" t="n">
        <v>250000</v>
      </c>
      <c r="I6" s="10" t="n">
        <v>250000</v>
      </c>
      <c r="J6" s="10" t="n">
        <v>749110.24</v>
      </c>
    </row>
    <row r="7" ht="15" customHeight="1" s="11">
      <c r="A7" s="19" t="inlineStr">
        <is>
          <t>Total</t>
        </is>
      </c>
      <c r="B7" s="20" t="n"/>
      <c r="C7" s="20" t="n"/>
      <c r="D7" s="20" t="n"/>
      <c r="E7" s="20" t="n"/>
      <c r="F7" s="19">
        <f>SUM(F6)</f>
        <v>2</v>
      </c>
      <c r="G7" s="19">
        <f>SUM(G6)</f>
        <v>999110.24</v>
      </c>
      <c r="H7" s="19">
        <f>SUM(H6)</f>
        <v>250000</v>
      </c>
      <c r="I7" s="19">
        <f>SUM(I6)</f>
        <v>250000</v>
      </c>
      <c r="J7" s="19">
        <f>SUM(J6)</f>
        <v>749110.24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30" customWidth="1" style="10" min="2" max="2"/>
    <col width="51" customWidth="1" style="10" min="3" max="3"/>
    <col width="52" customWidth="1" style="10" min="4" max="6"/>
    <col width="52" customWidth="1" style="11" min="5" max="5"/>
    <col width="52" customWidth="1" style="11" min="6" max="6"/>
    <col width="13" customWidth="1" style="10" min="7" max="7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Cash Presentation and Disclosure Procedure Register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Semantic ID</t>
        </is>
      </c>
      <c r="B5" s="14" t="inlineStr">
        <is>
          <t>Area</t>
        </is>
      </c>
      <c r="C5" s="14" t="inlineStr">
        <is>
          <t>Requirement State</t>
        </is>
      </c>
      <c r="D5" s="14" t="inlineStr">
        <is>
          <t>Fact Basis</t>
        </is>
      </c>
      <c r="E5" s="14" t="inlineStr">
        <is>
          <t>Source Reference</t>
        </is>
      </c>
      <c r="F5" s="14" t="inlineStr">
        <is>
          <t>Required Procedure</t>
        </is>
      </c>
      <c r="G5" s="14" t="inlineStr">
        <is>
          <t>Audit State</t>
        </is>
      </c>
    </row>
    <row r="6" ht="23.85" customHeight="1" s="11">
      <c r="A6" s="10" t="inlineStr">
        <is>
          <t>cash.concentration</t>
        </is>
      </c>
      <c r="B6" s="10" t="inlineStr">
        <is>
          <t>Bank concentration</t>
        </is>
      </c>
      <c r="C6" s="10" t="inlineStr">
        <is>
          <t>Required</t>
        </is>
      </c>
      <c r="D6" s="10" t="inlineStr">
        <is>
          <t>2 account(s), 1 institution(s), total 999110.24</t>
        </is>
      </c>
      <c r="E6" s="10" t="inlineStr">
        <is>
          <t>Cash Account Listing; Deposit Insurance Coverage</t>
        </is>
      </c>
      <c r="F6" s="17" t="inlineStr">
        <is>
          <t>Evaluate depository concentration and related note presentation.</t>
        </is>
      </c>
      <c r="G6" s="10" t="inlineStr">
        <is>
          <t>Planned</t>
        </is>
      </c>
    </row>
    <row r="7" ht="23.85" customHeight="1" s="11">
      <c r="A7" s="10" t="inlineStr">
        <is>
          <t>cash.uninsured</t>
        </is>
      </c>
      <c r="B7" s="10" t="inlineStr">
        <is>
          <t>Uninsured deposits (FDIC)</t>
        </is>
      </c>
      <c r="C7" s="10" t="inlineStr">
        <is>
          <t>Required</t>
        </is>
      </c>
      <c r="D7" s="17" t="inlineStr">
        <is>
          <t>Uninsured exposure 749110.24 across 1 statutory coverage group(s)</t>
        </is>
      </c>
      <c r="E7" s="10" t="inlineStr">
        <is>
          <t>Deposit Insurance Coverage</t>
        </is>
      </c>
      <c r="F7" s="17" t="inlineStr">
        <is>
          <t>Trace depositor/institution/ownership grouping and evaluate disclosure.</t>
        </is>
      </c>
      <c r="G7" s="10" t="inlineStr">
        <is>
          <t>Planned</t>
        </is>
      </c>
    </row>
    <row r="8" ht="23.85" customHeight="1" s="11">
      <c r="A8" s="10" t="inlineStr">
        <is>
          <t>cash.restricted</t>
        </is>
      </c>
      <c r="B8" s="10" t="inlineStr">
        <is>
          <t>Pledged / restricted cash</t>
        </is>
      </c>
      <c r="C8" s="10" t="inlineStr">
        <is>
          <t>Required</t>
        </is>
      </c>
      <c r="D8" s="17" t="inlineStr">
        <is>
          <t>1 restriction/pledge indicator(s) from 1 account/security evidence record(s)</t>
        </is>
      </c>
      <c r="E8" s="17" t="inlineStr">
        <is>
          <t>Loan Security Evidence; DOC-Bank account Confirmation section 4</t>
        </is>
      </c>
      <c r="F8" s="17" t="inlineStr">
        <is>
          <t>Resolve pledge scope and cash availability separately; do not infer one from the other.</t>
        </is>
      </c>
      <c r="G8" s="10" t="inlineStr">
        <is>
          <t>Planned</t>
        </is>
      </c>
    </row>
    <row r="9" ht="15" customHeight="1" s="11">
      <c r="A9" s="10" t="inlineStr">
        <is>
          <t>cash.designated</t>
        </is>
      </c>
      <c r="B9" s="10" t="inlineStr">
        <is>
          <t>Reserve / designated cash</t>
        </is>
      </c>
      <c r="C9" s="10" t="inlineStr">
        <is>
          <t>Not applicable — no relevant condition identified</t>
        </is>
      </c>
      <c r="D9" s="10" t="inlineStr">
        <is>
          <t>0 reserve/designated account record(s)</t>
        </is>
      </c>
      <c r="E9" s="17" t="inlineStr">
        <is>
          <t>Cash Account Listing; restricted-purpose account roster</t>
        </is>
      </c>
      <c r="F9" s="10" t="inlineStr">
        <is>
          <t>Evaluate classification and management designation.</t>
        </is>
      </c>
      <c r="G9" s="10" t="inlineStr">
        <is>
          <t>Planned</t>
        </is>
      </c>
    </row>
    <row r="10" ht="15" customHeight="1" s="11">
      <c r="A10" s="10" t="inlineStr">
        <is>
          <t>cash.overdrafts</t>
        </is>
      </c>
      <c r="B10" s="10" t="inlineStr">
        <is>
          <t>Bank overdrafts (reclassify)</t>
        </is>
      </c>
      <c r="C10" s="10" t="inlineStr">
        <is>
          <t>Not applicable — no relevant condition identified</t>
        </is>
      </c>
      <c r="D10" s="10" t="inlineStr">
        <is>
          <t>0 account(s) with negative year-end balance</t>
        </is>
      </c>
      <c r="E10" s="10" t="inlineStr">
        <is>
          <t>Cash Account Listing</t>
        </is>
      </c>
      <c r="F10" s="17" t="inlineStr">
        <is>
          <t>Evaluate liability reclassification and legal right of offset.</t>
        </is>
      </c>
      <c r="G10" s="10" t="inlineStr">
        <is>
          <t>Planned</t>
        </is>
      </c>
    </row>
    <row r="11" ht="23.85" customHeight="1" s="11">
      <c r="A11" s="10" t="inlineStr">
        <is>
          <t>cash.compensating</t>
        </is>
      </c>
      <c r="B11" s="10" t="inlineStr">
        <is>
          <t>Compensating balances</t>
        </is>
      </c>
      <c r="C11" s="10" t="inlineStr">
        <is>
          <t>Required</t>
        </is>
      </c>
      <c r="D11" s="17" t="inlineStr">
        <is>
          <t>1 debt/security record(s) require compensating-balance evaluation</t>
        </is>
      </c>
      <c r="E11" s="17" t="inlineStr">
        <is>
          <t>Loan Security Evidence; DOC-Bank account Confirmation section 4</t>
        </is>
      </c>
      <c r="F11" s="17" t="inlineStr">
        <is>
          <t>Agreement silence is not proof of absence; corroborate on the controlled bank form.</t>
        </is>
      </c>
      <c r="G11" s="10" t="inlineStr">
        <is>
          <t>Planned</t>
        </is>
      </c>
    </row>
    <row r="12" ht="15" customHeight="1" s="11">
      <c r="A12" s="10" t="inlineStr">
        <is>
          <t>cash.merchant</t>
        </is>
      </c>
      <c r="B12" s="10" t="inlineStr">
        <is>
          <t>Merchant clearing / lockbox</t>
        </is>
      </c>
      <c r="C12" s="10" t="inlineStr">
        <is>
          <t>Not applicable — no relevant condition identified</t>
        </is>
      </c>
      <c r="D12" s="10" t="inlineStr">
        <is>
          <t>0 merchant/lockbox/clearing account record(s)</t>
        </is>
      </c>
      <c r="E12" s="10" t="inlineStr">
        <is>
          <t>Cash Account Listing</t>
        </is>
      </c>
      <c r="F12" s="17" t="inlineStr">
        <is>
          <t>Reconcile merchant or lockbox clearing where applicable.</t>
        </is>
      </c>
      <c r="G12" s="10" t="inlineStr">
        <is>
          <t>Planned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10" min="1" max="1"/>
    <col width="36" customWidth="1" style="10" min="2" max="2"/>
    <col width="20" customWidth="1" style="10" min="3" max="3"/>
    <col width="36" customWidth="1" style="10" min="4" max="4"/>
    <col width="33" customWidth="1" style="10" min="5" max="5"/>
    <col width="12" customWidth="1" style="10" min="6" max="6"/>
    <col width="22" customWidth="1" style="10" min="7" max="7"/>
    <col width="36" customWidth="1" style="10" min="8" max="8"/>
    <col width="28" customWidth="1" style="10" min="9" max="9"/>
    <col width="14" customWidth="1" style="10" min="10" max="10"/>
    <col width="39" customWidth="1" style="10" min="11" max="11"/>
    <col width="49" customWidth="1" style="10" min="12" max="12"/>
    <col width="46" customWidth="1" style="10" min="13" max="13"/>
    <col width="47" customWidth="1" style="10" min="14" max="14"/>
    <col width="52" customWidth="1" style="10" min="15" max="16"/>
    <col width="52" customWidth="1" style="11" min="16" max="16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Cash Restriction, Pledge, and Compensating-Balance Evidence</t>
        </is>
      </c>
    </row>
    <row r="3" ht="15" customHeight="1" s="11">
      <c r="A3" s="13" t="inlineStr">
        <is>
          <t>As of 2025-12-31</t>
        </is>
      </c>
    </row>
    <row r="4"/>
    <row r="5" ht="15" customHeight="1" s="11">
      <c r="A5" s="14" t="inlineStr">
        <is>
          <t>Evidence ID</t>
        </is>
      </c>
      <c r="B5" s="14" t="inlineStr">
        <is>
          <t>Source Record ID</t>
        </is>
      </c>
      <c r="C5" s="14" t="inlineStr">
        <is>
          <t>Debt Instrument ID</t>
        </is>
      </c>
      <c r="D5" s="14" t="inlineStr">
        <is>
          <t>Debt Collateral Control ID</t>
        </is>
      </c>
      <c r="E5" s="14" t="inlineStr">
        <is>
          <t>Debt Confirmation Control ID</t>
        </is>
      </c>
      <c r="F5" s="14" t="inlineStr">
        <is>
          <t>Account ID</t>
        </is>
      </c>
      <c r="G5" s="14" t="inlineStr">
        <is>
          <t>Institution / Lender</t>
        </is>
      </c>
      <c r="H5" s="14" t="inlineStr">
        <is>
          <t>Collateral / Security Terms</t>
        </is>
      </c>
      <c r="I5" s="14" t="inlineStr">
        <is>
          <t>Compensating-Balance Terms</t>
        </is>
      </c>
      <c r="J5" s="14" t="inlineStr">
        <is>
          <t>Loss Payee</t>
        </is>
      </c>
      <c r="K5" s="14" t="inlineStr">
        <is>
          <t>Insurance Evidence Status</t>
        </is>
      </c>
      <c r="L5" s="14" t="inlineStr">
        <is>
          <t>Pledge State</t>
        </is>
      </c>
      <c r="M5" s="14" t="inlineStr">
        <is>
          <t>Restriction State</t>
        </is>
      </c>
      <c r="N5" s="14" t="inlineStr">
        <is>
          <t>Compensating-Balance State</t>
        </is>
      </c>
      <c r="O5" s="14" t="inlineStr">
        <is>
          <t>Source References</t>
        </is>
      </c>
      <c r="P5" s="14" t="inlineStr">
        <is>
          <t>Required Follow-up</t>
        </is>
      </c>
    </row>
    <row r="6" ht="79.84999999999999" customHeight="1" s="11">
      <c r="A6" s="10" t="inlineStr">
        <is>
          <t>CASH-SECURITY-AGREEMENT-Debt reference 001</t>
        </is>
      </c>
      <c r="B6" s="10" t="inlineStr">
        <is>
          <t>Debt reference Collateral Debt 001</t>
        </is>
      </c>
      <c r="C6" s="10" t="inlineStr">
        <is>
          <t>Debt reference 001</t>
        </is>
      </c>
      <c r="D6" s="10" t="inlineStr">
        <is>
          <t>Debt reference Collateral Debt 001</t>
        </is>
      </c>
      <c r="E6" s="10" t="inlineStr">
        <is>
          <t>Debt reference Confirm Debt 001</t>
        </is>
      </c>
      <c r="G6" s="10" t="inlineStr">
        <is>
          <t>Zarvale Bank</t>
        </is>
      </c>
      <c r="H6" s="10" t="inlineStr">
        <is>
          <t>All business assets (blanket lien)</t>
        </is>
      </c>
      <c r="J6" s="10" t="inlineStr">
        <is>
          <t>Zarvale Bank</t>
        </is>
      </c>
      <c r="K6" s="10" t="inlineStr">
        <is>
          <t>Supported as mortgagee and loss payee</t>
        </is>
      </c>
      <c r="L6" s="10" t="inlineStr">
        <is>
          <t>Cash potentially in scope legal review required</t>
        </is>
      </c>
      <c r="M6" s="10" t="inlineStr">
        <is>
          <t>Evaluate availability separately from pledge</t>
        </is>
      </c>
      <c r="N6" s="10" t="inlineStr">
        <is>
          <t>Not stated in agreement confirmation required</t>
        </is>
      </c>
      <c r="O6" s="17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7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2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21" customWidth="1" style="10" min="2" max="2"/>
    <col width="12" customWidth="1" style="10" min="3" max="3"/>
    <col width="19" customWidth="1" style="10" min="4" max="4"/>
    <col width="21" customWidth="1" style="10" min="5" max="5"/>
    <col width="18" customWidth="1" style="10" min="6" max="6"/>
    <col width="19" customWidth="1" style="10" min="7" max="7"/>
    <col width="10" customWidth="1" style="10" min="8" max="8"/>
    <col width="15" customWidth="1" style="10" min="9" max="9"/>
    <col width="16" customWidth="1" style="10" min="10" max="10"/>
    <col width="21" customWidth="1" style="10" min="11" max="11"/>
    <col width="18" customWidth="1" style="10" min="12" max="12"/>
    <col width="22" customWidth="1" style="10" min="13" max="13"/>
    <col width="31" customWidth="1" style="10" min="14" max="14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Complete Interbank Transfer and Payroll-Funding Population</t>
        </is>
      </c>
    </row>
    <row r="3" ht="15" customHeight="1" s="11">
      <c r="A3" s="13" t="inlineStr">
        <is>
          <t>For the year ended 2025-12-31</t>
        </is>
      </c>
    </row>
    <row r="4"/>
    <row r="5" ht="15" customHeight="1" s="11">
      <c r="A5" s="14" t="inlineStr">
        <is>
          <t>Transfer ID</t>
        </is>
      </c>
      <c r="B5" s="14" t="inlineStr">
        <is>
          <t>Transfer Class</t>
        </is>
      </c>
      <c r="C5" s="14" t="inlineStr">
        <is>
          <t>Initiated</t>
        </is>
      </c>
      <c r="D5" s="14" t="inlineStr">
        <is>
          <t>Sending Bank Date</t>
        </is>
      </c>
      <c r="E5" s="14" t="inlineStr">
        <is>
          <t>Receiving Bank Date</t>
        </is>
      </c>
      <c r="F5" s="14" t="inlineStr">
        <is>
          <t>Sending Account</t>
        </is>
      </c>
      <c r="G5" s="14" t="inlineStr">
        <is>
          <t>Receiving Account</t>
        </is>
      </c>
      <c r="H5" s="14" t="inlineStr">
        <is>
          <t>Amount</t>
        </is>
      </c>
      <c r="I5" s="14" t="inlineStr">
        <is>
          <t>Requested By</t>
        </is>
      </c>
      <c r="J5" s="14" t="inlineStr">
        <is>
          <t>Approved By</t>
        </is>
      </c>
      <c r="K5" s="14" t="inlineStr">
        <is>
          <t>Approval Timestamp</t>
        </is>
      </c>
      <c r="L5" s="14" t="inlineStr">
        <is>
          <t>Source Reference</t>
        </is>
      </c>
      <c r="M5" s="14" t="inlineStr">
        <is>
          <t>Cutoff State</t>
        </is>
      </c>
      <c r="N5" s="14" t="inlineStr">
        <is>
          <t>Chronology Result</t>
        </is>
      </c>
    </row>
    <row r="6" ht="15" customHeight="1" s="11">
      <c r="A6" s="10" t="inlineStr">
        <is>
          <t>ACH331839950</t>
        </is>
      </c>
      <c r="B6" s="10" t="inlineStr">
        <is>
          <t>Payroll zba funding</t>
        </is>
      </c>
      <c r="C6" s="15" t="n">
        <v>45671</v>
      </c>
      <c r="D6" s="15" t="n">
        <v>45671</v>
      </c>
      <c r="E6" s="15" t="n">
        <v>45672</v>
      </c>
      <c r="F6" s="10" t="inlineStr">
        <is>
          <t>Bank account 001</t>
        </is>
      </c>
      <c r="G6" s="10" t="inlineStr">
        <is>
          <t>Bank account 003</t>
        </is>
      </c>
      <c r="H6" s="10" t="n">
        <v>39734.47</v>
      </c>
      <c r="I6" s="10" t="inlineStr">
        <is>
          <t>Carol Zelvane</t>
        </is>
      </c>
      <c r="J6" s="10" t="inlineStr">
        <is>
          <t>Thomas Voxmere</t>
        </is>
      </c>
      <c r="K6" s="10" t="inlineStr">
        <is>
          <t>2025-01-14T08:30:00</t>
        </is>
      </c>
      <c r="L6" s="10" t="inlineStr">
        <is>
          <t>PR-2025-001</t>
        </is>
      </c>
      <c r="M6" s="10" t="inlineStr">
        <is>
          <t>Received by year end</t>
        </is>
      </c>
      <c r="N6" s="10" t="inlineStr">
        <is>
          <t>initiated &lt;= sent &lt;= received</t>
        </is>
      </c>
    </row>
    <row r="7" ht="15" customHeight="1" s="11">
      <c r="A7" s="10" t="inlineStr">
        <is>
          <t>ACH752695401</t>
        </is>
      </c>
      <c r="B7" s="10" t="inlineStr">
        <is>
          <t>Payroll zba funding</t>
        </is>
      </c>
      <c r="C7" s="15" t="n">
        <v>45688</v>
      </c>
      <c r="D7" s="15" t="n">
        <v>45688</v>
      </c>
      <c r="E7" s="15" t="n">
        <v>45688</v>
      </c>
      <c r="F7" s="10" t="inlineStr">
        <is>
          <t>Bank account 001</t>
        </is>
      </c>
      <c r="G7" s="10" t="inlineStr">
        <is>
          <t>Bank account 003</t>
        </is>
      </c>
      <c r="H7" s="10" t="n">
        <v>39734.47</v>
      </c>
      <c r="I7" s="10" t="inlineStr">
        <is>
          <t>Carol Zelvane</t>
        </is>
      </c>
      <c r="J7" s="10" t="inlineStr">
        <is>
          <t>Thomas Voxmere</t>
        </is>
      </c>
      <c r="K7" s="10" t="inlineStr">
        <is>
          <t>2025-01-31T08:30:00</t>
        </is>
      </c>
      <c r="L7" s="10" t="inlineStr">
        <is>
          <t>PR-2025-002</t>
        </is>
      </c>
      <c r="M7" s="10" t="inlineStr">
        <is>
          <t>Received by year end</t>
        </is>
      </c>
      <c r="N7" s="10" t="inlineStr">
        <is>
          <t>initiated &lt;= sent &lt;= received</t>
        </is>
      </c>
    </row>
    <row r="8" ht="15" customHeight="1" s="11">
      <c r="A8" s="10" t="inlineStr">
        <is>
          <t>ACH054926251</t>
        </is>
      </c>
      <c r="B8" s="10" t="inlineStr">
        <is>
          <t>Payroll zba funding</t>
        </is>
      </c>
      <c r="C8" s="15" t="n">
        <v>45702</v>
      </c>
      <c r="D8" s="15" t="n">
        <v>45702</v>
      </c>
      <c r="E8" s="15" t="n">
        <v>45702</v>
      </c>
      <c r="F8" s="10" t="inlineStr">
        <is>
          <t>Bank account 001</t>
        </is>
      </c>
      <c r="G8" s="10" t="inlineStr">
        <is>
          <t>Bank account 003</t>
        </is>
      </c>
      <c r="H8" s="10" t="n">
        <v>39734.47</v>
      </c>
      <c r="I8" s="10" t="inlineStr">
        <is>
          <t>Carol Zelvane</t>
        </is>
      </c>
      <c r="J8" s="10" t="inlineStr">
        <is>
          <t>Thomas Voxmere</t>
        </is>
      </c>
      <c r="K8" s="10" t="inlineStr">
        <is>
          <t>2025-02-14T08:30:00</t>
        </is>
      </c>
      <c r="L8" s="10" t="inlineStr">
        <is>
          <t>PR-2025-003</t>
        </is>
      </c>
      <c r="M8" s="10" t="inlineStr">
        <is>
          <t>Received by year end</t>
        </is>
      </c>
      <c r="N8" s="10" t="inlineStr">
        <is>
          <t>initiated &lt;= sent &lt;= received</t>
        </is>
      </c>
    </row>
    <row r="9" ht="15" customHeight="1" s="11">
      <c r="A9" s="10" t="inlineStr">
        <is>
          <t>ACH746666345</t>
        </is>
      </c>
      <c r="B9" s="10" t="inlineStr">
        <is>
          <t>Payroll zba funding</t>
        </is>
      </c>
      <c r="C9" s="15" t="n">
        <v>45716</v>
      </c>
      <c r="D9" s="15" t="n">
        <v>45716</v>
      </c>
      <c r="E9" s="15" t="n">
        <v>45716</v>
      </c>
      <c r="F9" s="10" t="inlineStr">
        <is>
          <t>Bank account 001</t>
        </is>
      </c>
      <c r="G9" s="10" t="inlineStr">
        <is>
          <t>Bank account 003</t>
        </is>
      </c>
      <c r="H9" s="10" t="n">
        <v>39734.47</v>
      </c>
      <c r="I9" s="10" t="inlineStr">
        <is>
          <t>Carol Zelvane</t>
        </is>
      </c>
      <c r="J9" s="10" t="inlineStr">
        <is>
          <t>Thomas Voxmere</t>
        </is>
      </c>
      <c r="K9" s="10" t="inlineStr">
        <is>
          <t>2025-02-28T08:30:00</t>
        </is>
      </c>
      <c r="L9" s="10" t="inlineStr">
        <is>
          <t>PR-2025-004</t>
        </is>
      </c>
      <c r="M9" s="10" t="inlineStr">
        <is>
          <t>Received by year end</t>
        </is>
      </c>
      <c r="N9" s="10" t="inlineStr">
        <is>
          <t>initiated &lt;= sent &lt;= received</t>
        </is>
      </c>
    </row>
    <row r="10" ht="15" customHeight="1" s="11">
      <c r="A10" s="10" t="inlineStr">
        <is>
          <t>ACH677589709</t>
        </is>
      </c>
      <c r="B10" s="10" t="inlineStr">
        <is>
          <t>Payroll zba funding</t>
        </is>
      </c>
      <c r="C10" s="15" t="n">
        <v>45729</v>
      </c>
      <c r="D10" s="15" t="n">
        <v>45729</v>
      </c>
      <c r="E10" s="15" t="n">
        <v>45730</v>
      </c>
      <c r="F10" s="10" t="inlineStr">
        <is>
          <t>Bank account 001</t>
        </is>
      </c>
      <c r="G10" s="10" t="inlineStr">
        <is>
          <t>Bank account 003</t>
        </is>
      </c>
      <c r="H10" s="10" t="n">
        <v>39734.47</v>
      </c>
      <c r="I10" s="10" t="inlineStr">
        <is>
          <t>Carol Zelvane</t>
        </is>
      </c>
      <c r="J10" s="10" t="inlineStr">
        <is>
          <t>Thomas Voxmere</t>
        </is>
      </c>
      <c r="K10" s="10" t="inlineStr">
        <is>
          <t>2025-03-13T08:30:00</t>
        </is>
      </c>
      <c r="L10" s="10" t="inlineStr">
        <is>
          <t>PR-2025-005</t>
        </is>
      </c>
      <c r="M10" s="10" t="inlineStr">
        <is>
          <t>Received by year end</t>
        </is>
      </c>
      <c r="N10" s="10" t="inlineStr">
        <is>
          <t>initiated &lt;= sent &lt;= received</t>
        </is>
      </c>
    </row>
    <row r="11" ht="15" customHeight="1" s="11">
      <c r="A11" s="10" t="inlineStr">
        <is>
          <t>ACH925245927</t>
        </is>
      </c>
      <c r="B11" s="10" t="inlineStr">
        <is>
          <t>Payroll zba funding</t>
        </is>
      </c>
      <c r="C11" s="15" t="n">
        <v>45747</v>
      </c>
      <c r="D11" s="15" t="n">
        <v>45747</v>
      </c>
      <c r="E11" s="15" t="n">
        <v>45747</v>
      </c>
      <c r="F11" s="10" t="inlineStr">
        <is>
          <t>Bank account 001</t>
        </is>
      </c>
      <c r="G11" s="10" t="inlineStr">
        <is>
          <t>Bank account 003</t>
        </is>
      </c>
      <c r="H11" s="10" t="n">
        <v>39734.47</v>
      </c>
      <c r="I11" s="10" t="inlineStr">
        <is>
          <t>Carol Zelvane</t>
        </is>
      </c>
      <c r="J11" s="10" t="inlineStr">
        <is>
          <t>Thomas Voxmere</t>
        </is>
      </c>
      <c r="K11" s="10" t="inlineStr">
        <is>
          <t>2025-03-31T08:30:00</t>
        </is>
      </c>
      <c r="L11" s="10" t="inlineStr">
        <is>
          <t>PR-2025-006</t>
        </is>
      </c>
      <c r="M11" s="10" t="inlineStr">
        <is>
          <t>Received by year end</t>
        </is>
      </c>
      <c r="N11" s="10" t="inlineStr">
        <is>
          <t>initiated &lt;= sent &lt;= received</t>
        </is>
      </c>
    </row>
    <row r="12" ht="15" customHeight="1" s="11">
      <c r="A12" s="10" t="inlineStr">
        <is>
          <t>ACH321200734</t>
        </is>
      </c>
      <c r="B12" s="10" t="inlineStr">
        <is>
          <t>Payroll zba funding</t>
        </is>
      </c>
      <c r="C12" s="15" t="n">
        <v>45761</v>
      </c>
      <c r="D12" s="15" t="n">
        <v>45762</v>
      </c>
      <c r="E12" s="15" t="n">
        <v>45762</v>
      </c>
      <c r="F12" s="10" t="inlineStr">
        <is>
          <t>Bank account 001</t>
        </is>
      </c>
      <c r="G12" s="10" t="inlineStr">
        <is>
          <t>Bank account 003</t>
        </is>
      </c>
      <c r="H12" s="10" t="n">
        <v>39734.47</v>
      </c>
      <c r="I12" s="10" t="inlineStr">
        <is>
          <t>Carol Zelvane</t>
        </is>
      </c>
      <c r="J12" s="10" t="inlineStr">
        <is>
          <t>Thomas Voxmere</t>
        </is>
      </c>
      <c r="K12" s="10" t="inlineStr">
        <is>
          <t>2025-04-14T08:30:00</t>
        </is>
      </c>
      <c r="L12" s="10" t="inlineStr">
        <is>
          <t>PR-2025-007</t>
        </is>
      </c>
      <c r="M12" s="10" t="inlineStr">
        <is>
          <t>Received by year end</t>
        </is>
      </c>
      <c r="N12" s="10" t="inlineStr">
        <is>
          <t>initiated &lt;= sent &lt;= received</t>
        </is>
      </c>
    </row>
    <row r="13" ht="15" customHeight="1" s="11">
      <c r="A13" s="10" t="inlineStr">
        <is>
          <t>ACH404595443</t>
        </is>
      </c>
      <c r="B13" s="10" t="inlineStr">
        <is>
          <t>Payroll zba funding</t>
        </is>
      </c>
      <c r="C13" s="15" t="n">
        <v>45777</v>
      </c>
      <c r="D13" s="15" t="n">
        <v>45777</v>
      </c>
      <c r="E13" s="15" t="n">
        <v>45777</v>
      </c>
      <c r="F13" s="10" t="inlineStr">
        <is>
          <t>Bank account 001</t>
        </is>
      </c>
      <c r="G13" s="10" t="inlineStr">
        <is>
          <t>Bank account 003</t>
        </is>
      </c>
      <c r="H13" s="10" t="n">
        <v>39734.47</v>
      </c>
      <c r="I13" s="10" t="inlineStr">
        <is>
          <t>Carol Zelvane</t>
        </is>
      </c>
      <c r="J13" s="10" t="inlineStr">
        <is>
          <t>Thomas Voxmere</t>
        </is>
      </c>
      <c r="K13" s="10" t="inlineStr">
        <is>
          <t>2025-04-30T08:30:00</t>
        </is>
      </c>
      <c r="L13" s="10" t="inlineStr">
        <is>
          <t>PR-2025-008</t>
        </is>
      </c>
      <c r="M13" s="10" t="inlineStr">
        <is>
          <t>Received by year end</t>
        </is>
      </c>
      <c r="N13" s="10" t="inlineStr">
        <is>
          <t>initiated &lt;= sent &lt;= received</t>
        </is>
      </c>
    </row>
    <row r="14" ht="15" customHeight="1" s="11">
      <c r="A14" s="10" t="inlineStr">
        <is>
          <t>ACH838433968</t>
        </is>
      </c>
      <c r="B14" s="10" t="inlineStr">
        <is>
          <t>Payroll zba funding</t>
        </is>
      </c>
      <c r="C14" s="15" t="n">
        <v>45791</v>
      </c>
      <c r="D14" s="15" t="n">
        <v>45791</v>
      </c>
      <c r="E14" s="15" t="n">
        <v>45792</v>
      </c>
      <c r="F14" s="10" t="inlineStr">
        <is>
          <t>Bank account 001</t>
        </is>
      </c>
      <c r="G14" s="10" t="inlineStr">
        <is>
          <t>Bank account 003</t>
        </is>
      </c>
      <c r="H14" s="10" t="n">
        <v>39734.47</v>
      </c>
      <c r="I14" s="10" t="inlineStr">
        <is>
          <t>Carol Zelvane</t>
        </is>
      </c>
      <c r="J14" s="10" t="inlineStr">
        <is>
          <t>Thomas Voxmere</t>
        </is>
      </c>
      <c r="K14" s="10" t="inlineStr">
        <is>
          <t>2025-05-14T08:30:00</t>
        </is>
      </c>
      <c r="L14" s="10" t="inlineStr">
        <is>
          <t>PR-2025-009</t>
        </is>
      </c>
      <c r="M14" s="10" t="inlineStr">
        <is>
          <t>Received by year end</t>
        </is>
      </c>
      <c r="N14" s="10" t="inlineStr">
        <is>
          <t>initiated &lt;= sent &lt;= received</t>
        </is>
      </c>
    </row>
    <row r="15" ht="15" customHeight="1" s="11">
      <c r="A15" s="10" t="inlineStr">
        <is>
          <t>ACH015310009</t>
        </is>
      </c>
      <c r="B15" s="10" t="inlineStr">
        <is>
          <t>Payroll zba funding</t>
        </is>
      </c>
      <c r="C15" s="15" t="n">
        <v>45807</v>
      </c>
      <c r="D15" s="15" t="n">
        <v>45807</v>
      </c>
      <c r="E15" s="15" t="n">
        <v>45807</v>
      </c>
      <c r="F15" s="10" t="inlineStr">
        <is>
          <t>Bank account 001</t>
        </is>
      </c>
      <c r="G15" s="10" t="inlineStr">
        <is>
          <t>Bank account 003</t>
        </is>
      </c>
      <c r="H15" s="10" t="n">
        <v>39734.47</v>
      </c>
      <c r="I15" s="10" t="inlineStr">
        <is>
          <t>Carol Zelvane</t>
        </is>
      </c>
      <c r="J15" s="10" t="inlineStr">
        <is>
          <t>Thomas Voxmere</t>
        </is>
      </c>
      <c r="K15" s="10" t="inlineStr">
        <is>
          <t>2025-05-30T08:30:00</t>
        </is>
      </c>
      <c r="L15" s="10" t="inlineStr">
        <is>
          <t>PR-2025-010</t>
        </is>
      </c>
      <c r="M15" s="10" t="inlineStr">
        <is>
          <t>Received by year end</t>
        </is>
      </c>
      <c r="N15" s="10" t="inlineStr">
        <is>
          <t>initiated &lt;= sent &lt;= received</t>
        </is>
      </c>
    </row>
    <row r="16" ht="15" customHeight="1" s="11">
      <c r="A16" s="10" t="inlineStr">
        <is>
          <t>ACH678938867</t>
        </is>
      </c>
      <c r="B16" s="10" t="inlineStr">
        <is>
          <t>Payroll zba funding</t>
        </is>
      </c>
      <c r="C16" s="15" t="n">
        <v>45821</v>
      </c>
      <c r="D16" s="15" t="n">
        <v>45821</v>
      </c>
      <c r="E16" s="15" t="n">
        <v>45821</v>
      </c>
      <c r="F16" s="10" t="inlineStr">
        <is>
          <t>Bank account 001</t>
        </is>
      </c>
      <c r="G16" s="10" t="inlineStr">
        <is>
          <t>Bank account 003</t>
        </is>
      </c>
      <c r="H16" s="10" t="n">
        <v>39734.47</v>
      </c>
      <c r="I16" s="10" t="inlineStr">
        <is>
          <t>Carol Zelvane</t>
        </is>
      </c>
      <c r="J16" s="10" t="inlineStr">
        <is>
          <t>Thomas Voxmere</t>
        </is>
      </c>
      <c r="K16" s="10" t="inlineStr">
        <is>
          <t>2025-06-13T08:30:00</t>
        </is>
      </c>
      <c r="L16" s="10" t="inlineStr">
        <is>
          <t>PR-2025-011</t>
        </is>
      </c>
      <c r="M16" s="10" t="inlineStr">
        <is>
          <t>Received by year end</t>
        </is>
      </c>
      <c r="N16" s="10" t="inlineStr">
        <is>
          <t>initiated &lt;= sent &lt;= received</t>
        </is>
      </c>
    </row>
    <row r="17" ht="15" customHeight="1" s="11">
      <c r="A17" s="10" t="inlineStr">
        <is>
          <t>ACH328211105</t>
        </is>
      </c>
      <c r="B17" s="10" t="inlineStr">
        <is>
          <t>Payroll zba funding</t>
        </is>
      </c>
      <c r="C17" s="15" t="n">
        <v>45838</v>
      </c>
      <c r="D17" s="15" t="n">
        <v>45838</v>
      </c>
      <c r="E17" s="15" t="n">
        <v>45838</v>
      </c>
      <c r="F17" s="10" t="inlineStr">
        <is>
          <t>Bank account 001</t>
        </is>
      </c>
      <c r="G17" s="10" t="inlineStr">
        <is>
          <t>Bank account 003</t>
        </is>
      </c>
      <c r="H17" s="10" t="n">
        <v>39734.47</v>
      </c>
      <c r="I17" s="10" t="inlineStr">
        <is>
          <t>Carol Zelvane</t>
        </is>
      </c>
      <c r="J17" s="10" t="inlineStr">
        <is>
          <t>Thomas Voxmere</t>
        </is>
      </c>
      <c r="K17" s="10" t="inlineStr">
        <is>
          <t>2025-06-30T08:30:00</t>
        </is>
      </c>
      <c r="L17" s="10" t="inlineStr">
        <is>
          <t>PR-2025-012</t>
        </is>
      </c>
      <c r="M17" s="10" t="inlineStr">
        <is>
          <t>Received by year end</t>
        </is>
      </c>
      <c r="N17" s="10" t="inlineStr">
        <is>
          <t>initiated &lt;= sent &lt;= received</t>
        </is>
      </c>
    </row>
    <row r="18" ht="15" customHeight="1" s="11">
      <c r="A18" s="10" t="inlineStr">
        <is>
          <t>ACH570900938</t>
        </is>
      </c>
      <c r="B18" s="10" t="inlineStr">
        <is>
          <t>Payroll zba funding</t>
        </is>
      </c>
      <c r="C18" s="15" t="n">
        <v>45852</v>
      </c>
      <c r="D18" s="15" t="n">
        <v>45852</v>
      </c>
      <c r="E18" s="15" t="n">
        <v>45853</v>
      </c>
      <c r="F18" s="10" t="inlineStr">
        <is>
          <t>Bank account 001</t>
        </is>
      </c>
      <c r="G18" s="10" t="inlineStr">
        <is>
          <t>Bank account 003</t>
        </is>
      </c>
      <c r="H18" s="10" t="n">
        <v>39734.47</v>
      </c>
      <c r="I18" s="10" t="inlineStr">
        <is>
          <t>Carol Zelvane</t>
        </is>
      </c>
      <c r="J18" s="10" t="inlineStr">
        <is>
          <t>Thomas Voxmere</t>
        </is>
      </c>
      <c r="K18" s="10" t="inlineStr">
        <is>
          <t>2025-07-14T08:30:00</t>
        </is>
      </c>
      <c r="L18" s="10" t="inlineStr">
        <is>
          <t>PR-2025-013</t>
        </is>
      </c>
      <c r="M18" s="10" t="inlineStr">
        <is>
          <t>Received by year end</t>
        </is>
      </c>
      <c r="N18" s="10" t="inlineStr">
        <is>
          <t>initiated &lt;= sent &lt;= received</t>
        </is>
      </c>
    </row>
    <row r="19" ht="15" customHeight="1" s="11">
      <c r="A19" s="10" t="inlineStr">
        <is>
          <t>ACH784030805</t>
        </is>
      </c>
      <c r="B19" s="10" t="inlineStr">
        <is>
          <t>Payroll zba funding</t>
        </is>
      </c>
      <c r="C19" s="15" t="n">
        <v>45868</v>
      </c>
      <c r="D19" s="15" t="n">
        <v>45869</v>
      </c>
      <c r="E19" s="15" t="n">
        <v>45869</v>
      </c>
      <c r="F19" s="10" t="inlineStr">
        <is>
          <t>Bank account 001</t>
        </is>
      </c>
      <c r="G19" s="10" t="inlineStr">
        <is>
          <t>Bank account 003</t>
        </is>
      </c>
      <c r="H19" s="10" t="n">
        <v>39734.47</v>
      </c>
      <c r="I19" s="10" t="inlineStr">
        <is>
          <t>Carol Zelvane</t>
        </is>
      </c>
      <c r="J19" s="10" t="inlineStr">
        <is>
          <t>Thomas Voxmere</t>
        </is>
      </c>
      <c r="K19" s="10" t="inlineStr">
        <is>
          <t>2025-07-30T08:30:00</t>
        </is>
      </c>
      <c r="L19" s="10" t="inlineStr">
        <is>
          <t>PR-2025-014</t>
        </is>
      </c>
      <c r="M19" s="10" t="inlineStr">
        <is>
          <t>Received by year end</t>
        </is>
      </c>
      <c r="N19" s="10" t="inlineStr">
        <is>
          <t>initiated &lt;= sent &lt;= received</t>
        </is>
      </c>
    </row>
    <row r="20" ht="15" customHeight="1" s="11">
      <c r="A20" s="10" t="inlineStr">
        <is>
          <t>ACH666191432</t>
        </is>
      </c>
      <c r="B20" s="10" t="inlineStr">
        <is>
          <t>Payroll zba funding</t>
        </is>
      </c>
      <c r="C20" s="15" t="n">
        <v>45884</v>
      </c>
      <c r="D20" s="15" t="n">
        <v>45884</v>
      </c>
      <c r="E20" s="15" t="n">
        <v>45884</v>
      </c>
      <c r="F20" s="10" t="inlineStr">
        <is>
          <t>Bank account 001</t>
        </is>
      </c>
      <c r="G20" s="10" t="inlineStr">
        <is>
          <t>Bank account 003</t>
        </is>
      </c>
      <c r="H20" s="10" t="n">
        <v>39734.47</v>
      </c>
      <c r="I20" s="10" t="inlineStr">
        <is>
          <t>Carol Zelvane</t>
        </is>
      </c>
      <c r="J20" s="10" t="inlineStr">
        <is>
          <t>Thomas Voxmere</t>
        </is>
      </c>
      <c r="K20" s="10" t="inlineStr">
        <is>
          <t>2025-08-15T08:30:00</t>
        </is>
      </c>
      <c r="L20" s="10" t="inlineStr">
        <is>
          <t>PR-2025-015</t>
        </is>
      </c>
      <c r="M20" s="10" t="inlineStr">
        <is>
          <t>Received by year end</t>
        </is>
      </c>
      <c r="N20" s="10" t="inlineStr">
        <is>
          <t>initiated &lt;= sent &lt;= received</t>
        </is>
      </c>
    </row>
    <row r="21" ht="15" customHeight="1" s="11">
      <c r="A21" s="10" t="inlineStr">
        <is>
          <t>ACH726601666</t>
        </is>
      </c>
      <c r="B21" s="10" t="inlineStr">
        <is>
          <t>Payroll zba funding</t>
        </is>
      </c>
      <c r="C21" s="15" t="n">
        <v>45898</v>
      </c>
      <c r="D21" s="15" t="n">
        <v>45898</v>
      </c>
      <c r="E21" s="15" t="n">
        <v>45898</v>
      </c>
      <c r="F21" s="10" t="inlineStr">
        <is>
          <t>Bank account 001</t>
        </is>
      </c>
      <c r="G21" s="10" t="inlineStr">
        <is>
          <t>Bank account 003</t>
        </is>
      </c>
      <c r="H21" s="10" t="n">
        <v>39734.47</v>
      </c>
      <c r="I21" s="10" t="inlineStr">
        <is>
          <t>Carol Zelvane</t>
        </is>
      </c>
      <c r="J21" s="10" t="inlineStr">
        <is>
          <t>Thomas Voxmere</t>
        </is>
      </c>
      <c r="K21" s="10" t="inlineStr">
        <is>
          <t>2025-08-29T08:30:00</t>
        </is>
      </c>
      <c r="L21" s="10" t="inlineStr">
        <is>
          <t>PR-2025-016</t>
        </is>
      </c>
      <c r="M21" s="10" t="inlineStr">
        <is>
          <t>Received by year end</t>
        </is>
      </c>
      <c r="N21" s="10" t="inlineStr">
        <is>
          <t>initiated &lt;= sent &lt;= received</t>
        </is>
      </c>
    </row>
    <row r="22" ht="15" customHeight="1" s="11">
      <c r="A22" s="10" t="inlineStr">
        <is>
          <t>ACH773357084</t>
        </is>
      </c>
      <c r="B22" s="10" t="inlineStr">
        <is>
          <t>Payroll zba funding</t>
        </is>
      </c>
      <c r="C22" s="15" t="n">
        <v>45912</v>
      </c>
      <c r="D22" s="15" t="n">
        <v>45912</v>
      </c>
      <c r="E22" s="15" t="n">
        <v>45915</v>
      </c>
      <c r="F22" s="10" t="inlineStr">
        <is>
          <t>Bank account 001</t>
        </is>
      </c>
      <c r="G22" s="10" t="inlineStr">
        <is>
          <t>Bank account 003</t>
        </is>
      </c>
      <c r="H22" s="10" t="n">
        <v>39734.47</v>
      </c>
      <c r="I22" s="10" t="inlineStr">
        <is>
          <t>Carol Zelvane</t>
        </is>
      </c>
      <c r="J22" s="10" t="inlineStr">
        <is>
          <t>Thomas Voxmere</t>
        </is>
      </c>
      <c r="K22" s="10" t="inlineStr">
        <is>
          <t>2025-09-12T08:30:00</t>
        </is>
      </c>
      <c r="L22" s="10" t="inlineStr">
        <is>
          <t>PR-2025-017</t>
        </is>
      </c>
      <c r="M22" s="10" t="inlineStr">
        <is>
          <t>Received by year end</t>
        </is>
      </c>
      <c r="N22" s="10" t="inlineStr">
        <is>
          <t>initiated &lt;= sent &lt;= received</t>
        </is>
      </c>
    </row>
    <row r="23" ht="15" customHeight="1" s="11">
      <c r="A23" s="10" t="inlineStr">
        <is>
          <t>ACH286067802</t>
        </is>
      </c>
      <c r="B23" s="10" t="inlineStr">
        <is>
          <t>Payroll zba funding</t>
        </is>
      </c>
      <c r="C23" s="15" t="n">
        <v>45930</v>
      </c>
      <c r="D23" s="15" t="n">
        <v>45930</v>
      </c>
      <c r="E23" s="15" t="n">
        <v>45930</v>
      </c>
      <c r="F23" s="10" t="inlineStr">
        <is>
          <t>Bank account 001</t>
        </is>
      </c>
      <c r="G23" s="10" t="inlineStr">
        <is>
          <t>Bank account 003</t>
        </is>
      </c>
      <c r="H23" s="10" t="n">
        <v>39734.47</v>
      </c>
      <c r="I23" s="10" t="inlineStr">
        <is>
          <t>Carol Zelvane</t>
        </is>
      </c>
      <c r="J23" s="10" t="inlineStr">
        <is>
          <t>Thomas Voxmere</t>
        </is>
      </c>
      <c r="K23" s="10" t="inlineStr">
        <is>
          <t>2025-09-30T08:30:00</t>
        </is>
      </c>
      <c r="L23" s="10" t="inlineStr">
        <is>
          <t>PR-2025-018</t>
        </is>
      </c>
      <c r="M23" s="10" t="inlineStr">
        <is>
          <t>Received by year end</t>
        </is>
      </c>
      <c r="N23" s="10" t="inlineStr">
        <is>
          <t>initiated &lt;= sent &lt;= received</t>
        </is>
      </c>
    </row>
    <row r="24" ht="15" customHeight="1" s="11">
      <c r="A24" s="10" t="inlineStr">
        <is>
          <t>ACH832760584</t>
        </is>
      </c>
      <c r="B24" s="10" t="inlineStr">
        <is>
          <t>Payroll zba funding</t>
        </is>
      </c>
      <c r="C24" s="15" t="n">
        <v>45945</v>
      </c>
      <c r="D24" s="15" t="n">
        <v>45945</v>
      </c>
      <c r="E24" s="15" t="n">
        <v>45945</v>
      </c>
      <c r="F24" s="10" t="inlineStr">
        <is>
          <t>Bank account 001</t>
        </is>
      </c>
      <c r="G24" s="10" t="inlineStr">
        <is>
          <t>Bank account 003</t>
        </is>
      </c>
      <c r="H24" s="10" t="n">
        <v>39734.47</v>
      </c>
      <c r="I24" s="10" t="inlineStr">
        <is>
          <t>Carol Zelvane</t>
        </is>
      </c>
      <c r="J24" s="10" t="inlineStr">
        <is>
          <t>Thomas Voxmere</t>
        </is>
      </c>
      <c r="K24" s="10" t="inlineStr">
        <is>
          <t>2025-10-15T08:30:00</t>
        </is>
      </c>
      <c r="L24" s="10" t="inlineStr">
        <is>
          <t>PR-2025-019</t>
        </is>
      </c>
      <c r="M24" s="10" t="inlineStr">
        <is>
          <t>Received by year end</t>
        </is>
      </c>
      <c r="N24" s="10" t="inlineStr">
        <is>
          <t>initiated &lt;= sent &lt;= received</t>
        </is>
      </c>
    </row>
    <row r="25" ht="15" customHeight="1" s="11">
      <c r="A25" s="10" t="inlineStr">
        <is>
          <t>ACH156511302</t>
        </is>
      </c>
      <c r="B25" s="10" t="inlineStr">
        <is>
          <t>Payroll zba funding</t>
        </is>
      </c>
      <c r="C25" s="15" t="n">
        <v>45961</v>
      </c>
      <c r="D25" s="15" t="n">
        <v>45961</v>
      </c>
      <c r="E25" s="15" t="n">
        <v>45961</v>
      </c>
      <c r="F25" s="10" t="inlineStr">
        <is>
          <t>Bank account 001</t>
        </is>
      </c>
      <c r="G25" s="10" t="inlineStr">
        <is>
          <t>Bank account 003</t>
        </is>
      </c>
      <c r="H25" s="10" t="n">
        <v>39734.47</v>
      </c>
      <c r="I25" s="10" t="inlineStr">
        <is>
          <t>Carol Zelvane</t>
        </is>
      </c>
      <c r="J25" s="10" t="inlineStr">
        <is>
          <t>Thomas Voxmere</t>
        </is>
      </c>
      <c r="K25" s="10" t="inlineStr">
        <is>
          <t>2025-10-31T08:30:00</t>
        </is>
      </c>
      <c r="L25" s="10" t="inlineStr">
        <is>
          <t>PR-2025-020</t>
        </is>
      </c>
      <c r="M25" s="10" t="inlineStr">
        <is>
          <t>Received by year end</t>
        </is>
      </c>
      <c r="N25" s="10" t="inlineStr">
        <is>
          <t>initiated &lt;= sent &lt;= received</t>
        </is>
      </c>
    </row>
    <row r="26" ht="15" customHeight="1" s="11">
      <c r="A26" s="10" t="inlineStr">
        <is>
          <t>ACH676255150</t>
        </is>
      </c>
      <c r="B26" s="10" t="inlineStr">
        <is>
          <t>Payroll zba funding</t>
        </is>
      </c>
      <c r="C26" s="15" t="n">
        <v>45973</v>
      </c>
      <c r="D26" s="15" t="n">
        <v>45974</v>
      </c>
      <c r="E26" s="15" t="n">
        <v>45975</v>
      </c>
      <c r="F26" s="10" t="inlineStr">
        <is>
          <t>Bank account 001</t>
        </is>
      </c>
      <c r="G26" s="10" t="inlineStr">
        <is>
          <t>Bank account 003</t>
        </is>
      </c>
      <c r="H26" s="10" t="n">
        <v>39734.47</v>
      </c>
      <c r="I26" s="10" t="inlineStr">
        <is>
          <t>Carol Zelvane</t>
        </is>
      </c>
      <c r="J26" s="10" t="inlineStr">
        <is>
          <t>Thomas Voxmere</t>
        </is>
      </c>
      <c r="K26" s="10" t="inlineStr">
        <is>
          <t>2025-11-12T08:30:00</t>
        </is>
      </c>
      <c r="L26" s="10" t="inlineStr">
        <is>
          <t>PR-2025-021</t>
        </is>
      </c>
      <c r="M26" s="10" t="inlineStr">
        <is>
          <t>Received by year end</t>
        </is>
      </c>
      <c r="N26" s="10" t="inlineStr">
        <is>
          <t>initiated &lt;= sent &lt;= received</t>
        </is>
      </c>
    </row>
    <row r="27" ht="15" customHeight="1" s="11">
      <c r="A27" s="10" t="inlineStr">
        <is>
          <t>ACH347969381</t>
        </is>
      </c>
      <c r="B27" s="10" t="inlineStr">
        <is>
          <t>Payroll zba funding</t>
        </is>
      </c>
      <c r="C27" s="15" t="n">
        <v>45987</v>
      </c>
      <c r="D27" s="15" t="n">
        <v>45987</v>
      </c>
      <c r="E27" s="15" t="n">
        <v>45987</v>
      </c>
      <c r="F27" s="10" t="inlineStr">
        <is>
          <t>Bank account 001</t>
        </is>
      </c>
      <c r="G27" s="10" t="inlineStr">
        <is>
          <t>Bank account 003</t>
        </is>
      </c>
      <c r="H27" s="10" t="n">
        <v>39734.47</v>
      </c>
      <c r="I27" s="10" t="inlineStr">
        <is>
          <t>Carol Zelvane</t>
        </is>
      </c>
      <c r="J27" s="10" t="inlineStr">
        <is>
          <t>Thomas Voxmere</t>
        </is>
      </c>
      <c r="K27" s="10" t="inlineStr">
        <is>
          <t>2025-11-26T08:30:00</t>
        </is>
      </c>
      <c r="L27" s="10" t="inlineStr">
        <is>
          <t>PR-2025-022</t>
        </is>
      </c>
      <c r="M27" s="10" t="inlineStr">
        <is>
          <t>Received by year end</t>
        </is>
      </c>
      <c r="N27" s="10" t="inlineStr">
        <is>
          <t>initiated &lt;= sent &lt;= received</t>
        </is>
      </c>
    </row>
    <row r="28" ht="15" customHeight="1" s="11">
      <c r="A28" s="10" t="inlineStr">
        <is>
          <t>ACH128405552</t>
        </is>
      </c>
      <c r="B28" s="10" t="inlineStr">
        <is>
          <t>Payroll zba funding</t>
        </is>
      </c>
      <c r="C28" s="15" t="n">
        <v>46006</v>
      </c>
      <c r="D28" s="15" t="n">
        <v>46006</v>
      </c>
      <c r="E28" s="15" t="n">
        <v>46006</v>
      </c>
      <c r="F28" s="10" t="inlineStr">
        <is>
          <t>Bank account 001</t>
        </is>
      </c>
      <c r="G28" s="10" t="inlineStr">
        <is>
          <t>Bank account 003</t>
        </is>
      </c>
      <c r="H28" s="10" t="n">
        <v>39734.47</v>
      </c>
      <c r="I28" s="10" t="inlineStr">
        <is>
          <t>Carol Zelvane</t>
        </is>
      </c>
      <c r="J28" s="10" t="inlineStr">
        <is>
          <t>Thomas Voxmere</t>
        </is>
      </c>
      <c r="K28" s="10" t="inlineStr">
        <is>
          <t>2025-12-15T08:30:00</t>
        </is>
      </c>
      <c r="L28" s="10" t="inlineStr">
        <is>
          <t>PR-2025-023</t>
        </is>
      </c>
      <c r="M28" s="10" t="inlineStr">
        <is>
          <t>Received by year end</t>
        </is>
      </c>
      <c r="N28" s="10" t="inlineStr">
        <is>
          <t>initiated &lt;= sent &lt;= received</t>
        </is>
      </c>
    </row>
    <row r="29" ht="15" customHeight="1" s="11">
      <c r="A29" s="10" t="inlineStr">
        <is>
          <t>ACH957662248</t>
        </is>
      </c>
      <c r="B29" s="10" t="inlineStr">
        <is>
          <t>Payroll zba funding</t>
        </is>
      </c>
      <c r="C29" s="15" t="n">
        <v>46022</v>
      </c>
      <c r="D29" s="15" t="n">
        <v>46022</v>
      </c>
      <c r="E29" s="15" t="n">
        <v>46022</v>
      </c>
      <c r="F29" s="10" t="inlineStr">
        <is>
          <t>Bank account 001</t>
        </is>
      </c>
      <c r="G29" s="10" t="inlineStr">
        <is>
          <t>Bank account 003</t>
        </is>
      </c>
      <c r="H29" s="10" t="n">
        <v>39734.47</v>
      </c>
      <c r="I29" s="10" t="inlineStr">
        <is>
          <t>Carol Zelvane</t>
        </is>
      </c>
      <c r="J29" s="10" t="inlineStr">
        <is>
          <t>Thomas Voxmere</t>
        </is>
      </c>
      <c r="K29" s="10" t="inlineStr">
        <is>
          <t>2025-12-31T08:30:00</t>
        </is>
      </c>
      <c r="L29" s="10" t="inlineStr">
        <is>
          <t>PR-2025-024</t>
        </is>
      </c>
      <c r="M29" s="10" t="inlineStr">
        <is>
          <t>Received by year end</t>
        </is>
      </c>
      <c r="N29" s="10" t="inlineStr">
        <is>
          <t>initiated &lt;= sent &lt;= received</t>
        </is>
      </c>
    </row>
  </sheetData>
  <autoFilter ref="A5:N2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16" customWidth="1" style="10" min="2" max="2"/>
    <col width="52" customWidth="1" style="10" min="3" max="4"/>
    <col width="52" customWidth="1" style="11" min="4" max="4"/>
    <col width="10" customWidth="1" style="10" min="5" max="5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Subsequent Cash Evidence Coverage</t>
        </is>
      </c>
    </row>
    <row r="3" ht="15" customHeight="1" s="11">
      <c r="A3" s="13" t="inlineStr">
        <is>
          <t>Following 2025-12-31</t>
        </is>
      </c>
    </row>
    <row r="4"/>
    <row r="5" ht="15" customHeight="1" s="11">
      <c r="A5" s="14" t="inlineStr">
        <is>
          <t>Account Name</t>
        </is>
      </c>
      <c r="B5" s="14" t="inlineStr">
        <is>
          <t>Account Number</t>
        </is>
      </c>
      <c r="C5" s="14" t="inlineStr">
        <is>
          <t>Evidence</t>
        </is>
      </c>
      <c r="D5" s="14" t="inlineStr">
        <is>
          <t>Purpose</t>
        </is>
      </c>
      <c r="E5" s="14" t="inlineStr">
        <is>
          <t>Status</t>
        </is>
      </c>
    </row>
    <row r="6" ht="23.85" customHeight="1" s="11">
      <c r="A6" s="10" t="inlineStr">
        <is>
          <t>Operating Checking</t>
        </is>
      </c>
      <c r="B6" s="10" t="inlineStr">
        <is>
          <t>****2536</t>
        </is>
      </c>
      <c r="C6" s="10" t="inlineStr">
        <is>
          <t>January operating bank statement and clearing detail</t>
        </is>
      </c>
      <c r="D6" s="17" t="inlineStr">
        <is>
          <t>Verify existence, balance, restrictions, and subsequent clearing where applicable</t>
        </is>
      </c>
      <c r="E6" s="10" t="inlineStr">
        <is>
          <t>Received</t>
        </is>
      </c>
    </row>
    <row r="7" ht="23.85" customHeight="1" s="11">
      <c r="A7" s="10" t="inlineStr">
        <is>
          <t>Payroll</t>
        </is>
      </c>
      <c r="B7" s="10" t="inlineStr">
        <is>
          <t>****0659</t>
        </is>
      </c>
      <c r="C7" s="17" t="inlineStr">
        <is>
          <t>Direct bank confirmation covering the year-end balance</t>
        </is>
      </c>
      <c r="D7" s="17" t="inlineStr">
        <is>
          <t>Verify existence, balance, restrictions, and subsequent clearing where applicable</t>
        </is>
      </c>
      <c r="E7" s="10" t="inlineStr">
        <is>
          <t>Received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Thomas Voxmere</cp:lastModifiedBy>
  <dcterms:created xsi:type="dcterms:W3CDTF">2026-01-21T09:36:00Z</dcterms:created>
  <dcterms:modified xsi:type="dcterms:W3CDTF">2026-01-21T11:39:00Z</dcterms:modified>
</cp:coreProperties>
</file>