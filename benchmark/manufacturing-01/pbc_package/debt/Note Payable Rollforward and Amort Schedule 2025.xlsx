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 Payable Rollforward and" sheetId="1" state="visible" r:id="rId1"/>
  </sheets>
  <definedNames>
    <definedName name="_xlnm._FilterDatabase" localSheetId="0" hidden="1">'Note Payable Rollforward and'!$A$11:$F$31</definedName>
    <definedName name="_xlnm.Print_Titles" localSheetId="0">'Note Payable Rollforward and'!$11:$11</definedName>
    <definedName name="_xlnm.Print_Area" localSheetId="0">'Note Payable Rollforward and'!$A$1:$F$31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5" fillId="0" borderId="2" pivotButton="0" quotePrefix="0" xfId="0"/>
    <xf numFmtId="0" fontId="5" fillId="0" borderId="0" pivotButton="0" quotePrefix="0" xfId="0"/>
    <xf numFmtId="164" fontId="5" fillId="0" borderId="2" pivotButton="0" quotePrefix="0" xfId="0"/>
    <xf numFmtId="166" fontId="0" fillId="0" borderId="0" pivotButton="0" quotePrefix="0" xfId="0"/>
    <xf numFmtId="166" fontId="0" fillId="4" borderId="0" pivotButton="0" quotePrefix="0" xfId="0"/>
    <xf numFmtId="165" fontId="0" fillId="0" borderId="0" pivotButton="0" quotePrefix="0" xfId="0"/>
    <xf numFmtId="0" fontId="0" fillId="4" borderId="0" pivotButton="0" quotePrefix="0" xfId="0"/>
    <xf numFmtId="166" fontId="0" fillId="3" borderId="0" pivotButton="0" quotePrefix="0" xfId="0"/>
    <xf numFmtId="166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zoomScale="90" workbookViewId="0">
      <pane ySplit="11" topLeftCell="A1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31" customWidth="1" min="2" max="2"/>
    <col width="21" customWidth="1" min="3" max="3"/>
    <col width="11" customWidth="1" min="4" max="4"/>
    <col width="12" customWidth="1" min="5" max="5"/>
    <col width="18" customWidth="1" min="6" max="6"/>
  </cols>
  <sheetData>
    <row r="1">
      <c r="A1" s="1" t="inlineStr">
        <is>
          <t>Whitmore Products Company</t>
        </is>
      </c>
    </row>
    <row r="2">
      <c r="A2" t="inlineStr">
        <is>
          <t>Note Payable Rollforward and Amortization Schedule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By loan and account</t>
        </is>
      </c>
      <c r="B5" t="inlineStr">
        <is>
          <t>2041 - Notes payable</t>
        </is>
      </c>
    </row>
    <row r="6">
      <c r="A6" t="inlineStr">
        <is>
          <t>Dates</t>
        </is>
      </c>
      <c r="B6" t="inlineStr">
        <is>
          <t>2025-01-02 through 2025-12-02</t>
        </is>
      </c>
    </row>
    <row r="7">
      <c r="A7" t="inlineStr">
        <is>
          <t>Fees</t>
        </is>
      </c>
      <c r="B7" s="10" t="n">
        <v>0</v>
      </c>
    </row>
    <row r="8">
      <c r="A8" t="inlineStr">
        <is>
          <t>Difference</t>
        </is>
      </c>
      <c r="B8" s="11" t="n">
        <v>0</v>
      </c>
    </row>
    <row r="9"/>
    <row r="10">
      <c r="A10" s="4" t="inlineStr">
        <is>
          <t>Principal/interest split</t>
        </is>
      </c>
    </row>
    <row r="11">
      <c r="A11" s="5" t="inlineStr">
        <is>
          <t>#</t>
        </is>
      </c>
      <c r="B11" s="5" t="inlineStr">
        <is>
          <t>Payment date</t>
        </is>
      </c>
      <c r="C11" s="5" t="inlineStr">
        <is>
          <t>Beginning principal</t>
        </is>
      </c>
      <c r="D11" s="5" t="inlineStr">
        <is>
          <t>Principal</t>
        </is>
      </c>
      <c r="E11" s="5" t="inlineStr">
        <is>
          <t>Interest</t>
        </is>
      </c>
      <c r="F11" s="5" t="inlineStr">
        <is>
          <t>Ending principal</t>
        </is>
      </c>
    </row>
    <row r="12">
      <c r="A12" t="n">
        <v>1</v>
      </c>
      <c r="B12" s="12" t="n">
        <v>45659</v>
      </c>
      <c r="C12" s="10" t="n">
        <v>3500000</v>
      </c>
      <c r="D12" s="10" t="n">
        <v>4250.87</v>
      </c>
      <c r="E12" s="10" t="n">
        <v>30975</v>
      </c>
      <c r="F12" s="10">
        <f>C12-D12</f>
        <v>3495749.13</v>
      </c>
    </row>
    <row r="13">
      <c r="A13" t="n">
        <v>2</v>
      </c>
      <c r="B13" s="12" t="n">
        <v>45690</v>
      </c>
      <c r="C13" s="10" t="n">
        <v>3495749.13</v>
      </c>
      <c r="D13" s="10" t="n">
        <v>4288.49</v>
      </c>
      <c r="E13" s="10" t="n">
        <v>30937.38</v>
      </c>
      <c r="F13" s="10">
        <f>C13-D13</f>
        <v>3491460.64</v>
      </c>
    </row>
    <row r="14">
      <c r="A14" s="13" t="n">
        <v>3</v>
      </c>
      <c r="B14" s="12" t="n">
        <v>45718</v>
      </c>
      <c r="C14" s="10" t="n">
        <v>3491460.64</v>
      </c>
      <c r="D14" s="10" t="n">
        <v>4326.44</v>
      </c>
      <c r="E14" s="10" t="n">
        <v>30899.43</v>
      </c>
      <c r="F14" s="10">
        <f>C14-D14</f>
        <v>3487134.2</v>
      </c>
    </row>
    <row r="15">
      <c r="A15" t="n">
        <v>4</v>
      </c>
      <c r="B15" s="12" t="n">
        <v>45749</v>
      </c>
      <c r="C15" s="10" t="n">
        <v>3487134.2</v>
      </c>
      <c r="D15" s="10" t="n">
        <v>4364.73</v>
      </c>
      <c r="E15" s="10" t="n">
        <v>30861.14</v>
      </c>
      <c r="F15" s="10">
        <f>C15-D15</f>
        <v>3482769.47</v>
      </c>
    </row>
    <row r="16">
      <c r="A16" t="n">
        <v>5</v>
      </c>
      <c r="B16" s="12" t="n">
        <v>45779</v>
      </c>
      <c r="C16" s="10" t="n">
        <v>3482769.47</v>
      </c>
      <c r="D16" s="10" t="n">
        <v>4403.36</v>
      </c>
      <c r="E16" s="14" t="n">
        <v>30822.51</v>
      </c>
      <c r="F16" s="10">
        <f>C16-D16</f>
        <v>3478366.11</v>
      </c>
    </row>
    <row r="17">
      <c r="A17" t="n">
        <v>6</v>
      </c>
      <c r="B17" s="12" t="n">
        <v>45810</v>
      </c>
      <c r="C17" s="10" t="n">
        <v>3478366.11</v>
      </c>
      <c r="D17" s="10" t="n">
        <v>4442.33</v>
      </c>
      <c r="E17" s="10" t="n">
        <v>30783.54</v>
      </c>
      <c r="F17" s="10">
        <f>C17-D17</f>
        <v>3473923.78</v>
      </c>
    </row>
    <row r="18">
      <c r="A18" t="n">
        <v>7</v>
      </c>
      <c r="B18" s="12" t="n">
        <v>45840</v>
      </c>
      <c r="C18" s="10" t="n">
        <v>3473923.78</v>
      </c>
      <c r="D18" s="10" t="n">
        <v>4481.64</v>
      </c>
      <c r="E18" s="10" t="n">
        <v>30744.23</v>
      </c>
      <c r="F18" s="10">
        <f>C18-D18</f>
        <v>3469442.14</v>
      </c>
    </row>
    <row r="19">
      <c r="A19" t="n">
        <v>8</v>
      </c>
      <c r="B19" s="12" t="n">
        <v>45871</v>
      </c>
      <c r="C19" s="10" t="n">
        <v>3469442.14</v>
      </c>
      <c r="D19" s="10" t="n">
        <v>4521.31</v>
      </c>
      <c r="E19" s="10" t="n">
        <v>30704.56</v>
      </c>
      <c r="F19" s="10">
        <f>C19-D19</f>
        <v>3464920.83</v>
      </c>
    </row>
    <row r="20">
      <c r="A20" t="n">
        <v>9</v>
      </c>
      <c r="B20" s="12" t="n">
        <v>45902</v>
      </c>
      <c r="C20" s="10" t="n">
        <v>3464920.83</v>
      </c>
      <c r="D20" s="10" t="n">
        <v>4561.32</v>
      </c>
      <c r="E20" s="10" t="n">
        <v>30664.55</v>
      </c>
      <c r="F20" s="10">
        <f>C20-D20</f>
        <v>3460359.51</v>
      </c>
    </row>
    <row r="21">
      <c r="A21" t="n">
        <v>10</v>
      </c>
      <c r="B21" s="12" t="n">
        <v>45932</v>
      </c>
      <c r="C21" s="10" t="n">
        <v>3460359.51</v>
      </c>
      <c r="D21" s="10" t="n">
        <v>4601.69</v>
      </c>
      <c r="E21" s="10" t="n">
        <v>30624.18</v>
      </c>
      <c r="F21" s="10">
        <f>C21-D21</f>
        <v>3455757.82</v>
      </c>
    </row>
    <row r="22">
      <c r="A22" t="n">
        <v>11</v>
      </c>
      <c r="B22" s="12" t="n">
        <v>45963</v>
      </c>
      <c r="C22" s="10" t="n">
        <v>3455757.82</v>
      </c>
      <c r="D22" s="10" t="n">
        <v>4642.41</v>
      </c>
      <c r="E22" s="10" t="n">
        <v>30583.46</v>
      </c>
      <c r="F22" s="10">
        <f>C22-D22</f>
        <v>3451115.41</v>
      </c>
    </row>
    <row r="23">
      <c r="A23" t="n">
        <v>12</v>
      </c>
      <c r="B23" s="12" t="n">
        <v>45993</v>
      </c>
      <c r="C23" s="10" t="n">
        <v>3451115.41</v>
      </c>
      <c r="D23" s="10" t="n">
        <v>4683.5</v>
      </c>
      <c r="E23" s="10" t="n">
        <v>30542.37</v>
      </c>
      <c r="F23" s="10">
        <f>C23-D23</f>
        <v>3446431.91</v>
      </c>
    </row>
    <row r="24">
      <c r="A24" s="7" t="inlineStr">
        <is>
          <t>Total</t>
        </is>
      </c>
      <c r="B24" s="8" t="inlineStr"/>
      <c r="C24" s="15">
        <f>SUM(C12:C23)</f>
        <v>41710999.04</v>
      </c>
      <c r="D24" s="15">
        <f>SUM(D12:D23)</f>
        <v>53568.09</v>
      </c>
      <c r="E24" s="15">
        <f>SUM(E12:E23)</f>
        <v>369142.35</v>
      </c>
      <c r="F24" s="15">
        <f>SUM(F12:F23)</f>
        <v>41657430.95</v>
      </c>
    </row>
    <row r="25"/>
    <row r="26">
      <c r="A26" s="4" t="inlineStr">
        <is>
          <t>Ending balance</t>
        </is>
      </c>
    </row>
    <row r="27">
      <c r="A27" s="5" t="inlineStr">
        <is>
          <t>#</t>
        </is>
      </c>
      <c r="B27" s="5" t="inlineStr">
        <is>
          <t>Item</t>
        </is>
      </c>
      <c r="C27" s="5" t="inlineStr">
        <is>
          <t>Value</t>
        </is>
      </c>
      <c r="D27" s="5" t="n"/>
      <c r="E27" s="5" t="n"/>
      <c r="F27" s="5" t="n"/>
    </row>
    <row r="28">
      <c r="A28" t="n">
        <v>1</v>
      </c>
      <c r="B28" t="inlineStr">
        <is>
          <t>Opening principal</t>
        </is>
      </c>
      <c r="C28" s="10" t="n">
        <v>3500000</v>
      </c>
    </row>
    <row r="29">
      <c r="A29" t="n">
        <v>2</v>
      </c>
      <c r="B29" t="inlineStr">
        <is>
          <t>Draws</t>
        </is>
      </c>
      <c r="C29" s="10" t="n">
        <v>0</v>
      </c>
    </row>
    <row r="30">
      <c r="A30" t="n">
        <v>3</v>
      </c>
      <c r="B30" t="inlineStr">
        <is>
          <t>Principal repayments</t>
        </is>
      </c>
      <c r="C30" s="10" t="n">
        <v>53568.09</v>
      </c>
    </row>
    <row r="31">
      <c r="A31" t="n">
        <v>4</v>
      </c>
      <c r="B31" t="inlineStr">
        <is>
          <t>Ending principal</t>
        </is>
      </c>
      <c r="C31" s="10" t="n">
        <v>3446431.91</v>
      </c>
    </row>
  </sheetData>
  <autoFilter ref="A11:F31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2026-01-26T11:36:00Z</dcterms:created>
  <dcterms:modified xsi:type="dcterms:W3CDTF">2026-01-26T13:52:00Z</dcterms:modified>
</cp:coreProperties>
</file>