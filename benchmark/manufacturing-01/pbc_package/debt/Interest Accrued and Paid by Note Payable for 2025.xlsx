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Paid and Accrued by" sheetId="1" state="visible" r:id="rId1"/>
  </sheets>
  <definedNames>
    <definedName name="_xlnm._FilterDatabase" localSheetId="0" hidden="1">'Interest Paid and Accrued by'!$A$7:$I$24</definedName>
    <definedName name="_xlnm.Print_Area" localSheetId="0">'Interest Paid and Accrued by'!$A$1:$I$24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9" customWidth="1" min="2" max="2"/>
    <col width="22" customWidth="1" min="3" max="3"/>
    <col width="19" customWidth="1" min="4" max="4"/>
    <col width="12" customWidth="1" min="5" max="5"/>
    <col width="15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Whitmore Products Company</t>
        </is>
      </c>
    </row>
    <row r="2">
      <c r="A2" t="inlineStr">
        <is>
          <t>Interest Paid and Accrued by Note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Spread</t>
        </is>
      </c>
      <c r="B5" s="3" t="n">
        <v>0.02</v>
      </c>
    </row>
    <row r="6"/>
    <row r="7">
      <c r="A7" s="4" t="inlineStr">
        <is>
          <t>Ref</t>
        </is>
      </c>
      <c r="B7" s="4" t="inlineStr">
        <is>
          <t>Interest payment convention</t>
        </is>
      </c>
      <c r="C7" s="4" t="inlineStr">
        <is>
          <t>Day-count convention</t>
        </is>
      </c>
      <c r="D7" s="4" t="inlineStr">
        <is>
          <t>Last payment date</t>
        </is>
      </c>
      <c r="E7" s="4" t="inlineStr">
        <is>
          <t>Reset date</t>
        </is>
      </c>
      <c r="F7" s="4" t="inlineStr">
        <is>
          <t>Balance</t>
        </is>
      </c>
      <c r="G7" s="4" t="inlineStr">
        <is>
          <t>Expense</t>
        </is>
      </c>
      <c r="H7" s="4" t="inlineStr">
        <is>
          <t>Accrual</t>
        </is>
      </c>
      <c r="I7" s="4" t="inlineStr">
        <is>
          <t>Payment</t>
        </is>
      </c>
    </row>
    <row r="8">
      <c r="A8" t="inlineStr">
        <is>
          <t>Jan 2025</t>
        </is>
      </c>
      <c r="B8" t="inlineStr">
        <is>
          <t>arrears</t>
        </is>
      </c>
      <c r="C8" t="inlineStr">
        <is>
          <t>30/360</t>
        </is>
      </c>
      <c r="D8" s="10" t="n">
        <v>46022</v>
      </c>
      <c r="E8" s="10" t="n">
        <v>45658</v>
      </c>
      <c r="F8" s="3" t="n">
        <v>3500000</v>
      </c>
      <c r="G8" s="3" t="n">
        <v>30975</v>
      </c>
      <c r="H8" s="3" t="n">
        <v>0</v>
      </c>
      <c r="I8" s="3" t="n">
        <v>30975</v>
      </c>
    </row>
    <row r="9">
      <c r="A9" t="inlineStr">
        <is>
          <t>Feb 2025</t>
        </is>
      </c>
      <c r="B9" t="inlineStr">
        <is>
          <t>arrears</t>
        </is>
      </c>
      <c r="C9" t="inlineStr">
        <is>
          <t>30/360</t>
        </is>
      </c>
      <c r="D9" s="10" t="n">
        <v>46022</v>
      </c>
      <c r="E9" s="10" t="n">
        <v>45689</v>
      </c>
      <c r="F9" s="3" t="n">
        <v>3495749.13</v>
      </c>
      <c r="G9" s="3" t="n">
        <v>30937.38</v>
      </c>
      <c r="H9" s="3" t="n">
        <v>0</v>
      </c>
      <c r="I9" s="3" t="n">
        <v>30937.38</v>
      </c>
    </row>
    <row r="10">
      <c r="A10" t="inlineStr">
        <is>
          <t>Mar 2025</t>
        </is>
      </c>
      <c r="B10" t="inlineStr">
        <is>
          <t>arrears</t>
        </is>
      </c>
      <c r="C10" t="inlineStr">
        <is>
          <t>30/360</t>
        </is>
      </c>
      <c r="D10" s="10" t="n">
        <v>46022</v>
      </c>
      <c r="E10" s="10" t="n">
        <v>45717</v>
      </c>
      <c r="F10" s="3" t="n">
        <v>3491460.64</v>
      </c>
      <c r="G10" s="3" t="n">
        <v>30899.43</v>
      </c>
      <c r="H10" s="3" t="n">
        <v>0</v>
      </c>
      <c r="I10" s="3" t="n">
        <v>30899.43</v>
      </c>
    </row>
    <row r="11">
      <c r="A11" t="inlineStr">
        <is>
          <t>Apr 2025</t>
        </is>
      </c>
      <c r="B11" t="inlineStr">
        <is>
          <t>arrears</t>
        </is>
      </c>
      <c r="C11" t="inlineStr">
        <is>
          <t>30/360</t>
        </is>
      </c>
      <c r="D11" s="10" t="n">
        <v>46022</v>
      </c>
      <c r="E11" s="10" t="n">
        <v>45748</v>
      </c>
      <c r="F11" s="3" t="n">
        <v>3487134.2</v>
      </c>
      <c r="G11" s="3" t="n">
        <v>30861.14</v>
      </c>
      <c r="H11" s="3" t="n">
        <v>0</v>
      </c>
      <c r="I11" s="3" t="n">
        <v>30861.14</v>
      </c>
    </row>
    <row r="12">
      <c r="A12" t="inlineStr">
        <is>
          <t>May 2025</t>
        </is>
      </c>
      <c r="B12" t="inlineStr">
        <is>
          <t>arrears</t>
        </is>
      </c>
      <c r="C12" t="inlineStr">
        <is>
          <t>30/360</t>
        </is>
      </c>
      <c r="D12" s="10" t="n">
        <v>46022</v>
      </c>
      <c r="E12" s="10" t="n">
        <v>45778</v>
      </c>
      <c r="F12" s="3" t="n">
        <v>3482769.47</v>
      </c>
      <c r="G12" s="3" t="n">
        <v>30822.51</v>
      </c>
      <c r="H12" s="11" t="n">
        <v>0</v>
      </c>
      <c r="I12" s="3" t="n">
        <v>30822.51</v>
      </c>
    </row>
    <row r="13">
      <c r="A13" t="inlineStr">
        <is>
          <t>Jun 2025</t>
        </is>
      </c>
      <c r="B13" t="inlineStr">
        <is>
          <t>arrears</t>
        </is>
      </c>
      <c r="C13" t="inlineStr">
        <is>
          <t>30/360</t>
        </is>
      </c>
      <c r="D13" s="10" t="n">
        <v>46022</v>
      </c>
      <c r="E13" s="10" t="n">
        <v>45809</v>
      </c>
      <c r="F13" s="3" t="n">
        <v>3478366.11</v>
      </c>
      <c r="G13" s="3" t="n">
        <v>30783.54</v>
      </c>
      <c r="H13" s="3" t="n">
        <v>0</v>
      </c>
      <c r="I13" s="3" t="n">
        <v>30783.54</v>
      </c>
    </row>
    <row r="14">
      <c r="A14" t="inlineStr">
        <is>
          <t>Jul 2025</t>
        </is>
      </c>
      <c r="B14" t="inlineStr">
        <is>
          <t>arrears</t>
        </is>
      </c>
      <c r="C14" t="inlineStr">
        <is>
          <t>30/360</t>
        </is>
      </c>
      <c r="D14" s="10" t="n">
        <v>46022</v>
      </c>
      <c r="E14" s="10" t="n">
        <v>45839</v>
      </c>
      <c r="F14" s="3" t="n">
        <v>3473923.78</v>
      </c>
      <c r="G14" s="3" t="n">
        <v>30744.23</v>
      </c>
      <c r="H14" s="3" t="n">
        <v>0</v>
      </c>
      <c r="I14" s="3" t="n">
        <v>30744.23</v>
      </c>
    </row>
    <row r="15">
      <c r="A15" t="inlineStr">
        <is>
          <t>Aug 2025</t>
        </is>
      </c>
      <c r="B15" t="inlineStr">
        <is>
          <t>arrears</t>
        </is>
      </c>
      <c r="C15" t="inlineStr">
        <is>
          <t>30/360</t>
        </is>
      </c>
      <c r="D15" s="10" t="n">
        <v>46022</v>
      </c>
      <c r="E15" s="10" t="n">
        <v>45870</v>
      </c>
      <c r="F15" s="3" t="n">
        <v>3469442.14</v>
      </c>
      <c r="G15" s="3" t="n">
        <v>30704.56</v>
      </c>
      <c r="H15" s="3" t="n">
        <v>0</v>
      </c>
      <c r="I15" s="3" t="n">
        <v>30704.56</v>
      </c>
    </row>
    <row r="16">
      <c r="A16" t="inlineStr">
        <is>
          <t>Sep 2025</t>
        </is>
      </c>
      <c r="B16" t="inlineStr">
        <is>
          <t>arrears</t>
        </is>
      </c>
      <c r="C16" t="inlineStr">
        <is>
          <t>30/360</t>
        </is>
      </c>
      <c r="D16" s="10" t="n">
        <v>46022</v>
      </c>
      <c r="E16" s="10" t="n">
        <v>45901</v>
      </c>
      <c r="F16" s="3" t="n">
        <v>3464920.83</v>
      </c>
      <c r="G16" s="3" t="n">
        <v>30664.55</v>
      </c>
      <c r="H16" s="3" t="n">
        <v>0</v>
      </c>
      <c r="I16" s="3" t="n">
        <v>30664.55</v>
      </c>
    </row>
    <row r="17">
      <c r="A17" t="inlineStr">
        <is>
          <t>Oct 2025</t>
        </is>
      </c>
      <c r="B17" t="inlineStr">
        <is>
          <t>arrears</t>
        </is>
      </c>
      <c r="C17" t="inlineStr">
        <is>
          <t>30/360</t>
        </is>
      </c>
      <c r="D17" s="10" t="n">
        <v>46022</v>
      </c>
      <c r="E17" s="10" t="n">
        <v>45931</v>
      </c>
      <c r="F17" s="3" t="n">
        <v>3460359.51</v>
      </c>
      <c r="G17" s="3" t="n">
        <v>30624.18</v>
      </c>
      <c r="H17" s="3" t="n">
        <v>0</v>
      </c>
      <c r="I17" s="3" t="n">
        <v>30624.18</v>
      </c>
    </row>
    <row r="18">
      <c r="A18" t="inlineStr">
        <is>
          <t>Nov 2025</t>
        </is>
      </c>
      <c r="B18" t="inlineStr">
        <is>
          <t>arrears</t>
        </is>
      </c>
      <c r="C18" t="inlineStr">
        <is>
          <t>30/360</t>
        </is>
      </c>
      <c r="D18" s="10" t="n">
        <v>46022</v>
      </c>
      <c r="E18" s="10" t="n">
        <v>45962</v>
      </c>
      <c r="F18" s="3" t="n">
        <v>3455757.82</v>
      </c>
      <c r="G18" s="3" t="n">
        <v>30583.46</v>
      </c>
      <c r="H18" s="3" t="n">
        <v>0</v>
      </c>
      <c r="I18" s="3" t="n">
        <v>30583.46</v>
      </c>
    </row>
    <row r="19">
      <c r="A19" t="inlineStr">
        <is>
          <t>Dec 2025</t>
        </is>
      </c>
      <c r="B19" t="inlineStr">
        <is>
          <t>arrears</t>
        </is>
      </c>
      <c r="C19" t="inlineStr">
        <is>
          <t>30/360</t>
        </is>
      </c>
      <c r="D19" s="10" t="n">
        <v>46022</v>
      </c>
      <c r="E19" s="10" t="n">
        <v>45992</v>
      </c>
      <c r="F19" s="3" t="n">
        <v>3451115.41</v>
      </c>
      <c r="G19" s="12" t="n">
        <v>30542.37</v>
      </c>
      <c r="H19" s="3" t="n">
        <v>0</v>
      </c>
      <c r="I19" s="3" t="n">
        <v>30542.37</v>
      </c>
    </row>
    <row r="20">
      <c r="A20" s="6" t="inlineStr">
        <is>
          <t>Total</t>
        </is>
      </c>
      <c r="B20" s="7" t="inlineStr"/>
      <c r="C20" s="7" t="inlineStr"/>
      <c r="D20" s="7" t="inlineStr"/>
      <c r="E20" s="7" t="inlineStr"/>
      <c r="F20" s="8">
        <f>SUM(F8:F19)</f>
        <v>41710999.04</v>
      </c>
      <c r="G20" s="8">
        <f>SUM(G8:G19)</f>
        <v>369142.35</v>
      </c>
      <c r="H20" s="8" t="n">
        <v>0</v>
      </c>
      <c r="I20" s="8">
        <f>SUM(I8:I19)</f>
        <v>369142.35</v>
      </c>
    </row>
    <row r="21"/>
    <row r="22">
      <c r="A22" s="9" t="inlineStr">
        <is>
          <t>Rate/index</t>
        </is>
      </c>
    </row>
    <row r="23">
      <c r="A23" s="4" t="inlineStr">
        <is>
          <t>#</t>
        </is>
      </c>
      <c r="B23" s="4" t="inlineStr">
        <is>
          <t>Interest rate type</t>
        </is>
      </c>
      <c r="C23" s="4" t="inlineStr">
        <is>
          <t>Base rate</t>
        </is>
      </c>
      <c r="D23" s="4" t="n"/>
      <c r="E23" s="4" t="n"/>
      <c r="F23" s="4" t="n"/>
      <c r="G23" s="4" t="n"/>
      <c r="H23" s="4" t="n"/>
      <c r="I23" s="4" t="n"/>
    </row>
    <row r="24">
      <c r="A24" t="n">
        <v>1</v>
      </c>
      <c r="B24" t="inlineStr">
        <is>
          <t>variable</t>
        </is>
      </c>
      <c r="C24" s="3" t="n">
        <v>0.0862</v>
      </c>
    </row>
  </sheetData>
  <autoFilter ref="A7:I2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2026-01-08T11:45:00Z</dcterms:created>
  <dcterms:modified xsi:type="dcterms:W3CDTF">2026-01-08T14:12:00Z</dcterms:modified>
</cp:coreProperties>
</file>