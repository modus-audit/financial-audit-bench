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equent Cash Receipts" sheetId="1" state="visible" r:id="rId1"/>
  </sheets>
  <definedNames>
    <definedName name="_xlnm._FilterDatabase" localSheetId="0" hidden="1">'Subsequent Cash Receipts'!$A$5:$E$30</definedName>
    <definedName name="_xlnm.Print_Titles" localSheetId="0">'Subsequent Cash Receipts'!$5:$5</definedName>
    <definedName name="_xlnm.Print_Area" localSheetId="0">'Subsequent Cash Receipts'!$A$1:$E$30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4" customWidth="1" min="2" max="2"/>
    <col width="12" customWidth="1" min="3" max="3"/>
    <col width="17" customWidth="1" min="4" max="4"/>
    <col width="16" customWidth="1" min="5" max="5"/>
  </cols>
  <sheetData>
    <row r="1">
      <c r="A1" s="1" t="inlineStr">
        <is>
          <t>Whitmore Products Company</t>
        </is>
      </c>
    </row>
    <row r="2">
      <c r="A2" t="inlineStr">
        <is>
          <t>Subsequent Cash Receipts</t>
        </is>
      </c>
    </row>
    <row r="3">
      <c r="A3" s="2" t="inlineStr">
        <is>
          <t>Subsequent to December 31, 2025</t>
        </is>
      </c>
    </row>
    <row r="4"/>
    <row r="5">
      <c r="A5" s="3" t="inlineStr">
        <is>
          <t>#</t>
        </is>
      </c>
      <c r="B5" s="3" t="inlineStr">
        <is>
          <t>Receipt date</t>
        </is>
      </c>
      <c r="C5" s="3" t="inlineStr">
        <is>
          <t>Amount</t>
        </is>
      </c>
      <c r="D5" s="3" t="inlineStr">
        <is>
          <t>Invoice applied</t>
        </is>
      </c>
      <c r="E5" s="3" t="inlineStr">
        <is>
          <t>Bank reference</t>
        </is>
      </c>
    </row>
    <row r="6">
      <c r="A6" t="n">
        <v>1</v>
      </c>
      <c r="B6" s="9" t="n">
        <v>46044</v>
      </c>
      <c r="C6" s="10" t="n">
        <v>25915.79</v>
      </c>
      <c r="D6" t="inlineStr">
        <is>
          <t>INV-65219</t>
        </is>
      </c>
      <c r="E6" t="inlineStr">
        <is>
          <t>ACH-3497535</t>
        </is>
      </c>
    </row>
    <row r="7">
      <c r="A7" t="n">
        <v>2</v>
      </c>
      <c r="B7" s="9" t="n">
        <v>46048</v>
      </c>
      <c r="C7" s="10" t="n">
        <v>27114.49</v>
      </c>
      <c r="D7" t="inlineStr">
        <is>
          <t>INV-65224</t>
        </is>
      </c>
      <c r="E7" t="inlineStr">
        <is>
          <t>ACH-4575390</t>
        </is>
      </c>
    </row>
    <row r="8">
      <c r="A8" t="n">
        <v>3</v>
      </c>
      <c r="B8" s="9" t="n">
        <v>46042</v>
      </c>
      <c r="C8" s="10" t="n">
        <v>14031.84</v>
      </c>
      <c r="D8" t="inlineStr">
        <is>
          <t>INV-65268</t>
        </is>
      </c>
      <c r="E8" t="inlineStr">
        <is>
          <t>ACH-4473173</t>
        </is>
      </c>
    </row>
    <row r="9">
      <c r="A9" t="n">
        <v>4</v>
      </c>
      <c r="B9" s="9" t="n">
        <v>46030</v>
      </c>
      <c r="C9" s="10" t="n">
        <v>7307.17</v>
      </c>
      <c r="D9" t="inlineStr">
        <is>
          <t>INV-65259</t>
        </is>
      </c>
      <c r="E9" t="inlineStr">
        <is>
          <t>ACH-3224537</t>
        </is>
      </c>
    </row>
    <row r="10">
      <c r="A10" t="n">
        <v>5</v>
      </c>
      <c r="B10" s="9" t="n">
        <v>46038</v>
      </c>
      <c r="C10" s="10" t="n">
        <v>21924.97</v>
      </c>
      <c r="D10" t="inlineStr">
        <is>
          <t>INV-65262</t>
        </is>
      </c>
      <c r="E10" t="inlineStr">
        <is>
          <t>ACH-9107585</t>
        </is>
      </c>
    </row>
    <row r="11">
      <c r="A11" t="n">
        <v>6</v>
      </c>
      <c r="B11" s="9" t="n">
        <v>46050</v>
      </c>
      <c r="C11" s="10" t="n">
        <v>15496.14</v>
      </c>
      <c r="D11" t="inlineStr">
        <is>
          <t>INV-65220</t>
        </is>
      </c>
      <c r="E11" t="inlineStr">
        <is>
          <t>ACH-2782985</t>
        </is>
      </c>
    </row>
    <row r="12">
      <c r="A12" t="n">
        <v>7</v>
      </c>
      <c r="B12" s="9" t="n">
        <v>46042</v>
      </c>
      <c r="C12" s="10" t="n">
        <v>22608.95</v>
      </c>
      <c r="D12" t="inlineStr">
        <is>
          <t>INV-65243</t>
        </is>
      </c>
      <c r="E12" t="inlineStr">
        <is>
          <t>ACH-9254609</t>
        </is>
      </c>
    </row>
    <row r="13">
      <c r="A13" t="n">
        <v>8</v>
      </c>
      <c r="B13" s="9" t="n">
        <v>46037</v>
      </c>
      <c r="C13" s="10" t="n">
        <v>17157.06</v>
      </c>
      <c r="D13" t="inlineStr">
        <is>
          <t>INV-65260</t>
        </is>
      </c>
      <c r="E13" t="inlineStr">
        <is>
          <t>ACH-8998229</t>
        </is>
      </c>
    </row>
    <row r="14">
      <c r="A14" t="n">
        <v>9</v>
      </c>
      <c r="B14" s="9" t="n">
        <v>46035</v>
      </c>
      <c r="C14" s="10" t="n">
        <v>3944.57</v>
      </c>
      <c r="D14" t="inlineStr">
        <is>
          <t>INV-65228</t>
        </is>
      </c>
      <c r="E14" t="inlineStr">
        <is>
          <t>ACH-4184619</t>
        </is>
      </c>
    </row>
    <row r="15">
      <c r="A15" t="n">
        <v>10</v>
      </c>
      <c r="B15" s="9" t="n">
        <v>46031</v>
      </c>
      <c r="C15" s="10" t="n">
        <v>1802.45</v>
      </c>
      <c r="D15" t="inlineStr">
        <is>
          <t>INV-65267</t>
        </is>
      </c>
      <c r="E15" t="inlineStr">
        <is>
          <t>ACH-4957246</t>
        </is>
      </c>
    </row>
    <row r="16">
      <c r="A16" t="n">
        <v>11</v>
      </c>
      <c r="B16" s="9" t="n">
        <v>46031</v>
      </c>
      <c r="C16" s="10" t="n">
        <v>21988.53</v>
      </c>
      <c r="D16" t="inlineStr">
        <is>
          <t>INV-65206</t>
        </is>
      </c>
      <c r="E16" t="inlineStr">
        <is>
          <t>ACH-9434365</t>
        </is>
      </c>
    </row>
    <row r="17">
      <c r="A17" t="n">
        <v>12</v>
      </c>
      <c r="B17" s="9" t="n">
        <v>46050</v>
      </c>
      <c r="C17" s="10" t="n">
        <v>4988.75</v>
      </c>
      <c r="D17" t="inlineStr">
        <is>
          <t>INV-65233</t>
        </is>
      </c>
      <c r="E17" t="inlineStr">
        <is>
          <t>ACH-7995318</t>
        </is>
      </c>
    </row>
    <row r="18">
      <c r="A18" t="n">
        <v>13</v>
      </c>
      <c r="B18" s="9" t="n">
        <v>46048</v>
      </c>
      <c r="C18" s="10" t="n">
        <v>8038.42</v>
      </c>
      <c r="D18" t="inlineStr">
        <is>
          <t>INV-65245</t>
        </is>
      </c>
      <c r="E18" t="inlineStr">
        <is>
          <t>ACH-3211817</t>
        </is>
      </c>
    </row>
    <row r="19">
      <c r="A19" t="n">
        <v>14</v>
      </c>
      <c r="B19" s="9" t="n">
        <v>46029</v>
      </c>
      <c r="C19" s="10" t="n">
        <v>25026.4</v>
      </c>
      <c r="D19" t="inlineStr">
        <is>
          <t>INV-65256</t>
        </is>
      </c>
      <c r="E19" t="inlineStr">
        <is>
          <t>ACH-2347665</t>
        </is>
      </c>
    </row>
    <row r="20">
      <c r="A20" t="n">
        <v>15</v>
      </c>
      <c r="B20" s="9" t="n">
        <v>46031</v>
      </c>
      <c r="C20" s="10" t="n">
        <v>19367.76</v>
      </c>
      <c r="D20" t="inlineStr">
        <is>
          <t>INV-65240</t>
        </is>
      </c>
      <c r="E20" t="inlineStr">
        <is>
          <t>ACH-2220793</t>
        </is>
      </c>
    </row>
    <row r="21">
      <c r="A21" s="11" t="n">
        <v>16</v>
      </c>
      <c r="B21" s="9" t="n">
        <v>46042</v>
      </c>
      <c r="C21" s="10" t="n">
        <v>4926.74</v>
      </c>
      <c r="D21" t="inlineStr">
        <is>
          <t>INV-65225</t>
        </is>
      </c>
      <c r="E21" t="inlineStr">
        <is>
          <t>ACH-5898879</t>
        </is>
      </c>
    </row>
    <row r="22">
      <c r="A22" t="n">
        <v>17</v>
      </c>
      <c r="B22" s="9" t="n">
        <v>46034</v>
      </c>
      <c r="C22" s="10" t="n">
        <v>17979.39</v>
      </c>
      <c r="D22" t="inlineStr">
        <is>
          <t>INV-65223</t>
        </is>
      </c>
      <c r="E22" t="inlineStr">
        <is>
          <t>ACH-3766080</t>
        </is>
      </c>
    </row>
    <row r="23">
      <c r="A23" t="n">
        <v>18</v>
      </c>
      <c r="B23" s="9" t="n">
        <v>46028</v>
      </c>
      <c r="C23" s="10" t="n">
        <v>21674.52</v>
      </c>
      <c r="D23" t="inlineStr">
        <is>
          <t>INV-65212</t>
        </is>
      </c>
      <c r="E23" t="inlineStr">
        <is>
          <t>ACH-5738292</t>
        </is>
      </c>
    </row>
    <row r="24">
      <c r="A24" t="n">
        <v>19</v>
      </c>
      <c r="B24" s="9" t="n">
        <v>46043</v>
      </c>
      <c r="C24" s="10" t="n">
        <v>21794.74</v>
      </c>
      <c r="D24" t="inlineStr">
        <is>
          <t>INV-65214</t>
        </is>
      </c>
      <c r="E24" t="inlineStr">
        <is>
          <t>ACH-5382208</t>
        </is>
      </c>
    </row>
    <row r="25">
      <c r="A25" s="12" t="n">
        <v>20</v>
      </c>
      <c r="B25" s="9" t="n">
        <v>46027</v>
      </c>
      <c r="C25" s="10" t="n">
        <v>20260.24</v>
      </c>
      <c r="D25" t="inlineStr">
        <is>
          <t>INV-65197</t>
        </is>
      </c>
      <c r="E25" t="inlineStr">
        <is>
          <t>ACH-6598783</t>
        </is>
      </c>
    </row>
    <row r="26">
      <c r="A26" t="n">
        <v>21</v>
      </c>
      <c r="B26" s="9" t="n">
        <v>46045</v>
      </c>
      <c r="C26" s="10" t="n">
        <v>8416.190000000001</v>
      </c>
      <c r="D26" t="inlineStr">
        <is>
          <t>INV-65181</t>
        </is>
      </c>
      <c r="E26" t="inlineStr">
        <is>
          <t>ACH-9188458</t>
        </is>
      </c>
    </row>
    <row r="27">
      <c r="A27" t="n">
        <v>22</v>
      </c>
      <c r="B27" s="9" t="n">
        <v>46027</v>
      </c>
      <c r="C27" s="10" t="n">
        <v>8617.35</v>
      </c>
      <c r="D27" t="inlineStr">
        <is>
          <t>INV-65173</t>
        </is>
      </c>
      <c r="E27" t="inlineStr">
        <is>
          <t>ACH-7193515</t>
        </is>
      </c>
    </row>
    <row r="28">
      <c r="A28" t="n">
        <v>23</v>
      </c>
      <c r="B28" s="9" t="n">
        <v>46050</v>
      </c>
      <c r="C28" s="10" t="n">
        <v>13380.53</v>
      </c>
      <c r="D28" t="inlineStr">
        <is>
          <t>INV-65147</t>
        </is>
      </c>
      <c r="E28" t="inlineStr">
        <is>
          <t>ACH-2551946</t>
        </is>
      </c>
    </row>
    <row r="29">
      <c r="A29" s="12" t="n">
        <v>24</v>
      </c>
      <c r="B29" s="9" t="n">
        <v>46029</v>
      </c>
      <c r="C29" s="10" t="n">
        <v>28969.86</v>
      </c>
      <c r="D29" t="inlineStr">
        <is>
          <t>INV-65048</t>
        </is>
      </c>
      <c r="E29" t="inlineStr">
        <is>
          <t>ACH-3234247</t>
        </is>
      </c>
    </row>
    <row r="30">
      <c r="A30" s="6" t="inlineStr">
        <is>
          <t>Total</t>
        </is>
      </c>
      <c r="B30" s="7" t="inlineStr"/>
      <c r="C30" s="13">
        <f>SUM(C6:C29)</f>
        <v>382732.85</v>
      </c>
      <c r="D30" s="7" t="inlineStr"/>
      <c r="E30" s="7" t="inlineStr"/>
    </row>
  </sheetData>
  <autoFilter ref="A5:E30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2026-01-22T16:41:00Z</dcterms:created>
  <dcterms:modified xsi:type="dcterms:W3CDTF">2026-01-22T16:56:00Z</dcterms:modified>
</cp:coreProperties>
</file>