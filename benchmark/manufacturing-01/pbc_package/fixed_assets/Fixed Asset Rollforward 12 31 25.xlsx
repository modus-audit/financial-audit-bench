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Asset Rollforward" sheetId="1" state="visible" r:id="rId1"/>
  </sheets>
  <definedNames>
    <definedName name="_xlnm.Print_Area" localSheetId="0">'Fixed Asset Rollforward'!$A$1:$H$14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  <xf numFmtId="165" fontId="0" fillId="0" borderId="0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34" customWidth="1" min="2" max="2"/>
    <col width="16" customWidth="1" min="3" max="3"/>
    <col width="11" customWidth="1" min="4" max="4"/>
    <col width="11" customWidth="1" min="5" max="5"/>
    <col width="36" customWidth="1" min="6" max="6"/>
    <col width="12" customWidth="1" min="7" max="7"/>
    <col width="16" customWidth="1" min="8" max="8"/>
  </cols>
  <sheetData>
    <row r="1">
      <c r="A1" s="1" t="inlineStr">
        <is>
          <t>Whitmore Products Company</t>
        </is>
      </c>
    </row>
    <row r="2">
      <c r="A2" t="inlineStr">
        <is>
          <t>Fixed Asset Rollforward</t>
        </is>
      </c>
    </row>
    <row r="3">
      <c r="A3" s="2" t="inlineStr">
        <is>
          <t>For the year ended December 31, 2025</t>
        </is>
      </c>
    </row>
    <row r="4"/>
    <row r="5">
      <c r="A5" t="inlineStr">
        <is>
          <t>By asset class and GL account</t>
        </is>
      </c>
      <c r="B5" t="inlineStr">
        <is>
          <t>1050 - Property and equipment</t>
        </is>
      </c>
    </row>
    <row r="6">
      <c r="A6" t="inlineStr">
        <is>
          <t>Gross cost</t>
        </is>
      </c>
      <c r="B6" s="8" t="n">
        <v>4807073.86</v>
      </c>
    </row>
    <row r="7">
      <c r="A7" t="inlineStr">
        <is>
          <t>Accumulated depreciation</t>
        </is>
      </c>
      <c r="B7" s="8" t="n">
        <v>-4519270.46</v>
      </c>
    </row>
    <row r="8"/>
    <row r="9">
      <c r="A9" s="4" t="inlineStr">
        <is>
          <t>Asset class</t>
        </is>
      </c>
      <c r="B9" s="4" t="inlineStr">
        <is>
          <t>Class subaccount</t>
        </is>
      </c>
      <c r="C9" s="4" t="inlineStr">
        <is>
          <t>Beginning cost</t>
        </is>
      </c>
      <c r="D9" s="4" t="inlineStr">
        <is>
          <t>Additions</t>
        </is>
      </c>
      <c r="E9" s="4" t="inlineStr">
        <is>
          <t>Disposals</t>
        </is>
      </c>
      <c r="F9" s="4" t="inlineStr">
        <is>
          <t>Beginning accumulated depreciation</t>
        </is>
      </c>
      <c r="G9" s="4" t="inlineStr">
        <is>
          <t>Expense</t>
        </is>
      </c>
      <c r="H9" s="4" t="inlineStr">
        <is>
          <t>Net book value</t>
        </is>
      </c>
    </row>
    <row r="10">
      <c r="A10" t="inlineStr">
        <is>
          <t>Equipment</t>
        </is>
      </c>
      <c r="B10" t="inlineStr">
        <is>
          <t>1090-20 - Equipment</t>
        </is>
      </c>
      <c r="C10" s="8" t="n">
        <v>1196667</v>
      </c>
      <c r="D10" s="8" t="n">
        <v>0</v>
      </c>
      <c r="E10" s="8" t="n">
        <v>0</v>
      </c>
      <c r="F10" s="8" t="n">
        <v>940238.36</v>
      </c>
      <c r="G10" s="8" t="n">
        <v>170952.43</v>
      </c>
      <c r="H10" s="8">
        <f>C10-F10-G10</f>
        <v>85476.21</v>
      </c>
    </row>
    <row r="11">
      <c r="A11" t="inlineStr">
        <is>
          <t>Leasehold improvement</t>
        </is>
      </c>
      <c r="B11" t="inlineStr">
        <is>
          <t>1090-40 - Leasehold improvements</t>
        </is>
      </c>
      <c r="C11" s="8" t="n">
        <v>356054</v>
      </c>
      <c r="D11" s="8" t="n">
        <v>13650.86</v>
      </c>
      <c r="E11" s="8" t="n">
        <v>0</v>
      </c>
      <c r="F11" s="8" t="n">
        <v>320448.6</v>
      </c>
      <c r="G11" s="8" t="n">
        <v>24419.47</v>
      </c>
      <c r="H11" s="8">
        <f>C11+D11-F11-G11</f>
        <v>24836.79</v>
      </c>
    </row>
    <row r="12">
      <c r="A12" t="inlineStr">
        <is>
          <t>Machinery</t>
        </is>
      </c>
      <c r="B12" t="inlineStr">
        <is>
          <t>1090-10 - Machinery</t>
        </is>
      </c>
      <c r="C12" s="8" t="n">
        <v>2931596</v>
      </c>
      <c r="D12" s="8" t="n">
        <v>0</v>
      </c>
      <c r="E12" s="8" t="n">
        <v>0</v>
      </c>
      <c r="F12" s="8" t="n">
        <v>2491856.6</v>
      </c>
      <c r="G12" s="8" t="n">
        <v>293159.6</v>
      </c>
      <c r="H12" s="8">
        <f>C12-F12-G12</f>
        <v>146579.8</v>
      </c>
    </row>
    <row r="13">
      <c r="A13" t="inlineStr">
        <is>
          <t>Vehicle</t>
        </is>
      </c>
      <c r="B13" t="inlineStr">
        <is>
          <t>1090-30 - Vehicles</t>
        </is>
      </c>
      <c r="C13" s="8" t="n">
        <v>309106</v>
      </c>
      <c r="D13" s="8" t="n">
        <v>0</v>
      </c>
      <c r="E13" s="8" t="n">
        <v>0</v>
      </c>
      <c r="F13" s="8" t="n">
        <v>216374.2</v>
      </c>
      <c r="G13" s="8" t="n">
        <v>61821.2</v>
      </c>
      <c r="H13" s="8">
        <f>C13-F13-G13</f>
        <v>30910.6</v>
      </c>
    </row>
    <row r="14">
      <c r="A14" s="5" t="inlineStr">
        <is>
          <t>Total</t>
        </is>
      </c>
      <c r="B14" s="6" t="inlineStr"/>
      <c r="C14" s="9">
        <f>SUM(C10:C13)</f>
        <v>4793423</v>
      </c>
      <c r="D14" s="9">
        <f>SUM(D10:D13)</f>
        <v>13650.86</v>
      </c>
      <c r="E14" s="9" t="n">
        <v>0</v>
      </c>
      <c r="F14" s="9">
        <f>SUM(F10:F13)</f>
        <v>3968917.76</v>
      </c>
      <c r="G14" s="9">
        <f>SUM(G10:G13)</f>
        <v>550352.7</v>
      </c>
      <c r="H14" s="9">
        <f>SUM(H10:H13)</f>
        <v>287803.4</v>
      </c>
    </row>
  </sheetData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Morgan Kellerman</cp:lastModifiedBy>
  <dcterms:created xsi:type="dcterms:W3CDTF">2026-01-31T12:30:00Z</dcterms:created>
  <dcterms:modified xsi:type="dcterms:W3CDTF">2026-01-31T14:42:00Z</dcterms:modified>
</cp:coreProperties>
</file>