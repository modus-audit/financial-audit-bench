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NRV Analysis" sheetId="1" state="visible" r:id="rId1"/>
  </sheets>
  <definedNames>
    <definedName name="_xlnm._FilterDatabase" localSheetId="0" hidden="1">'LCNRV Analysis'!$A$5:$H$48</definedName>
    <definedName name="_xlnm.Print_Titles" localSheetId="0">'LCNRV Analysis'!$5:$5</definedName>
    <definedName name="_xlnm.Print_Area" localSheetId="0">'LCNRV Analysis'!$A$1:$H$49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4" fontId="4" fillId="0" borderId="2" pivotButton="0" quotePrefix="0" xfId="0"/>
    <xf numFmtId="164" fontId="0" fillId="3" borderId="0" pivotButton="0" quotePrefix="0" xfId="0"/>
    <xf numFmtId="164" fontId="0" fillId="5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5" customWidth="1" min="4" max="4"/>
    <col width="26" customWidth="1" min="5" max="5"/>
    <col width="11" customWidth="1" min="6" max="6"/>
    <col width="12" customWidth="1" min="7" max="7"/>
    <col width="10" customWidth="1" min="8" max="8"/>
  </cols>
  <sheetData>
    <row r="1">
      <c r="A1" s="1" t="inlineStr">
        <is>
          <t>Whitmore Products Company</t>
        </is>
      </c>
    </row>
    <row r="2">
      <c r="A2" t="inlineStr">
        <is>
          <t>LCNRV Analysis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#</t>
        </is>
      </c>
      <c r="B5" s="3" t="inlineStr">
        <is>
          <t>SKU</t>
        </is>
      </c>
      <c r="C5" s="3" t="inlineStr">
        <is>
          <t>Cost</t>
        </is>
      </c>
      <c r="D5" s="3" t="inlineStr">
        <is>
          <t>Selling price</t>
        </is>
      </c>
      <c r="E5" s="3" t="inlineStr">
        <is>
          <t>Completion/disposal cost</t>
        </is>
      </c>
      <c r="F5" s="3" t="inlineStr">
        <is>
          <t>NRV</t>
        </is>
      </c>
      <c r="G5" s="3" t="inlineStr">
        <is>
          <t>Difference</t>
        </is>
      </c>
      <c r="H5" s="3" t="inlineStr">
        <is>
          <t>Reserve</t>
        </is>
      </c>
    </row>
    <row r="6">
      <c r="A6" t="n">
        <v>1</v>
      </c>
      <c r="B6" t="inlineStr">
        <is>
          <t>FG-1873</t>
        </is>
      </c>
      <c r="C6" s="4" t="n">
        <v>370.39</v>
      </c>
      <c r="D6" s="4" t="n">
        <v>432.92</v>
      </c>
      <c r="E6" s="4" t="n">
        <v>8.789999999999999</v>
      </c>
      <c r="F6" s="4">
        <f>D6-E6</f>
        <v>424.13</v>
      </c>
      <c r="G6" s="4">
        <f>MAX(C6-F6,0)</f>
        <v>0</v>
      </c>
      <c r="H6" s="4" t="n">
        <v>0</v>
      </c>
    </row>
    <row r="7">
      <c r="A7" t="n">
        <v>2</v>
      </c>
      <c r="B7" t="inlineStr">
        <is>
          <t>FG-1876</t>
        </is>
      </c>
      <c r="C7" s="4" t="n">
        <v>164.61</v>
      </c>
      <c r="D7" s="4" t="n">
        <v>226.94</v>
      </c>
      <c r="E7" s="4" t="n">
        <v>5.27</v>
      </c>
      <c r="F7" s="4">
        <f>D7-E7</f>
        <v>221.67</v>
      </c>
      <c r="G7" s="4">
        <f>MAX(C7-F7,0)</f>
        <v>0</v>
      </c>
      <c r="H7" s="4" t="n">
        <v>0</v>
      </c>
    </row>
    <row r="8">
      <c r="A8" t="n">
        <v>3</v>
      </c>
      <c r="B8" t="inlineStr">
        <is>
          <t>FG-1882</t>
        </is>
      </c>
      <c r="C8" s="4" t="n">
        <v>338.63</v>
      </c>
      <c r="D8" s="4" t="n">
        <v>473.93</v>
      </c>
      <c r="E8" s="4" t="n">
        <v>27.39</v>
      </c>
      <c r="F8" s="4">
        <f>D8-E8</f>
        <v>446.54</v>
      </c>
      <c r="G8" s="4">
        <f>MAX(C8-F8,0)</f>
        <v>0</v>
      </c>
      <c r="H8" s="4" t="n">
        <v>0</v>
      </c>
    </row>
    <row r="9">
      <c r="A9" t="n">
        <v>4</v>
      </c>
      <c r="B9" t="inlineStr">
        <is>
          <t>FG-1888</t>
        </is>
      </c>
      <c r="C9" s="4" t="n">
        <v>369.18</v>
      </c>
      <c r="D9" s="4" t="n">
        <v>431.1</v>
      </c>
      <c r="E9" s="4" t="n">
        <v>21.94</v>
      </c>
      <c r="F9" s="4">
        <f>D9-E9</f>
        <v>409.16</v>
      </c>
      <c r="G9" s="4">
        <f>MAX(C9-F9,0)</f>
        <v>0</v>
      </c>
      <c r="H9" s="4" t="n">
        <v>0</v>
      </c>
    </row>
    <row r="10">
      <c r="A10" t="n">
        <v>5</v>
      </c>
      <c r="B10" t="inlineStr">
        <is>
          <t>FG-1915</t>
        </is>
      </c>
      <c r="C10" s="4" t="n">
        <v>20.68</v>
      </c>
      <c r="D10" s="4" t="n">
        <v>27.7</v>
      </c>
      <c r="E10" s="4" t="n">
        <v>1.71</v>
      </c>
      <c r="F10" s="4">
        <f>D10-E10</f>
        <v>25.99</v>
      </c>
      <c r="G10" s="4">
        <f>MAX(C10-F10,0)</f>
        <v>0</v>
      </c>
      <c r="H10" s="4" t="n">
        <v>0</v>
      </c>
    </row>
    <row r="11">
      <c r="A11" t="n">
        <v>6</v>
      </c>
      <c r="B11" t="inlineStr">
        <is>
          <t>FG-1919</t>
        </is>
      </c>
      <c r="C11" s="4" t="n">
        <v>287.18</v>
      </c>
      <c r="D11" s="4" t="n">
        <v>399.42</v>
      </c>
      <c r="E11" s="4" t="n">
        <v>11.02</v>
      </c>
      <c r="F11" s="4">
        <f>D11-E11</f>
        <v>388.4</v>
      </c>
      <c r="G11" s="4">
        <f>MAX(C11-F11,0)</f>
        <v>0</v>
      </c>
      <c r="H11" s="4" t="n">
        <v>0</v>
      </c>
    </row>
    <row r="12">
      <c r="A12" t="n">
        <v>7</v>
      </c>
      <c r="B12" t="inlineStr">
        <is>
          <t>FG-1923</t>
        </is>
      </c>
      <c r="C12" s="4" t="n">
        <v>68.68000000000001</v>
      </c>
      <c r="D12" s="4" t="n">
        <v>94.45</v>
      </c>
      <c r="E12" s="4" t="n">
        <v>2.13</v>
      </c>
      <c r="F12" s="4">
        <f>D12-E12</f>
        <v>92.32</v>
      </c>
      <c r="G12" s="4">
        <f>MAX(C12-F12,0)</f>
        <v>0</v>
      </c>
      <c r="H12" s="4" t="n">
        <v>0</v>
      </c>
    </row>
    <row r="13">
      <c r="A13" t="n">
        <v>8</v>
      </c>
      <c r="B13" t="inlineStr">
        <is>
          <t>FG-1939</t>
        </is>
      </c>
      <c r="C13" s="4" t="n">
        <v>48.97</v>
      </c>
      <c r="D13" s="4" t="n">
        <v>58.8</v>
      </c>
      <c r="E13" s="4" t="n">
        <v>4.41</v>
      </c>
      <c r="F13" s="4">
        <f>D13-E13</f>
        <v>54.39</v>
      </c>
      <c r="G13" s="4">
        <f>MAX(C13-F13,0)</f>
        <v>0</v>
      </c>
      <c r="H13" s="4" t="n">
        <v>0</v>
      </c>
    </row>
    <row r="14">
      <c r="A14" t="n">
        <v>9</v>
      </c>
      <c r="B14" t="inlineStr">
        <is>
          <t>FG-1950</t>
        </is>
      </c>
      <c r="C14" s="4" t="n">
        <v>161.38</v>
      </c>
      <c r="D14" s="4" t="n">
        <v>226.92</v>
      </c>
      <c r="E14" s="4" t="n">
        <v>15.48</v>
      </c>
      <c r="F14" s="4">
        <f>D14-E14</f>
        <v>211.44</v>
      </c>
      <c r="G14" s="4">
        <f>MAX(C14-F14,0)</f>
        <v>0</v>
      </c>
      <c r="H14" s="4" t="n">
        <v>0</v>
      </c>
    </row>
    <row r="15">
      <c r="A15" t="n">
        <v>10</v>
      </c>
      <c r="B15" t="inlineStr">
        <is>
          <t>FG-1971</t>
        </is>
      </c>
      <c r="C15" s="4" t="n">
        <v>372.96</v>
      </c>
      <c r="D15" s="4" t="n">
        <v>492.85</v>
      </c>
      <c r="E15" s="4" t="n">
        <v>31.35</v>
      </c>
      <c r="F15" s="4">
        <f>D15-E15</f>
        <v>461.5</v>
      </c>
      <c r="G15" s="4">
        <f>MAX(C15-F15,0)</f>
        <v>0</v>
      </c>
      <c r="H15" s="4" t="n">
        <v>0</v>
      </c>
    </row>
    <row r="16">
      <c r="A16" t="n">
        <v>11</v>
      </c>
      <c r="B16" t="inlineStr">
        <is>
          <t>FG-1973</t>
        </is>
      </c>
      <c r="C16" s="4" t="n">
        <v>322.22</v>
      </c>
      <c r="D16" s="4" t="n">
        <v>369.79</v>
      </c>
      <c r="E16" s="4" t="n">
        <v>7.91</v>
      </c>
      <c r="F16" s="4">
        <f>D16-E16</f>
        <v>361.88</v>
      </c>
      <c r="G16" s="4">
        <f>MAX(C16-F16,0)</f>
        <v>0</v>
      </c>
      <c r="H16" s="4" t="n">
        <v>0</v>
      </c>
    </row>
    <row r="17">
      <c r="A17" t="n">
        <v>12</v>
      </c>
      <c r="B17" t="inlineStr">
        <is>
          <t>FG-1994</t>
        </is>
      </c>
      <c r="C17" s="4" t="n">
        <v>346.18</v>
      </c>
      <c r="D17" s="4" t="n">
        <v>500.08</v>
      </c>
      <c r="E17" s="4" t="n">
        <v>34.36</v>
      </c>
      <c r="F17" s="4">
        <f>D17-E17</f>
        <v>465.72</v>
      </c>
      <c r="G17" s="4">
        <f>MAX(C17-F17,0)</f>
        <v>0</v>
      </c>
      <c r="H17" s="4" t="n">
        <v>0</v>
      </c>
    </row>
    <row r="18">
      <c r="A18" t="n">
        <v>13</v>
      </c>
      <c r="B18" t="inlineStr">
        <is>
          <t>FG-1998</t>
        </is>
      </c>
      <c r="C18" s="4" t="n">
        <v>258.96</v>
      </c>
      <c r="D18" s="4" t="n">
        <v>294.58</v>
      </c>
      <c r="E18" s="4" t="n">
        <v>7.54</v>
      </c>
      <c r="F18" s="4">
        <f>D18-E18</f>
        <v>287.04</v>
      </c>
      <c r="G18" s="4">
        <f>MAX(C18-F18,0)</f>
        <v>0</v>
      </c>
      <c r="H18" s="4" t="n">
        <v>0</v>
      </c>
    </row>
    <row r="19">
      <c r="A19" t="n">
        <v>14</v>
      </c>
      <c r="B19" t="inlineStr">
        <is>
          <t>FG-2007</t>
        </is>
      </c>
      <c r="C19" s="4" t="n">
        <v>105.74</v>
      </c>
      <c r="D19" s="4" t="n">
        <v>121.8</v>
      </c>
      <c r="E19" s="4" t="n">
        <v>8.5</v>
      </c>
      <c r="F19" s="4">
        <f>D19-E19</f>
        <v>113.3</v>
      </c>
      <c r="G19" s="4">
        <f>MAX(C19-F19,0)</f>
        <v>0</v>
      </c>
      <c r="H19" s="4" t="n">
        <v>0</v>
      </c>
    </row>
    <row r="20">
      <c r="A20" t="n">
        <v>15</v>
      </c>
      <c r="B20" t="inlineStr">
        <is>
          <t>FG-2017</t>
        </is>
      </c>
      <c r="C20" s="4" t="n">
        <v>189.53</v>
      </c>
      <c r="D20" s="4" t="n">
        <v>233.05</v>
      </c>
      <c r="E20" s="4" t="n">
        <v>9.83</v>
      </c>
      <c r="F20" s="4">
        <f>D20-E20</f>
        <v>223.22</v>
      </c>
      <c r="G20" s="4">
        <f>MAX(C20-F20,0)</f>
        <v>0</v>
      </c>
      <c r="H20" s="4" t="n">
        <v>0</v>
      </c>
    </row>
    <row r="21">
      <c r="A21" t="n">
        <v>16</v>
      </c>
      <c r="B21" t="inlineStr">
        <is>
          <t>FG-2034</t>
        </is>
      </c>
      <c r="C21" s="4" t="n">
        <v>232.58</v>
      </c>
      <c r="D21" s="4" t="n">
        <v>269.84</v>
      </c>
      <c r="E21" s="4" t="n">
        <v>8.1</v>
      </c>
      <c r="F21" s="4">
        <f>D21-E21</f>
        <v>261.74</v>
      </c>
      <c r="G21" s="4">
        <f>MAX(C21-F21,0)</f>
        <v>0</v>
      </c>
      <c r="H21" s="4" t="n">
        <v>0</v>
      </c>
    </row>
    <row r="22">
      <c r="A22" t="n">
        <v>17</v>
      </c>
      <c r="B22" t="inlineStr">
        <is>
          <t>FG-2043</t>
        </is>
      </c>
      <c r="C22" s="4" t="n">
        <v>264.29</v>
      </c>
      <c r="D22" s="4" t="n">
        <v>318.47</v>
      </c>
      <c r="E22" s="4" t="n">
        <v>13.82</v>
      </c>
      <c r="F22" s="4">
        <f>D22-E22</f>
        <v>304.65</v>
      </c>
      <c r="G22" s="4">
        <f>MAX(C22-F22,0)</f>
        <v>0</v>
      </c>
      <c r="H22" s="4" t="n">
        <v>0</v>
      </c>
    </row>
    <row r="23">
      <c r="A23" t="n">
        <v>18</v>
      </c>
      <c r="B23" t="inlineStr">
        <is>
          <t>FG-2058</t>
        </is>
      </c>
      <c r="C23" s="4" t="n">
        <v>196.81</v>
      </c>
      <c r="D23" s="4" t="n">
        <v>264.04</v>
      </c>
      <c r="E23" s="4" t="n">
        <v>11.72</v>
      </c>
      <c r="F23" s="4">
        <f>D23-E23</f>
        <v>252.32</v>
      </c>
      <c r="G23" s="4">
        <f>MAX(C23-F23,0)</f>
        <v>0</v>
      </c>
      <c r="H23" s="4" t="n">
        <v>0</v>
      </c>
    </row>
    <row r="24">
      <c r="A24" t="n">
        <v>19</v>
      </c>
      <c r="B24" t="inlineStr">
        <is>
          <t>FG-2062</t>
        </is>
      </c>
      <c r="C24" s="4" t="n">
        <v>231.98</v>
      </c>
      <c r="D24" s="4" t="n">
        <v>311.86</v>
      </c>
      <c r="E24" s="4" t="n">
        <v>12.44</v>
      </c>
      <c r="F24" s="4">
        <f>D24-E24</f>
        <v>299.42</v>
      </c>
      <c r="G24" s="4">
        <f>MAX(C24-F24,0)</f>
        <v>0</v>
      </c>
      <c r="H24" s="4" t="n">
        <v>0</v>
      </c>
    </row>
    <row r="25">
      <c r="A25" t="n">
        <v>20</v>
      </c>
      <c r="B25" t="inlineStr">
        <is>
          <t>FG-2069</t>
        </is>
      </c>
      <c r="C25" s="4" t="n">
        <v>99.81999999999999</v>
      </c>
      <c r="D25" s="4" t="n">
        <v>116.16</v>
      </c>
      <c r="E25" s="4" t="n">
        <v>3.67</v>
      </c>
      <c r="F25" s="4">
        <f>D25-E25</f>
        <v>112.49</v>
      </c>
      <c r="G25" s="4">
        <f>MAX(C25-F25,0)</f>
        <v>0</v>
      </c>
      <c r="H25" s="4" t="n">
        <v>0</v>
      </c>
    </row>
    <row r="26">
      <c r="A26" t="n">
        <v>21</v>
      </c>
      <c r="B26" t="inlineStr">
        <is>
          <t>FG-2085</t>
        </is>
      </c>
      <c r="C26" s="4" t="n">
        <v>141.37</v>
      </c>
      <c r="D26" s="4" t="n">
        <v>197.66</v>
      </c>
      <c r="E26" s="4" t="n">
        <v>10.06</v>
      </c>
      <c r="F26" s="4">
        <f>D26-E26</f>
        <v>187.6</v>
      </c>
      <c r="G26" s="4">
        <f>MAX(C26-F26,0)</f>
        <v>0</v>
      </c>
      <c r="H26" s="4" t="n">
        <v>0</v>
      </c>
    </row>
    <row r="27">
      <c r="A27" t="n">
        <v>22</v>
      </c>
      <c r="B27" t="inlineStr">
        <is>
          <t>FG-2088</t>
        </is>
      </c>
      <c r="C27" s="8" t="n">
        <v>277.09</v>
      </c>
      <c r="D27" s="4" t="n">
        <v>354.58</v>
      </c>
      <c r="E27" s="4" t="n">
        <v>17.37</v>
      </c>
      <c r="F27" s="9">
        <f>D27-E27</f>
        <v>337.21</v>
      </c>
      <c r="G27" s="4">
        <f>MAX(C27-F27,0)</f>
        <v>0</v>
      </c>
      <c r="H27" s="4" t="n">
        <v>0</v>
      </c>
    </row>
    <row r="28">
      <c r="A28" t="n">
        <v>23</v>
      </c>
      <c r="B28" t="inlineStr">
        <is>
          <t>FG-2095</t>
        </is>
      </c>
      <c r="C28" s="4" t="n">
        <v>255.92</v>
      </c>
      <c r="D28" s="4" t="n">
        <v>314.74</v>
      </c>
      <c r="E28" s="4" t="n">
        <v>19.23</v>
      </c>
      <c r="F28" s="4">
        <f>D28-E28</f>
        <v>295.51</v>
      </c>
      <c r="G28" s="4">
        <f>MAX(C28-F28,0)</f>
        <v>0</v>
      </c>
      <c r="H28" s="4" t="n">
        <v>0</v>
      </c>
    </row>
    <row r="29">
      <c r="A29" t="n">
        <v>24</v>
      </c>
      <c r="B29" t="inlineStr">
        <is>
          <t>FG-2104</t>
        </is>
      </c>
      <c r="C29" s="4" t="n">
        <v>263.15</v>
      </c>
      <c r="D29" s="4" t="n">
        <v>360.28</v>
      </c>
      <c r="E29" s="4" t="n">
        <v>17.47</v>
      </c>
      <c r="F29" s="4">
        <f>D29-E29</f>
        <v>342.81</v>
      </c>
      <c r="G29" s="4">
        <f>MAX(C29-F29,0)</f>
        <v>0</v>
      </c>
      <c r="H29" s="4" t="n">
        <v>0</v>
      </c>
    </row>
    <row r="30">
      <c r="A30" t="n">
        <v>25</v>
      </c>
      <c r="B30" t="inlineStr">
        <is>
          <t>FG-2114</t>
        </is>
      </c>
      <c r="C30" s="4" t="n">
        <v>49.57</v>
      </c>
      <c r="D30" s="4" t="n">
        <v>63.33</v>
      </c>
      <c r="E30" s="4" t="n">
        <v>4.99</v>
      </c>
      <c r="F30" s="4">
        <f>D30-E30</f>
        <v>58.34</v>
      </c>
      <c r="G30" s="4">
        <f>MAX(C30-F30,0)</f>
        <v>0</v>
      </c>
      <c r="H30" s="4" t="n">
        <v>0</v>
      </c>
    </row>
    <row r="31">
      <c r="A31" t="n">
        <v>26</v>
      </c>
      <c r="B31" t="inlineStr">
        <is>
          <t>FG-2120</t>
        </is>
      </c>
      <c r="C31" s="4" t="n">
        <v>175.23</v>
      </c>
      <c r="D31" s="4" t="n">
        <v>233.36</v>
      </c>
      <c r="E31" s="4" t="n">
        <v>12.11</v>
      </c>
      <c r="F31" s="4">
        <f>D31-E31</f>
        <v>221.25</v>
      </c>
      <c r="G31" s="4">
        <f>MAX(C31-F31,0)</f>
        <v>0</v>
      </c>
      <c r="H31" s="4" t="n">
        <v>0</v>
      </c>
    </row>
    <row r="32">
      <c r="A32" t="n">
        <v>27</v>
      </c>
      <c r="B32" t="inlineStr">
        <is>
          <t>FG-2126</t>
        </is>
      </c>
      <c r="C32" s="4" t="n">
        <v>91.48</v>
      </c>
      <c r="D32" s="4" t="n">
        <v>130.8</v>
      </c>
      <c r="E32" s="4" t="n">
        <v>5.64</v>
      </c>
      <c r="F32" s="4">
        <f>D32-E32</f>
        <v>125.16</v>
      </c>
      <c r="G32" s="4">
        <f>MAX(C32-F32,0)</f>
        <v>0</v>
      </c>
      <c r="H32" s="4" t="n">
        <v>0</v>
      </c>
    </row>
    <row r="33">
      <c r="A33" t="n">
        <v>28</v>
      </c>
      <c r="B33" t="inlineStr">
        <is>
          <t>FG-2133</t>
        </is>
      </c>
      <c r="C33" s="4" t="n">
        <v>323.86</v>
      </c>
      <c r="D33" s="4" t="n">
        <v>461.81</v>
      </c>
      <c r="E33" s="4" t="n">
        <v>18.66</v>
      </c>
      <c r="F33" s="4">
        <f>D33-E33</f>
        <v>443.15</v>
      </c>
      <c r="G33" s="4">
        <f>MAX(C33-F33,0)</f>
        <v>0</v>
      </c>
      <c r="H33" s="4" t="n">
        <v>0</v>
      </c>
    </row>
    <row r="34">
      <c r="A34" t="n">
        <v>29</v>
      </c>
      <c r="B34" t="inlineStr">
        <is>
          <t>FG-2136</t>
        </is>
      </c>
      <c r="C34" s="4" t="n">
        <v>226.65</v>
      </c>
      <c r="D34" s="4" t="n">
        <v>305.89</v>
      </c>
      <c r="E34" s="4" t="n">
        <v>17.65</v>
      </c>
      <c r="F34" s="4">
        <f>D34-E34</f>
        <v>288.24</v>
      </c>
      <c r="G34" s="4">
        <f>MAX(C34-F34,0)</f>
        <v>0</v>
      </c>
      <c r="H34" s="4" t="n">
        <v>0</v>
      </c>
    </row>
    <row r="35">
      <c r="A35" t="n">
        <v>30</v>
      </c>
      <c r="B35" t="inlineStr">
        <is>
          <t>FG-2150</t>
        </is>
      </c>
      <c r="C35" s="4" t="n">
        <v>200.79</v>
      </c>
      <c r="D35" s="4" t="n">
        <v>242.58</v>
      </c>
      <c r="E35" s="4" t="n">
        <v>13.58</v>
      </c>
      <c r="F35" s="4">
        <f>D35-E35</f>
        <v>229</v>
      </c>
      <c r="G35" s="4">
        <f>MAX(C35-F35,0)</f>
        <v>0</v>
      </c>
      <c r="H35" s="4" t="n">
        <v>0</v>
      </c>
    </row>
    <row r="36">
      <c r="A36" t="n">
        <v>31</v>
      </c>
      <c r="B36" t="inlineStr">
        <is>
          <t>FG-2162</t>
        </is>
      </c>
      <c r="C36" s="4" t="n">
        <v>143.33</v>
      </c>
      <c r="D36" s="4" t="n">
        <v>168.51</v>
      </c>
      <c r="E36" s="4" t="n">
        <v>3.77</v>
      </c>
      <c r="F36" s="4">
        <f>D36-E36</f>
        <v>164.74</v>
      </c>
      <c r="G36" s="4">
        <f>MAX(C36-F36,0)</f>
        <v>0</v>
      </c>
      <c r="H36" s="4" t="n">
        <v>0</v>
      </c>
    </row>
    <row r="37">
      <c r="A37" t="n">
        <v>32</v>
      </c>
      <c r="B37" t="inlineStr">
        <is>
          <t>FG-2169</t>
        </is>
      </c>
      <c r="C37" s="4" t="n">
        <v>327.8</v>
      </c>
      <c r="D37" s="4" t="n">
        <v>430.49</v>
      </c>
      <c r="E37" s="4" t="n">
        <v>31.04</v>
      </c>
      <c r="F37" s="4">
        <f>D37-E37</f>
        <v>399.45</v>
      </c>
      <c r="G37" s="4">
        <f>MAX(C37-F37,0)</f>
        <v>0</v>
      </c>
      <c r="H37" s="4" t="n">
        <v>0</v>
      </c>
    </row>
    <row r="38">
      <c r="A38" t="n">
        <v>33</v>
      </c>
      <c r="B38" t="inlineStr">
        <is>
          <t>FG-2172</t>
        </is>
      </c>
      <c r="C38" s="4" t="n">
        <v>21.23</v>
      </c>
      <c r="D38" s="4" t="n">
        <v>30.22</v>
      </c>
      <c r="E38" s="4" t="n">
        <v>2.31</v>
      </c>
      <c r="F38" s="4">
        <f>D38-E38</f>
        <v>27.91</v>
      </c>
      <c r="G38" s="4">
        <f>MAX(C38-F38,0)</f>
        <v>0</v>
      </c>
      <c r="H38" s="4" t="n">
        <v>0</v>
      </c>
    </row>
    <row r="39">
      <c r="A39" t="n">
        <v>34</v>
      </c>
      <c r="B39" t="inlineStr">
        <is>
          <t>FG-2175</t>
        </is>
      </c>
      <c r="C39" s="10" t="n">
        <v>303.87</v>
      </c>
      <c r="D39" s="4" t="n">
        <v>358.04</v>
      </c>
      <c r="E39" s="4" t="n">
        <v>9.949999999999999</v>
      </c>
      <c r="F39" s="4">
        <f>D39-E39</f>
        <v>348.09</v>
      </c>
      <c r="G39" s="4">
        <f>MAX(C39-F39,0)</f>
        <v>0</v>
      </c>
      <c r="H39" s="4" t="n">
        <v>0</v>
      </c>
    </row>
    <row r="40">
      <c r="A40" t="n">
        <v>35</v>
      </c>
      <c r="B40" t="inlineStr">
        <is>
          <t>FG-2183</t>
        </is>
      </c>
      <c r="C40" s="4" t="n">
        <v>311.96</v>
      </c>
      <c r="D40" s="4" t="n">
        <v>445.39</v>
      </c>
      <c r="E40" s="4" t="n">
        <v>21.56</v>
      </c>
      <c r="F40" s="4">
        <f>D40-E40</f>
        <v>423.83</v>
      </c>
      <c r="G40" s="4">
        <f>MAX(C40-F40,0)</f>
        <v>0</v>
      </c>
      <c r="H40" s="4" t="n">
        <v>0</v>
      </c>
    </row>
    <row r="41">
      <c r="A41" t="n">
        <v>36</v>
      </c>
      <c r="B41" t="inlineStr">
        <is>
          <t>FG-2209</t>
        </is>
      </c>
      <c r="C41" s="4" t="n">
        <v>15.35</v>
      </c>
      <c r="D41" s="4" t="n">
        <v>19.25</v>
      </c>
      <c r="E41" s="4" t="n">
        <v>1.39</v>
      </c>
      <c r="F41" s="4">
        <f>D41-E41</f>
        <v>17.86</v>
      </c>
      <c r="G41" s="4">
        <f>MAX(C41-F41,0)</f>
        <v>0</v>
      </c>
      <c r="H41" s="4" t="n">
        <v>0</v>
      </c>
    </row>
    <row r="42">
      <c r="A42" t="n">
        <v>37</v>
      </c>
      <c r="B42" t="inlineStr">
        <is>
          <t>FG-2218</t>
        </is>
      </c>
      <c r="C42" s="4" t="n">
        <v>343.42</v>
      </c>
      <c r="D42" s="4" t="n">
        <v>427.64</v>
      </c>
      <c r="E42" s="4" t="n">
        <v>30.28</v>
      </c>
      <c r="F42" s="4">
        <f>D42-E42</f>
        <v>397.36</v>
      </c>
      <c r="G42" s="4">
        <f>MAX(C42-F42,0)</f>
        <v>0</v>
      </c>
      <c r="H42" s="4" t="n">
        <v>0</v>
      </c>
    </row>
    <row r="43">
      <c r="A43" t="n">
        <v>38</v>
      </c>
      <c r="B43" t="inlineStr">
        <is>
          <t>FG-2219</t>
        </is>
      </c>
      <c r="C43" s="4" t="n">
        <v>307.05</v>
      </c>
      <c r="D43" s="4" t="n">
        <v>396.05</v>
      </c>
      <c r="E43" s="4" t="n">
        <v>29.35</v>
      </c>
      <c r="F43" s="4">
        <f>D43-E43</f>
        <v>366.7</v>
      </c>
      <c r="G43" s="4">
        <f>MAX(C43-F43,0)</f>
        <v>0</v>
      </c>
      <c r="H43" s="4" t="n">
        <v>0</v>
      </c>
    </row>
    <row r="44">
      <c r="A44" t="n">
        <v>39</v>
      </c>
      <c r="B44" t="inlineStr">
        <is>
          <t>FG-2220</t>
        </is>
      </c>
      <c r="C44" s="4" t="n">
        <v>173.4</v>
      </c>
      <c r="D44" s="4" t="n">
        <v>238.6</v>
      </c>
      <c r="E44" s="4" t="n">
        <v>13.31</v>
      </c>
      <c r="F44" s="4">
        <f>D44-E44</f>
        <v>225.29</v>
      </c>
      <c r="G44" s="4">
        <f>MAX(C44-F44,0)</f>
        <v>0</v>
      </c>
      <c r="H44" s="4" t="n">
        <v>0</v>
      </c>
    </row>
    <row r="45">
      <c r="A45" t="n">
        <v>40</v>
      </c>
      <c r="B45" t="inlineStr">
        <is>
          <t>FG-2225</t>
        </is>
      </c>
      <c r="C45" s="4" t="n">
        <v>247.52</v>
      </c>
      <c r="D45" s="4" t="n">
        <v>292.26</v>
      </c>
      <c r="E45" s="4" t="n">
        <v>15.14</v>
      </c>
      <c r="F45" s="4">
        <f>D45-E45</f>
        <v>277.12</v>
      </c>
      <c r="G45" s="4">
        <f>MAX(C45-F45,0)</f>
        <v>0</v>
      </c>
      <c r="H45" s="4" t="n">
        <v>0</v>
      </c>
    </row>
    <row r="46">
      <c r="A46" t="n">
        <v>41</v>
      </c>
      <c r="B46" t="inlineStr">
        <is>
          <t>FG-2237</t>
        </is>
      </c>
      <c r="C46" s="4" t="n">
        <v>339.15</v>
      </c>
      <c r="D46" s="4" t="n">
        <v>417.66</v>
      </c>
      <c r="E46" s="4" t="n">
        <v>29.86</v>
      </c>
      <c r="F46" s="4">
        <f>D46-E46</f>
        <v>387.8</v>
      </c>
      <c r="G46" s="4">
        <f>MAX(C46-F46,0)</f>
        <v>0</v>
      </c>
      <c r="H46" s="4" t="n">
        <v>0</v>
      </c>
    </row>
    <row r="47">
      <c r="A47" t="n">
        <v>42</v>
      </c>
      <c r="B47" t="inlineStr">
        <is>
          <t>FG-2242</t>
        </is>
      </c>
      <c r="C47" s="4" t="n">
        <v>55.9</v>
      </c>
      <c r="D47" s="4" t="n">
        <v>67.34999999999999</v>
      </c>
      <c r="E47" s="4" t="n">
        <v>4.85</v>
      </c>
      <c r="F47" s="4">
        <f>D47-E47</f>
        <v>62.5</v>
      </c>
      <c r="G47" s="4">
        <f>MAX(C47-F47,0)</f>
        <v>0</v>
      </c>
      <c r="H47" s="4" t="n">
        <v>0</v>
      </c>
    </row>
    <row r="48">
      <c r="A48" t="n">
        <v>43</v>
      </c>
      <c r="B48" t="inlineStr">
        <is>
          <t>FG-2251</t>
        </is>
      </c>
      <c r="C48" s="4" t="n">
        <v>21.93</v>
      </c>
      <c r="D48" s="4" t="n">
        <v>25.79</v>
      </c>
      <c r="E48" s="4" t="n">
        <v>1.86</v>
      </c>
      <c r="F48" s="4">
        <f>D48-E48</f>
        <v>23.93</v>
      </c>
      <c r="G48" s="4">
        <f>MAX(C48-F48,0)</f>
        <v>0</v>
      </c>
      <c r="H48" s="4" t="n">
        <v>0</v>
      </c>
    </row>
    <row r="49">
      <c r="A49" s="5" t="inlineStr">
        <is>
          <t>Total</t>
        </is>
      </c>
      <c r="B49" s="6" t="inlineStr"/>
      <c r="C49" s="7">
        <f>SUM(C6:C48)</f>
        <v>9067.79</v>
      </c>
      <c r="D49" s="6" t="inlineStr"/>
      <c r="E49" s="7">
        <f>SUM(E6:E48)</f>
        <v>578.81</v>
      </c>
      <c r="F49" s="7">
        <f>SUM(F6:F48)</f>
        <v>11068.17</v>
      </c>
      <c r="G49" s="7" t="n">
        <v>0</v>
      </c>
      <c r="H49" s="7" t="n">
        <v>0</v>
      </c>
    </row>
  </sheetData>
  <autoFilter ref="A5:H48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Drew Underhill</cp:lastModifiedBy>
  <dcterms:created xsi:type="dcterms:W3CDTF">2026-01-18T08:38:00Z</dcterms:created>
  <dcterms:modified xsi:type="dcterms:W3CDTF">2026-01-18T09:53:00Z</dcterms:modified>
</cp:coreProperties>
</file>