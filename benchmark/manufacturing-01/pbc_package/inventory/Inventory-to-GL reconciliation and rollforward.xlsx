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o GL Reconciliation" sheetId="1" state="visible" r:id="rId1"/>
  </sheets>
  <definedNames>
    <definedName name="_xlnm._FilterDatabase" localSheetId="0" hidden="1">'Inventory to GL Reconciliation'!$A$5:$J$89</definedName>
    <definedName name="_xlnm.Print_Titles" localSheetId="0">'Inventory to GL Reconciliation'!$5:$5</definedName>
    <definedName name="_xlnm.Print_Area" localSheetId="0">'Inventory to GL Reconciliation'!$A$1:$J$90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165" fontId="0" fillId="0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50" customWidth="1" min="2" max="2"/>
    <col width="19" customWidth="1" min="3" max="3"/>
    <col width="14" customWidth="1" min="4" max="4"/>
    <col width="13" customWidth="1" min="5" max="5"/>
    <col width="14" customWidth="1" min="6" max="6"/>
    <col width="18" customWidth="1" min="7" max="7"/>
    <col width="17" customWidth="1" min="8" max="8"/>
    <col width="10" customWidth="1" min="9" max="9"/>
    <col width="15" customWidth="1" min="10" max="10"/>
  </cols>
  <sheetData>
    <row r="1">
      <c r="A1" s="1" t="inlineStr">
        <is>
          <t>Whitmore Products Company</t>
        </is>
      </c>
    </row>
    <row r="2">
      <c r="A2" t="inlineStr">
        <is>
          <t>Inventory to GL Reconciliation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Ref</t>
        </is>
      </c>
      <c r="B5" s="3" t="inlineStr">
        <is>
          <t>By category and GL account</t>
        </is>
      </c>
      <c r="C5" s="3" t="inlineStr">
        <is>
          <t>Subledger total</t>
        </is>
      </c>
      <c r="D5" s="3" t="inlineStr">
        <is>
          <t>GL balance</t>
        </is>
      </c>
      <c r="E5" s="3" t="inlineStr">
        <is>
          <t>Differences</t>
        </is>
      </c>
      <c r="F5" s="3" t="inlineStr">
        <is>
          <t>Review</t>
        </is>
      </c>
    </row>
    <row r="6">
      <c r="A6" t="inlineStr">
        <is>
          <t>Account 1</t>
        </is>
      </c>
      <c r="B6" t="inlineStr">
        <is>
          <t>1016 - Inventory - raw materials</t>
        </is>
      </c>
      <c r="C6" s="8" t="n">
        <v>478734.68</v>
      </c>
      <c r="D6" s="8" t="n">
        <v>478734.68</v>
      </c>
      <c r="E6" s="8" t="n">
        <v>0</v>
      </c>
      <c r="F6" t="inlineStr">
        <is>
          <t>Reviewed</t>
        </is>
      </c>
    </row>
    <row r="7">
      <c r="A7" t="inlineStr">
        <is>
          <t>Account 2</t>
        </is>
      </c>
      <c r="B7" t="inlineStr">
        <is>
          <t>1017 - Inventory - work in process</t>
        </is>
      </c>
      <c r="C7" s="8" t="n">
        <v>389132.54</v>
      </c>
      <c r="D7" s="8" t="n">
        <v>389132.54</v>
      </c>
      <c r="E7" s="8" t="n">
        <v>0</v>
      </c>
      <c r="F7" t="inlineStr">
        <is>
          <t>Reviewed</t>
        </is>
      </c>
    </row>
    <row r="8">
      <c r="A8" t="inlineStr">
        <is>
          <t>Account 3</t>
        </is>
      </c>
      <c r="B8" t="inlineStr">
        <is>
          <t>1018 - Inventory - finished goods</t>
        </is>
      </c>
      <c r="C8" s="8" t="n">
        <v>1043242.67</v>
      </c>
      <c r="D8" s="8" t="n">
        <v>1043242.67</v>
      </c>
      <c r="E8" s="8" t="n">
        <v>0</v>
      </c>
      <c r="F8" t="inlineStr">
        <is>
          <t>Reviewed</t>
        </is>
      </c>
    </row>
    <row r="9">
      <c r="A9" t="inlineStr">
        <is>
          <t>Account 4</t>
        </is>
      </c>
      <c r="B9" t="inlineStr">
        <is>
          <t>1014 - Inventory in transit</t>
        </is>
      </c>
      <c r="C9" s="8" t="n">
        <v>18995.82</v>
      </c>
      <c r="D9" s="8" t="n">
        <v>18995.82</v>
      </c>
      <c r="E9" s="8" t="n">
        <v>0</v>
      </c>
      <c r="F9" t="inlineStr">
        <is>
          <t>Reviewed</t>
        </is>
      </c>
    </row>
    <row r="10">
      <c r="A10" t="inlineStr">
        <is>
          <t>Account 5</t>
        </is>
      </c>
      <c r="B10" t="inlineStr">
        <is>
          <t>1019 - Reserve for excess and obsolete inventory</t>
        </is>
      </c>
      <c r="C10" s="8" t="n">
        <v>0</v>
      </c>
      <c r="D10" s="8" t="n">
        <v>0</v>
      </c>
      <c r="E10" s="8" t="n">
        <v>0</v>
      </c>
      <c r="F10" t="inlineStr">
        <is>
          <t>Reviewed</t>
        </is>
      </c>
    </row>
    <row r="11">
      <c r="A11" s="5" t="inlineStr">
        <is>
          <t>Total</t>
        </is>
      </c>
      <c r="B11" s="6" t="inlineStr"/>
      <c r="C11" s="9">
        <f>SUM(C6:C10)</f>
        <v>1930105.71</v>
      </c>
      <c r="D11" s="9">
        <f>SUM(D6:D10)</f>
        <v>1930105.71</v>
      </c>
      <c r="E11" s="9" t="n">
        <v>0</v>
      </c>
      <c r="F11" s="6" t="inlineStr"/>
      <c r="G11" s="6" t="n"/>
      <c r="H11" s="6" t="n"/>
      <c r="I11" s="6" t="n"/>
      <c r="J11" s="6" t="n"/>
    </row>
    <row r="12"/>
    <row r="13">
      <c r="A13" s="3" t="inlineStr">
        <is>
          <t>#</t>
        </is>
      </c>
      <c r="B13" s="3" t="inlineStr">
        <is>
          <t>SKU</t>
        </is>
      </c>
      <c r="C13" s="3" t="inlineStr">
        <is>
          <t>Opening inventory</t>
        </is>
      </c>
      <c r="D13" s="3" t="inlineStr">
        <is>
          <t>Purchases</t>
        </is>
      </c>
      <c r="E13" s="3" t="inlineStr">
        <is>
          <t>Production</t>
        </is>
      </c>
      <c r="F13" s="3" t="inlineStr">
        <is>
          <t>Usage / COGS</t>
        </is>
      </c>
      <c r="G13" s="3" t="inlineStr">
        <is>
          <t>Count adjustment</t>
        </is>
      </c>
      <c r="H13" s="3" t="inlineStr">
        <is>
          <t>Gross inventory</t>
        </is>
      </c>
      <c r="I13" s="3" t="inlineStr">
        <is>
          <t>Reserve</t>
        </is>
      </c>
      <c r="J13" s="3" t="inlineStr">
        <is>
          <t>Net inventory</t>
        </is>
      </c>
    </row>
    <row r="14">
      <c r="A14" t="n">
        <v>1</v>
      </c>
      <c r="B14" t="inlineStr">
        <is>
          <t>FG-1873</t>
        </is>
      </c>
      <c r="C14" s="8" t="n">
        <v>0</v>
      </c>
      <c r="D14" s="8" t="n">
        <v>16297.16</v>
      </c>
      <c r="E14" t="n">
        <v>0</v>
      </c>
      <c r="F14" s="8" t="n">
        <v>9259.75</v>
      </c>
      <c r="G14" s="8" t="n">
        <v>0</v>
      </c>
      <c r="H14" s="8" t="n">
        <v>7037.41</v>
      </c>
      <c r="I14" s="8" t="n">
        <v>0</v>
      </c>
      <c r="J14" s="8">
        <f>D14-F14</f>
        <v>7037.41</v>
      </c>
    </row>
    <row r="15">
      <c r="A15" t="n">
        <v>2</v>
      </c>
      <c r="B15" t="inlineStr">
        <is>
          <t>FG-1876</t>
        </is>
      </c>
      <c r="C15" s="8" t="n">
        <v>658.4400000000001</v>
      </c>
      <c r="D15" s="8" t="n">
        <v>71769.96000000001</v>
      </c>
      <c r="E15" t="n">
        <v>0</v>
      </c>
      <c r="F15" s="8" t="n">
        <v>40164.84</v>
      </c>
      <c r="G15" s="8" t="n">
        <v>0</v>
      </c>
      <c r="H15" s="8" t="n">
        <v>32263.56</v>
      </c>
      <c r="I15" s="8" t="n">
        <v>0</v>
      </c>
      <c r="J15" s="8">
        <f>C15+D15-F15</f>
        <v>32263.56</v>
      </c>
    </row>
    <row r="16">
      <c r="A16" t="n">
        <v>3</v>
      </c>
      <c r="B16" t="inlineStr">
        <is>
          <t>FG-1882</t>
        </is>
      </c>
      <c r="C16" s="8" t="n">
        <v>0</v>
      </c>
      <c r="D16" s="8" t="n">
        <v>19301.91</v>
      </c>
      <c r="E16" t="n">
        <v>0</v>
      </c>
      <c r="F16" s="8" t="n">
        <v>10836.16</v>
      </c>
      <c r="G16" s="8" t="n">
        <v>0</v>
      </c>
      <c r="H16" s="8" t="n">
        <v>8465.75</v>
      </c>
      <c r="I16" s="8" t="n">
        <v>0</v>
      </c>
      <c r="J16" s="8">
        <f>D16-F16</f>
        <v>8465.75</v>
      </c>
    </row>
    <row r="17">
      <c r="A17" t="n">
        <v>4</v>
      </c>
      <c r="B17" t="inlineStr">
        <is>
          <t>FG-1888</t>
        </is>
      </c>
      <c r="C17" s="8" t="n">
        <v>369.18</v>
      </c>
      <c r="D17" s="8" t="n">
        <v>61283.88</v>
      </c>
      <c r="E17" t="n">
        <v>0</v>
      </c>
      <c r="F17" s="8" t="n">
        <v>34333.74</v>
      </c>
      <c r="G17" s="8" t="n">
        <v>0</v>
      </c>
      <c r="H17" s="8" t="n">
        <v>27319.32</v>
      </c>
      <c r="I17" s="8" t="n">
        <v>0</v>
      </c>
      <c r="J17" s="8">
        <f>C17+D17-F17</f>
        <v>27319.32</v>
      </c>
    </row>
    <row r="18">
      <c r="A18" t="n">
        <v>5</v>
      </c>
      <c r="B18" t="inlineStr">
        <is>
          <t>RM-1895</t>
        </is>
      </c>
      <c r="C18" s="8" t="n">
        <v>506.04</v>
      </c>
      <c r="D18" s="8" t="n">
        <v>56339.12</v>
      </c>
      <c r="E18" t="n">
        <v>0</v>
      </c>
      <c r="F18" s="8" t="n">
        <v>31543.16</v>
      </c>
      <c r="G18" s="8" t="n">
        <v>0</v>
      </c>
      <c r="H18" s="8" t="n">
        <v>25302</v>
      </c>
      <c r="I18" s="8" t="n">
        <v>0</v>
      </c>
      <c r="J18" s="8">
        <f>C18+D18-F18</f>
        <v>25302</v>
      </c>
    </row>
    <row r="19">
      <c r="A19" t="n">
        <v>6</v>
      </c>
      <c r="B19" t="inlineStr">
        <is>
          <t>RM-1900</t>
        </is>
      </c>
      <c r="C19" s="8" t="n">
        <v>0</v>
      </c>
      <c r="D19" s="8" t="n">
        <v>17349.55</v>
      </c>
      <c r="E19" t="n">
        <v>0</v>
      </c>
      <c r="F19" s="8" t="n">
        <v>9820.5</v>
      </c>
      <c r="G19" s="8" t="n">
        <v>0</v>
      </c>
      <c r="H19" s="8" t="n">
        <v>7529.05</v>
      </c>
      <c r="I19" s="8" t="n">
        <v>0</v>
      </c>
      <c r="J19" s="8">
        <f>D19-F19</f>
        <v>7529.05</v>
      </c>
    </row>
    <row r="20">
      <c r="A20" t="n">
        <v>7</v>
      </c>
      <c r="B20" t="inlineStr">
        <is>
          <t>WIP-1906</t>
        </is>
      </c>
      <c r="C20" s="8" t="n">
        <v>313.84</v>
      </c>
      <c r="D20" s="8" t="n">
        <v>31776.3</v>
      </c>
      <c r="E20" t="n">
        <v>0</v>
      </c>
      <c r="F20" s="8" t="n">
        <v>17810.42</v>
      </c>
      <c r="G20" s="8" t="n">
        <v>0</v>
      </c>
      <c r="H20" s="8" t="n">
        <v>14279.72</v>
      </c>
      <c r="I20" s="8" t="n">
        <v>0</v>
      </c>
      <c r="J20" s="8">
        <f>C20+D20-F20</f>
        <v>14279.72</v>
      </c>
    </row>
    <row r="21">
      <c r="A21" t="n">
        <v>8</v>
      </c>
      <c r="B21" t="inlineStr">
        <is>
          <t>FG-1915</t>
        </is>
      </c>
      <c r="C21" s="8" t="n">
        <v>372.24</v>
      </c>
      <c r="D21" s="8" t="n">
        <v>35569.6</v>
      </c>
      <c r="E21" t="n">
        <v>0</v>
      </c>
      <c r="F21" s="8" t="n">
        <v>19956.2</v>
      </c>
      <c r="G21" s="8" t="n">
        <v>0</v>
      </c>
      <c r="H21" s="8" t="n">
        <v>15985.64</v>
      </c>
      <c r="I21" s="8" t="n">
        <v>0</v>
      </c>
      <c r="J21" s="8">
        <f>C21+D21-F21</f>
        <v>15985.64</v>
      </c>
    </row>
    <row r="22">
      <c r="A22" t="n">
        <v>9</v>
      </c>
      <c r="B22" t="inlineStr">
        <is>
          <t>FG-1919</t>
        </is>
      </c>
      <c r="C22" s="8" t="n">
        <v>287.18</v>
      </c>
      <c r="D22" s="8" t="n">
        <v>35323.14</v>
      </c>
      <c r="E22" t="n">
        <v>0</v>
      </c>
      <c r="F22" s="8" t="n">
        <v>19815.42</v>
      </c>
      <c r="G22" s="8" t="n">
        <v>0</v>
      </c>
      <c r="H22" s="8" t="n">
        <v>15794.9</v>
      </c>
      <c r="I22" s="8" t="n">
        <v>0</v>
      </c>
      <c r="J22" s="8">
        <f>C22+D22-F22</f>
        <v>15794.9</v>
      </c>
    </row>
    <row r="23">
      <c r="A23" t="n">
        <v>10</v>
      </c>
      <c r="B23" t="inlineStr">
        <is>
          <t>FG-1923</t>
        </is>
      </c>
      <c r="C23" s="8" t="n">
        <v>824.16</v>
      </c>
      <c r="D23" s="8" t="n">
        <v>78982</v>
      </c>
      <c r="E23" t="n">
        <v>0</v>
      </c>
      <c r="F23" s="8" t="n">
        <v>44298.6</v>
      </c>
      <c r="G23" s="8" t="n">
        <v>0</v>
      </c>
      <c r="H23" s="8" t="n">
        <v>35507.56</v>
      </c>
      <c r="I23" s="8" t="n">
        <v>0</v>
      </c>
      <c r="J23" s="8">
        <f>C23+D23-F23</f>
        <v>35507.56</v>
      </c>
    </row>
    <row r="24">
      <c r="A24" t="n">
        <v>11</v>
      </c>
      <c r="B24" t="inlineStr">
        <is>
          <t>WIP-1926</t>
        </is>
      </c>
      <c r="C24" s="8" t="n">
        <v>450.72</v>
      </c>
      <c r="D24" s="8" t="n">
        <v>44621.28</v>
      </c>
      <c r="E24" t="n">
        <v>0</v>
      </c>
      <c r="F24" s="8" t="n">
        <v>25014.96</v>
      </c>
      <c r="G24" s="8" t="n">
        <v>0</v>
      </c>
      <c r="H24" s="8" t="n">
        <v>20057.04</v>
      </c>
      <c r="I24" s="8" t="n">
        <v>0</v>
      </c>
      <c r="J24" s="8">
        <f>C24+D24-F24</f>
        <v>20057.04</v>
      </c>
    </row>
    <row r="25">
      <c r="A25" t="n">
        <v>12</v>
      </c>
      <c r="B25" t="inlineStr">
        <is>
          <t>WIP-1931</t>
        </is>
      </c>
      <c r="C25" s="8" t="n">
        <v>936.49</v>
      </c>
      <c r="D25" s="8" t="n">
        <v>87476.08</v>
      </c>
      <c r="E25" t="n">
        <v>0</v>
      </c>
      <c r="F25" s="8" t="n">
        <v>49106.37</v>
      </c>
      <c r="G25" s="8" t="n">
        <v>0</v>
      </c>
      <c r="H25" s="8" t="n">
        <v>39306.2</v>
      </c>
      <c r="I25" s="8" t="n">
        <v>0</v>
      </c>
      <c r="J25" s="8">
        <f>C25+D25-F25</f>
        <v>39306.2</v>
      </c>
    </row>
    <row r="26">
      <c r="A26" t="n">
        <v>13</v>
      </c>
      <c r="B26" t="inlineStr">
        <is>
          <t>RM-1932</t>
        </is>
      </c>
      <c r="C26" s="8" t="n">
        <v>631.52</v>
      </c>
      <c r="D26" s="8" t="n">
        <v>59994.4</v>
      </c>
      <c r="E26" t="n">
        <v>0</v>
      </c>
      <c r="F26" s="8" t="n">
        <v>33470.56</v>
      </c>
      <c r="G26" s="8" t="n">
        <v>0</v>
      </c>
      <c r="H26" s="8" t="n">
        <v>27155.36</v>
      </c>
      <c r="I26" s="8" t="n">
        <v>0</v>
      </c>
      <c r="J26" s="8">
        <f>C26+D26-F26</f>
        <v>27155.36</v>
      </c>
    </row>
    <row r="27">
      <c r="A27" t="n">
        <v>14</v>
      </c>
      <c r="B27" t="inlineStr">
        <is>
          <t>FG-1939</t>
        </is>
      </c>
      <c r="C27" s="8" t="n">
        <v>440.73</v>
      </c>
      <c r="D27" s="8" t="n">
        <v>45395.19</v>
      </c>
      <c r="E27" t="n">
        <v>0</v>
      </c>
      <c r="F27" s="8" t="n">
        <v>25464.4</v>
      </c>
      <c r="G27" s="8" t="n">
        <v>0</v>
      </c>
      <c r="H27" s="8" t="n">
        <v>20371.52</v>
      </c>
      <c r="I27" s="8" t="n">
        <v>0</v>
      </c>
      <c r="J27" s="8">
        <f>C27+D27-F27</f>
        <v>20371.52</v>
      </c>
    </row>
    <row r="28">
      <c r="A28" t="n">
        <v>15</v>
      </c>
      <c r="B28" t="inlineStr">
        <is>
          <t>WIP-1941</t>
        </is>
      </c>
      <c r="C28" s="8" t="n">
        <v>190.47</v>
      </c>
      <c r="D28" s="8" t="n">
        <v>23364.32</v>
      </c>
      <c r="E28" t="n">
        <v>0</v>
      </c>
      <c r="F28" s="8" t="n">
        <v>13078.94</v>
      </c>
      <c r="G28" s="8" t="n">
        <v>0</v>
      </c>
      <c r="H28" s="8" t="n">
        <v>10475.85</v>
      </c>
      <c r="I28" s="8" t="n">
        <v>0</v>
      </c>
      <c r="J28" s="8">
        <f>C28+D28-F28</f>
        <v>10475.85</v>
      </c>
    </row>
    <row r="29">
      <c r="A29" t="n">
        <v>16</v>
      </c>
      <c r="B29" t="inlineStr">
        <is>
          <t>FG-1950</t>
        </is>
      </c>
      <c r="C29" s="8" t="n">
        <v>968.28</v>
      </c>
      <c r="D29" s="8" t="n">
        <v>91179.7</v>
      </c>
      <c r="E29" t="n">
        <v>0</v>
      </c>
      <c r="F29" s="8" t="n">
        <v>51157.46</v>
      </c>
      <c r="G29" s="8" t="n">
        <v>0</v>
      </c>
      <c r="H29" s="8" t="n">
        <v>40990.52</v>
      </c>
      <c r="I29" s="8" t="n">
        <v>0</v>
      </c>
      <c r="J29" s="8">
        <f>C29+D29-F29</f>
        <v>40990.52</v>
      </c>
    </row>
    <row r="30">
      <c r="A30" t="n">
        <v>17</v>
      </c>
      <c r="B30" t="inlineStr">
        <is>
          <t>RM-1959</t>
        </is>
      </c>
      <c r="C30" s="8" t="n">
        <v>319.95</v>
      </c>
      <c r="D30" s="8" t="n">
        <v>39140.55</v>
      </c>
      <c r="E30" t="n">
        <v>0</v>
      </c>
      <c r="F30" s="8" t="n">
        <v>21969.9</v>
      </c>
      <c r="G30" s="8" t="n">
        <v>0</v>
      </c>
      <c r="H30" s="8" t="n">
        <v>17490.6</v>
      </c>
      <c r="I30" s="8" t="n">
        <v>0</v>
      </c>
      <c r="J30" s="8">
        <f>C30+D30-F30</f>
        <v>17490.6</v>
      </c>
    </row>
    <row r="31">
      <c r="A31" t="n">
        <v>18</v>
      </c>
      <c r="B31" t="inlineStr">
        <is>
          <t>WIP-1962</t>
        </is>
      </c>
      <c r="C31" s="8" t="n">
        <v>334.34</v>
      </c>
      <c r="D31" s="8" t="n">
        <v>34437.02</v>
      </c>
      <c r="E31" t="n">
        <v>0</v>
      </c>
      <c r="F31" s="8" t="n">
        <v>19391.72</v>
      </c>
      <c r="G31" s="8" t="n">
        <v>0</v>
      </c>
      <c r="H31" s="8" t="n">
        <v>15379.64</v>
      </c>
      <c r="I31" s="8" t="n">
        <v>0</v>
      </c>
      <c r="J31" s="8">
        <f>C31+D31-F31</f>
        <v>15379.64</v>
      </c>
    </row>
    <row r="32">
      <c r="A32" t="n">
        <v>19</v>
      </c>
      <c r="B32" t="inlineStr">
        <is>
          <t>FG-1971</t>
        </is>
      </c>
      <c r="C32" s="8" t="n">
        <v>0</v>
      </c>
      <c r="D32" s="8" t="n">
        <v>28717.92</v>
      </c>
      <c r="E32" t="n">
        <v>0</v>
      </c>
      <c r="F32" s="8" t="n">
        <v>16037.28</v>
      </c>
      <c r="G32" s="8" t="n">
        <v>0</v>
      </c>
      <c r="H32" s="8" t="n">
        <v>12680.64</v>
      </c>
      <c r="I32" s="8" t="n">
        <v>0</v>
      </c>
      <c r="J32" s="8">
        <f>D32-F32</f>
        <v>12680.64</v>
      </c>
    </row>
    <row r="33">
      <c r="A33" t="n">
        <v>20</v>
      </c>
      <c r="B33" t="inlineStr">
        <is>
          <t>FG-1973</t>
        </is>
      </c>
      <c r="C33" s="8" t="n">
        <v>322.22</v>
      </c>
      <c r="D33" s="8" t="n">
        <v>51232.98</v>
      </c>
      <c r="E33" t="n">
        <v>0</v>
      </c>
      <c r="F33" s="8" t="n">
        <v>28677.58</v>
      </c>
      <c r="G33" s="8" t="n">
        <v>0</v>
      </c>
      <c r="H33" s="8" t="n">
        <v>22877.62</v>
      </c>
      <c r="I33" s="8" t="n">
        <v>0</v>
      </c>
      <c r="J33" s="8">
        <f>C33+D33-F33</f>
        <v>22877.62</v>
      </c>
    </row>
    <row r="34">
      <c r="A34" t="n">
        <v>21</v>
      </c>
      <c r="B34" t="inlineStr">
        <is>
          <t>RM-1976</t>
        </is>
      </c>
      <c r="C34" s="8" t="n">
        <v>472.64</v>
      </c>
      <c r="D34" s="8" t="n">
        <v>53999.12</v>
      </c>
      <c r="E34" t="n">
        <v>0</v>
      </c>
      <c r="F34" s="8" t="n">
        <v>30248.96</v>
      </c>
      <c r="G34" s="8" t="n">
        <v>0</v>
      </c>
      <c r="H34" s="8" t="n">
        <v>24222.8</v>
      </c>
      <c r="I34" s="8" t="n">
        <v>0</v>
      </c>
      <c r="J34" s="8">
        <f>C34+D34-F34</f>
        <v>24222.8</v>
      </c>
    </row>
    <row r="35">
      <c r="A35" t="n">
        <v>22</v>
      </c>
      <c r="B35" t="inlineStr">
        <is>
          <t>WIP-1982</t>
        </is>
      </c>
      <c r="C35" s="8" t="n">
        <v>469</v>
      </c>
      <c r="D35" s="8" t="n">
        <v>50652</v>
      </c>
      <c r="E35" t="n">
        <v>0</v>
      </c>
      <c r="F35" s="8" t="n">
        <v>28421.4</v>
      </c>
      <c r="G35" s="8" t="n">
        <v>0</v>
      </c>
      <c r="H35" s="8" t="n">
        <v>22699.6</v>
      </c>
      <c r="I35" s="8" t="n">
        <v>0</v>
      </c>
      <c r="J35" s="8">
        <f>C35+D35-F35</f>
        <v>22699.6</v>
      </c>
    </row>
    <row r="36">
      <c r="A36" t="n">
        <v>23</v>
      </c>
      <c r="B36" t="inlineStr">
        <is>
          <t>RM-1986</t>
        </is>
      </c>
      <c r="C36" s="8" t="n">
        <v>1010.31</v>
      </c>
      <c r="D36" s="8" t="n">
        <v>99299.03999999999</v>
      </c>
      <c r="E36" t="n">
        <v>0</v>
      </c>
      <c r="F36" s="8" t="n">
        <v>55711.38</v>
      </c>
      <c r="G36" s="8" t="n">
        <v>0</v>
      </c>
      <c r="H36" s="8" t="n">
        <v>44597.97</v>
      </c>
      <c r="I36" s="8" t="n">
        <v>0</v>
      </c>
      <c r="J36" s="8">
        <f>C36+D36-F36</f>
        <v>44597.97</v>
      </c>
    </row>
    <row r="37">
      <c r="A37" t="n">
        <v>24</v>
      </c>
      <c r="B37" t="inlineStr">
        <is>
          <t>FG-1994</t>
        </is>
      </c>
      <c r="C37" s="8" t="n">
        <v>0</v>
      </c>
      <c r="D37" s="8" t="n">
        <v>21463.16</v>
      </c>
      <c r="E37" t="n">
        <v>0</v>
      </c>
      <c r="F37" s="8" t="n">
        <v>12116.3</v>
      </c>
      <c r="G37" s="8" t="n">
        <v>0</v>
      </c>
      <c r="H37" s="8" t="n">
        <v>9346.860000000001</v>
      </c>
      <c r="I37" s="8" t="n">
        <v>0</v>
      </c>
      <c r="J37" s="8">
        <f>D37-F37</f>
        <v>9346.86</v>
      </c>
    </row>
    <row r="38">
      <c r="A38" t="n">
        <v>25</v>
      </c>
      <c r="B38" t="inlineStr">
        <is>
          <t>FG-1998</t>
        </is>
      </c>
      <c r="C38" s="8" t="n">
        <v>776.88</v>
      </c>
      <c r="D38" s="8" t="n">
        <v>74580.48</v>
      </c>
      <c r="E38" t="n">
        <v>0</v>
      </c>
      <c r="F38" s="8" t="n">
        <v>41951.52</v>
      </c>
      <c r="G38" s="8" t="n">
        <v>0</v>
      </c>
      <c r="H38" s="8" t="n">
        <v>33405.84</v>
      </c>
      <c r="I38" s="8" t="n">
        <v>0</v>
      </c>
      <c r="J38" s="8">
        <f>C38+D38-F38</f>
        <v>33405.84</v>
      </c>
    </row>
    <row r="39">
      <c r="A39" t="n">
        <v>26</v>
      </c>
      <c r="B39" t="inlineStr">
        <is>
          <t>FG-2007</t>
        </is>
      </c>
      <c r="C39" s="8" t="n">
        <v>845.92</v>
      </c>
      <c r="D39" s="8" t="n">
        <v>84592</v>
      </c>
      <c r="E39" t="n">
        <v>0</v>
      </c>
      <c r="F39" s="8" t="n">
        <v>47477.26</v>
      </c>
      <c r="G39" s="8" t="n">
        <v>0</v>
      </c>
      <c r="H39" s="8" t="n">
        <v>37960.66</v>
      </c>
      <c r="I39" s="8" t="n">
        <v>0</v>
      </c>
      <c r="J39" s="8">
        <f>C39+D39-F39</f>
        <v>37960.66</v>
      </c>
    </row>
    <row r="40">
      <c r="A40" t="n">
        <v>27</v>
      </c>
      <c r="B40" t="inlineStr">
        <is>
          <t>RM-2012</t>
        </is>
      </c>
      <c r="C40" s="8" t="n">
        <v>664.4</v>
      </c>
      <c r="D40" s="8" t="n">
        <v>70426.39999999999</v>
      </c>
      <c r="E40" t="n">
        <v>0</v>
      </c>
      <c r="F40" s="8" t="n">
        <v>39531.8</v>
      </c>
      <c r="G40" s="8" t="n">
        <v>0</v>
      </c>
      <c r="H40" s="8" t="n">
        <v>31559</v>
      </c>
      <c r="I40" s="8" t="n">
        <v>0</v>
      </c>
      <c r="J40" s="8">
        <f>C40+D40-F40</f>
        <v>31559</v>
      </c>
    </row>
    <row r="41">
      <c r="A41" t="n">
        <v>28</v>
      </c>
      <c r="B41" t="inlineStr">
        <is>
          <t>FG-2017</t>
        </is>
      </c>
      <c r="C41" s="8" t="n">
        <v>568.59</v>
      </c>
      <c r="D41" s="8" t="n">
        <v>59322.89</v>
      </c>
      <c r="E41" t="n">
        <v>0</v>
      </c>
      <c r="F41" s="8" t="n">
        <v>33167.75</v>
      </c>
      <c r="G41" s="8" t="n">
        <v>0</v>
      </c>
      <c r="H41" s="8" t="n">
        <v>26723.73</v>
      </c>
      <c r="I41" s="8" t="n">
        <v>0</v>
      </c>
      <c r="J41" s="8">
        <f>C41+D41-F41</f>
        <v>26723.73</v>
      </c>
    </row>
    <row r="42">
      <c r="A42" t="n">
        <v>29</v>
      </c>
      <c r="B42" t="inlineStr">
        <is>
          <t>WIP-2020</t>
        </is>
      </c>
      <c r="C42" s="8" t="n">
        <v>808.4400000000001</v>
      </c>
      <c r="D42" s="8" t="n">
        <v>82999.84</v>
      </c>
      <c r="E42" t="n">
        <v>0</v>
      </c>
      <c r="F42" s="8" t="n">
        <v>46620.04</v>
      </c>
      <c r="G42" s="8" t="n">
        <v>0</v>
      </c>
      <c r="H42" s="8" t="n">
        <v>37188.24</v>
      </c>
      <c r="I42" s="8" t="n">
        <v>0</v>
      </c>
      <c r="J42" s="8">
        <f>C42+D42-F42</f>
        <v>37188.24</v>
      </c>
    </row>
    <row r="43">
      <c r="A43" t="n">
        <v>30</v>
      </c>
      <c r="B43" t="inlineStr">
        <is>
          <t>RM-2025</t>
        </is>
      </c>
      <c r="C43" s="8" t="n">
        <v>632.15</v>
      </c>
      <c r="D43" s="8" t="n">
        <v>67640.05</v>
      </c>
      <c r="E43" t="n">
        <v>0</v>
      </c>
      <c r="F43" s="8" t="n">
        <v>37929</v>
      </c>
      <c r="G43" s="8" t="n">
        <v>0</v>
      </c>
      <c r="H43" s="8" t="n">
        <v>30343.2</v>
      </c>
      <c r="I43" s="8" t="n">
        <v>0</v>
      </c>
      <c r="J43" s="8">
        <f>C43+D43-F43</f>
        <v>30343.2</v>
      </c>
    </row>
    <row r="44">
      <c r="A44" t="n">
        <v>31</v>
      </c>
      <c r="B44" t="inlineStr">
        <is>
          <t>FG-2034</t>
        </is>
      </c>
      <c r="C44" s="8" t="n">
        <v>232.58</v>
      </c>
      <c r="D44" s="8" t="n">
        <v>23025.42</v>
      </c>
      <c r="E44" t="n">
        <v>0</v>
      </c>
      <c r="F44" s="8" t="n">
        <v>12791.9</v>
      </c>
      <c r="G44" s="8" t="n">
        <v>0</v>
      </c>
      <c r="H44" s="8" t="n">
        <v>10466.1</v>
      </c>
      <c r="I44" s="8" t="n">
        <v>0</v>
      </c>
      <c r="J44" s="8">
        <f>C44+D44-F44</f>
        <v>10466.1</v>
      </c>
    </row>
    <row r="45">
      <c r="A45" t="n">
        <v>32</v>
      </c>
      <c r="B45" t="inlineStr">
        <is>
          <t>FG-2043</t>
        </is>
      </c>
      <c r="C45" s="8" t="n">
        <v>792.87</v>
      </c>
      <c r="D45" s="8" t="n">
        <v>97258.72</v>
      </c>
      <c r="E45" t="n">
        <v>0</v>
      </c>
      <c r="F45" s="8" t="n">
        <v>54443.74</v>
      </c>
      <c r="G45" s="8" t="n">
        <v>0</v>
      </c>
      <c r="H45" s="8" t="n">
        <v>43607.85</v>
      </c>
      <c r="I45" s="8" t="n">
        <v>0</v>
      </c>
      <c r="J45" s="8">
        <f>C45+D45-F45</f>
        <v>43607.85</v>
      </c>
    </row>
    <row r="46">
      <c r="A46" t="n">
        <v>33</v>
      </c>
      <c r="B46" t="inlineStr">
        <is>
          <t>WIP-2052</t>
        </is>
      </c>
      <c r="C46" s="8" t="n">
        <v>379.49</v>
      </c>
      <c r="D46" s="8" t="n">
        <v>52369.62</v>
      </c>
      <c r="E46" t="n">
        <v>0</v>
      </c>
      <c r="F46" s="8" t="n">
        <v>29220.73</v>
      </c>
      <c r="G46" s="8" t="n">
        <v>0</v>
      </c>
      <c r="H46" s="8" t="n">
        <v>23528.38</v>
      </c>
      <c r="I46" s="8" t="n">
        <v>0</v>
      </c>
      <c r="J46" s="8">
        <f>C46+D46-F46</f>
        <v>23528.38</v>
      </c>
    </row>
    <row r="47">
      <c r="A47" t="n">
        <v>34</v>
      </c>
      <c r="B47" t="inlineStr">
        <is>
          <t>FG-2058</t>
        </is>
      </c>
      <c r="C47" s="8" t="n">
        <v>984.05</v>
      </c>
      <c r="D47" s="8" t="n">
        <v>94075.17999999999</v>
      </c>
      <c r="E47" t="n">
        <v>0</v>
      </c>
      <c r="F47" s="8" t="n">
        <v>52745.08</v>
      </c>
      <c r="G47" s="8" t="n">
        <v>0</v>
      </c>
      <c r="H47" s="8" t="n">
        <v>42314.15</v>
      </c>
      <c r="I47" s="8" t="n">
        <v>0</v>
      </c>
      <c r="J47" s="8">
        <f>C47+D47-F47</f>
        <v>42314.15</v>
      </c>
    </row>
    <row r="48">
      <c r="A48" t="n">
        <v>35</v>
      </c>
      <c r="B48" t="inlineStr">
        <is>
          <t>FG-2062</t>
        </is>
      </c>
      <c r="C48" s="8" t="n">
        <v>463.96</v>
      </c>
      <c r="D48" s="8" t="n">
        <v>48251.84</v>
      </c>
      <c r="E48" t="n">
        <v>0</v>
      </c>
      <c r="F48" s="8" t="n">
        <v>26909.68</v>
      </c>
      <c r="G48" s="8" t="n">
        <v>0</v>
      </c>
      <c r="H48" s="8" t="n">
        <v>21806.12</v>
      </c>
      <c r="I48" s="8" t="n">
        <v>0</v>
      </c>
      <c r="J48" s="8">
        <f>C48+D48-F48</f>
        <v>21806.12</v>
      </c>
    </row>
    <row r="49">
      <c r="A49" t="n">
        <v>36</v>
      </c>
      <c r="B49" t="inlineStr">
        <is>
          <t>FG-2069</t>
        </is>
      </c>
      <c r="C49" s="8" t="n">
        <v>798.5599999999999</v>
      </c>
      <c r="D49" s="8" t="n">
        <v>78159.06</v>
      </c>
      <c r="E49" t="n">
        <v>0</v>
      </c>
      <c r="F49" s="8" t="n">
        <v>43920.8</v>
      </c>
      <c r="G49" s="8" t="n">
        <v>0</v>
      </c>
      <c r="H49" s="8" t="n">
        <v>35036.82</v>
      </c>
      <c r="I49" s="8" t="n">
        <v>0</v>
      </c>
      <c r="J49" s="8">
        <f>C49+D49-F49</f>
        <v>35036.82</v>
      </c>
    </row>
    <row r="50">
      <c r="A50" t="n">
        <v>37</v>
      </c>
      <c r="B50" t="inlineStr">
        <is>
          <t>WIP-2076</t>
        </is>
      </c>
      <c r="C50" s="8" t="n">
        <v>316.07</v>
      </c>
      <c r="D50" s="8" t="n">
        <v>44565.87</v>
      </c>
      <c r="E50" t="n">
        <v>0</v>
      </c>
      <c r="F50" s="8" t="n">
        <v>24969.53</v>
      </c>
      <c r="G50" s="8" t="n">
        <v>0</v>
      </c>
      <c r="H50" s="8" t="n">
        <v>19912.41</v>
      </c>
      <c r="I50" s="8" t="n">
        <v>0</v>
      </c>
      <c r="J50" s="8">
        <f>C50+D50-F50</f>
        <v>19912.41</v>
      </c>
    </row>
    <row r="51">
      <c r="A51" t="n">
        <v>38</v>
      </c>
      <c r="B51" t="inlineStr">
        <is>
          <t>FG-2085</t>
        </is>
      </c>
      <c r="C51" s="8" t="n">
        <v>989.59</v>
      </c>
      <c r="D51" s="8" t="n">
        <v>98959</v>
      </c>
      <c r="E51" t="n">
        <v>0</v>
      </c>
      <c r="F51" s="8" t="n">
        <v>55558.41</v>
      </c>
      <c r="G51" s="8" t="n">
        <v>0</v>
      </c>
      <c r="H51" s="8" t="n">
        <v>44390.18</v>
      </c>
      <c r="I51" s="8" t="n">
        <v>0</v>
      </c>
      <c r="J51" s="8">
        <f>C51+D51-F51</f>
        <v>44390.18</v>
      </c>
    </row>
    <row r="52">
      <c r="A52" t="n">
        <v>39</v>
      </c>
      <c r="B52" t="inlineStr">
        <is>
          <t>FG-2088</t>
        </is>
      </c>
      <c r="C52" s="8" t="n">
        <v>277.09</v>
      </c>
      <c r="D52" s="8" t="n">
        <v>46274.03</v>
      </c>
      <c r="E52" t="n">
        <v>0</v>
      </c>
      <c r="F52" s="8" t="n">
        <v>25769.37</v>
      </c>
      <c r="G52" s="8" t="n">
        <v>0</v>
      </c>
      <c r="H52" s="8" t="n">
        <v>20781.75</v>
      </c>
      <c r="I52" s="8" t="n">
        <v>0</v>
      </c>
      <c r="J52" s="8">
        <f>C52+D52-F52</f>
        <v>20781.75</v>
      </c>
    </row>
    <row r="53">
      <c r="A53" t="n">
        <v>40</v>
      </c>
      <c r="B53" t="inlineStr">
        <is>
          <t>RM-2089</t>
        </is>
      </c>
      <c r="C53" s="8" t="n">
        <v>443.84</v>
      </c>
      <c r="D53" s="8" t="n">
        <v>45937.44</v>
      </c>
      <c r="E53" t="n">
        <v>0</v>
      </c>
      <c r="F53" s="8" t="n">
        <v>25742.72</v>
      </c>
      <c r="G53" s="8" t="n">
        <v>0</v>
      </c>
      <c r="H53" s="8" t="n">
        <v>20638.56</v>
      </c>
      <c r="I53" s="8" t="n">
        <v>0</v>
      </c>
      <c r="J53" s="8">
        <f>C53+D53-F53</f>
        <v>20638.56</v>
      </c>
    </row>
    <row r="54">
      <c r="A54" t="n">
        <v>41</v>
      </c>
      <c r="B54" t="inlineStr">
        <is>
          <t>RM-2091</t>
        </is>
      </c>
      <c r="C54" s="8" t="n">
        <v>773.04</v>
      </c>
      <c r="D54" s="8" t="n">
        <v>72923.44</v>
      </c>
      <c r="E54" t="n">
        <v>0</v>
      </c>
      <c r="F54" s="8" t="n">
        <v>40971.12</v>
      </c>
      <c r="G54" s="8" t="n">
        <v>0</v>
      </c>
      <c r="H54" s="8" t="n">
        <v>32725.36</v>
      </c>
      <c r="I54" s="8" t="n">
        <v>0</v>
      </c>
      <c r="J54" s="8">
        <f>C54+D54-F54</f>
        <v>32725.36</v>
      </c>
    </row>
    <row r="55">
      <c r="A55" t="n">
        <v>42</v>
      </c>
      <c r="B55" t="inlineStr">
        <is>
          <t>FG-2095</t>
        </is>
      </c>
      <c r="C55" s="8" t="n">
        <v>255.92</v>
      </c>
      <c r="D55" s="8" t="n">
        <v>32245.92</v>
      </c>
      <c r="E55" t="n">
        <v>0</v>
      </c>
      <c r="F55" s="8" t="n">
        <v>18170.32</v>
      </c>
      <c r="G55" s="8" t="n">
        <v>0</v>
      </c>
      <c r="H55" s="8" t="n">
        <v>14331.52</v>
      </c>
      <c r="I55" s="8" t="n">
        <v>0</v>
      </c>
      <c r="J55" s="8">
        <f>C55+D55-F55</f>
        <v>14331.52</v>
      </c>
    </row>
    <row r="56">
      <c r="A56" t="n">
        <v>43</v>
      </c>
      <c r="B56" t="inlineStr">
        <is>
          <t>WIP-2100</t>
        </is>
      </c>
      <c r="C56" s="8" t="n">
        <v>600.96</v>
      </c>
      <c r="D56" s="8" t="n">
        <v>73517.44</v>
      </c>
      <c r="E56" t="n">
        <v>0</v>
      </c>
      <c r="F56" s="8" t="n">
        <v>41265.92</v>
      </c>
      <c r="G56" s="8" t="n">
        <v>0</v>
      </c>
      <c r="H56" s="8" t="n">
        <v>32852.48</v>
      </c>
      <c r="I56" s="8" t="n">
        <v>0</v>
      </c>
      <c r="J56" s="8">
        <f>C56+D56-F56</f>
        <v>32852.48</v>
      </c>
    </row>
    <row r="57">
      <c r="A57" t="n">
        <v>44</v>
      </c>
      <c r="B57" t="inlineStr">
        <is>
          <t>RM-2103</t>
        </is>
      </c>
      <c r="C57" s="8" t="n">
        <v>272.04</v>
      </c>
      <c r="D57" s="8" t="n">
        <v>27340.02</v>
      </c>
      <c r="E57" t="n">
        <v>0</v>
      </c>
      <c r="F57" s="8" t="n">
        <v>15370.26</v>
      </c>
      <c r="G57" s="8" t="n">
        <v>-136.02</v>
      </c>
      <c r="H57" s="8" t="n">
        <v>12105.78</v>
      </c>
      <c r="I57" s="8" t="n">
        <v>0</v>
      </c>
      <c r="J57" s="8">
        <f>D57-F57-G57</f>
        <v>12105.78</v>
      </c>
    </row>
    <row r="58">
      <c r="A58" t="n">
        <v>45</v>
      </c>
      <c r="B58" t="inlineStr">
        <is>
          <t>FG-2104</t>
        </is>
      </c>
      <c r="C58" s="8" t="n">
        <v>526.3</v>
      </c>
      <c r="D58" s="8" t="n">
        <v>71576.8</v>
      </c>
      <c r="E58" t="n">
        <v>0</v>
      </c>
      <c r="F58" s="8" t="n">
        <v>40261.95</v>
      </c>
      <c r="G58" s="8" t="n">
        <v>0</v>
      </c>
      <c r="H58" s="8" t="n">
        <v>31841.15</v>
      </c>
      <c r="I58" s="8" t="n">
        <v>0</v>
      </c>
      <c r="J58" s="8">
        <f>C58+D58-F58</f>
        <v>31841.15</v>
      </c>
    </row>
    <row r="59">
      <c r="A59" t="n">
        <v>46</v>
      </c>
      <c r="B59" t="inlineStr">
        <is>
          <t>RM-2112</t>
        </is>
      </c>
      <c r="C59" s="8" t="n">
        <v>617.0599999999999</v>
      </c>
      <c r="D59" s="8" t="n">
        <v>77441.03</v>
      </c>
      <c r="E59" t="n">
        <v>0</v>
      </c>
      <c r="F59" s="8" t="n">
        <v>43194.2</v>
      </c>
      <c r="G59" s="8" t="n">
        <v>0</v>
      </c>
      <c r="H59" s="8" t="n">
        <v>34863.89</v>
      </c>
      <c r="I59" s="8" t="n">
        <v>0</v>
      </c>
      <c r="J59" s="8">
        <f>C59+D59-F59</f>
        <v>34863.89</v>
      </c>
    </row>
    <row r="60">
      <c r="A60" t="n">
        <v>47</v>
      </c>
      <c r="B60" t="inlineStr">
        <is>
          <t>FG-2114</t>
        </is>
      </c>
      <c r="C60" s="8" t="n">
        <v>495.7</v>
      </c>
      <c r="D60" s="8" t="n">
        <v>46794.08</v>
      </c>
      <c r="E60" t="n">
        <v>0</v>
      </c>
      <c r="F60" s="8" t="n">
        <v>26272.1</v>
      </c>
      <c r="G60" s="8" t="n">
        <v>0</v>
      </c>
      <c r="H60" s="8" t="n">
        <v>21017.68</v>
      </c>
      <c r="I60" s="8" t="n">
        <v>0</v>
      </c>
      <c r="J60" s="8">
        <f>C60+D60-F60</f>
        <v>21017.68</v>
      </c>
    </row>
    <row r="61">
      <c r="A61" t="n">
        <v>48</v>
      </c>
      <c r="B61" t="inlineStr">
        <is>
          <t>FG-2120</t>
        </is>
      </c>
      <c r="C61" s="8" t="n">
        <v>1051.38</v>
      </c>
      <c r="D61" s="8" t="n">
        <v>99705.87</v>
      </c>
      <c r="E61" t="n">
        <v>0</v>
      </c>
      <c r="F61" s="8" t="n">
        <v>55898.37</v>
      </c>
      <c r="G61" s="8" t="n">
        <v>0</v>
      </c>
      <c r="H61" s="8" t="n">
        <v>44858.88</v>
      </c>
      <c r="I61" s="8" t="n">
        <v>0</v>
      </c>
      <c r="J61" s="8">
        <f>C61+D61-F61</f>
        <v>44858.88</v>
      </c>
    </row>
    <row r="62">
      <c r="A62" t="n">
        <v>49</v>
      </c>
      <c r="B62" t="inlineStr">
        <is>
          <t>FG-2126</t>
        </is>
      </c>
      <c r="C62" s="8" t="n">
        <v>274.44</v>
      </c>
      <c r="D62" s="8" t="n">
        <v>31652.08</v>
      </c>
      <c r="E62" t="n">
        <v>0</v>
      </c>
      <c r="F62" s="8" t="n">
        <v>17747.12</v>
      </c>
      <c r="G62" s="8" t="n">
        <v>0</v>
      </c>
      <c r="H62" s="8" t="n">
        <v>14179.4</v>
      </c>
      <c r="I62" s="8" t="n">
        <v>0</v>
      </c>
      <c r="J62" s="8">
        <f>C62+D62-F62</f>
        <v>14179.4</v>
      </c>
    </row>
    <row r="63">
      <c r="A63" t="n">
        <v>50</v>
      </c>
      <c r="B63" t="inlineStr">
        <is>
          <t>FG-2133</t>
        </is>
      </c>
      <c r="C63" s="8" t="n">
        <v>323.86</v>
      </c>
      <c r="D63" s="8" t="n">
        <v>34653.02</v>
      </c>
      <c r="E63" t="n">
        <v>0</v>
      </c>
      <c r="F63" s="8" t="n">
        <v>19431.6</v>
      </c>
      <c r="G63" s="8" t="n">
        <v>0</v>
      </c>
      <c r="H63" s="8" t="n">
        <v>15545.28</v>
      </c>
      <c r="I63" s="8" t="n">
        <v>0</v>
      </c>
      <c r="J63" s="8">
        <f>C63+D63-F63</f>
        <v>15545.28</v>
      </c>
    </row>
    <row r="64">
      <c r="A64" t="n">
        <v>51</v>
      </c>
      <c r="B64" t="inlineStr">
        <is>
          <t>FG-2136</t>
        </is>
      </c>
      <c r="C64" s="8" t="n">
        <v>0</v>
      </c>
      <c r="D64" s="8" t="n">
        <v>19491.9</v>
      </c>
      <c r="E64" t="n">
        <v>0</v>
      </c>
      <c r="F64" s="8" t="n">
        <v>10879.2</v>
      </c>
      <c r="G64" s="8" t="n">
        <v>0</v>
      </c>
      <c r="H64" s="8" t="n">
        <v>8612.700000000001</v>
      </c>
      <c r="I64" s="8" t="n">
        <v>0</v>
      </c>
      <c r="J64" s="8">
        <f>D64-F64</f>
        <v>8612.7</v>
      </c>
    </row>
    <row r="65">
      <c r="A65" t="n">
        <v>52</v>
      </c>
      <c r="B65" t="inlineStr">
        <is>
          <t>WIP-2144</t>
        </is>
      </c>
      <c r="C65" s="8" t="n">
        <v>877.8</v>
      </c>
      <c r="D65" s="8" t="n">
        <v>84388.5</v>
      </c>
      <c r="E65" t="n">
        <v>0</v>
      </c>
      <c r="F65" s="8" t="n">
        <v>47361.3</v>
      </c>
      <c r="G65" s="8" t="n">
        <v>0</v>
      </c>
      <c r="H65" s="8" t="n">
        <v>37905</v>
      </c>
      <c r="I65" s="8" t="n">
        <v>0</v>
      </c>
      <c r="J65" s="8">
        <f>C65+D65-F65</f>
        <v>37905</v>
      </c>
    </row>
    <row r="66">
      <c r="A66" t="n">
        <v>53</v>
      </c>
      <c r="B66" t="inlineStr">
        <is>
          <t>FG-2150</t>
        </is>
      </c>
      <c r="C66" s="8" t="n">
        <v>401.58</v>
      </c>
      <c r="D66" s="8" t="n">
        <v>38953.26</v>
      </c>
      <c r="E66" t="n">
        <v>0</v>
      </c>
      <c r="F66" s="8" t="n">
        <v>21886.11</v>
      </c>
      <c r="G66" s="8" t="n">
        <v>0</v>
      </c>
      <c r="H66" s="8" t="n">
        <v>17468.73</v>
      </c>
      <c r="I66" s="8" t="n">
        <v>0</v>
      </c>
      <c r="J66" s="8">
        <f>C66+D66-F66</f>
        <v>17468.73</v>
      </c>
    </row>
    <row r="67">
      <c r="A67" t="n">
        <v>54</v>
      </c>
      <c r="B67" t="inlineStr">
        <is>
          <t>RM-2157</t>
        </is>
      </c>
      <c r="C67" s="8" t="n">
        <v>546.48</v>
      </c>
      <c r="D67" s="8" t="n">
        <v>54784.62</v>
      </c>
      <c r="E67" t="n">
        <v>0</v>
      </c>
      <c r="F67" s="8" t="n">
        <v>30739.5</v>
      </c>
      <c r="G67" s="8" t="n">
        <v>0</v>
      </c>
      <c r="H67" s="8" t="n">
        <v>24591.6</v>
      </c>
      <c r="I67" s="8" t="n">
        <v>0</v>
      </c>
      <c r="J67" s="8">
        <f>C67+D67-F67</f>
        <v>24591.6</v>
      </c>
    </row>
    <row r="68">
      <c r="A68" t="n">
        <v>55</v>
      </c>
      <c r="B68" t="inlineStr">
        <is>
          <t>FG-2162</t>
        </is>
      </c>
      <c r="C68" s="8" t="n">
        <v>286.66</v>
      </c>
      <c r="D68" s="8" t="n">
        <v>38269.11</v>
      </c>
      <c r="E68" t="n">
        <v>0</v>
      </c>
      <c r="F68" s="8" t="n">
        <v>21499.5</v>
      </c>
      <c r="G68" s="8" t="n">
        <v>-429.99</v>
      </c>
      <c r="H68" s="8" t="n">
        <v>16626.28</v>
      </c>
      <c r="I68" s="8" t="n">
        <v>0</v>
      </c>
      <c r="J68" s="8">
        <f>C68+D68-F68+G68</f>
        <v>16626.28</v>
      </c>
    </row>
    <row r="69">
      <c r="A69" t="n">
        <v>56</v>
      </c>
      <c r="B69" t="inlineStr">
        <is>
          <t>FG-2169</t>
        </is>
      </c>
      <c r="C69" s="8" t="n">
        <v>327.8</v>
      </c>
      <c r="D69" s="8" t="n">
        <v>36385.8</v>
      </c>
      <c r="E69" t="n">
        <v>0</v>
      </c>
      <c r="F69" s="8" t="n">
        <v>20323.6</v>
      </c>
      <c r="G69" s="8" t="n">
        <v>0</v>
      </c>
      <c r="H69" s="8" t="n">
        <v>16390</v>
      </c>
      <c r="I69" s="8" t="n">
        <v>0</v>
      </c>
      <c r="J69" s="8">
        <f>C69+D69-F69</f>
        <v>16390</v>
      </c>
    </row>
    <row r="70">
      <c r="A70" t="n">
        <v>57</v>
      </c>
      <c r="B70" t="inlineStr">
        <is>
          <t>FG-2172</t>
        </is>
      </c>
      <c r="C70" s="8" t="n">
        <v>1019.04</v>
      </c>
      <c r="D70" s="8" t="n">
        <v>96362.97</v>
      </c>
      <c r="E70" t="n">
        <v>0</v>
      </c>
      <c r="F70" s="8" t="n">
        <v>54094.04</v>
      </c>
      <c r="G70" s="8" t="n">
        <v>0</v>
      </c>
      <c r="H70" s="8" t="n">
        <v>43287.97</v>
      </c>
      <c r="I70" s="8" t="n">
        <v>0</v>
      </c>
      <c r="J70" s="8">
        <f>C70+D70-F70</f>
        <v>43287.97</v>
      </c>
    </row>
    <row r="71">
      <c r="A71" t="n">
        <v>58</v>
      </c>
      <c r="B71" t="inlineStr">
        <is>
          <t>FG-2175</t>
        </is>
      </c>
      <c r="C71" s="8" t="n">
        <v>303.87</v>
      </c>
      <c r="D71" s="8" t="n">
        <v>44668.89</v>
      </c>
      <c r="E71" t="n">
        <v>0</v>
      </c>
      <c r="F71" s="8" t="n">
        <v>25221.21</v>
      </c>
      <c r="G71" s="8" t="n">
        <v>0</v>
      </c>
      <c r="H71" s="8" t="n">
        <v>19751.55</v>
      </c>
      <c r="I71" s="8" t="n">
        <v>0</v>
      </c>
      <c r="J71" s="8">
        <f>C71+D71-F71</f>
        <v>19751.55</v>
      </c>
    </row>
    <row r="72">
      <c r="A72" t="n">
        <v>59</v>
      </c>
      <c r="B72" t="inlineStr">
        <is>
          <t>RM-2179</t>
        </is>
      </c>
      <c r="C72" s="8" t="n">
        <v>628.6799999999999</v>
      </c>
      <c r="D72" s="8" t="n">
        <v>60143.72</v>
      </c>
      <c r="E72" t="n">
        <v>0</v>
      </c>
      <c r="F72" s="8" t="n">
        <v>33739.16</v>
      </c>
      <c r="G72" s="8" t="n">
        <v>0</v>
      </c>
      <c r="H72" s="8" t="n">
        <v>27033.24</v>
      </c>
      <c r="I72" s="8" t="n">
        <v>0</v>
      </c>
      <c r="J72" s="8">
        <f>C72+D72-F72</f>
        <v>27033.24</v>
      </c>
    </row>
    <row r="73">
      <c r="A73" t="n">
        <v>60</v>
      </c>
      <c r="B73" t="inlineStr">
        <is>
          <t>WIP-2181</t>
        </is>
      </c>
      <c r="C73" s="8" t="n">
        <v>710.9</v>
      </c>
      <c r="D73" s="8" t="n">
        <v>86374.35000000001</v>
      </c>
      <c r="E73" t="n">
        <v>0</v>
      </c>
      <c r="F73" s="8" t="n">
        <v>48341.2</v>
      </c>
      <c r="G73" s="8" t="n">
        <v>0</v>
      </c>
      <c r="H73" s="8" t="n">
        <v>38744.05</v>
      </c>
      <c r="I73" s="8" t="n">
        <v>0</v>
      </c>
      <c r="J73" s="8">
        <f>C73+D73-F73</f>
        <v>38744.05</v>
      </c>
    </row>
    <row r="74">
      <c r="A74" t="n">
        <v>61</v>
      </c>
      <c r="B74" t="inlineStr">
        <is>
          <t>FG-2183</t>
        </is>
      </c>
      <c r="C74" s="8" t="n">
        <v>623.92</v>
      </c>
      <c r="D74" s="8" t="n">
        <v>74870.39999999999</v>
      </c>
      <c r="E74" t="n">
        <v>0</v>
      </c>
      <c r="F74" s="8" t="n">
        <v>42114.6</v>
      </c>
      <c r="G74" s="8" t="n">
        <v>0</v>
      </c>
      <c r="H74" s="8" t="n">
        <v>33379.72</v>
      </c>
      <c r="I74" s="8" t="n">
        <v>0</v>
      </c>
      <c r="J74" s="8">
        <f>C74+D74-F74</f>
        <v>33379.72</v>
      </c>
    </row>
    <row r="75">
      <c r="A75" t="n">
        <v>62</v>
      </c>
      <c r="B75" t="inlineStr">
        <is>
          <t>RM-2185</t>
        </is>
      </c>
      <c r="C75" s="8" t="n">
        <v>465.78</v>
      </c>
      <c r="D75" s="8" t="n">
        <v>46578</v>
      </c>
      <c r="E75" t="n">
        <v>0</v>
      </c>
      <c r="F75" s="8" t="n">
        <v>26161.31</v>
      </c>
      <c r="G75" s="8" t="n">
        <v>0</v>
      </c>
      <c r="H75" s="8" t="n">
        <v>20882.47</v>
      </c>
      <c r="I75" s="8" t="n">
        <v>0</v>
      </c>
      <c r="J75" s="8">
        <f>C75+D75-F75</f>
        <v>20882.47</v>
      </c>
    </row>
    <row r="76">
      <c r="A76" t="n">
        <v>63</v>
      </c>
      <c r="B76" t="inlineStr">
        <is>
          <t>RM-2192</t>
        </is>
      </c>
      <c r="C76" s="8" t="n">
        <v>318.78</v>
      </c>
      <c r="D76" s="8" t="n">
        <v>45585.54</v>
      </c>
      <c r="E76" t="n">
        <v>0</v>
      </c>
      <c r="F76" s="8" t="n">
        <v>25502.4</v>
      </c>
      <c r="G76" s="8" t="n">
        <v>0</v>
      </c>
      <c r="H76" s="8" t="n">
        <v>20401.92</v>
      </c>
      <c r="I76" s="8" t="n">
        <v>0</v>
      </c>
      <c r="J76" s="8">
        <f>C76+D76-F76</f>
        <v>20401.92</v>
      </c>
    </row>
    <row r="77">
      <c r="A77" t="n">
        <v>64</v>
      </c>
      <c r="B77" t="inlineStr">
        <is>
          <t>WIP-2193</t>
        </is>
      </c>
      <c r="C77" s="8" t="n">
        <v>480.74</v>
      </c>
      <c r="D77" s="8" t="n">
        <v>52881.4</v>
      </c>
      <c r="E77" t="n">
        <v>0</v>
      </c>
      <c r="F77" s="8" t="n">
        <v>29565.51</v>
      </c>
      <c r="G77" s="8" t="n">
        <v>0</v>
      </c>
      <c r="H77" s="8" t="n">
        <v>23796.63</v>
      </c>
      <c r="I77" s="8" t="n">
        <v>0</v>
      </c>
      <c r="J77" s="8">
        <f>C77+D77-F77</f>
        <v>23796.63</v>
      </c>
    </row>
    <row r="78">
      <c r="A78" t="n">
        <v>65</v>
      </c>
      <c r="B78" t="inlineStr">
        <is>
          <t>RM-2199</t>
        </is>
      </c>
      <c r="C78" s="8" t="n">
        <v>738.24</v>
      </c>
      <c r="D78" s="8" t="n">
        <v>80145.17999999999</v>
      </c>
      <c r="E78" t="n">
        <v>0</v>
      </c>
      <c r="F78" s="8" t="n">
        <v>40510.92</v>
      </c>
      <c r="G78" s="8" t="n">
        <v>0</v>
      </c>
      <c r="H78" s="8" t="n">
        <v>40372.5</v>
      </c>
      <c r="I78" s="8" t="n">
        <v>0</v>
      </c>
      <c r="J78" s="8">
        <f>C78+D78-F78</f>
        <v>40372.5</v>
      </c>
    </row>
    <row r="79">
      <c r="A79" t="n">
        <v>66</v>
      </c>
      <c r="B79" t="inlineStr">
        <is>
          <t>RM-2207</t>
        </is>
      </c>
      <c r="C79" s="8" t="n">
        <v>1016.64</v>
      </c>
      <c r="D79" s="8" t="n">
        <v>110983.2</v>
      </c>
      <c r="E79" t="n">
        <v>0</v>
      </c>
      <c r="F79" s="8" t="n">
        <v>56084.64</v>
      </c>
      <c r="G79" s="8" t="n">
        <v>0</v>
      </c>
      <c r="H79" s="8" t="n">
        <v>55915.2</v>
      </c>
      <c r="I79" s="8" t="n">
        <v>0</v>
      </c>
      <c r="J79" s="8">
        <f>C79+D79-F79</f>
        <v>55915.2</v>
      </c>
    </row>
    <row r="80">
      <c r="A80" t="n">
        <v>67</v>
      </c>
      <c r="B80" t="inlineStr">
        <is>
          <t>FG-2209</t>
        </is>
      </c>
      <c r="C80" s="8" t="n">
        <v>813.55</v>
      </c>
      <c r="D80" s="8" t="n">
        <v>76811.39999999999</v>
      </c>
      <c r="E80" t="n">
        <v>0</v>
      </c>
      <c r="F80" s="8" t="n">
        <v>43118.15</v>
      </c>
      <c r="G80" s="8" t="n">
        <v>0</v>
      </c>
      <c r="H80" s="8" t="n">
        <v>34506.8</v>
      </c>
      <c r="I80" s="8" t="n">
        <v>0</v>
      </c>
      <c r="J80" s="8">
        <f>C80+D80-F80</f>
        <v>34506.8</v>
      </c>
    </row>
    <row r="81">
      <c r="A81" t="n">
        <v>68</v>
      </c>
      <c r="B81" t="inlineStr">
        <is>
          <t>FG-2218</t>
        </is>
      </c>
      <c r="C81" s="8" t="n">
        <v>343.42</v>
      </c>
      <c r="D81" s="8" t="n">
        <v>50482.74</v>
      </c>
      <c r="E81" t="n">
        <v>0</v>
      </c>
      <c r="F81" s="8" t="n">
        <v>28160.44</v>
      </c>
      <c r="G81" s="8" t="n">
        <v>-343.42</v>
      </c>
      <c r="H81" s="8" t="n">
        <v>22322.3</v>
      </c>
      <c r="I81" s="8" t="n">
        <v>0</v>
      </c>
      <c r="J81" s="8">
        <f>D81-F81</f>
        <v>22322.3</v>
      </c>
    </row>
    <row r="82">
      <c r="A82" t="n">
        <v>69</v>
      </c>
      <c r="B82" t="inlineStr">
        <is>
          <t>FG-2219</t>
        </is>
      </c>
      <c r="C82" s="8" t="n">
        <v>307.05</v>
      </c>
      <c r="D82" s="8" t="n">
        <v>33468.45</v>
      </c>
      <c r="E82" t="n">
        <v>0</v>
      </c>
      <c r="F82" s="8" t="n">
        <v>18730.05</v>
      </c>
      <c r="G82" s="8" t="n">
        <v>0</v>
      </c>
      <c r="H82" s="8" t="n">
        <v>15045.45</v>
      </c>
      <c r="I82" s="8" t="n">
        <v>0</v>
      </c>
      <c r="J82" s="8">
        <f>C82+D82-F82</f>
        <v>15045.45</v>
      </c>
    </row>
    <row r="83">
      <c r="A83" t="n">
        <v>70</v>
      </c>
      <c r="B83" t="inlineStr">
        <is>
          <t>FG-2220</t>
        </is>
      </c>
      <c r="C83" s="8" t="n">
        <v>173.4</v>
      </c>
      <c r="D83" s="8" t="n">
        <v>30345</v>
      </c>
      <c r="E83" t="n">
        <v>0</v>
      </c>
      <c r="F83" s="8" t="n">
        <v>16993.2</v>
      </c>
      <c r="G83" s="8" t="n">
        <v>0</v>
      </c>
      <c r="H83" s="8" t="n">
        <v>13525.2</v>
      </c>
      <c r="I83" s="8" t="n">
        <v>0</v>
      </c>
      <c r="J83" s="8">
        <f>C83+D83-F83</f>
        <v>13525.2</v>
      </c>
    </row>
    <row r="84">
      <c r="A84" t="n">
        <v>71</v>
      </c>
      <c r="B84" t="inlineStr">
        <is>
          <t>FG-2225</t>
        </is>
      </c>
      <c r="C84" s="8" t="n">
        <v>247.52</v>
      </c>
      <c r="D84" s="8" t="n">
        <v>38365.6</v>
      </c>
      <c r="E84" t="n">
        <v>0</v>
      </c>
      <c r="F84" s="8" t="n">
        <v>21534.24</v>
      </c>
      <c r="G84" s="8" t="n">
        <v>0</v>
      </c>
      <c r="H84" s="8" t="n">
        <v>17078.88</v>
      </c>
      <c r="I84" s="8" t="n">
        <v>0</v>
      </c>
      <c r="J84" s="8">
        <f>C84+D84-F84</f>
        <v>17078.88</v>
      </c>
    </row>
    <row r="85">
      <c r="A85" t="n">
        <v>72</v>
      </c>
      <c r="B85" t="inlineStr">
        <is>
          <t>WIP-2226</t>
        </is>
      </c>
      <c r="C85" s="8" t="n">
        <v>350.74</v>
      </c>
      <c r="D85" s="8" t="n">
        <v>58924.32</v>
      </c>
      <c r="E85" t="n">
        <v>0</v>
      </c>
      <c r="F85" s="8" t="n">
        <v>32969.56</v>
      </c>
      <c r="G85" s="8" t="n">
        <v>0</v>
      </c>
      <c r="H85" s="8" t="n">
        <v>26305.5</v>
      </c>
      <c r="I85" s="8" t="n">
        <v>0</v>
      </c>
      <c r="J85" s="8">
        <f>C85+D85-F85</f>
        <v>26305.5</v>
      </c>
    </row>
    <row r="86">
      <c r="A86" t="n">
        <v>73</v>
      </c>
      <c r="B86" t="inlineStr">
        <is>
          <t>WIP-2230</t>
        </is>
      </c>
      <c r="C86" s="8" t="n">
        <v>605.8</v>
      </c>
      <c r="D86" s="8" t="n">
        <v>59415</v>
      </c>
      <c r="E86" t="n">
        <v>0</v>
      </c>
      <c r="F86" s="8" t="n">
        <v>33319</v>
      </c>
      <c r="G86" s="8" t="n">
        <v>0</v>
      </c>
      <c r="H86" s="8" t="n">
        <v>26701.8</v>
      </c>
      <c r="I86" s="8" t="n">
        <v>0</v>
      </c>
      <c r="J86" s="8">
        <f>C86+D86-F86</f>
        <v>26701.8</v>
      </c>
    </row>
    <row r="87">
      <c r="A87" t="n">
        <v>74</v>
      </c>
      <c r="B87" t="inlineStr">
        <is>
          <t>FG-2237</t>
        </is>
      </c>
      <c r="C87" s="8" t="n">
        <v>678.3</v>
      </c>
      <c r="D87" s="8" t="n">
        <v>78343.64999999999</v>
      </c>
      <c r="E87" t="n">
        <v>0</v>
      </c>
      <c r="F87" s="8" t="n">
        <v>43750.35</v>
      </c>
      <c r="G87" s="8" t="n">
        <v>0</v>
      </c>
      <c r="H87" s="8" t="n">
        <v>35271.6</v>
      </c>
      <c r="I87" s="8" t="n">
        <v>0</v>
      </c>
      <c r="J87" s="8">
        <f>C87+D87-F87</f>
        <v>35271.6</v>
      </c>
    </row>
    <row r="88">
      <c r="A88" t="n">
        <v>75</v>
      </c>
      <c r="B88" t="inlineStr">
        <is>
          <t>FG-2242</t>
        </is>
      </c>
      <c r="C88" s="8" t="n">
        <v>335.4</v>
      </c>
      <c r="D88" s="8" t="n">
        <v>32589.7</v>
      </c>
      <c r="E88" t="n">
        <v>0</v>
      </c>
      <c r="F88" s="8" t="n">
        <v>18279.3</v>
      </c>
      <c r="G88" s="8" t="n">
        <v>0</v>
      </c>
      <c r="H88" s="8" t="n">
        <v>14645.8</v>
      </c>
      <c r="I88" s="8" t="n">
        <v>0</v>
      </c>
      <c r="J88" s="8">
        <f>C88+D88-F88</f>
        <v>14645.8</v>
      </c>
    </row>
    <row r="89">
      <c r="A89" t="n">
        <v>76</v>
      </c>
      <c r="B89" t="inlineStr">
        <is>
          <t>FG-2251</t>
        </is>
      </c>
      <c r="C89" s="8" t="n">
        <v>679.83</v>
      </c>
      <c r="D89" s="8" t="n">
        <v>63224.19</v>
      </c>
      <c r="E89" t="n">
        <v>0</v>
      </c>
      <c r="F89" s="8" t="n">
        <v>35482.74</v>
      </c>
      <c r="G89" s="8" t="n">
        <v>0</v>
      </c>
      <c r="H89" s="8" t="n">
        <v>28421.28</v>
      </c>
      <c r="I89" s="8" t="n">
        <v>0</v>
      </c>
      <c r="J89" s="8">
        <f>C89+D89-F89</f>
        <v>28421.28</v>
      </c>
    </row>
    <row r="90">
      <c r="A90" s="5" t="inlineStr">
        <is>
          <t>Total</t>
        </is>
      </c>
      <c r="B90" s="6" t="inlineStr"/>
      <c r="C90" s="9">
        <f>SUM(C14:C89)</f>
        <v>38324.85</v>
      </c>
      <c r="D90" s="9">
        <f>SUM(D14:D89)</f>
        <v>4284089.81</v>
      </c>
      <c r="E90" s="9" t="n">
        <v>0</v>
      </c>
      <c r="F90" s="9">
        <f>SUM(F14:F89)</f>
        <v>2391399.52</v>
      </c>
      <c r="G90" s="9">
        <f>SUM(G14:G89)</f>
        <v>-909.43</v>
      </c>
      <c r="H90" s="9">
        <f>SUM(H14:H89)</f>
        <v>1930105.71</v>
      </c>
      <c r="I90" s="9" t="n">
        <v>0</v>
      </c>
      <c r="J90" s="9">
        <f>SUM(J14:J89)</f>
        <v>1930105.71</v>
      </c>
    </row>
  </sheetData>
  <autoFilter ref="A5:J8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2026-01-28T08:24:00Z</dcterms:created>
  <dcterms:modified xsi:type="dcterms:W3CDTF">2026-01-28T11:44:00Z</dcterms:modified>
</cp:coreProperties>
</file>