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equent Disbursements" sheetId="1" state="visible" r:id="rId1"/>
  </sheets>
  <definedNames>
    <definedName name="_xlnm._FilterDatabase" localSheetId="0" hidden="1">'Subsequent Disbursements'!$A$5:$M$90</definedName>
    <definedName name="_xlnm.Print_Titles" localSheetId="0">'Subsequent Disbursements'!$5:$5</definedName>
    <definedName name="_xlnm.Print_Area" localSheetId="0">'Subsequent Disbursements'!$A$1:$M$90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164" fontId="0" fillId="0" borderId="0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3" borderId="0" pivotButton="0" quotePrefix="0" xfId="0"/>
    <xf numFmtId="166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9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4" customWidth="1" min="2" max="2"/>
    <col width="15" customWidth="1" min="3" max="3"/>
    <col width="16" customWidth="1" min="4" max="4"/>
    <col width="19" customWidth="1" min="5" max="5"/>
    <col width="29" customWidth="1" min="6" max="6"/>
    <col width="15" customWidth="1" min="7" max="7"/>
    <col width="33" customWidth="1" min="8" max="8"/>
    <col width="39" customWidth="1" min="9" max="9"/>
    <col width="14" customWidth="1" min="10" max="10"/>
    <col width="14" customWidth="1" min="11" max="11"/>
    <col width="22" customWidth="1" min="12" max="12"/>
    <col width="25" customWidth="1" min="13" max="13"/>
  </cols>
  <sheetData>
    <row r="1">
      <c r="A1" s="1" t="inlineStr">
        <is>
          <t>Whitmore Products Company</t>
        </is>
      </c>
    </row>
    <row r="2">
      <c r="A2" t="inlineStr">
        <is>
          <t>Subsequent Disbursements</t>
        </is>
      </c>
    </row>
    <row r="3">
      <c r="A3" s="2" t="inlineStr">
        <is>
          <t>Subsequent to December 31, 2025</t>
        </is>
      </c>
    </row>
    <row r="4"/>
    <row r="5">
      <c r="A5" s="3" t="inlineStr">
        <is>
          <t>#</t>
        </is>
      </c>
      <c r="B5" s="3" t="inlineStr">
        <is>
          <t>Payment date</t>
        </is>
      </c>
      <c r="C5" s="3" t="inlineStr">
        <is>
          <t>Payment ID</t>
        </is>
      </c>
      <c r="D5" s="3" t="inlineStr">
        <is>
          <t>Payment method</t>
        </is>
      </c>
      <c r="E5" s="3" t="inlineStr">
        <is>
          <t>Payment reference</t>
        </is>
      </c>
      <c r="F5" s="3" t="inlineStr">
        <is>
          <t>Source bank account</t>
        </is>
      </c>
      <c r="G5" s="3" t="inlineStr">
        <is>
          <t>Clearing date</t>
        </is>
      </c>
      <c r="H5" s="3" t="inlineStr">
        <is>
          <t>Invoice number</t>
        </is>
      </c>
      <c r="I5" s="3" t="inlineStr">
        <is>
          <t>Payee</t>
        </is>
      </c>
      <c r="J5" s="3" t="inlineStr">
        <is>
          <t>Amount</t>
        </is>
      </c>
      <c r="K5" s="3" t="inlineStr">
        <is>
          <t>Invoice date</t>
        </is>
      </c>
      <c r="L5" s="3" t="inlineStr">
        <is>
          <t>Receipt/service date</t>
        </is>
      </c>
      <c r="M5" s="3" t="inlineStr">
        <is>
          <t>GL account</t>
        </is>
      </c>
    </row>
    <row r="6">
      <c r="A6" t="n">
        <v>1</v>
      </c>
      <c r="B6" s="9" t="n">
        <v>46024</v>
      </c>
      <c r="C6" t="inlineStr">
        <is>
          <t>PAY-2026-0001</t>
        </is>
      </c>
      <c r="D6" t="inlineStr">
        <is>
          <t>ACH</t>
        </is>
      </c>
      <c r="E6" t="inlineStr">
        <is>
          <t>ACH-2026000001</t>
        </is>
      </c>
      <c r="F6" t="inlineStr">
        <is>
          <t>Operating Checking ****6034</t>
        </is>
      </c>
      <c r="G6" s="9" t="n">
        <v>46027</v>
      </c>
      <c r="H6" t="inlineStr">
        <is>
          <t>INV-63054</t>
        </is>
      </c>
      <c r="I6" t="inlineStr">
        <is>
          <t>Cedarline Services Co.</t>
        </is>
      </c>
      <c r="J6" s="10" t="n">
        <v>18792.9</v>
      </c>
      <c r="K6" s="9" t="n">
        <v>46001</v>
      </c>
      <c r="L6" s="9" t="n">
        <v>45999</v>
      </c>
      <c r="M6" t="inlineStr">
        <is>
          <t>2000 - Accounts payable</t>
        </is>
      </c>
    </row>
    <row r="7">
      <c r="A7" t="n">
        <v>2</v>
      </c>
      <c r="B7" s="9" t="n">
        <v>46024</v>
      </c>
      <c r="C7" t="inlineStr">
        <is>
          <t>PAY-2026-0002</t>
        </is>
      </c>
      <c r="D7" t="inlineStr">
        <is>
          <t>ACH</t>
        </is>
      </c>
      <c r="E7" t="inlineStr">
        <is>
          <t>ACH-2026000002</t>
        </is>
      </c>
      <c r="F7" t="inlineStr">
        <is>
          <t>Operating Checking ****6034</t>
        </is>
      </c>
      <c r="G7" s="9" t="n">
        <v>46027</v>
      </c>
      <c r="H7" t="n">
        <v>418807</v>
      </c>
      <c r="I7" t="inlineStr">
        <is>
          <t>Landmark Elevator Services, Inc.</t>
        </is>
      </c>
      <c r="J7" s="10" t="n">
        <v>7962.14</v>
      </c>
      <c r="K7" s="9" t="n">
        <v>46006</v>
      </c>
      <c r="L7" s="9" t="n">
        <v>46003</v>
      </c>
      <c r="M7" t="inlineStr">
        <is>
          <t>2000 - Accounts payable</t>
        </is>
      </c>
    </row>
    <row r="8">
      <c r="A8" t="n">
        <v>3</v>
      </c>
      <c r="B8" s="9" t="n">
        <v>46027</v>
      </c>
      <c r="C8" t="inlineStr">
        <is>
          <t>PAY-2026-0003</t>
        </is>
      </c>
      <c r="D8" t="inlineStr">
        <is>
          <t>Check</t>
        </is>
      </c>
      <c r="E8" t="n">
        <v>41003</v>
      </c>
      <c r="F8" t="inlineStr">
        <is>
          <t>Operating Checking ****6034</t>
        </is>
      </c>
      <c r="G8" s="9" t="n">
        <v>46028</v>
      </c>
      <c r="H8" t="n">
        <v>1648</v>
      </c>
      <c r="I8" t="inlineStr">
        <is>
          <t>Merton Legal Group, APC</t>
        </is>
      </c>
      <c r="J8" s="10" t="n">
        <v>17842.16</v>
      </c>
      <c r="K8" s="9" t="n">
        <v>45996</v>
      </c>
      <c r="L8" s="9" t="n">
        <v>45993</v>
      </c>
      <c r="M8" t="inlineStr">
        <is>
          <t>2000 - Accounts payable</t>
        </is>
      </c>
    </row>
    <row r="9">
      <c r="A9" t="n">
        <v>4</v>
      </c>
      <c r="B9" s="9" t="n">
        <v>46027</v>
      </c>
      <c r="C9" t="inlineStr">
        <is>
          <t>PAY-2026-0004</t>
        </is>
      </c>
      <c r="D9" t="inlineStr">
        <is>
          <t>ACH</t>
        </is>
      </c>
      <c r="E9" t="inlineStr">
        <is>
          <t>ACH-2026000004</t>
        </is>
      </c>
      <c r="F9" t="inlineStr">
        <is>
          <t>Operating Checking ****6034</t>
        </is>
      </c>
      <c r="G9" s="9" t="n">
        <v>46028</v>
      </c>
      <c r="H9" t="inlineStr">
        <is>
          <t>NMG-18926</t>
        </is>
      </c>
      <c r="I9" t="inlineStr">
        <is>
          <t>Norcrest Maintenance Group</t>
        </is>
      </c>
      <c r="J9" s="10" t="n">
        <v>8533.889999999999</v>
      </c>
      <c r="K9" s="9" t="n">
        <v>45995</v>
      </c>
      <c r="L9" s="9" t="n">
        <v>45993</v>
      </c>
      <c r="M9" t="inlineStr">
        <is>
          <t>2000 - Accounts payable</t>
        </is>
      </c>
    </row>
    <row r="10">
      <c r="A10" t="n">
        <v>5</v>
      </c>
      <c r="B10" s="9" t="n">
        <v>46027</v>
      </c>
      <c r="C10" t="inlineStr">
        <is>
          <t>PAY-2026-0005</t>
        </is>
      </c>
      <c r="D10" t="inlineStr">
        <is>
          <t>ACH</t>
        </is>
      </c>
      <c r="E10" t="inlineStr">
        <is>
          <t>ACH-2026000005</t>
        </is>
      </c>
      <c r="F10" t="inlineStr">
        <is>
          <t>Operating Checking ****6034</t>
        </is>
      </c>
      <c r="G10" s="9" t="n">
        <v>46028</v>
      </c>
      <c r="H10" t="inlineStr">
        <is>
          <t>KMS-18170</t>
        </is>
      </c>
      <c r="I10" t="inlineStr">
        <is>
          <t>Keystone Management Services, LLC</t>
        </is>
      </c>
      <c r="J10" s="10" t="n">
        <v>20902.86</v>
      </c>
      <c r="K10" s="9" t="n">
        <v>46002</v>
      </c>
      <c r="L10" s="9" t="n">
        <v>45999</v>
      </c>
      <c r="M10" t="inlineStr">
        <is>
          <t>2000 - Accounts payable</t>
        </is>
      </c>
    </row>
    <row r="11">
      <c r="A11" t="n">
        <v>6</v>
      </c>
      <c r="B11" s="9" t="n">
        <v>46027</v>
      </c>
      <c r="C11" t="inlineStr">
        <is>
          <t>PAY-2026-0006</t>
        </is>
      </c>
      <c r="D11" t="inlineStr">
        <is>
          <t>Check</t>
        </is>
      </c>
      <c r="E11" t="n">
        <v>41006</v>
      </c>
      <c r="F11" t="inlineStr">
        <is>
          <t>Operating Checking ****6034</t>
        </is>
      </c>
      <c r="G11" s="9" t="n">
        <v>46028</v>
      </c>
      <c r="H11" t="inlineStr">
        <is>
          <t>INV-18528</t>
        </is>
      </c>
      <c r="I11" t="inlineStr">
        <is>
          <t>Blueforge Facility Equipment, Inc.</t>
        </is>
      </c>
      <c r="J11" s="10" t="n">
        <v>18638.32</v>
      </c>
      <c r="K11" s="9" t="n">
        <v>46001</v>
      </c>
      <c r="L11" s="9" t="n">
        <v>46000</v>
      </c>
      <c r="M11" t="inlineStr">
        <is>
          <t>2000 - Accounts payable</t>
        </is>
      </c>
    </row>
    <row r="12">
      <c r="A12" t="n">
        <v>7</v>
      </c>
      <c r="B12" s="9" t="n">
        <v>46028</v>
      </c>
      <c r="C12" t="inlineStr">
        <is>
          <t>PAY-2026-0007</t>
        </is>
      </c>
      <c r="D12" t="inlineStr">
        <is>
          <t>ACH</t>
        </is>
      </c>
      <c r="E12" t="inlineStr">
        <is>
          <t>ACH-2026000007</t>
        </is>
      </c>
      <c r="F12" t="inlineStr">
        <is>
          <t>Operating Checking ****6034</t>
        </is>
      </c>
      <c r="G12" s="9" t="n">
        <v>46029</v>
      </c>
      <c r="H12" t="inlineStr">
        <is>
          <t>KMS-18091</t>
        </is>
      </c>
      <c r="I12" t="inlineStr">
        <is>
          <t>Keystone Management Services, LLC</t>
        </is>
      </c>
      <c r="J12" s="10" t="n">
        <v>2458.4</v>
      </c>
      <c r="K12" s="9" t="n">
        <v>45992</v>
      </c>
      <c r="L12" s="9" t="n">
        <v>45992</v>
      </c>
      <c r="M12" t="inlineStr">
        <is>
          <t>2000 - Accounts payable</t>
        </is>
      </c>
    </row>
    <row r="13">
      <c r="A13" t="n">
        <v>8</v>
      </c>
      <c r="B13" s="9" t="n">
        <v>46028</v>
      </c>
      <c r="C13" t="inlineStr">
        <is>
          <t>PAY-2026-0008</t>
        </is>
      </c>
      <c r="D13" t="inlineStr">
        <is>
          <t>ACH</t>
        </is>
      </c>
      <c r="E13" t="inlineStr">
        <is>
          <t>ACH-2026000008</t>
        </is>
      </c>
      <c r="F13" t="inlineStr">
        <is>
          <t>Operating Checking ****6034</t>
        </is>
      </c>
      <c r="G13" s="9" t="n">
        <v>46029</v>
      </c>
      <c r="H13" t="n">
        <v>1075</v>
      </c>
      <c r="I13" t="inlineStr">
        <is>
          <t>Meridian Electrical Systems, Inc.</t>
        </is>
      </c>
      <c r="J13" s="10" t="n">
        <v>5185.46</v>
      </c>
      <c r="K13" s="9" t="n">
        <v>45994</v>
      </c>
      <c r="L13" s="9" t="n">
        <v>45993</v>
      </c>
      <c r="M13" t="inlineStr">
        <is>
          <t>2000 - Accounts payable</t>
        </is>
      </c>
    </row>
    <row r="14">
      <c r="A14" t="n">
        <v>9</v>
      </c>
      <c r="B14" s="9" t="n">
        <v>46028</v>
      </c>
      <c r="C14" t="inlineStr">
        <is>
          <t>PAY-2026-0009</t>
        </is>
      </c>
      <c r="D14" t="inlineStr">
        <is>
          <t>Check</t>
        </is>
      </c>
      <c r="E14" t="n">
        <v>41009</v>
      </c>
      <c r="F14" t="inlineStr">
        <is>
          <t>Operating Checking ****6034</t>
        </is>
      </c>
      <c r="G14" s="9" t="n">
        <v>46029</v>
      </c>
      <c r="H14" t="n">
        <v>453391</v>
      </c>
      <c r="I14" t="inlineStr">
        <is>
          <t>Calder Advisory Services</t>
        </is>
      </c>
      <c r="J14" s="11" t="n">
        <v>9148</v>
      </c>
      <c r="K14" s="9" t="n">
        <v>45995</v>
      </c>
      <c r="L14" s="9" t="n">
        <v>45994</v>
      </c>
      <c r="M14" t="inlineStr">
        <is>
          <t>2000 - Accounts payable</t>
        </is>
      </c>
    </row>
    <row r="15">
      <c r="A15" t="n">
        <v>10</v>
      </c>
      <c r="B15" s="9" t="n">
        <v>46028</v>
      </c>
      <c r="C15" t="inlineStr">
        <is>
          <t>PAY-2026-0010</t>
        </is>
      </c>
      <c r="D15" t="inlineStr">
        <is>
          <t>ACH</t>
        </is>
      </c>
      <c r="E15" t="inlineStr">
        <is>
          <t>ACH-2026000010</t>
        </is>
      </c>
      <c r="F15" t="inlineStr">
        <is>
          <t>Operating Checking ****6034</t>
        </is>
      </c>
      <c r="G15" s="9" t="n">
        <v>46029</v>
      </c>
      <c r="H15" t="inlineStr">
        <is>
          <t>RIF-23337</t>
        </is>
      </c>
      <c r="I15" t="inlineStr">
        <is>
          <t>Ridgeway Interior Finishes, LLC</t>
        </is>
      </c>
      <c r="J15" s="10" t="n">
        <v>12370.58</v>
      </c>
      <c r="K15" s="9" t="n">
        <v>46000</v>
      </c>
      <c r="L15" s="9" t="n">
        <v>45995</v>
      </c>
      <c r="M15" t="inlineStr">
        <is>
          <t>2000 - Accounts payable</t>
        </is>
      </c>
    </row>
    <row r="16">
      <c r="A16" t="n">
        <v>11</v>
      </c>
      <c r="B16" s="9" t="n">
        <v>46028</v>
      </c>
      <c r="C16" t="inlineStr">
        <is>
          <t>PAY-2026-0011</t>
        </is>
      </c>
      <c r="D16" t="inlineStr">
        <is>
          <t>ACH</t>
        </is>
      </c>
      <c r="E16" t="inlineStr">
        <is>
          <t>ACH-2026000011</t>
        </is>
      </c>
      <c r="F16" t="inlineStr">
        <is>
          <t>Operating Checking ****6034</t>
        </is>
      </c>
      <c r="G16" s="9" t="n">
        <v>46029</v>
      </c>
      <c r="H16" t="inlineStr">
        <is>
          <t>2025-0209</t>
        </is>
      </c>
      <c r="I16" t="inlineStr">
        <is>
          <t>Tricounty Power and Water Authority</t>
        </is>
      </c>
      <c r="J16" s="10" t="n">
        <v>9537</v>
      </c>
      <c r="K16" s="9" t="n">
        <v>46001</v>
      </c>
      <c r="L16" s="9" t="n">
        <v>45999</v>
      </c>
      <c r="M16" t="inlineStr">
        <is>
          <t>2000 - Accounts payable</t>
        </is>
      </c>
    </row>
    <row r="17">
      <c r="A17" t="n">
        <v>12</v>
      </c>
      <c r="B17" s="9" t="n">
        <v>46028</v>
      </c>
      <c r="C17" t="inlineStr">
        <is>
          <t>PAY-2026-0012</t>
        </is>
      </c>
      <c r="D17" t="inlineStr">
        <is>
          <t>Check</t>
        </is>
      </c>
      <c r="E17" t="n">
        <v>41012</v>
      </c>
      <c r="F17" t="inlineStr">
        <is>
          <t>Operating Checking ****6034</t>
        </is>
      </c>
      <c r="G17" s="9" t="n">
        <v>46029</v>
      </c>
      <c r="H17" t="inlineStr">
        <is>
          <t>RIF-23370</t>
        </is>
      </c>
      <c r="I17" t="inlineStr">
        <is>
          <t>Ridgeway Interior Finishes, LLC</t>
        </is>
      </c>
      <c r="J17" s="10" t="n">
        <v>17727.14</v>
      </c>
      <c r="K17" s="9" t="n">
        <v>46003</v>
      </c>
      <c r="L17" s="9" t="n">
        <v>46000</v>
      </c>
      <c r="M17" t="inlineStr">
        <is>
          <t>2000 - Accounts payable</t>
        </is>
      </c>
    </row>
    <row r="18">
      <c r="A18" t="n">
        <v>13</v>
      </c>
      <c r="B18" s="9" t="n">
        <v>46028</v>
      </c>
      <c r="C18" t="inlineStr">
        <is>
          <t>PAY-2026-0013</t>
        </is>
      </c>
      <c r="D18" t="inlineStr">
        <is>
          <t>ACH</t>
        </is>
      </c>
      <c r="E18" t="inlineStr">
        <is>
          <t>ACH-2026000013</t>
        </is>
      </c>
      <c r="F18" t="inlineStr">
        <is>
          <t>Operating Checking ****6034</t>
        </is>
      </c>
      <c r="G18" s="9" t="n">
        <v>46029</v>
      </c>
      <c r="H18" t="inlineStr">
        <is>
          <t>SRA-20476</t>
        </is>
      </c>
      <c r="I18" t="inlineStr">
        <is>
          <t>Summit Roofing and Envelope, Inc.</t>
        </is>
      </c>
      <c r="J18" s="10" t="n">
        <v>18830.08</v>
      </c>
      <c r="K18" s="9" t="n">
        <v>46002</v>
      </c>
      <c r="L18" s="9" t="n">
        <v>46000</v>
      </c>
      <c r="M18" t="inlineStr">
        <is>
          <t>2000 - Accounts payable</t>
        </is>
      </c>
    </row>
    <row r="19">
      <c r="A19" s="12" t="n">
        <v>14</v>
      </c>
      <c r="B19" s="9" t="n">
        <v>46028</v>
      </c>
      <c r="C19" t="inlineStr">
        <is>
          <t>PAY-2026-0014</t>
        </is>
      </c>
      <c r="D19" t="inlineStr">
        <is>
          <t>ACH</t>
        </is>
      </c>
      <c r="E19" t="inlineStr">
        <is>
          <t>ACH-2026000014</t>
        </is>
      </c>
      <c r="F19" t="inlineStr">
        <is>
          <t>Operating Checking ****6034</t>
        </is>
      </c>
      <c r="G19" s="9" t="n">
        <v>46029</v>
      </c>
      <c r="H19" t="inlineStr">
        <is>
          <t>2025-0788</t>
        </is>
      </c>
      <c r="I19" t="inlineStr">
        <is>
          <t>Keystone Commercial Furnishings, LLC</t>
        </is>
      </c>
      <c r="J19" s="10" t="n">
        <v>11289.66</v>
      </c>
      <c r="K19" s="9" t="n">
        <v>46003</v>
      </c>
      <c r="L19" s="9" t="n">
        <v>46000</v>
      </c>
      <c r="M19" t="inlineStr">
        <is>
          <t>2000 - Accounts payable</t>
        </is>
      </c>
    </row>
    <row r="20">
      <c r="A20" t="n">
        <v>15</v>
      </c>
      <c r="B20" s="9" t="n">
        <v>46029</v>
      </c>
      <c r="C20" t="inlineStr">
        <is>
          <t>PAY-2026-0015</t>
        </is>
      </c>
      <c r="D20" t="inlineStr">
        <is>
          <t>Check</t>
        </is>
      </c>
      <c r="E20" t="n">
        <v>41015</v>
      </c>
      <c r="F20" t="inlineStr">
        <is>
          <t>Operating Checking ****6034</t>
        </is>
      </c>
      <c r="G20" s="9" t="n">
        <v>46030</v>
      </c>
      <c r="H20" t="inlineStr">
        <is>
          <t>NMG-18932</t>
        </is>
      </c>
      <c r="I20" t="inlineStr">
        <is>
          <t>Norcrest Maintenance Group</t>
        </is>
      </c>
      <c r="J20" s="10" t="n">
        <v>25579.4</v>
      </c>
      <c r="K20" s="9" t="n">
        <v>46000</v>
      </c>
      <c r="L20" s="9" t="n">
        <v>45996</v>
      </c>
      <c r="M20" t="inlineStr">
        <is>
          <t>2000 - Accounts payable</t>
        </is>
      </c>
    </row>
    <row r="21">
      <c r="A21" t="n">
        <v>16</v>
      </c>
      <c r="B21" s="9" t="n">
        <v>46029</v>
      </c>
      <c r="C21" t="inlineStr">
        <is>
          <t>PAY-2026-0016</t>
        </is>
      </c>
      <c r="D21" t="inlineStr">
        <is>
          <t>ACH</t>
        </is>
      </c>
      <c r="E21" t="inlineStr">
        <is>
          <t>ACH-2026000016</t>
        </is>
      </c>
      <c r="F21" t="inlineStr">
        <is>
          <t>Operating Checking ****6034</t>
        </is>
      </c>
      <c r="G21" s="9" t="n">
        <v>46030</v>
      </c>
      <c r="H21" t="inlineStr">
        <is>
          <t>INV-88063</t>
        </is>
      </c>
      <c r="I21" t="inlineStr">
        <is>
          <t>Granite Shield Insurance Agency</t>
        </is>
      </c>
      <c r="J21" s="10" t="n">
        <v>19473.1</v>
      </c>
      <c r="K21" s="9" t="n">
        <v>45999</v>
      </c>
      <c r="L21" s="9" t="n">
        <v>45996</v>
      </c>
      <c r="M21" t="inlineStr">
        <is>
          <t>2000 - Accounts payable</t>
        </is>
      </c>
    </row>
    <row r="22">
      <c r="A22" t="n">
        <v>17</v>
      </c>
      <c r="B22" s="9" t="n">
        <v>46029</v>
      </c>
      <c r="C22" t="inlineStr">
        <is>
          <t>PAY-2026-0017</t>
        </is>
      </c>
      <c r="D22" t="inlineStr">
        <is>
          <t>ACH</t>
        </is>
      </c>
      <c r="E22" t="inlineStr">
        <is>
          <t>ACH-2026000017</t>
        </is>
      </c>
      <c r="F22" t="inlineStr">
        <is>
          <t>Operating Checking ****6034</t>
        </is>
      </c>
      <c r="G22" s="9" t="n">
        <v>46030</v>
      </c>
      <c r="H22" t="inlineStr">
        <is>
          <t>RIF-23347</t>
        </is>
      </c>
      <c r="I22" t="inlineStr">
        <is>
          <t>Ridgeway Interior Finishes, LLC</t>
        </is>
      </c>
      <c r="J22" s="10" t="n">
        <v>10069.92</v>
      </c>
      <c r="K22" s="9" t="n">
        <v>46002</v>
      </c>
      <c r="L22" s="9" t="n">
        <v>45999</v>
      </c>
      <c r="M22" t="inlineStr">
        <is>
          <t>2000 - Accounts payable</t>
        </is>
      </c>
    </row>
    <row r="23">
      <c r="A23" t="n">
        <v>18</v>
      </c>
      <c r="B23" s="9" t="n">
        <v>46030</v>
      </c>
      <c r="C23" t="inlineStr">
        <is>
          <t>PAY-2026-0018</t>
        </is>
      </c>
      <c r="D23" t="inlineStr">
        <is>
          <t>Check</t>
        </is>
      </c>
      <c r="E23" t="n">
        <v>41018</v>
      </c>
      <c r="F23" t="inlineStr">
        <is>
          <t>Operating Checking ****6034</t>
        </is>
      </c>
      <c r="G23" s="9" t="n">
        <v>46031</v>
      </c>
      <c r="H23" t="inlineStr">
        <is>
          <t>SRA-20421</t>
        </is>
      </c>
      <c r="I23" t="inlineStr">
        <is>
          <t>Summit Roofing and Envelope, Inc.</t>
        </is>
      </c>
      <c r="J23" s="10" t="n">
        <v>7449.86</v>
      </c>
      <c r="K23" s="9" t="n">
        <v>45995</v>
      </c>
      <c r="L23" s="9" t="n">
        <v>45993</v>
      </c>
      <c r="M23" t="inlineStr">
        <is>
          <t>2000 - Accounts payable</t>
        </is>
      </c>
    </row>
    <row r="24">
      <c r="A24" t="n">
        <v>19</v>
      </c>
      <c r="B24" s="9" t="n">
        <v>46030</v>
      </c>
      <c r="C24" t="inlineStr">
        <is>
          <t>PAY-2026-0019</t>
        </is>
      </c>
      <c r="D24" t="inlineStr">
        <is>
          <t>ACH</t>
        </is>
      </c>
      <c r="E24" t="inlineStr">
        <is>
          <t>ACH-2026000019</t>
        </is>
      </c>
      <c r="F24" t="inlineStr">
        <is>
          <t>Operating Checking ****6034</t>
        </is>
      </c>
      <c r="G24" s="9" t="n">
        <v>46031</v>
      </c>
      <c r="H24" t="inlineStr">
        <is>
          <t>NMG-18933</t>
        </is>
      </c>
      <c r="I24" t="inlineStr">
        <is>
          <t>Norcrest Maintenance Group</t>
        </is>
      </c>
      <c r="J24" s="10" t="n">
        <v>13023.23</v>
      </c>
      <c r="K24" s="9" t="n">
        <v>46001</v>
      </c>
      <c r="L24" s="9" t="n">
        <v>45999</v>
      </c>
      <c r="M24" t="inlineStr">
        <is>
          <t>2000 - Accounts payable</t>
        </is>
      </c>
    </row>
    <row r="25">
      <c r="A25" t="n">
        <v>20</v>
      </c>
      <c r="B25" s="9" t="n">
        <v>46030</v>
      </c>
      <c r="C25" t="inlineStr">
        <is>
          <t>PAY-2026-0020</t>
        </is>
      </c>
      <c r="D25" t="inlineStr">
        <is>
          <t>ACH</t>
        </is>
      </c>
      <c r="E25" t="inlineStr">
        <is>
          <t>ACH-2026000020</t>
        </is>
      </c>
      <c r="F25" t="inlineStr">
        <is>
          <t>Operating Checking ****6034</t>
        </is>
      </c>
      <c r="G25" s="9" t="n">
        <v>46031</v>
      </c>
      <c r="H25" t="inlineStr">
        <is>
          <t>INV-88068</t>
        </is>
      </c>
      <c r="I25" t="inlineStr">
        <is>
          <t>Granite Shield Insurance Agency</t>
        </is>
      </c>
      <c r="J25" s="10" t="n">
        <v>14249.84</v>
      </c>
      <c r="K25" s="9" t="n">
        <v>46000</v>
      </c>
      <c r="L25" s="9" t="n">
        <v>45999</v>
      </c>
      <c r="M25" t="inlineStr">
        <is>
          <t>2000 - Accounts payable</t>
        </is>
      </c>
    </row>
    <row r="26">
      <c r="A26" t="n">
        <v>21</v>
      </c>
      <c r="B26" s="9" t="n">
        <v>46030</v>
      </c>
      <c r="C26" t="inlineStr">
        <is>
          <t>PAY-2026-0021</t>
        </is>
      </c>
      <c r="D26" t="inlineStr">
        <is>
          <t>Check</t>
        </is>
      </c>
      <c r="E26" t="n">
        <v>41021</v>
      </c>
      <c r="F26" t="inlineStr">
        <is>
          <t>Operating Checking ****6034</t>
        </is>
      </c>
      <c r="G26" s="9" t="n">
        <v>46031</v>
      </c>
      <c r="H26" t="n">
        <v>4203</v>
      </c>
      <c r="I26" t="inlineStr">
        <is>
          <t>Hartwell &amp; Vance, CPAs</t>
        </is>
      </c>
      <c r="J26" s="10" t="n">
        <v>21044.4</v>
      </c>
      <c r="K26" s="9" t="n">
        <v>46002</v>
      </c>
      <c r="L26" s="9" t="n">
        <v>45999</v>
      </c>
      <c r="M26" t="inlineStr">
        <is>
          <t>2000 - Accounts payable</t>
        </is>
      </c>
    </row>
    <row r="27">
      <c r="A27" t="n">
        <v>22</v>
      </c>
      <c r="B27" s="9" t="n">
        <v>46031</v>
      </c>
      <c r="C27" t="inlineStr">
        <is>
          <t>PAY-2026-0022</t>
        </is>
      </c>
      <c r="D27" t="inlineStr">
        <is>
          <t>ACH</t>
        </is>
      </c>
      <c r="E27" t="inlineStr">
        <is>
          <t>ACH-2026000022</t>
        </is>
      </c>
      <c r="F27" t="inlineStr">
        <is>
          <t>Operating Checking ****6034</t>
        </is>
      </c>
      <c r="G27" s="9" t="n">
        <v>46034</v>
      </c>
      <c r="H27" t="inlineStr">
        <is>
          <t>2025-0780</t>
        </is>
      </c>
      <c r="I27" t="inlineStr">
        <is>
          <t>Keystone Commercial Furnishings, LLC</t>
        </is>
      </c>
      <c r="J27" s="10" t="n">
        <v>33660.88</v>
      </c>
      <c r="K27" s="9" t="n">
        <v>45996</v>
      </c>
      <c r="L27" s="9" t="n">
        <v>45993</v>
      </c>
      <c r="M27" t="inlineStr">
        <is>
          <t>2000 - Accounts payable</t>
        </is>
      </c>
    </row>
    <row r="28">
      <c r="A28" t="n">
        <v>23</v>
      </c>
      <c r="B28" s="9" t="n">
        <v>46031</v>
      </c>
      <c r="C28" t="inlineStr">
        <is>
          <t>PAY-2026-0023</t>
        </is>
      </c>
      <c r="D28" t="inlineStr">
        <is>
          <t>ACH</t>
        </is>
      </c>
      <c r="E28" t="inlineStr">
        <is>
          <t>ACH-2026000023</t>
        </is>
      </c>
      <c r="F28" t="inlineStr">
        <is>
          <t>Operating Checking ****6034</t>
        </is>
      </c>
      <c r="G28" s="9" t="n">
        <v>46034</v>
      </c>
      <c r="H28" t="inlineStr">
        <is>
          <t>INV-18516</t>
        </is>
      </c>
      <c r="I28" t="inlineStr">
        <is>
          <t>Blueforge Facility Equipment, Inc.</t>
        </is>
      </c>
      <c r="J28" s="10" t="n">
        <v>18839.94</v>
      </c>
      <c r="K28" s="9" t="n">
        <v>45996</v>
      </c>
      <c r="L28" s="9" t="n">
        <v>45995</v>
      </c>
      <c r="M28" t="inlineStr">
        <is>
          <t>2000 - Accounts payable</t>
        </is>
      </c>
    </row>
    <row r="29">
      <c r="A29" t="n">
        <v>24</v>
      </c>
      <c r="B29" s="9" t="n">
        <v>46031</v>
      </c>
      <c r="C29" t="inlineStr">
        <is>
          <t>PAY-2026-0024</t>
        </is>
      </c>
      <c r="D29" t="inlineStr">
        <is>
          <t>Check</t>
        </is>
      </c>
      <c r="E29" t="n">
        <v>41024</v>
      </c>
      <c r="F29" t="inlineStr">
        <is>
          <t>Operating Checking ****6034</t>
        </is>
      </c>
      <c r="G29" s="9" t="n">
        <v>46034</v>
      </c>
      <c r="H29" t="inlineStr">
        <is>
          <t>2025-0341</t>
        </is>
      </c>
      <c r="I29" t="inlineStr">
        <is>
          <t>Regional Utility Services</t>
        </is>
      </c>
      <c r="J29" s="10" t="n">
        <v>10121.34</v>
      </c>
      <c r="K29" s="9" t="n">
        <v>45999</v>
      </c>
      <c r="L29" s="9" t="n">
        <v>45996</v>
      </c>
      <c r="M29" t="inlineStr">
        <is>
          <t>2000 - Accounts payable</t>
        </is>
      </c>
    </row>
    <row r="30">
      <c r="A30" t="n">
        <v>25</v>
      </c>
      <c r="B30" s="9" t="n">
        <v>46031</v>
      </c>
      <c r="C30" t="inlineStr">
        <is>
          <t>PAY-2026-0025</t>
        </is>
      </c>
      <c r="D30" t="inlineStr">
        <is>
          <t>ACH</t>
        </is>
      </c>
      <c r="E30" t="inlineStr">
        <is>
          <t>ACH-2026000025</t>
        </is>
      </c>
      <c r="F30" t="inlineStr">
        <is>
          <t>Operating Checking ****6034</t>
        </is>
      </c>
      <c r="G30" s="9" t="n">
        <v>46034</v>
      </c>
      <c r="H30" t="inlineStr">
        <is>
          <t>2025-0208</t>
        </is>
      </c>
      <c r="I30" t="inlineStr">
        <is>
          <t>Tricounty Power and Water Authority</t>
        </is>
      </c>
      <c r="J30" s="10" t="n">
        <v>11973.72</v>
      </c>
      <c r="K30" s="9" t="n">
        <v>46001</v>
      </c>
      <c r="L30" s="9" t="n">
        <v>45999</v>
      </c>
      <c r="M30" t="inlineStr">
        <is>
          <t>2000 - Accounts payable</t>
        </is>
      </c>
    </row>
    <row r="31">
      <c r="A31" t="n">
        <v>26</v>
      </c>
      <c r="B31" s="9" t="n">
        <v>46031</v>
      </c>
      <c r="C31" t="inlineStr">
        <is>
          <t>PAY-2026-0026</t>
        </is>
      </c>
      <c r="D31" t="inlineStr">
        <is>
          <t>ACH</t>
        </is>
      </c>
      <c r="E31" t="inlineStr">
        <is>
          <t>ACH-2026000026</t>
        </is>
      </c>
      <c r="F31" t="inlineStr">
        <is>
          <t>Operating Checking ****6034</t>
        </is>
      </c>
      <c r="G31" s="9" t="n">
        <v>46034</v>
      </c>
      <c r="H31" t="n">
        <v>174646</v>
      </c>
      <c r="I31" t="inlineStr">
        <is>
          <t>Keystone Management Services, LLC</t>
        </is>
      </c>
      <c r="J31" s="10" t="n">
        <v>14751</v>
      </c>
      <c r="K31" s="9" t="n">
        <v>46002</v>
      </c>
      <c r="L31" s="9" t="n">
        <v>46000</v>
      </c>
      <c r="M31" t="inlineStr">
        <is>
          <t>2000 - Accounts payable</t>
        </is>
      </c>
    </row>
    <row r="32">
      <c r="A32" t="n">
        <v>27</v>
      </c>
      <c r="B32" s="9" t="n">
        <v>46031</v>
      </c>
      <c r="C32" t="inlineStr">
        <is>
          <t>PAY-2026-0027</t>
        </is>
      </c>
      <c r="D32" t="inlineStr">
        <is>
          <t>Check</t>
        </is>
      </c>
      <c r="E32" t="n">
        <v>41027</v>
      </c>
      <c r="F32" t="inlineStr">
        <is>
          <t>Operating Checking ****6034</t>
        </is>
      </c>
      <c r="G32" s="9" t="n">
        <v>46034</v>
      </c>
      <c r="H32" t="n">
        <v>1655</v>
      </c>
      <c r="I32" t="inlineStr">
        <is>
          <t>Merton Legal Group, APC</t>
        </is>
      </c>
      <c r="J32" s="10" t="n">
        <v>24037</v>
      </c>
      <c r="K32" s="9" t="n">
        <v>46003</v>
      </c>
      <c r="L32" s="9" t="n">
        <v>46000</v>
      </c>
      <c r="M32" t="inlineStr">
        <is>
          <t>2000 - Accounts payable</t>
        </is>
      </c>
    </row>
    <row r="33">
      <c r="A33" t="n">
        <v>28</v>
      </c>
      <c r="B33" s="9" t="n">
        <v>46034</v>
      </c>
      <c r="C33" t="inlineStr">
        <is>
          <t>PAY-2026-0028</t>
        </is>
      </c>
      <c r="D33" t="inlineStr">
        <is>
          <t>ACH</t>
        </is>
      </c>
      <c r="E33" t="inlineStr">
        <is>
          <t>ACH-2026000028</t>
        </is>
      </c>
      <c r="F33" t="inlineStr">
        <is>
          <t>Operating Checking ****6034</t>
        </is>
      </c>
      <c r="G33" s="9" t="n">
        <v>46035</v>
      </c>
      <c r="H33" t="inlineStr">
        <is>
          <t>INV-88024</t>
        </is>
      </c>
      <c r="I33" t="inlineStr">
        <is>
          <t>Granite Shield Insurance Agency</t>
        </is>
      </c>
      <c r="J33" s="10" t="n">
        <v>601.3200000000001</v>
      </c>
      <c r="K33" s="9" t="n">
        <v>45995</v>
      </c>
      <c r="L33" s="9" t="n">
        <v>45995</v>
      </c>
      <c r="M33" t="inlineStr">
        <is>
          <t>2000 - Accounts payable</t>
        </is>
      </c>
    </row>
    <row r="34">
      <c r="A34" t="n">
        <v>29</v>
      </c>
      <c r="B34" s="9" t="n">
        <v>46034</v>
      </c>
      <c r="C34" t="inlineStr">
        <is>
          <t>PAY-2026-0029</t>
        </is>
      </c>
      <c r="D34" t="inlineStr">
        <is>
          <t>ACH</t>
        </is>
      </c>
      <c r="E34" t="inlineStr">
        <is>
          <t>ACH-2026000029</t>
        </is>
      </c>
      <c r="F34" t="inlineStr">
        <is>
          <t>Operating Checking ****6034</t>
        </is>
      </c>
      <c r="G34" s="9" t="n">
        <v>46035</v>
      </c>
      <c r="H34" t="inlineStr">
        <is>
          <t>KM-202601-01</t>
        </is>
      </c>
      <c r="I34" t="inlineStr">
        <is>
          <t>Keystone Management Services, LLC</t>
        </is>
      </c>
      <c r="J34" s="10" t="n">
        <v>11013.6</v>
      </c>
      <c r="K34" s="9" t="n">
        <v>46027</v>
      </c>
      <c r="L34" s="9" t="n">
        <v>46020</v>
      </c>
      <c r="M34" t="inlineStr">
        <is>
          <t>2000 - Accounts payable</t>
        </is>
      </c>
    </row>
    <row r="35">
      <c r="A35" t="n">
        <v>30</v>
      </c>
      <c r="B35" s="9" t="n">
        <v>46034</v>
      </c>
      <c r="C35" t="inlineStr">
        <is>
          <t>PAY-2026-0030</t>
        </is>
      </c>
      <c r="D35" t="inlineStr">
        <is>
          <t>Check</t>
        </is>
      </c>
      <c r="E35" t="n">
        <v>41030</v>
      </c>
      <c r="F35" t="inlineStr">
        <is>
          <t>Operating Checking ****6034</t>
        </is>
      </c>
      <c r="G35" s="9" t="n">
        <v>46035</v>
      </c>
      <c r="H35" t="inlineStr">
        <is>
          <t>ML-202601-02</t>
        </is>
      </c>
      <c r="I35" t="inlineStr">
        <is>
          <t>Merton Legal Group, APC</t>
        </is>
      </c>
      <c r="J35" s="10" t="n">
        <v>7982.22</v>
      </c>
      <c r="K35" s="9" t="n">
        <v>46027</v>
      </c>
      <c r="L35" s="9" t="n">
        <v>46021</v>
      </c>
      <c r="M35" t="inlineStr">
        <is>
          <t>2000 - Accounts payable</t>
        </is>
      </c>
    </row>
    <row r="36">
      <c r="A36" t="n">
        <v>31</v>
      </c>
      <c r="B36" s="9" t="n">
        <v>46034</v>
      </c>
      <c r="C36" t="inlineStr">
        <is>
          <t>PAY-2026-0031</t>
        </is>
      </c>
      <c r="D36" t="inlineStr">
        <is>
          <t>ACH</t>
        </is>
      </c>
      <c r="E36" t="inlineStr">
        <is>
          <t>ACH-2026000031</t>
        </is>
      </c>
      <c r="F36" t="inlineStr">
        <is>
          <t>Operating Checking ****6034</t>
        </is>
      </c>
      <c r="G36" s="9" t="n">
        <v>46035</v>
      </c>
      <c r="H36" t="n">
        <v>174569</v>
      </c>
      <c r="I36" t="inlineStr">
        <is>
          <t>Keystone Management Services, LLC</t>
        </is>
      </c>
      <c r="J36" s="10" t="n">
        <v>13224.6</v>
      </c>
      <c r="K36" s="9" t="n">
        <v>45995</v>
      </c>
      <c r="L36" s="9" t="n">
        <v>45993</v>
      </c>
      <c r="M36" t="inlineStr">
        <is>
          <t>2000 - Accounts payable</t>
        </is>
      </c>
    </row>
    <row r="37">
      <c r="A37" t="n">
        <v>32</v>
      </c>
      <c r="B37" s="9" t="n">
        <v>46034</v>
      </c>
      <c r="C37" t="inlineStr">
        <is>
          <t>PAY-2026-0032</t>
        </is>
      </c>
      <c r="D37" t="inlineStr">
        <is>
          <t>ACH</t>
        </is>
      </c>
      <c r="E37" t="inlineStr">
        <is>
          <t>ACH-2026000032</t>
        </is>
      </c>
      <c r="F37" t="inlineStr">
        <is>
          <t>Operating Checking ****6034</t>
        </is>
      </c>
      <c r="G37" s="9" t="n">
        <v>46035</v>
      </c>
      <c r="H37" t="inlineStr">
        <is>
          <t>2025-0332</t>
        </is>
      </c>
      <c r="I37" t="inlineStr">
        <is>
          <t>Regional Utility Services</t>
        </is>
      </c>
      <c r="J37" s="10" t="n">
        <v>7675.14</v>
      </c>
      <c r="K37" s="9" t="n">
        <v>45994</v>
      </c>
      <c r="L37" s="9" t="n">
        <v>45993</v>
      </c>
      <c r="M37" t="inlineStr">
        <is>
          <t>2000 - Accounts payable</t>
        </is>
      </c>
    </row>
    <row r="38">
      <c r="A38" t="n">
        <v>33</v>
      </c>
      <c r="B38" s="9" t="n">
        <v>46034</v>
      </c>
      <c r="C38" t="inlineStr">
        <is>
          <t>PAY-2026-0033</t>
        </is>
      </c>
      <c r="D38" t="inlineStr">
        <is>
          <t>Check</t>
        </is>
      </c>
      <c r="E38" t="n">
        <v>41033</v>
      </c>
      <c r="F38" t="inlineStr">
        <is>
          <t>Operating Checking ****6034</t>
        </is>
      </c>
      <c r="G38" s="9" t="n">
        <v>46035</v>
      </c>
      <c r="H38" t="n">
        <v>418757</v>
      </c>
      <c r="I38" t="inlineStr">
        <is>
          <t>Landmark Elevator Services, Inc.</t>
        </is>
      </c>
      <c r="J38" s="10" t="n">
        <v>19407.5</v>
      </c>
      <c r="K38" s="9" t="n">
        <v>45995</v>
      </c>
      <c r="L38" s="9" t="n">
        <v>45994</v>
      </c>
      <c r="M38" t="inlineStr">
        <is>
          <t>2000 - Accounts payable</t>
        </is>
      </c>
    </row>
    <row r="39">
      <c r="A39" t="n">
        <v>34</v>
      </c>
      <c r="B39" s="9" t="n">
        <v>46034</v>
      </c>
      <c r="C39" t="inlineStr">
        <is>
          <t>PAY-2026-0034</t>
        </is>
      </c>
      <c r="D39" t="inlineStr">
        <is>
          <t>ACH</t>
        </is>
      </c>
      <c r="E39" t="inlineStr">
        <is>
          <t>ACH-2026000034</t>
        </is>
      </c>
      <c r="F39" t="inlineStr">
        <is>
          <t>Operating Checking ****6034</t>
        </is>
      </c>
      <c r="G39" s="9" t="n">
        <v>46035</v>
      </c>
      <c r="H39" t="inlineStr">
        <is>
          <t>SRA-20486</t>
        </is>
      </c>
      <c r="I39" t="inlineStr">
        <is>
          <t>Summit Roofing and Envelope, Inc.</t>
        </is>
      </c>
      <c r="J39" s="10" t="n">
        <v>41879.97</v>
      </c>
      <c r="K39" s="9" t="n">
        <v>46007</v>
      </c>
      <c r="L39" s="9" t="n">
        <v>46003</v>
      </c>
      <c r="M39" t="inlineStr">
        <is>
          <t>2000 - Accounts payable</t>
        </is>
      </c>
    </row>
    <row r="40">
      <c r="A40" t="n">
        <v>35</v>
      </c>
      <c r="B40" s="9" t="n">
        <v>46035</v>
      </c>
      <c r="C40" t="inlineStr">
        <is>
          <t>PAY-2026-0035</t>
        </is>
      </c>
      <c r="D40" t="inlineStr">
        <is>
          <t>ACH</t>
        </is>
      </c>
      <c r="E40" t="inlineStr">
        <is>
          <t>ACH-2026000035</t>
        </is>
      </c>
      <c r="F40" t="inlineStr">
        <is>
          <t>Operating Checking ****6034</t>
        </is>
      </c>
      <c r="G40" s="9" t="n">
        <v>46036</v>
      </c>
      <c r="H40" t="inlineStr">
        <is>
          <t>2025-0206</t>
        </is>
      </c>
      <c r="I40" t="inlineStr">
        <is>
          <t>Tricounty Power and Water Authority</t>
        </is>
      </c>
      <c r="J40" s="10" t="n">
        <v>23385.7</v>
      </c>
      <c r="K40" s="9" t="n">
        <v>45997</v>
      </c>
      <c r="L40" s="9" t="n">
        <v>45997</v>
      </c>
      <c r="M40" t="inlineStr">
        <is>
          <t>2000 - Accounts payable</t>
        </is>
      </c>
    </row>
    <row r="41">
      <c r="A41" t="n">
        <v>36</v>
      </c>
      <c r="B41" s="9" t="n">
        <v>46035</v>
      </c>
      <c r="C41" t="inlineStr">
        <is>
          <t>PAY-2026-0036</t>
        </is>
      </c>
      <c r="D41" t="inlineStr">
        <is>
          <t>Check</t>
        </is>
      </c>
      <c r="E41" t="n">
        <v>41036</v>
      </c>
      <c r="F41" t="inlineStr">
        <is>
          <t>Operating Checking ****6034</t>
        </is>
      </c>
      <c r="G41" s="9" t="n">
        <v>46036</v>
      </c>
      <c r="H41" t="inlineStr">
        <is>
          <t>INV-88008</t>
        </is>
      </c>
      <c r="I41" t="inlineStr">
        <is>
          <t>Granite Shield Insurance Agency</t>
        </is>
      </c>
      <c r="J41" s="10" t="n">
        <v>25566.32</v>
      </c>
      <c r="K41" s="9" t="n">
        <v>45994</v>
      </c>
      <c r="L41" s="9" t="n">
        <v>45993</v>
      </c>
      <c r="M41" t="inlineStr">
        <is>
          <t>2000 - Accounts payable</t>
        </is>
      </c>
    </row>
    <row r="42">
      <c r="A42" t="n">
        <v>37</v>
      </c>
      <c r="B42" s="9" t="n">
        <v>46035</v>
      </c>
      <c r="C42" t="inlineStr">
        <is>
          <t>PAY-2026-0037</t>
        </is>
      </c>
      <c r="D42" t="inlineStr">
        <is>
          <t>ACH</t>
        </is>
      </c>
      <c r="E42" t="inlineStr">
        <is>
          <t>ACH-2026000037</t>
        </is>
      </c>
      <c r="F42" t="inlineStr">
        <is>
          <t>Operating Checking ****6034</t>
        </is>
      </c>
      <c r="G42" s="9" t="n">
        <v>46036</v>
      </c>
      <c r="H42" t="n">
        <v>4201</v>
      </c>
      <c r="I42" t="inlineStr">
        <is>
          <t>Hartwell &amp; Vance, CPAs</t>
        </is>
      </c>
      <c r="J42" s="10" t="n">
        <v>35301.52</v>
      </c>
      <c r="K42" s="9" t="n">
        <v>46002</v>
      </c>
      <c r="L42" s="9" t="n">
        <v>45999</v>
      </c>
      <c r="M42" t="inlineStr">
        <is>
          <t>2000 - Accounts payable</t>
        </is>
      </c>
    </row>
    <row r="43">
      <c r="A43" t="n">
        <v>38</v>
      </c>
      <c r="B43" s="9" t="n">
        <v>46036</v>
      </c>
      <c r="C43" t="inlineStr">
        <is>
          <t>PAY-2026-0038</t>
        </is>
      </c>
      <c r="D43" t="inlineStr">
        <is>
          <t>ACH</t>
        </is>
      </c>
      <c r="E43" t="inlineStr">
        <is>
          <t>ACH-2026000038</t>
        </is>
      </c>
      <c r="F43" t="inlineStr">
        <is>
          <t>Operating Checking ****6034</t>
        </is>
      </c>
      <c r="G43" s="9" t="n">
        <v>46037</v>
      </c>
      <c r="H43" t="inlineStr">
        <is>
          <t>0013840</t>
        </is>
      </c>
      <c r="I43" t="inlineStr">
        <is>
          <t>State Department of Revenue</t>
        </is>
      </c>
      <c r="J43" s="10" t="n">
        <v>34863.89</v>
      </c>
      <c r="K43" s="9" t="n">
        <v>45996</v>
      </c>
      <c r="L43" s="9" t="n">
        <v>45993</v>
      </c>
      <c r="M43" t="inlineStr">
        <is>
          <t>2000 - Accounts payable</t>
        </is>
      </c>
    </row>
    <row r="44">
      <c r="A44" t="n">
        <v>39</v>
      </c>
      <c r="B44" s="9" t="n">
        <v>46036</v>
      </c>
      <c r="C44" t="inlineStr">
        <is>
          <t>PAY-2026-0039</t>
        </is>
      </c>
      <c r="D44" t="inlineStr">
        <is>
          <t>Check</t>
        </is>
      </c>
      <c r="E44" t="n">
        <v>41039</v>
      </c>
      <c r="F44" t="inlineStr">
        <is>
          <t>Operating Checking ****6034</t>
        </is>
      </c>
      <c r="G44" s="9" t="n">
        <v>46037</v>
      </c>
      <c r="H44" t="inlineStr">
        <is>
          <t>KMS-18128</t>
        </is>
      </c>
      <c r="I44" t="inlineStr">
        <is>
          <t>Keystone Management Services, LLC</t>
        </is>
      </c>
      <c r="J44" s="10" t="n">
        <v>12284.16</v>
      </c>
      <c r="K44" s="9" t="n">
        <v>45999</v>
      </c>
      <c r="L44" s="9" t="n">
        <v>45994</v>
      </c>
      <c r="M44" t="inlineStr">
        <is>
          <t>2000 - Accounts payable</t>
        </is>
      </c>
    </row>
    <row r="45">
      <c r="A45" t="n">
        <v>40</v>
      </c>
      <c r="B45" s="9" t="n">
        <v>46036</v>
      </c>
      <c r="C45" t="inlineStr">
        <is>
          <t>PAY-2026-0040</t>
        </is>
      </c>
      <c r="D45" t="inlineStr">
        <is>
          <t>ACH</t>
        </is>
      </c>
      <c r="E45" t="inlineStr">
        <is>
          <t>ACH-2026000040</t>
        </is>
      </c>
      <c r="F45" t="inlineStr">
        <is>
          <t>Operating Checking ****6034</t>
        </is>
      </c>
      <c r="G45" s="9" t="n">
        <v>46037</v>
      </c>
      <c r="H45" t="inlineStr">
        <is>
          <t>2025-0204</t>
        </is>
      </c>
      <c r="I45" t="inlineStr">
        <is>
          <t>Tricounty Power and Water Authority</t>
        </is>
      </c>
      <c r="J45" s="10" t="n">
        <v>7706.1</v>
      </c>
      <c r="K45" s="9" t="n">
        <v>45996</v>
      </c>
      <c r="L45" s="9" t="n">
        <v>45994</v>
      </c>
      <c r="M45" t="inlineStr">
        <is>
          <t>2000 - Accounts payable</t>
        </is>
      </c>
    </row>
    <row r="46">
      <c r="A46" t="n">
        <v>41</v>
      </c>
      <c r="B46" s="9" t="n">
        <v>46036</v>
      </c>
      <c r="C46" t="inlineStr">
        <is>
          <t>PAY-2026-0041</t>
        </is>
      </c>
      <c r="D46" t="inlineStr">
        <is>
          <t>ACH</t>
        </is>
      </c>
      <c r="E46" t="inlineStr">
        <is>
          <t>ACH-2026000041</t>
        </is>
      </c>
      <c r="F46" t="inlineStr">
        <is>
          <t>Operating Checking ****6034</t>
        </is>
      </c>
      <c r="G46" s="9" t="n">
        <v>46037</v>
      </c>
      <c r="H46" t="inlineStr">
        <is>
          <t>SRA-20443</t>
        </is>
      </c>
      <c r="I46" t="inlineStr">
        <is>
          <t>Summit Roofing and Envelope, Inc.</t>
        </is>
      </c>
      <c r="J46" s="10" t="n">
        <v>30039.36</v>
      </c>
      <c r="K46" s="9" t="n">
        <v>45999</v>
      </c>
      <c r="L46" s="9" t="n">
        <v>45995</v>
      </c>
      <c r="M46" t="inlineStr">
        <is>
          <t>2000 - Accounts payable</t>
        </is>
      </c>
    </row>
    <row r="47">
      <c r="A47" t="n">
        <v>42</v>
      </c>
      <c r="B47" s="9" t="n">
        <v>46036</v>
      </c>
      <c r="C47" t="inlineStr">
        <is>
          <t>PAY-2026-0042</t>
        </is>
      </c>
      <c r="D47" t="inlineStr">
        <is>
          <t>Check</t>
        </is>
      </c>
      <c r="E47" t="n">
        <v>41042</v>
      </c>
      <c r="F47" t="inlineStr">
        <is>
          <t>Operating Checking ****6034</t>
        </is>
      </c>
      <c r="G47" s="9" t="n">
        <v>46037</v>
      </c>
      <c r="H47" t="inlineStr">
        <is>
          <t>2025-0781</t>
        </is>
      </c>
      <c r="I47" t="inlineStr">
        <is>
          <t>Keystone Commercial Furnishings, LLC</t>
        </is>
      </c>
      <c r="J47" s="10" t="n">
        <v>8232.389999999999</v>
      </c>
      <c r="K47" s="9" t="n">
        <v>46000</v>
      </c>
      <c r="L47" s="9" t="n">
        <v>45995</v>
      </c>
      <c r="M47" t="inlineStr">
        <is>
          <t>2000 - Accounts payable</t>
        </is>
      </c>
    </row>
    <row r="48">
      <c r="A48" t="n">
        <v>43</v>
      </c>
      <c r="B48" s="9" t="n">
        <v>46036</v>
      </c>
      <c r="C48" t="inlineStr">
        <is>
          <t>PAY-2026-0043</t>
        </is>
      </c>
      <c r="D48" t="inlineStr">
        <is>
          <t>ACH</t>
        </is>
      </c>
      <c r="E48" t="inlineStr">
        <is>
          <t>ACH-2026000043</t>
        </is>
      </c>
      <c r="F48" t="inlineStr">
        <is>
          <t>Operating Checking ****6034</t>
        </is>
      </c>
      <c r="G48" s="9" t="n">
        <v>46037</v>
      </c>
      <c r="H48" t="n">
        <v>1651</v>
      </c>
      <c r="I48" t="inlineStr">
        <is>
          <t>Merton Legal Group, APC</t>
        </is>
      </c>
      <c r="J48" s="10" t="n">
        <v>30715.35</v>
      </c>
      <c r="K48" s="9" t="n">
        <v>46000</v>
      </c>
      <c r="L48" s="9" t="n">
        <v>45995</v>
      </c>
      <c r="M48" t="inlineStr">
        <is>
          <t>2000 - Accounts payable</t>
        </is>
      </c>
    </row>
    <row r="49">
      <c r="A49" t="n">
        <v>44</v>
      </c>
      <c r="B49" s="9" t="n">
        <v>46036</v>
      </c>
      <c r="C49" t="inlineStr">
        <is>
          <t>PAY-2026-0044</t>
        </is>
      </c>
      <c r="D49" t="inlineStr">
        <is>
          <t>ACH</t>
        </is>
      </c>
      <c r="E49" t="inlineStr">
        <is>
          <t>ACH-2026000044</t>
        </is>
      </c>
      <c r="F49" t="inlineStr">
        <is>
          <t>Operating Checking ****6034</t>
        </is>
      </c>
      <c r="G49" s="9" t="n">
        <v>46037</v>
      </c>
      <c r="H49" t="n">
        <v>418787</v>
      </c>
      <c r="I49" t="inlineStr">
        <is>
          <t>Landmark Elevator Services, Inc.</t>
        </is>
      </c>
      <c r="J49" s="10" t="n">
        <v>19380.96</v>
      </c>
      <c r="K49" s="9" t="n">
        <v>46000</v>
      </c>
      <c r="L49" s="9" t="n">
        <v>45999</v>
      </c>
      <c r="M49" t="inlineStr">
        <is>
          <t>2000 - Accounts payable</t>
        </is>
      </c>
    </row>
    <row r="50">
      <c r="A50" t="n">
        <v>45</v>
      </c>
      <c r="B50" s="9" t="n">
        <v>46036</v>
      </c>
      <c r="C50" t="inlineStr">
        <is>
          <t>PAY-2026-0045</t>
        </is>
      </c>
      <c r="D50" t="inlineStr">
        <is>
          <t>Check</t>
        </is>
      </c>
      <c r="E50" t="n">
        <v>41045</v>
      </c>
      <c r="F50" t="inlineStr">
        <is>
          <t>Operating Checking ****6034</t>
        </is>
      </c>
      <c r="G50" s="9" t="n">
        <v>46037</v>
      </c>
      <c r="H50" t="inlineStr">
        <is>
          <t>2025-0350</t>
        </is>
      </c>
      <c r="I50" t="inlineStr">
        <is>
          <t>Regional Utility Services</t>
        </is>
      </c>
      <c r="J50" s="10" t="n">
        <v>34918.39</v>
      </c>
      <c r="K50" s="9" t="n">
        <v>46000</v>
      </c>
      <c r="L50" s="9" t="n">
        <v>45999</v>
      </c>
      <c r="M50" t="inlineStr">
        <is>
          <t>2000 - Accounts payable</t>
        </is>
      </c>
    </row>
    <row r="51">
      <c r="A51" t="n">
        <v>46</v>
      </c>
      <c r="B51" s="9" t="n">
        <v>46036</v>
      </c>
      <c r="C51" t="inlineStr">
        <is>
          <t>PAY-2026-0046</t>
        </is>
      </c>
      <c r="D51" t="inlineStr">
        <is>
          <t>ACH</t>
        </is>
      </c>
      <c r="E51" t="inlineStr">
        <is>
          <t>ACH-2026000046</t>
        </is>
      </c>
      <c r="F51" t="inlineStr">
        <is>
          <t>Operating Checking ****6034</t>
        </is>
      </c>
      <c r="G51" s="9" t="n">
        <v>46037</v>
      </c>
      <c r="H51" t="inlineStr">
        <is>
          <t>INV-63094</t>
        </is>
      </c>
      <c r="I51" t="inlineStr">
        <is>
          <t>Cedarline Services Co.</t>
        </is>
      </c>
      <c r="J51" s="10" t="n">
        <v>33575.85</v>
      </c>
      <c r="K51" s="9" t="n">
        <v>46003</v>
      </c>
      <c r="L51" s="9" t="n">
        <v>46001</v>
      </c>
      <c r="M51" t="inlineStr">
        <is>
          <t>2000 - Accounts payable</t>
        </is>
      </c>
    </row>
    <row r="52">
      <c r="A52" t="n">
        <v>47</v>
      </c>
      <c r="B52" s="9" t="n">
        <v>46037</v>
      </c>
      <c r="C52" t="inlineStr">
        <is>
          <t>PAY-2026-0047</t>
        </is>
      </c>
      <c r="D52" t="inlineStr">
        <is>
          <t>ACH</t>
        </is>
      </c>
      <c r="E52" t="inlineStr">
        <is>
          <t>ACH-2026000047</t>
        </is>
      </c>
      <c r="F52" t="inlineStr">
        <is>
          <t>Operating Checking ****6034</t>
        </is>
      </c>
      <c r="G52" s="9" t="n">
        <v>46038</v>
      </c>
      <c r="H52" t="inlineStr">
        <is>
          <t>INV-88050</t>
        </is>
      </c>
      <c r="I52" t="inlineStr">
        <is>
          <t>Granite Shield Insurance Agency</t>
        </is>
      </c>
      <c r="J52" s="10" t="n">
        <v>601.3200000000001</v>
      </c>
      <c r="K52" s="9" t="n">
        <v>45996</v>
      </c>
      <c r="L52" s="9" t="n">
        <v>45996</v>
      </c>
      <c r="M52" t="inlineStr">
        <is>
          <t>2000 - Accounts payable</t>
        </is>
      </c>
    </row>
    <row r="53">
      <c r="A53" t="n">
        <v>48</v>
      </c>
      <c r="B53" s="9" t="n">
        <v>46037</v>
      </c>
      <c r="C53" t="inlineStr">
        <is>
          <t>PAY-2026-0048</t>
        </is>
      </c>
      <c r="D53" t="inlineStr">
        <is>
          <t>Check</t>
        </is>
      </c>
      <c r="E53" t="n">
        <v>41048</v>
      </c>
      <c r="F53" t="inlineStr">
        <is>
          <t>Operating Checking ****6034</t>
        </is>
      </c>
      <c r="G53" s="9" t="n">
        <v>46038</v>
      </c>
      <c r="H53" t="n">
        <v>174585</v>
      </c>
      <c r="I53" t="inlineStr">
        <is>
          <t>Keystone Management Services, LLC</t>
        </is>
      </c>
      <c r="J53" s="10" t="n">
        <v>22461.12</v>
      </c>
      <c r="K53" s="9" t="n">
        <v>45999</v>
      </c>
      <c r="L53" s="9" t="n">
        <v>45995</v>
      </c>
      <c r="M53" t="inlineStr">
        <is>
          <t>2000 - Accounts payable</t>
        </is>
      </c>
    </row>
    <row r="54">
      <c r="A54" t="n">
        <v>49</v>
      </c>
      <c r="B54" s="9" t="n">
        <v>46037</v>
      </c>
      <c r="C54" t="inlineStr">
        <is>
          <t>PAY-2026-0049</t>
        </is>
      </c>
      <c r="D54" t="inlineStr">
        <is>
          <t>ACH</t>
        </is>
      </c>
      <c r="E54" t="inlineStr">
        <is>
          <t>ACH-2026000049</t>
        </is>
      </c>
      <c r="F54" t="inlineStr">
        <is>
          <t>Operating Checking ****6034</t>
        </is>
      </c>
      <c r="G54" s="9" t="n">
        <v>46038</v>
      </c>
      <c r="H54" t="inlineStr">
        <is>
          <t>0013879</t>
        </is>
      </c>
      <c r="I54" t="inlineStr">
        <is>
          <t>State Department of Revenue</t>
        </is>
      </c>
      <c r="J54" s="10" t="n">
        <v>14945.44</v>
      </c>
      <c r="K54" s="9" t="n">
        <v>46002</v>
      </c>
      <c r="L54" s="9" t="n">
        <v>45999</v>
      </c>
      <c r="M54" t="inlineStr">
        <is>
          <t>2000 - Accounts payable</t>
        </is>
      </c>
    </row>
    <row r="55">
      <c r="A55" t="n">
        <v>50</v>
      </c>
      <c r="B55" s="9" t="n">
        <v>46037</v>
      </c>
      <c r="C55" t="inlineStr">
        <is>
          <t>PAY-2026-0050</t>
        </is>
      </c>
      <c r="D55" t="inlineStr">
        <is>
          <t>ACH</t>
        </is>
      </c>
      <c r="E55" t="inlineStr">
        <is>
          <t>ACH-2026000050</t>
        </is>
      </c>
      <c r="F55" t="inlineStr">
        <is>
          <t>Operating Checking ****6034</t>
        </is>
      </c>
      <c r="G55" s="9" t="n">
        <v>46038</v>
      </c>
      <c r="H55" t="inlineStr">
        <is>
          <t>INV-88073</t>
        </is>
      </c>
      <c r="I55" t="inlineStr">
        <is>
          <t>Granite Shield Insurance Agency</t>
        </is>
      </c>
      <c r="J55" s="10" t="n">
        <v>21669</v>
      </c>
      <c r="K55" s="9" t="n">
        <v>46002</v>
      </c>
      <c r="L55" s="9" t="n">
        <v>46001</v>
      </c>
      <c r="M55" t="inlineStr">
        <is>
          <t>2000 - Accounts payable</t>
        </is>
      </c>
    </row>
    <row r="56">
      <c r="A56" t="n">
        <v>51</v>
      </c>
      <c r="B56" s="9" t="n">
        <v>46037</v>
      </c>
      <c r="C56" t="inlineStr">
        <is>
          <t>PAY-2026-0051</t>
        </is>
      </c>
      <c r="D56" t="inlineStr">
        <is>
          <t>Check</t>
        </is>
      </c>
      <c r="E56" t="n">
        <v>41051</v>
      </c>
      <c r="F56" t="inlineStr">
        <is>
          <t>Operating Checking ****6034</t>
        </is>
      </c>
      <c r="G56" s="9" t="n">
        <v>46038</v>
      </c>
      <c r="H56" t="inlineStr">
        <is>
          <t>KMS-18182</t>
        </is>
      </c>
      <c r="I56" t="inlineStr">
        <is>
          <t>Keystone Management Services, LLC</t>
        </is>
      </c>
      <c r="J56" s="10" t="n">
        <v>13136.5</v>
      </c>
      <c r="K56" s="9" t="n">
        <v>46006</v>
      </c>
      <c r="L56" s="9" t="n">
        <v>46001</v>
      </c>
      <c r="M56" t="inlineStr">
        <is>
          <t>2000 - Accounts payable</t>
        </is>
      </c>
    </row>
    <row r="57">
      <c r="A57" t="n">
        <v>52</v>
      </c>
      <c r="B57" s="9" t="n">
        <v>46037</v>
      </c>
      <c r="C57" t="inlineStr">
        <is>
          <t>PAY-2026-0052</t>
        </is>
      </c>
      <c r="D57" t="inlineStr">
        <is>
          <t>ACH</t>
        </is>
      </c>
      <c r="E57" t="inlineStr">
        <is>
          <t>ACH-2026000052</t>
        </is>
      </c>
      <c r="F57" t="inlineStr">
        <is>
          <t>Operating Checking ****6034</t>
        </is>
      </c>
      <c r="G57" s="9" t="n">
        <v>46038</v>
      </c>
      <c r="H57" t="inlineStr">
        <is>
          <t>2025-0213</t>
        </is>
      </c>
      <c r="I57" t="inlineStr">
        <is>
          <t>Tricounty Power and Water Authority</t>
        </is>
      </c>
      <c r="J57" s="10" t="n">
        <v>11360.85</v>
      </c>
      <c r="K57" s="9" t="n">
        <v>46006</v>
      </c>
      <c r="L57" s="9" t="n">
        <v>46002</v>
      </c>
      <c r="M57" t="inlineStr">
        <is>
          <t>2000 - Accounts payable</t>
        </is>
      </c>
    </row>
    <row r="58">
      <c r="A58" t="n">
        <v>53</v>
      </c>
      <c r="B58" s="9" t="n">
        <v>46037</v>
      </c>
      <c r="C58" t="inlineStr">
        <is>
          <t>PAY-2026-0053</t>
        </is>
      </c>
      <c r="D58" t="inlineStr">
        <is>
          <t>ACH</t>
        </is>
      </c>
      <c r="E58" t="inlineStr">
        <is>
          <t>ACH-2026000053</t>
        </is>
      </c>
      <c r="F58" t="inlineStr">
        <is>
          <t>Operating Checking ****6034</t>
        </is>
      </c>
      <c r="G58" s="9" t="n">
        <v>46038</v>
      </c>
      <c r="H58" t="inlineStr">
        <is>
          <t>INV-18537</t>
        </is>
      </c>
      <c r="I58" t="inlineStr">
        <is>
          <t>Blueforge Facility Equipment, Inc.</t>
        </is>
      </c>
      <c r="J58" s="10" t="n">
        <v>13707.54</v>
      </c>
      <c r="K58" s="9" t="n">
        <v>46006</v>
      </c>
      <c r="L58" s="9" t="n">
        <v>46003</v>
      </c>
      <c r="M58" t="inlineStr">
        <is>
          <t>2000 - Accounts payable</t>
        </is>
      </c>
    </row>
    <row r="59">
      <c r="A59" t="n">
        <v>54</v>
      </c>
      <c r="B59" s="9" t="n">
        <v>46038</v>
      </c>
      <c r="C59" t="inlineStr">
        <is>
          <t>PAY-2026-0054</t>
        </is>
      </c>
      <c r="D59" t="inlineStr">
        <is>
          <t>Check</t>
        </is>
      </c>
      <c r="E59" t="n">
        <v>41054</v>
      </c>
      <c r="F59" t="inlineStr">
        <is>
          <t>Operating Checking ****6034</t>
        </is>
      </c>
      <c r="G59" s="9" t="n">
        <v>46042</v>
      </c>
      <c r="H59" t="inlineStr">
        <is>
          <t>NMG-18903</t>
        </is>
      </c>
      <c r="I59" t="inlineStr">
        <is>
          <t>Norcrest Maintenance Group</t>
        </is>
      </c>
      <c r="J59" s="10" t="n">
        <v>650.6</v>
      </c>
      <c r="K59" s="9" t="n">
        <v>45992</v>
      </c>
      <c r="L59" s="9" t="n">
        <v>45992</v>
      </c>
      <c r="M59" t="inlineStr">
        <is>
          <t>2000 - Accounts payable</t>
        </is>
      </c>
    </row>
    <row r="60">
      <c r="A60" t="n">
        <v>55</v>
      </c>
      <c r="B60" s="9" t="n">
        <v>46038</v>
      </c>
      <c r="C60" t="inlineStr">
        <is>
          <t>PAY-2026-0055</t>
        </is>
      </c>
      <c r="D60" t="inlineStr">
        <is>
          <t>ACH</t>
        </is>
      </c>
      <c r="E60" t="inlineStr">
        <is>
          <t>ACH-2026000055</t>
        </is>
      </c>
      <c r="F60" t="inlineStr">
        <is>
          <t>Operating Checking ****6034</t>
        </is>
      </c>
      <c r="G60" s="9" t="n">
        <v>46042</v>
      </c>
      <c r="H60" t="n">
        <v>453431</v>
      </c>
      <c r="I60" t="inlineStr">
        <is>
          <t>Calder Advisory Services</t>
        </is>
      </c>
      <c r="J60" s="10" t="n">
        <v>23009.14</v>
      </c>
      <c r="K60" s="9" t="n">
        <v>46003</v>
      </c>
      <c r="L60" s="9" t="n">
        <v>46002</v>
      </c>
      <c r="M60" t="inlineStr">
        <is>
          <t>2000 - Accounts payable</t>
        </is>
      </c>
    </row>
    <row r="61">
      <c r="A61" t="n">
        <v>56</v>
      </c>
      <c r="B61" s="9" t="n">
        <v>46038</v>
      </c>
      <c r="C61" t="inlineStr">
        <is>
          <t>PAY-2026-0056</t>
        </is>
      </c>
      <c r="D61" t="inlineStr">
        <is>
          <t>ACH</t>
        </is>
      </c>
      <c r="E61" t="inlineStr">
        <is>
          <t>ACH-2026000056</t>
        </is>
      </c>
      <c r="F61" t="inlineStr">
        <is>
          <t>Operating Checking ****6034</t>
        </is>
      </c>
      <c r="G61" s="9" t="n">
        <v>46042</v>
      </c>
      <c r="H61" t="inlineStr">
        <is>
          <t>2025-0789</t>
        </is>
      </c>
      <c r="I61" t="inlineStr">
        <is>
          <t>Keystone Commercial Furnishings, LLC</t>
        </is>
      </c>
      <c r="J61" s="10" t="n">
        <v>10319.76</v>
      </c>
      <c r="K61" s="9" t="n">
        <v>46008</v>
      </c>
      <c r="L61" s="9" t="n">
        <v>46003</v>
      </c>
      <c r="M61" t="inlineStr">
        <is>
          <t>2000 - Accounts payable</t>
        </is>
      </c>
    </row>
    <row r="62">
      <c r="A62" t="n">
        <v>57</v>
      </c>
      <c r="B62" s="9" t="n">
        <v>46042</v>
      </c>
      <c r="C62" t="inlineStr">
        <is>
          <t>PAY-2026-0057</t>
        </is>
      </c>
      <c r="D62" t="inlineStr">
        <is>
          <t>Check</t>
        </is>
      </c>
      <c r="E62" t="n">
        <v>41057</v>
      </c>
      <c r="F62" t="inlineStr">
        <is>
          <t>Operating Checking ****6034</t>
        </is>
      </c>
      <c r="G62" s="9" t="n">
        <v>46043</v>
      </c>
      <c r="H62" t="inlineStr">
        <is>
          <t>INV-63019</t>
        </is>
      </c>
      <c r="I62" t="inlineStr">
        <is>
          <t>Cedarline Services Co.</t>
        </is>
      </c>
      <c r="J62" s="10" t="n">
        <v>33210.24</v>
      </c>
      <c r="K62" s="9" t="n">
        <v>46000</v>
      </c>
      <c r="L62" s="9" t="n">
        <v>45996</v>
      </c>
      <c r="M62" t="inlineStr">
        <is>
          <t>2000 - Accounts payable</t>
        </is>
      </c>
    </row>
    <row r="63">
      <c r="A63" t="n">
        <v>58</v>
      </c>
      <c r="B63" s="9" t="n">
        <v>46042</v>
      </c>
      <c r="C63" t="inlineStr">
        <is>
          <t>PAY-2026-0058</t>
        </is>
      </c>
      <c r="D63" t="inlineStr">
        <is>
          <t>ACH</t>
        </is>
      </c>
      <c r="E63" t="inlineStr">
        <is>
          <t>ACH-2026000058</t>
        </is>
      </c>
      <c r="F63" t="inlineStr">
        <is>
          <t>Operating Checking ****6034</t>
        </is>
      </c>
      <c r="G63" s="9" t="n">
        <v>46043</v>
      </c>
      <c r="H63" t="n">
        <v>1079</v>
      </c>
      <c r="I63" t="inlineStr">
        <is>
          <t>Meridian Electrical Systems, Inc.</t>
        </is>
      </c>
      <c r="J63" s="10" t="n">
        <v>33917.55</v>
      </c>
      <c r="K63" s="9" t="n">
        <v>46000</v>
      </c>
      <c r="L63" s="9" t="n">
        <v>45999</v>
      </c>
      <c r="M63" t="inlineStr">
        <is>
          <t>2000 - Accounts payable</t>
        </is>
      </c>
    </row>
    <row r="64">
      <c r="A64" t="n">
        <v>59</v>
      </c>
      <c r="B64" s="9" t="n">
        <v>46042</v>
      </c>
      <c r="C64" t="inlineStr">
        <is>
          <t>PAY-2026-0059</t>
        </is>
      </c>
      <c r="D64" t="inlineStr">
        <is>
          <t>ACH</t>
        </is>
      </c>
      <c r="E64" t="inlineStr">
        <is>
          <t>ACH-2026000059</t>
        </is>
      </c>
      <c r="F64" t="inlineStr">
        <is>
          <t>Operating Checking ****6034</t>
        </is>
      </c>
      <c r="G64" s="9" t="n">
        <v>46043</v>
      </c>
      <c r="H64" t="inlineStr">
        <is>
          <t>SRA-20453</t>
        </is>
      </c>
      <c r="I64" t="inlineStr">
        <is>
          <t>Summit Roofing and Envelope, Inc.</t>
        </is>
      </c>
      <c r="J64" s="10" t="n">
        <v>29712.94</v>
      </c>
      <c r="K64" s="9" t="n">
        <v>46001</v>
      </c>
      <c r="L64" s="9" t="n">
        <v>45999</v>
      </c>
      <c r="M64" t="inlineStr">
        <is>
          <t>2000 - Accounts payable</t>
        </is>
      </c>
    </row>
    <row r="65">
      <c r="A65" t="n">
        <v>60</v>
      </c>
      <c r="B65" s="9" t="n">
        <v>46042</v>
      </c>
      <c r="C65" t="inlineStr">
        <is>
          <t>PAY-2026-0060</t>
        </is>
      </c>
      <c r="D65" t="inlineStr">
        <is>
          <t>Check</t>
        </is>
      </c>
      <c r="E65" t="n">
        <v>41060</v>
      </c>
      <c r="F65" t="inlineStr">
        <is>
          <t>Operating Checking ****6034</t>
        </is>
      </c>
      <c r="G65" s="9" t="n">
        <v>46043</v>
      </c>
      <c r="H65" t="inlineStr">
        <is>
          <t>INV-18527</t>
        </is>
      </c>
      <c r="I65" t="inlineStr">
        <is>
          <t>Blueforge Facility Equipment, Inc.</t>
        </is>
      </c>
      <c r="J65" s="10" t="n">
        <v>22630.97</v>
      </c>
      <c r="K65" s="9" t="n">
        <v>46000</v>
      </c>
      <c r="L65" s="9" t="n">
        <v>45999</v>
      </c>
      <c r="M65" t="inlineStr">
        <is>
          <t>2000 - Accounts payable</t>
        </is>
      </c>
    </row>
    <row r="66">
      <c r="A66" t="n">
        <v>61</v>
      </c>
      <c r="B66" s="9" t="n">
        <v>46043</v>
      </c>
      <c r="C66" t="inlineStr">
        <is>
          <t>PAY-2026-0061</t>
        </is>
      </c>
      <c r="D66" t="inlineStr">
        <is>
          <t>ACH</t>
        </is>
      </c>
      <c r="E66" t="inlineStr">
        <is>
          <t>ACH-2026000061</t>
        </is>
      </c>
      <c r="F66" t="inlineStr">
        <is>
          <t>Operating Checking ****6034</t>
        </is>
      </c>
      <c r="G66" s="9" t="n">
        <v>46044</v>
      </c>
      <c r="H66" t="inlineStr">
        <is>
          <t>INV-62994</t>
        </is>
      </c>
      <c r="I66" t="inlineStr">
        <is>
          <t>Cedarline Services Co.</t>
        </is>
      </c>
      <c r="J66" s="10" t="n">
        <v>20448.4</v>
      </c>
      <c r="K66" s="9" t="n">
        <v>45996</v>
      </c>
      <c r="L66" s="9" t="n">
        <v>45994</v>
      </c>
      <c r="M66" t="inlineStr">
        <is>
          <t>2000 - Accounts payable</t>
        </is>
      </c>
    </row>
    <row r="67">
      <c r="A67" t="n">
        <v>62</v>
      </c>
      <c r="B67" s="9" t="n">
        <v>46043</v>
      </c>
      <c r="C67" t="inlineStr">
        <is>
          <t>PAY-2026-0062</t>
        </is>
      </c>
      <c r="D67" t="inlineStr">
        <is>
          <t>ACH</t>
        </is>
      </c>
      <c r="E67" t="inlineStr">
        <is>
          <t>ACH-2026000062</t>
        </is>
      </c>
      <c r="F67" t="inlineStr">
        <is>
          <t>Operating Checking ****6034</t>
        </is>
      </c>
      <c r="G67" s="9" t="n">
        <v>46044</v>
      </c>
      <c r="H67" t="n">
        <v>4198</v>
      </c>
      <c r="I67" t="inlineStr">
        <is>
          <t>Hartwell &amp; Vance, CPAs</t>
        </is>
      </c>
      <c r="J67" s="10" t="n">
        <v>26658.75</v>
      </c>
      <c r="K67" s="9" t="n">
        <v>45999</v>
      </c>
      <c r="L67" s="9" t="n">
        <v>45994</v>
      </c>
      <c r="M67" t="inlineStr">
        <is>
          <t>2000 - Accounts payable</t>
        </is>
      </c>
    </row>
    <row r="68">
      <c r="A68" t="n">
        <v>63</v>
      </c>
      <c r="B68" s="9" t="n">
        <v>46043</v>
      </c>
      <c r="C68" t="inlineStr">
        <is>
          <t>PAY-2026-0063</t>
        </is>
      </c>
      <c r="D68" t="inlineStr">
        <is>
          <t>Check</t>
        </is>
      </c>
      <c r="E68" t="n">
        <v>41063</v>
      </c>
      <c r="F68" t="inlineStr">
        <is>
          <t>Operating Checking ****6034</t>
        </is>
      </c>
      <c r="G68" s="9" t="n">
        <v>46044</v>
      </c>
      <c r="H68" t="n">
        <v>418806</v>
      </c>
      <c r="I68" t="inlineStr">
        <is>
          <t>Landmark Elevator Services, Inc.</t>
        </is>
      </c>
      <c r="J68" s="10" t="n">
        <v>24539.67</v>
      </c>
      <c r="K68" s="9" t="n">
        <v>46000</v>
      </c>
      <c r="L68" s="9" t="n">
        <v>45999</v>
      </c>
      <c r="M68" t="inlineStr">
        <is>
          <t>2000 - Accounts payable</t>
        </is>
      </c>
    </row>
    <row r="69">
      <c r="A69" t="n">
        <v>64</v>
      </c>
      <c r="B69" s="9" t="n">
        <v>46043</v>
      </c>
      <c r="C69" t="inlineStr">
        <is>
          <t>PAY-2026-0064</t>
        </is>
      </c>
      <c r="D69" t="inlineStr">
        <is>
          <t>ACH</t>
        </is>
      </c>
      <c r="E69" t="inlineStr">
        <is>
          <t>ACH-2026000064</t>
        </is>
      </c>
      <c r="F69" t="inlineStr">
        <is>
          <t>Operating Checking ****6034</t>
        </is>
      </c>
      <c r="G69" s="9" t="n">
        <v>46044</v>
      </c>
      <c r="H69" t="inlineStr">
        <is>
          <t>1080 - Deferred financing costs</t>
        </is>
      </c>
      <c r="I69" t="inlineStr">
        <is>
          <t>Meridian Electrical Systems, Inc.</t>
        </is>
      </c>
      <c r="J69" s="10" t="n">
        <v>38574.76</v>
      </c>
      <c r="K69" s="9" t="n">
        <v>46001</v>
      </c>
      <c r="L69" s="9" t="n">
        <v>46000</v>
      </c>
      <c r="M69" t="inlineStr">
        <is>
          <t>2000 - Accounts payable</t>
        </is>
      </c>
    </row>
    <row r="70">
      <c r="A70" t="n">
        <v>65</v>
      </c>
      <c r="B70" s="9" t="n">
        <v>46043</v>
      </c>
      <c r="C70" t="inlineStr">
        <is>
          <t>PAY-2026-0065</t>
        </is>
      </c>
      <c r="D70" t="inlineStr">
        <is>
          <t>ACH</t>
        </is>
      </c>
      <c r="E70" t="inlineStr">
        <is>
          <t>ACH-2026000065</t>
        </is>
      </c>
      <c r="F70" t="inlineStr">
        <is>
          <t>Operating Checking ****6034</t>
        </is>
      </c>
      <c r="G70" s="9" t="n">
        <v>46044</v>
      </c>
      <c r="H70" t="n">
        <v>4204</v>
      </c>
      <c r="I70" t="inlineStr">
        <is>
          <t>Hartwell &amp; Vance, CPAs</t>
        </is>
      </c>
      <c r="J70" s="10" t="n">
        <v>22754.58</v>
      </c>
      <c r="K70" s="9" t="n">
        <v>46008</v>
      </c>
      <c r="L70" s="9" t="n">
        <v>46003</v>
      </c>
      <c r="M70" t="inlineStr">
        <is>
          <t>2000 - Accounts payable</t>
        </is>
      </c>
    </row>
    <row r="71">
      <c r="A71" t="n">
        <v>66</v>
      </c>
      <c r="B71" s="9" t="n">
        <v>46044</v>
      </c>
      <c r="C71" t="inlineStr">
        <is>
          <t>PAY-2026-0066</t>
        </is>
      </c>
      <c r="D71" t="inlineStr">
        <is>
          <t>Check</t>
        </is>
      </c>
      <c r="E71" t="n">
        <v>41066</v>
      </c>
      <c r="F71" t="inlineStr">
        <is>
          <t>Operating Checking ****6034</t>
        </is>
      </c>
      <c r="G71" s="9" t="n">
        <v>46045</v>
      </c>
      <c r="H71" t="inlineStr">
        <is>
          <t>0013877</t>
        </is>
      </c>
      <c r="I71" t="inlineStr">
        <is>
          <t>State Department of Revenue</t>
        </is>
      </c>
      <c r="J71" s="10" t="n">
        <v>37793.47</v>
      </c>
      <c r="K71" s="9" t="n">
        <v>46001</v>
      </c>
      <c r="L71" s="9" t="n">
        <v>45996</v>
      </c>
      <c r="M71" t="inlineStr">
        <is>
          <t>2000 - Accounts payable</t>
        </is>
      </c>
    </row>
    <row r="72">
      <c r="A72" t="n">
        <v>67</v>
      </c>
      <c r="B72" s="9" t="n">
        <v>46044</v>
      </c>
      <c r="C72" t="inlineStr">
        <is>
          <t>PAY-2026-0067</t>
        </is>
      </c>
      <c r="D72" t="inlineStr">
        <is>
          <t>ACH</t>
        </is>
      </c>
      <c r="E72" t="inlineStr">
        <is>
          <t>ACH-2026000067</t>
        </is>
      </c>
      <c r="F72" t="inlineStr">
        <is>
          <t>Operating Checking ****6034</t>
        </is>
      </c>
      <c r="G72" s="9" t="n">
        <v>46045</v>
      </c>
      <c r="H72" t="inlineStr">
        <is>
          <t>KMS-18149</t>
        </is>
      </c>
      <c r="I72" t="inlineStr">
        <is>
          <t>Keystone Management Services, LLC</t>
        </is>
      </c>
      <c r="J72" s="10" t="n">
        <v>30288.24</v>
      </c>
      <c r="K72" s="9" t="n">
        <v>46002</v>
      </c>
      <c r="L72" s="9" t="n">
        <v>45999</v>
      </c>
      <c r="M72" t="inlineStr">
        <is>
          <t>2000 - Accounts payable</t>
        </is>
      </c>
    </row>
    <row r="73">
      <c r="A73" t="n">
        <v>68</v>
      </c>
      <c r="B73" s="9" t="n">
        <v>46044</v>
      </c>
      <c r="C73" t="inlineStr">
        <is>
          <t>PAY-2026-0068</t>
        </is>
      </c>
      <c r="D73" t="inlineStr">
        <is>
          <t>ACH</t>
        </is>
      </c>
      <c r="E73" t="inlineStr">
        <is>
          <t>ACH-2026000068</t>
        </is>
      </c>
      <c r="F73" t="inlineStr">
        <is>
          <t>Operating Checking ****6034</t>
        </is>
      </c>
      <c r="G73" s="9" t="n">
        <v>46045</v>
      </c>
      <c r="H73" t="inlineStr">
        <is>
          <t>2025-0782</t>
        </is>
      </c>
      <c r="I73" t="inlineStr">
        <is>
          <t>Keystone Commercial Furnishings, LLC</t>
        </is>
      </c>
      <c r="J73" s="10" t="n">
        <v>31259.68</v>
      </c>
      <c r="K73" s="9" t="n">
        <v>46002</v>
      </c>
      <c r="L73" s="9" t="n">
        <v>45999</v>
      </c>
      <c r="M73" t="inlineStr">
        <is>
          <t>2000 - Accounts payable</t>
        </is>
      </c>
    </row>
    <row r="74">
      <c r="A74" t="n">
        <v>69</v>
      </c>
      <c r="B74" s="9" t="n">
        <v>46044</v>
      </c>
      <c r="C74" t="inlineStr">
        <is>
          <t>PAY-2026-0069</t>
        </is>
      </c>
      <c r="D74" t="inlineStr">
        <is>
          <t>Check</t>
        </is>
      </c>
      <c r="E74" t="n">
        <v>41069</v>
      </c>
      <c r="F74" t="inlineStr">
        <is>
          <t>Operating Checking ****6034</t>
        </is>
      </c>
      <c r="G74" s="9" t="n">
        <v>46045</v>
      </c>
      <c r="H74" t="n">
        <v>1653</v>
      </c>
      <c r="I74" t="inlineStr">
        <is>
          <t>Merton Legal Group, APC</t>
        </is>
      </c>
      <c r="J74" s="10" t="n">
        <v>18558.4</v>
      </c>
      <c r="K74" s="9" t="n">
        <v>46002</v>
      </c>
      <c r="L74" s="9" t="n">
        <v>45999</v>
      </c>
      <c r="M74" t="inlineStr">
        <is>
          <t>2000 - Accounts payable</t>
        </is>
      </c>
    </row>
    <row r="75">
      <c r="A75" t="n">
        <v>70</v>
      </c>
      <c r="B75" s="9" t="n">
        <v>46044</v>
      </c>
      <c r="C75" t="inlineStr">
        <is>
          <t>PAY-2026-0070</t>
        </is>
      </c>
      <c r="D75" t="inlineStr">
        <is>
          <t>ACH</t>
        </is>
      </c>
      <c r="E75" t="inlineStr">
        <is>
          <t>ACH-2026000070</t>
        </is>
      </c>
      <c r="F75" t="inlineStr">
        <is>
          <t>Operating Checking ****6034</t>
        </is>
      </c>
      <c r="G75" s="9" t="n">
        <v>46045</v>
      </c>
      <c r="H75" t="inlineStr">
        <is>
          <t>0013902</t>
        </is>
      </c>
      <c r="I75" t="inlineStr">
        <is>
          <t>State Department of Revenue</t>
        </is>
      </c>
      <c r="J75" s="10" t="n">
        <v>41228.66</v>
      </c>
      <c r="K75" s="9" t="n">
        <v>46006</v>
      </c>
      <c r="L75" s="9" t="n">
        <v>46001</v>
      </c>
      <c r="M75" t="inlineStr">
        <is>
          <t>2000 - Accounts payable</t>
        </is>
      </c>
    </row>
    <row r="76">
      <c r="A76" t="n">
        <v>71</v>
      </c>
      <c r="B76" s="9" t="n">
        <v>46045</v>
      </c>
      <c r="C76" t="inlineStr">
        <is>
          <t>PAY-2026-0071</t>
        </is>
      </c>
      <c r="D76" t="inlineStr">
        <is>
          <t>ACH</t>
        </is>
      </c>
      <c r="E76" t="inlineStr">
        <is>
          <t>ACH-2026000071</t>
        </is>
      </c>
      <c r="F76" t="inlineStr">
        <is>
          <t>Operating Checking ****6034</t>
        </is>
      </c>
      <c r="G76" s="9" t="n">
        <v>46048</v>
      </c>
      <c r="H76" t="inlineStr">
        <is>
          <t>INV-13853</t>
        </is>
      </c>
      <c r="I76" t="inlineStr">
        <is>
          <t>Blueforge Mechanical Contractors, LLC</t>
        </is>
      </c>
      <c r="J76" s="10" t="n">
        <v>13659.66</v>
      </c>
      <c r="K76" s="9" t="n">
        <v>45999</v>
      </c>
      <c r="L76" s="9" t="n">
        <v>45995</v>
      </c>
      <c r="M76" t="inlineStr">
        <is>
          <t>2000 - Accounts payable</t>
        </is>
      </c>
    </row>
    <row r="77">
      <c r="A77" t="n">
        <v>72</v>
      </c>
      <c r="B77" s="9" t="n">
        <v>46045</v>
      </c>
      <c r="C77" t="inlineStr">
        <is>
          <t>PAY-2026-0072</t>
        </is>
      </c>
      <c r="D77" t="inlineStr">
        <is>
          <t>Check</t>
        </is>
      </c>
      <c r="E77" t="n">
        <v>41072</v>
      </c>
      <c r="F77" t="inlineStr">
        <is>
          <t>Operating Checking ****6034</t>
        </is>
      </c>
      <c r="G77" s="9" t="n">
        <v>46048</v>
      </c>
      <c r="H77" t="n">
        <v>174623</v>
      </c>
      <c r="I77" t="inlineStr">
        <is>
          <t>Keystone Management Services, LLC</t>
        </is>
      </c>
      <c r="J77" s="10" t="n">
        <v>15938.58</v>
      </c>
      <c r="K77" s="9" t="n">
        <v>46001</v>
      </c>
      <c r="L77" s="9" t="n">
        <v>45999</v>
      </c>
      <c r="M77" t="inlineStr">
        <is>
          <t>2000 - Accounts payable</t>
        </is>
      </c>
    </row>
    <row r="78">
      <c r="A78" t="n">
        <v>73</v>
      </c>
      <c r="B78" s="9" t="n">
        <v>46045</v>
      </c>
      <c r="C78" t="inlineStr">
        <is>
          <t>PAY-2026-0073</t>
        </is>
      </c>
      <c r="D78" t="inlineStr">
        <is>
          <t>ACH</t>
        </is>
      </c>
      <c r="E78" t="inlineStr">
        <is>
          <t>ACH-2026000073</t>
        </is>
      </c>
      <c r="F78" t="inlineStr">
        <is>
          <t>Operating Checking ****6034</t>
        </is>
      </c>
      <c r="G78" s="9" t="n">
        <v>46048</v>
      </c>
      <c r="H78" t="inlineStr">
        <is>
          <t>2025-0353</t>
        </is>
      </c>
      <c r="I78" t="inlineStr">
        <is>
          <t>Regional Utility Services</t>
        </is>
      </c>
      <c r="J78" s="10" t="n">
        <v>11633.44</v>
      </c>
      <c r="K78" s="9" t="n">
        <v>46001</v>
      </c>
      <c r="L78" s="9" t="n">
        <v>46000</v>
      </c>
      <c r="M78" t="inlineStr">
        <is>
          <t>2000 - Accounts payable</t>
        </is>
      </c>
    </row>
    <row r="79">
      <c r="A79" t="n">
        <v>74</v>
      </c>
      <c r="B79" s="9" t="n">
        <v>46045</v>
      </c>
      <c r="C79" t="inlineStr">
        <is>
          <t>PAY-2026-0074</t>
        </is>
      </c>
      <c r="D79" t="inlineStr">
        <is>
          <t>ACH</t>
        </is>
      </c>
      <c r="E79" t="inlineStr">
        <is>
          <t>ACH-2026000074</t>
        </is>
      </c>
      <c r="F79" t="inlineStr">
        <is>
          <t>Operating Checking ****6034</t>
        </is>
      </c>
      <c r="G79" s="9" t="n">
        <v>46048</v>
      </c>
      <c r="H79" t="inlineStr">
        <is>
          <t>INV-13905</t>
        </is>
      </c>
      <c r="I79" t="inlineStr">
        <is>
          <t>Blueforge Mechanical Contractors, LLC</t>
        </is>
      </c>
      <c r="J79" s="10" t="n">
        <v>13267.1</v>
      </c>
      <c r="K79" s="9" t="n">
        <v>46007</v>
      </c>
      <c r="L79" s="9" t="n">
        <v>46003</v>
      </c>
      <c r="M79" t="inlineStr">
        <is>
          <t>2000 - Accounts payable</t>
        </is>
      </c>
    </row>
    <row r="80">
      <c r="A80" t="n">
        <v>75</v>
      </c>
      <c r="B80" s="9" t="n">
        <v>46048</v>
      </c>
      <c r="C80" t="inlineStr">
        <is>
          <t>PAY-2026-0075</t>
        </is>
      </c>
      <c r="D80" t="inlineStr">
        <is>
          <t>Check</t>
        </is>
      </c>
      <c r="E80" t="n">
        <v>41075</v>
      </c>
      <c r="F80" t="inlineStr">
        <is>
          <t>Operating Checking ****6034</t>
        </is>
      </c>
      <c r="G80" s="9" t="n">
        <v>46049</v>
      </c>
      <c r="H80" t="inlineStr">
        <is>
          <t>KMS-18114</t>
        </is>
      </c>
      <c r="I80" t="inlineStr">
        <is>
          <t>Keystone Management Services, LLC</t>
        </is>
      </c>
      <c r="J80" s="10" t="n">
        <v>2458.35</v>
      </c>
      <c r="K80" s="9" t="n">
        <v>45995</v>
      </c>
      <c r="L80" s="9" t="n">
        <v>45995</v>
      </c>
      <c r="M80" t="inlineStr">
        <is>
          <t>2000 - Accounts payable</t>
        </is>
      </c>
    </row>
    <row r="81">
      <c r="A81" t="n">
        <v>76</v>
      </c>
      <c r="B81" s="9" t="n">
        <v>46048</v>
      </c>
      <c r="C81" t="inlineStr">
        <is>
          <t>PAY-2026-0076</t>
        </is>
      </c>
      <c r="D81" t="inlineStr">
        <is>
          <t>ACH</t>
        </is>
      </c>
      <c r="E81" t="inlineStr">
        <is>
          <t>ACH-2026000076</t>
        </is>
      </c>
      <c r="F81" t="inlineStr">
        <is>
          <t>Operating Checking ****6034</t>
        </is>
      </c>
      <c r="G81" s="9" t="n">
        <v>46049</v>
      </c>
      <c r="H81" t="inlineStr">
        <is>
          <t>INV-13856</t>
        </is>
      </c>
      <c r="I81" t="inlineStr">
        <is>
          <t>Blueforge Mechanical Contractors, LLC</t>
        </is>
      </c>
      <c r="J81" s="10" t="n">
        <v>20840.16</v>
      </c>
      <c r="K81" s="9" t="n">
        <v>46001</v>
      </c>
      <c r="L81" s="9" t="n">
        <v>45999</v>
      </c>
      <c r="M81" t="inlineStr">
        <is>
          <t>2000 - Accounts payable</t>
        </is>
      </c>
    </row>
    <row r="82">
      <c r="A82" t="n">
        <v>77</v>
      </c>
      <c r="B82" s="9" t="n">
        <v>46048</v>
      </c>
      <c r="C82" t="inlineStr">
        <is>
          <t>PAY-2026-0077</t>
        </is>
      </c>
      <c r="D82" t="inlineStr">
        <is>
          <t>ACH</t>
        </is>
      </c>
      <c r="E82" t="inlineStr">
        <is>
          <t>ACH-2026000077</t>
        </is>
      </c>
      <c r="F82" t="inlineStr">
        <is>
          <t>Operating Checking ****6034</t>
        </is>
      </c>
      <c r="G82" s="9" t="n">
        <v>46049</v>
      </c>
      <c r="H82" t="n">
        <v>453422</v>
      </c>
      <c r="I82" t="inlineStr">
        <is>
          <t>Calder Advisory Services</t>
        </is>
      </c>
      <c r="J82" s="10" t="n">
        <v>24038.94</v>
      </c>
      <c r="K82" s="9" t="n">
        <v>46000</v>
      </c>
      <c r="L82" s="9" t="n">
        <v>45999</v>
      </c>
      <c r="M82" t="inlineStr">
        <is>
          <t>2000 - Accounts payable</t>
        </is>
      </c>
    </row>
    <row r="83">
      <c r="A83" t="n">
        <v>78</v>
      </c>
      <c r="B83" s="9" t="n">
        <v>46049</v>
      </c>
      <c r="C83" t="inlineStr">
        <is>
          <t>PAY-2026-0078</t>
        </is>
      </c>
      <c r="D83" t="inlineStr">
        <is>
          <t>Check</t>
        </is>
      </c>
      <c r="E83" t="n">
        <v>41078</v>
      </c>
      <c r="F83" t="inlineStr">
        <is>
          <t>Operating Checking ****6034</t>
        </is>
      </c>
      <c r="G83" s="9" t="n">
        <v>46050</v>
      </c>
      <c r="H83" t="n">
        <v>1078</v>
      </c>
      <c r="I83" t="inlineStr">
        <is>
          <t>Meridian Electrical Systems, Inc.</t>
        </is>
      </c>
      <c r="J83" s="10" t="n">
        <v>20299.86</v>
      </c>
      <c r="K83" s="9" t="n">
        <v>45996</v>
      </c>
      <c r="L83" s="9" t="n">
        <v>45995</v>
      </c>
      <c r="M83" t="inlineStr">
        <is>
          <t>2000 - Accounts payable</t>
        </is>
      </c>
    </row>
    <row r="84">
      <c r="A84" t="n">
        <v>79</v>
      </c>
      <c r="B84" s="9" t="n">
        <v>46049</v>
      </c>
      <c r="C84" t="inlineStr">
        <is>
          <t>PAY-2026-0079</t>
        </is>
      </c>
      <c r="D84" t="inlineStr">
        <is>
          <t>ACH</t>
        </is>
      </c>
      <c r="E84" t="inlineStr">
        <is>
          <t>ACH-2026000079</t>
        </is>
      </c>
      <c r="F84" t="inlineStr">
        <is>
          <t>Operating Checking ****6034</t>
        </is>
      </c>
      <c r="G84" s="9" t="n">
        <v>46050</v>
      </c>
      <c r="H84" t="inlineStr">
        <is>
          <t>INV-13883</t>
        </is>
      </c>
      <c r="I84" t="inlineStr">
        <is>
          <t>Blueforge Mechanical Contractors, LLC</t>
        </is>
      </c>
      <c r="J84" s="10" t="n">
        <v>15794.9</v>
      </c>
      <c r="K84" s="9" t="n">
        <v>46002</v>
      </c>
      <c r="L84" s="9" t="n">
        <v>46000</v>
      </c>
      <c r="M84" t="inlineStr">
        <is>
          <t>2000 - Accounts payable</t>
        </is>
      </c>
    </row>
    <row r="85">
      <c r="A85" t="n">
        <v>80</v>
      </c>
      <c r="B85" s="9" t="n">
        <v>46049</v>
      </c>
      <c r="C85" t="inlineStr">
        <is>
          <t>PAY-2026-0080</t>
        </is>
      </c>
      <c r="D85" t="inlineStr">
        <is>
          <t>ACH</t>
        </is>
      </c>
      <c r="E85" t="inlineStr">
        <is>
          <t>ACH-2026000080</t>
        </is>
      </c>
      <c r="F85" t="inlineStr">
        <is>
          <t>Operating Checking ****6034</t>
        </is>
      </c>
      <c r="G85" s="9" t="n">
        <v>46050</v>
      </c>
      <c r="H85" t="inlineStr">
        <is>
          <t>NMG-18939</t>
        </is>
      </c>
      <c r="I85" t="inlineStr">
        <is>
          <t>Norcrest Maintenance Group</t>
        </is>
      </c>
      <c r="J85" s="10" t="n">
        <v>19398.2</v>
      </c>
      <c r="K85" s="9" t="n">
        <v>46003</v>
      </c>
      <c r="L85" s="9" t="n">
        <v>46001</v>
      </c>
      <c r="M85" t="inlineStr">
        <is>
          <t>2000 - Accounts payable</t>
        </is>
      </c>
    </row>
    <row r="86">
      <c r="A86" t="n">
        <v>81</v>
      </c>
      <c r="B86" s="9" t="n">
        <v>46050</v>
      </c>
      <c r="C86" t="inlineStr">
        <is>
          <t>PAY-2026-0081</t>
        </is>
      </c>
      <c r="D86" t="inlineStr">
        <is>
          <t>Check</t>
        </is>
      </c>
      <c r="E86" t="n">
        <v>41081</v>
      </c>
      <c r="F86" t="inlineStr">
        <is>
          <t>Operating Checking ****6034</t>
        </is>
      </c>
      <c r="G86" s="9" t="n">
        <v>46051</v>
      </c>
      <c r="H86" t="inlineStr">
        <is>
          <t>RIF-23391</t>
        </is>
      </c>
      <c r="I86" t="inlineStr">
        <is>
          <t>Ridgeway Interior Finishes, LLC</t>
        </is>
      </c>
      <c r="J86" s="10" t="n">
        <v>31842.58</v>
      </c>
      <c r="K86" s="9" t="n">
        <v>46008</v>
      </c>
      <c r="L86" s="9" t="n">
        <v>46003</v>
      </c>
      <c r="M86" t="inlineStr">
        <is>
          <t>2000 - Accounts payable</t>
        </is>
      </c>
    </row>
    <row r="87">
      <c r="A87" t="n">
        <v>82</v>
      </c>
      <c r="B87" s="9" t="n">
        <v>46050</v>
      </c>
      <c r="C87" t="inlineStr">
        <is>
          <t>PAY-2026-0082</t>
        </is>
      </c>
      <c r="D87" t="inlineStr">
        <is>
          <t>ACH</t>
        </is>
      </c>
      <c r="E87" t="inlineStr">
        <is>
          <t>ACH-2026000082</t>
        </is>
      </c>
      <c r="F87" t="inlineStr">
        <is>
          <t>Operating Checking ****6034</t>
        </is>
      </c>
      <c r="G87" s="9" t="n">
        <v>46051</v>
      </c>
      <c r="H87" t="n">
        <v>1083</v>
      </c>
      <c r="I87" t="inlineStr">
        <is>
          <t>Meridian Electrical Systems, Inc.</t>
        </is>
      </c>
      <c r="J87" s="10" t="n">
        <v>17975.52</v>
      </c>
      <c r="K87" s="9" t="n">
        <v>46006</v>
      </c>
      <c r="L87" s="9" t="n">
        <v>46003</v>
      </c>
      <c r="M87" t="inlineStr">
        <is>
          <t>2000 - Accounts payable</t>
        </is>
      </c>
    </row>
    <row r="88">
      <c r="A88" t="n">
        <v>83</v>
      </c>
      <c r="B88" s="9" t="n">
        <v>46051</v>
      </c>
      <c r="C88" t="inlineStr">
        <is>
          <t>PAY-2026-0083</t>
        </is>
      </c>
      <c r="D88" t="inlineStr">
        <is>
          <t>ACH</t>
        </is>
      </c>
      <c r="E88" t="inlineStr">
        <is>
          <t>ACH-2026000083</t>
        </is>
      </c>
      <c r="F88" t="inlineStr">
        <is>
          <t>Operating Checking ****6034</t>
        </is>
      </c>
      <c r="G88" s="9" t="n">
        <v>46052</v>
      </c>
      <c r="H88" t="inlineStr">
        <is>
          <t>INV-18495</t>
        </is>
      </c>
      <c r="I88" t="inlineStr">
        <is>
          <t>Blueforge Facility Equipment, Inc.</t>
        </is>
      </c>
      <c r="J88" s="10" t="n">
        <v>7555.31</v>
      </c>
      <c r="K88" s="9" t="n">
        <v>45994</v>
      </c>
      <c r="L88" s="9" t="n">
        <v>45993</v>
      </c>
      <c r="M88" t="inlineStr">
        <is>
          <t>2000 - Accounts payable</t>
        </is>
      </c>
    </row>
    <row r="89">
      <c r="A89" t="n">
        <v>84</v>
      </c>
      <c r="B89" s="9" t="n">
        <v>46051</v>
      </c>
      <c r="C89" t="inlineStr">
        <is>
          <t>PAY-2026-0084</t>
        </is>
      </c>
      <c r="D89" t="inlineStr">
        <is>
          <t>Check</t>
        </is>
      </c>
      <c r="E89" t="n">
        <v>41084</v>
      </c>
      <c r="F89" t="inlineStr">
        <is>
          <t>Operating Checking ****6034</t>
        </is>
      </c>
      <c r="G89" s="9" t="n">
        <v>46052</v>
      </c>
      <c r="H89" t="n">
        <v>453409</v>
      </c>
      <c r="I89" t="inlineStr">
        <is>
          <t>Calder Advisory Services</t>
        </is>
      </c>
      <c r="J89" s="10" t="n">
        <v>5564.95</v>
      </c>
      <c r="K89" s="9" t="n">
        <v>46000</v>
      </c>
      <c r="L89" s="9" t="n">
        <v>45999</v>
      </c>
      <c r="M89" t="inlineStr">
        <is>
          <t>2000 - Accounts payable</t>
        </is>
      </c>
    </row>
    <row r="90">
      <c r="A90" s="6" t="inlineStr">
        <is>
          <t>Total</t>
        </is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13">
        <f>SUM(J6:J89)</f>
        <v>1564951.69</v>
      </c>
      <c r="K90" s="7" t="inlineStr"/>
      <c r="L90" s="7" t="inlineStr"/>
      <c r="M90" s="7" t="inlineStr"/>
    </row>
  </sheetData>
  <autoFilter ref="A5:M90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Morgan Kellerman</cp:lastModifiedBy>
  <dcterms:created xsi:type="dcterms:W3CDTF">2026-02-08T10:06:00Z</dcterms:created>
  <dcterms:modified xsi:type="dcterms:W3CDTF">2026-02-08T13:52:00Z</dcterms:modified>
</cp:coreProperties>
</file>