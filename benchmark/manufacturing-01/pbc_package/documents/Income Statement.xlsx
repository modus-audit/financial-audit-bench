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</sheets>
  <definedNames>
    <definedName name="_xlnm.Print_Area" localSheetId="0">'Income Statement'!$A$1:$C$47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6">
    <font>
      <name val="Calibri"/>
      <family val="2"/>
      <color theme="1"/>
      <sz val="11"/>
      <scheme val="minor"/>
    </font>
    <font>
      <b val="1"/>
      <color rgb="FF1F3864"/>
      <sz val="14"/>
    </font>
    <font>
      <b val="1"/>
      <color rgb="FF1F3864"/>
      <sz val="11"/>
    </font>
    <font>
      <i val="1"/>
      <color rgb="FF7F7F7F"/>
      <sz val="9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top style="thin">
        <color rgb="FF404040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4" fillId="0" borderId="1" pivotButton="0" quotePrefix="0" xfId="0"/>
    <xf numFmtId="164" fontId="4" fillId="0" borderId="1" pivotButton="0" quotePrefix="0" xfId="0"/>
    <xf numFmtId="0" fontId="5" fillId="0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7"/>
  <sheetViews>
    <sheetView showGridLines="0" zoomScale="90" workbookViewId="0">
      <selection activeCell="A1" sqref="A1"/>
    </sheetView>
  </sheetViews>
  <sheetFormatPr baseColWidth="8" defaultRowHeight="15" outlineLevelCol="0"/>
  <cols>
    <col width="12" customWidth="1" min="1" max="1"/>
    <col width="37" customWidth="1" min="2" max="2"/>
    <col width="14" customWidth="1" min="3" max="3"/>
  </cols>
  <sheetData>
    <row r="1">
      <c r="A1" s="1" t="inlineStr">
        <is>
          <t>Whitmore Products Company</t>
        </is>
      </c>
    </row>
    <row r="2">
      <c r="A2" t="inlineStr">
        <is>
          <t>Income Statement</t>
        </is>
      </c>
    </row>
    <row r="3">
      <c r="A3" s="2" t="inlineStr">
        <is>
          <t>For the year ended December 31, 2025</t>
        </is>
      </c>
    </row>
    <row r="4"/>
    <row r="5">
      <c r="A5" s="3" t="inlineStr">
        <is>
          <t>Revenue</t>
        </is>
      </c>
    </row>
    <row r="6">
      <c r="B6" t="inlineStr">
        <is>
          <t>Product sales</t>
        </is>
      </c>
      <c r="C6" s="4" t="n">
        <v>3448138.85</v>
      </c>
    </row>
    <row r="7">
      <c r="B7" t="inlineStr">
        <is>
          <t>Net investment income</t>
        </is>
      </c>
      <c r="C7" s="4" t="n">
        <v>8400</v>
      </c>
    </row>
    <row r="8">
      <c r="A8" s="5" t="inlineStr"/>
      <c r="B8" s="6" t="inlineStr">
        <is>
          <t>Total revenue</t>
        </is>
      </c>
      <c r="C8" s="7">
        <f>SUM(C6:C7)</f>
        <v>3456538.85</v>
      </c>
    </row>
    <row r="9"/>
    <row r="10">
      <c r="A10" s="8" t="inlineStr">
        <is>
          <t>Expenses</t>
        </is>
      </c>
    </row>
    <row r="11">
      <c r="B11" t="inlineStr">
        <is>
          <t>Management fees</t>
        </is>
      </c>
      <c r="C11" s="4" t="n">
        <v>57564.62</v>
      </c>
    </row>
    <row r="12">
      <c r="B12" t="inlineStr">
        <is>
          <t>Kitchen and breakroom supplies</t>
        </is>
      </c>
      <c r="C12" s="4" t="n">
        <v>450</v>
      </c>
    </row>
    <row r="13">
      <c r="B13" t="inlineStr">
        <is>
          <t>Cost of goods sold - product</t>
        </is>
      </c>
      <c r="C13" s="4" t="n">
        <v>957377.84</v>
      </c>
    </row>
    <row r="14">
      <c r="B14" t="inlineStr">
        <is>
          <t>Employee benefits</t>
        </is>
      </c>
      <c r="C14" s="4" t="n">
        <v>69109.67</v>
      </c>
    </row>
    <row r="15">
      <c r="B15" t="inlineStr">
        <is>
          <t>Packaging and shipping supplies</t>
        </is>
      </c>
      <c r="C15" s="4" t="n">
        <v>419271.59</v>
      </c>
    </row>
    <row r="16">
      <c r="B16" t="inlineStr">
        <is>
          <t>Warehouse handling</t>
        </is>
      </c>
      <c r="C16" s="4" t="n">
        <v>356960.7</v>
      </c>
    </row>
    <row r="17">
      <c r="B17" t="inlineStr">
        <is>
          <t>Purchasing costs</t>
        </is>
      </c>
      <c r="C17" s="4" t="n">
        <v>288303.24</v>
      </c>
    </row>
    <row r="18">
      <c r="B18" t="inlineStr">
        <is>
          <t>Freight in</t>
        </is>
      </c>
      <c r="C18" s="4" t="n">
        <v>198023.95</v>
      </c>
    </row>
    <row r="19">
      <c r="B19" t="inlineStr">
        <is>
          <t>Inventory adjustments</t>
        </is>
      </c>
      <c r="C19" s="4" t="n">
        <v>172371.63</v>
      </c>
    </row>
    <row r="20">
      <c r="B20" t="inlineStr">
        <is>
          <t>Legal fees</t>
        </is>
      </c>
      <c r="C20" s="9" t="n">
        <v>27611.05</v>
      </c>
    </row>
    <row r="21">
      <c r="B21" t="inlineStr">
        <is>
          <t>Repairs and maintenance - equipment</t>
        </is>
      </c>
      <c r="C21" s="4" t="n">
        <v>9336.049999999999</v>
      </c>
    </row>
    <row r="22">
      <c r="B22" t="inlineStr">
        <is>
          <t>Utilities</t>
        </is>
      </c>
      <c r="C22" s="4" t="n">
        <v>75647.06</v>
      </c>
    </row>
    <row r="23">
      <c r="B23" t="inlineStr">
        <is>
          <t>General and administrative</t>
        </is>
      </c>
      <c r="C23" s="4" t="n">
        <v>9259.52</v>
      </c>
    </row>
    <row r="24">
      <c r="B24" t="inlineStr">
        <is>
          <t>Outside services</t>
        </is>
      </c>
      <c r="C24" s="4" t="n">
        <v>3186.88</v>
      </c>
    </row>
    <row r="25">
      <c r="B25" t="inlineStr">
        <is>
          <t>Wages - direct labor</t>
        </is>
      </c>
      <c r="C25" s="4" t="n">
        <v>130983.72</v>
      </c>
    </row>
    <row r="26">
      <c r="B26" t="inlineStr">
        <is>
          <t>Wages - supervision</t>
        </is>
      </c>
      <c r="C26" s="4" t="n">
        <v>68179.25999999999</v>
      </c>
    </row>
    <row r="27">
      <c r="B27" t="inlineStr">
        <is>
          <t>Overtime premium</t>
        </is>
      </c>
      <c r="C27" s="4" t="n">
        <v>32934.67</v>
      </c>
    </row>
    <row r="28">
      <c r="B28" t="inlineStr">
        <is>
          <t>Officers salaries</t>
        </is>
      </c>
      <c r="C28" s="4" t="n">
        <v>38470.51</v>
      </c>
    </row>
    <row r="29">
      <c r="B29" t="inlineStr">
        <is>
          <t>Payroll taxes - FICA</t>
        </is>
      </c>
      <c r="C29" s="4" t="n">
        <v>21624.76</v>
      </c>
    </row>
    <row r="30">
      <c r="B30" t="inlineStr">
        <is>
          <t>Plan room fees</t>
        </is>
      </c>
      <c r="C30" s="4" t="n">
        <v>1750</v>
      </c>
    </row>
    <row r="31">
      <c r="B31" t="inlineStr">
        <is>
          <t>Bid and proposal expense</t>
        </is>
      </c>
      <c r="C31" s="4" t="n">
        <v>700</v>
      </c>
    </row>
    <row r="32">
      <c r="B32" t="inlineStr">
        <is>
          <t>Snow removal</t>
        </is>
      </c>
      <c r="C32" s="4" t="n">
        <v>650</v>
      </c>
    </row>
    <row r="33">
      <c r="B33" t="inlineStr">
        <is>
          <t>Bonding expense</t>
        </is>
      </c>
      <c r="C33" s="4" t="n">
        <v>7600</v>
      </c>
    </row>
    <row r="34">
      <c r="B34" t="inlineStr">
        <is>
          <t>Advertising</t>
        </is>
      </c>
      <c r="C34" s="4" t="n">
        <v>900</v>
      </c>
    </row>
    <row r="35">
      <c r="B35" t="inlineStr">
        <is>
          <t>Technical publications</t>
        </is>
      </c>
      <c r="C35" s="4" t="n">
        <v>800</v>
      </c>
    </row>
    <row r="36">
      <c r="B36" t="inlineStr">
        <is>
          <t>Retirement plan expense</t>
        </is>
      </c>
      <c r="C36" s="4" t="n">
        <v>550</v>
      </c>
    </row>
    <row r="37">
      <c r="B37" t="inlineStr">
        <is>
          <t>Blueprints and plans</t>
        </is>
      </c>
      <c r="C37" s="4" t="n">
        <v>500</v>
      </c>
    </row>
    <row r="38">
      <c r="B38" t="inlineStr">
        <is>
          <t>Insurance expense</t>
        </is>
      </c>
      <c r="C38" s="4" t="n">
        <v>18475.96</v>
      </c>
    </row>
    <row r="39">
      <c r="B39" t="inlineStr">
        <is>
          <t>Provision for credit losses</t>
        </is>
      </c>
      <c r="C39" s="4" t="n">
        <v>6070.43</v>
      </c>
    </row>
    <row r="40">
      <c r="B40" t="inlineStr">
        <is>
          <t>Insurance - general liability</t>
        </is>
      </c>
      <c r="C40" s="4" t="n">
        <v>10222.44</v>
      </c>
    </row>
    <row r="41">
      <c r="B41" t="inlineStr">
        <is>
          <t>Taxes and licenses</t>
        </is>
      </c>
      <c r="C41" s="4" t="n">
        <v>52290.9</v>
      </c>
    </row>
    <row r="42">
      <c r="B42" t="inlineStr">
        <is>
          <t>Interest expense</t>
        </is>
      </c>
      <c r="C42" s="4" t="n">
        <v>364888.09</v>
      </c>
    </row>
    <row r="43">
      <c r="B43" t="inlineStr">
        <is>
          <t>Depreciation expense</t>
        </is>
      </c>
      <c r="C43" s="4" t="n">
        <v>550352.7</v>
      </c>
    </row>
    <row r="44">
      <c r="B44" t="inlineStr">
        <is>
          <t>Amortization expense</t>
        </is>
      </c>
      <c r="C44" s="4" t="n">
        <v>2625</v>
      </c>
    </row>
    <row r="45">
      <c r="A45" s="5" t="inlineStr"/>
      <c r="B45" s="6" t="inlineStr">
        <is>
          <t>Total expenses</t>
        </is>
      </c>
      <c r="C45" s="7">
        <f>SUM(C11:C44)</f>
        <v>3955042.24</v>
      </c>
    </row>
    <row r="46"/>
    <row r="47">
      <c r="A47" s="6" t="inlineStr">
        <is>
          <t>Net income</t>
        </is>
      </c>
      <c r="B47" s="7" t="n">
        <v>-498503.39</v>
      </c>
      <c r="C47" s="5" t="n"/>
    </row>
  </sheetData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Morgan Kellerman</dc:creator>
  <cp:lastModifiedBy>Morgan Kellerman</cp:lastModifiedBy>
  <dcterms:created xsi:type="dcterms:W3CDTF">2026-01-28T15:49:00Z</dcterms:created>
  <dcterms:modified xsi:type="dcterms:W3CDTF">2026-01-28T18:54:00Z</dcterms:modified>
</cp:coreProperties>
</file>