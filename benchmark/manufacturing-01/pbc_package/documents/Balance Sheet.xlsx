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>
    <definedName name="_xlnm.Print_Area" localSheetId="0">'Balance Sheet'!$A$1:$C$35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6">
    <font>
      <name val="Calibri"/>
      <family val="2"/>
      <color theme="1"/>
      <sz val="11"/>
      <scheme val="minor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FF40404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zoomScale="90" workbookViewId="0">
      <selection activeCell="A1" sqref="A1"/>
    </sheetView>
  </sheetViews>
  <sheetFormatPr baseColWidth="8" defaultRowHeight="15" outlineLevelCol="0"/>
  <cols>
    <col width="14" customWidth="1" min="1" max="1"/>
    <col width="29" customWidth="1" min="2" max="2"/>
    <col width="15" customWidth="1" min="3" max="3"/>
  </cols>
  <sheetData>
    <row r="1">
      <c r="A1" s="1" t="inlineStr">
        <is>
          <t>Whitmore Products Company</t>
        </is>
      </c>
    </row>
    <row r="2">
      <c r="A2" t="inlineStr">
        <is>
          <t>Balance Sheet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Assets</t>
        </is>
      </c>
    </row>
    <row r="6">
      <c r="B6" t="inlineStr">
        <is>
          <t>Cash - operating</t>
        </is>
      </c>
      <c r="C6" s="9" t="n">
        <v>2446127.43</v>
      </c>
    </row>
    <row r="7">
      <c r="B7" t="inlineStr">
        <is>
          <t>Money market reserve</t>
        </is>
      </c>
      <c r="C7" s="9" t="n">
        <v>288400</v>
      </c>
    </row>
    <row r="8">
      <c r="B8" t="inlineStr">
        <is>
          <t>Accounts receivable - trade</t>
        </is>
      </c>
      <c r="C8" s="9" t="n">
        <v>521766.89</v>
      </c>
    </row>
    <row r="9">
      <c r="B9" t="inlineStr">
        <is>
          <t>Allowance for credit losses</t>
        </is>
      </c>
      <c r="C9" s="9" t="n">
        <v>-25624.77</v>
      </c>
    </row>
    <row r="10">
      <c r="B10" t="inlineStr">
        <is>
          <t>Inventory in transit</t>
        </is>
      </c>
      <c r="C10" s="9" t="n">
        <v>18995.82</v>
      </c>
    </row>
    <row r="11">
      <c r="B11" t="inlineStr">
        <is>
          <t>Inventory - raw materials</t>
        </is>
      </c>
      <c r="C11" s="9" t="n">
        <v>478734.68</v>
      </c>
    </row>
    <row r="12">
      <c r="B12" t="inlineStr">
        <is>
          <t>Inventory - work in process</t>
        </is>
      </c>
      <c r="C12" s="9" t="n">
        <v>389132.54</v>
      </c>
    </row>
    <row r="13">
      <c r="B13" t="inlineStr">
        <is>
          <t>Inventory - finished goods</t>
        </is>
      </c>
      <c r="C13" s="9" t="n">
        <v>1043242.67</v>
      </c>
    </row>
    <row r="14">
      <c r="B14" t="inlineStr">
        <is>
          <t>Prepaid expenses</t>
        </is>
      </c>
      <c r="C14" s="9" t="n">
        <v>17157.8</v>
      </c>
    </row>
    <row r="15">
      <c r="B15" t="inlineStr">
        <is>
          <t>Property and equipment</t>
        </is>
      </c>
      <c r="C15" s="9" t="n">
        <v>4807073.86</v>
      </c>
    </row>
    <row r="16">
      <c r="B16" t="inlineStr">
        <is>
          <t>Accumulated depreciation</t>
        </is>
      </c>
      <c r="C16" s="9" t="n">
        <v>-4519270.46</v>
      </c>
    </row>
    <row r="17">
      <c r="B17" t="inlineStr">
        <is>
          <t>Deferred financing costs</t>
        </is>
      </c>
      <c r="C17" s="9" t="n">
        <v>52500</v>
      </c>
    </row>
    <row r="18">
      <c r="B18" t="inlineStr">
        <is>
          <t>Accumulated amortization</t>
        </is>
      </c>
      <c r="C18" s="9" t="n">
        <v>-2625</v>
      </c>
    </row>
    <row r="19">
      <c r="A19" s="5" t="inlineStr"/>
      <c r="B19" s="6" t="inlineStr">
        <is>
          <t>Total assets</t>
        </is>
      </c>
      <c r="C19" s="10">
        <f>SUM(C6:C18)</f>
        <v>5515611.46</v>
      </c>
    </row>
    <row r="20"/>
    <row r="21">
      <c r="A21" s="8" t="inlineStr">
        <is>
          <t>Liabilities</t>
        </is>
      </c>
    </row>
    <row r="22">
      <c r="B22" t="inlineStr">
        <is>
          <t>Accounts payable</t>
        </is>
      </c>
      <c r="C22" s="9" t="n">
        <v>1545955.87</v>
      </c>
    </row>
    <row r="23">
      <c r="B23" t="inlineStr">
        <is>
          <t>Accrued expenses</t>
        </is>
      </c>
      <c r="C23" s="9" t="n">
        <v>34623.33</v>
      </c>
    </row>
    <row r="24">
      <c r="B24" t="inlineStr">
        <is>
          <t>Accrued payroll</t>
        </is>
      </c>
      <c r="C24" s="9" t="n">
        <v>3520.11</v>
      </c>
    </row>
    <row r="25">
      <c r="B25" t="inlineStr">
        <is>
          <t>Current maturities of debt</t>
        </is>
      </c>
      <c r="C25" s="9" t="n">
        <v>59542.28</v>
      </c>
    </row>
    <row r="26">
      <c r="B26" t="inlineStr">
        <is>
          <t>Long-term debt</t>
        </is>
      </c>
      <c r="C26" s="9" t="n">
        <v>3386889.63</v>
      </c>
    </row>
    <row r="27">
      <c r="A27" s="5" t="inlineStr"/>
      <c r="B27" s="6" t="inlineStr">
        <is>
          <t>Total liabilities</t>
        </is>
      </c>
      <c r="C27" s="10">
        <f>SUM(C22:C26)</f>
        <v>5030531.22</v>
      </c>
    </row>
    <row r="28"/>
    <row r="29">
      <c r="A29" s="8" t="inlineStr">
        <is>
          <t>Equity</t>
        </is>
      </c>
    </row>
    <row r="30">
      <c r="B30" t="inlineStr">
        <is>
          <t>Paid-in capital</t>
        </is>
      </c>
      <c r="C30" s="9" t="n">
        <v>2250000</v>
      </c>
    </row>
    <row r="31">
      <c r="B31" t="inlineStr">
        <is>
          <t>Retained earnings</t>
        </is>
      </c>
      <c r="C31" s="9" t="n">
        <v>-1266416.37</v>
      </c>
    </row>
    <row r="32">
      <c r="A32" s="5" t="inlineStr"/>
      <c r="B32" s="6" t="inlineStr">
        <is>
          <t>Net income - current year</t>
        </is>
      </c>
      <c r="C32" s="10" t="n">
        <v>-498503.39</v>
      </c>
    </row>
    <row r="33">
      <c r="A33" s="5" t="inlineStr"/>
      <c r="B33" s="6" t="inlineStr">
        <is>
          <t>Total equity</t>
        </is>
      </c>
      <c r="C33" s="10" t="n">
        <v>485080.24</v>
      </c>
    </row>
    <row r="34"/>
    <row r="35">
      <c r="A35" s="6" t="inlineStr">
        <is>
          <t>Total assets</t>
        </is>
      </c>
      <c r="B35" s="10" t="n">
        <v>5515611.46</v>
      </c>
      <c r="C35" s="5" t="n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2026-02-11T17:22:00Z</dcterms:created>
  <dcterms:modified xsi:type="dcterms:W3CDTF">2026-02-11T18:19:00Z</dcterms:modified>
</cp:coreProperties>
</file>