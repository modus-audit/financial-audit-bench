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reciation Schedule" sheetId="1" state="visible" r:id="rId1"/>
  </sheets>
  <definedNames>
    <definedName name="_xlnm._FilterDatabase" localSheetId="0" hidden="1">'Depreciation Schedule'!$A$5:$K$34</definedName>
    <definedName name="_xlnm.Print_Titles" localSheetId="0">'Depreciation Schedule'!$5:$5</definedName>
    <definedName name="_xlnm.Print_Area" localSheetId="0">'Depreciation Schedule'!$A$1:$K$34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165" fontId="0" fillId="0" borderId="0" pivotButton="0" quotePrefix="0" xfId="0"/>
    <xf numFmtId="165" fontId="0" fillId="3" borderId="0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52" customWidth="1" min="1" max="1"/>
    <col width="42" customWidth="1" min="2" max="2"/>
    <col width="23" customWidth="1" min="3" max="3"/>
    <col width="12" customWidth="1" min="4" max="4"/>
    <col width="10" customWidth="1" min="5" max="5"/>
    <col width="10" customWidth="1" min="6" max="6"/>
    <col width="14" customWidth="1" min="7" max="7"/>
    <col width="15" customWidth="1" min="8" max="8"/>
    <col width="22" customWidth="1" min="9" max="9"/>
    <col width="14" customWidth="1" min="10" max="10"/>
    <col width="16" customWidth="1" min="11" max="11"/>
  </cols>
  <sheetData>
    <row r="1">
      <c r="A1" s="1" t="inlineStr">
        <is>
          <t>Whitmore Products Company</t>
        </is>
      </c>
    </row>
    <row r="2">
      <c r="A2" t="inlineStr">
        <is>
          <t>Depreciation Schedule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Asset ID</t>
        </is>
      </c>
      <c r="B5" s="3" t="inlineStr">
        <is>
          <t>Asset</t>
        </is>
      </c>
      <c r="C5" s="3" t="inlineStr">
        <is>
          <t>Class</t>
        </is>
      </c>
      <c r="D5" s="3" t="inlineStr">
        <is>
          <t>In service</t>
        </is>
      </c>
      <c r="E5" s="3" t="inlineStr">
        <is>
          <t>Method</t>
        </is>
      </c>
      <c r="F5" s="3" t="inlineStr">
        <is>
          <t>Life</t>
        </is>
      </c>
      <c r="G5" s="3" t="inlineStr">
        <is>
          <t>Cost</t>
        </is>
      </c>
      <c r="H5" s="3" t="inlineStr">
        <is>
          <t>Opening accum</t>
        </is>
      </c>
      <c r="I5" s="3" t="inlineStr">
        <is>
          <t>Current depreciation</t>
        </is>
      </c>
      <c r="J5" s="3" t="inlineStr">
        <is>
          <t>Ending accum</t>
        </is>
      </c>
      <c r="K5" s="3" t="inlineStr">
        <is>
          <t>Net book value</t>
        </is>
      </c>
    </row>
    <row r="6">
      <c r="A6" t="inlineStr">
        <is>
          <t>FA-1006</t>
        </is>
      </c>
      <c r="B6" t="inlineStr">
        <is>
          <t>Processing equipment line</t>
        </is>
      </c>
      <c r="C6" t="inlineStr">
        <is>
          <t>Equipment</t>
        </is>
      </c>
      <c r="D6" t="inlineStr">
        <is>
          <t>07/01/2019</t>
        </is>
      </c>
      <c r="E6" t="inlineStr">
        <is>
          <t>S/L</t>
        </is>
      </c>
      <c r="F6" t="inlineStr">
        <is>
          <t>7.0</t>
        </is>
      </c>
      <c r="G6" s="8" t="n">
        <v>521000</v>
      </c>
      <c r="H6" s="8" t="n">
        <v>409357.14</v>
      </c>
      <c r="I6" s="8" t="n">
        <v>74428.57000000001</v>
      </c>
      <c r="J6" s="8" t="n">
        <v>483785.71</v>
      </c>
      <c r="K6" s="8">
        <f>G6-J6</f>
        <v>37214.29</v>
      </c>
    </row>
    <row r="7">
      <c r="A7" t="inlineStr">
        <is>
          <t>FA-1007</t>
        </is>
      </c>
      <c r="B7" t="inlineStr">
        <is>
          <t>Quality-control and testing equipment</t>
        </is>
      </c>
      <c r="C7" t="inlineStr">
        <is>
          <t>Equipment</t>
        </is>
      </c>
      <c r="D7" t="inlineStr">
        <is>
          <t>07/01/2019</t>
        </is>
      </c>
      <c r="E7" t="inlineStr">
        <is>
          <t>S/L</t>
        </is>
      </c>
      <c r="F7" t="inlineStr">
        <is>
          <t>7.0</t>
        </is>
      </c>
      <c r="G7" s="8" t="n">
        <v>383000</v>
      </c>
      <c r="H7" s="8" t="n">
        <v>300928.57</v>
      </c>
      <c r="I7" s="8" t="n">
        <v>54714.29</v>
      </c>
      <c r="J7" s="9" t="n">
        <v>355642.86</v>
      </c>
      <c r="K7" s="8">
        <f>G7-J7</f>
        <v>27357.14</v>
      </c>
    </row>
    <row r="8">
      <c r="A8" t="inlineStr">
        <is>
          <t>FA-1008</t>
        </is>
      </c>
      <c r="B8" t="inlineStr">
        <is>
          <t>Warehouse racking and conveyors</t>
        </is>
      </c>
      <c r="C8" t="inlineStr">
        <is>
          <t>Equipment</t>
        </is>
      </c>
      <c r="D8" t="inlineStr">
        <is>
          <t>07/01/2019</t>
        </is>
      </c>
      <c r="E8" t="inlineStr">
        <is>
          <t>S/L</t>
        </is>
      </c>
      <c r="F8" t="inlineStr">
        <is>
          <t>7.0</t>
        </is>
      </c>
      <c r="G8" s="8" t="n">
        <v>165117</v>
      </c>
      <c r="H8" s="8" t="n">
        <v>129734.79</v>
      </c>
      <c r="I8" s="8" t="n">
        <v>23588.14</v>
      </c>
      <c r="J8" s="8" t="n">
        <v>153322.93</v>
      </c>
      <c r="K8" s="8">
        <f>G8-J8</f>
        <v>11794.07</v>
      </c>
    </row>
    <row r="9">
      <c r="A9" t="inlineStr">
        <is>
          <t>FA-1009</t>
        </is>
      </c>
      <c r="B9" t="inlineStr">
        <is>
          <t>Forklifts and pallet handling equipment</t>
        </is>
      </c>
      <c r="C9" t="inlineStr">
        <is>
          <t>Equipment</t>
        </is>
      </c>
      <c r="D9" t="inlineStr">
        <is>
          <t>07/01/2019</t>
        </is>
      </c>
      <c r="E9" t="inlineStr">
        <is>
          <t>S/L</t>
        </is>
      </c>
      <c r="F9" t="inlineStr">
        <is>
          <t>7.0</t>
        </is>
      </c>
      <c r="G9" s="8" t="n">
        <v>127550</v>
      </c>
      <c r="H9" s="8" t="n">
        <v>100217.86</v>
      </c>
      <c r="I9" s="8" t="n">
        <v>18221.43</v>
      </c>
      <c r="J9" s="8" t="n">
        <v>118439.29</v>
      </c>
      <c r="K9" s="8">
        <f>G9-J9</f>
        <v>9110.71</v>
      </c>
    </row>
    <row r="10">
      <c r="A10" s="5" t="inlineStr"/>
      <c r="B10" s="6" t="inlineStr">
        <is>
          <t>Total equipment</t>
        </is>
      </c>
      <c r="C10" s="5" t="inlineStr"/>
      <c r="D10" s="5" t="inlineStr"/>
      <c r="E10" s="5" t="inlineStr"/>
      <c r="F10" s="5" t="inlineStr"/>
      <c r="G10" s="10">
        <f>SUM(G6:G9)</f>
        <v>1196667</v>
      </c>
      <c r="H10" s="10">
        <f>SUM(H6:H9)</f>
        <v>940238.36</v>
      </c>
      <c r="I10" s="10">
        <f>SUM(I6:I9)</f>
        <v>170952.43</v>
      </c>
      <c r="J10" s="10">
        <f>SUM(J6:J9)</f>
        <v>1111190.79</v>
      </c>
      <c r="K10" s="10">
        <f>SUM(K6:K9)</f>
        <v>85476.21</v>
      </c>
    </row>
    <row r="11"/>
    <row r="12">
      <c r="A12" t="inlineStr">
        <is>
          <t>equipment ending accumulated depreciation</t>
        </is>
      </c>
      <c r="B12" s="8" t="n">
        <v>1111190.79</v>
      </c>
    </row>
    <row r="13"/>
    <row r="14">
      <c r="A14" t="inlineStr">
        <is>
          <t>FA-1001</t>
        </is>
      </c>
      <c r="B14" t="inlineStr">
        <is>
          <t>Leasehold improvements - plant floor</t>
        </is>
      </c>
      <c r="C14" t="inlineStr">
        <is>
          <t>Leasehold improvement</t>
        </is>
      </c>
      <c r="D14" t="inlineStr">
        <is>
          <t>07/01/2011</t>
        </is>
      </c>
      <c r="E14" t="inlineStr">
        <is>
          <t>S/L</t>
        </is>
      </c>
      <c r="F14" t="inlineStr">
        <is>
          <t>15.0</t>
        </is>
      </c>
      <c r="G14" s="8" t="n">
        <v>226554</v>
      </c>
      <c r="H14" s="8" t="n">
        <v>203898.6</v>
      </c>
      <c r="I14" s="8" t="n">
        <v>15103.6</v>
      </c>
      <c r="J14" s="8" t="n">
        <v>219002.2</v>
      </c>
      <c r="K14" s="8">
        <f>G14-J14</f>
        <v>7551.8</v>
      </c>
    </row>
    <row r="15">
      <c r="A15" t="inlineStr">
        <is>
          <t>FA-1002</t>
        </is>
      </c>
      <c r="B15" t="inlineStr">
        <is>
          <t>Leasehold improvements - office buildout</t>
        </is>
      </c>
      <c r="C15" t="inlineStr">
        <is>
          <t>Leasehold improvement</t>
        </is>
      </c>
      <c r="D15" t="inlineStr">
        <is>
          <t>07/01/2011</t>
        </is>
      </c>
      <c r="E15" t="inlineStr">
        <is>
          <t>S/L</t>
        </is>
      </c>
      <c r="F15" t="inlineStr">
        <is>
          <t>15.0</t>
        </is>
      </c>
      <c r="G15" s="8" t="n">
        <v>129500</v>
      </c>
      <c r="H15" s="8" t="n">
        <v>116550</v>
      </c>
      <c r="I15" s="8" t="n">
        <v>8633.33</v>
      </c>
      <c r="J15" s="8" t="n">
        <v>125183.33</v>
      </c>
      <c r="K15" s="8">
        <f>G15-J15</f>
        <v>4316.67</v>
      </c>
    </row>
    <row r="16">
      <c r="A16" t="inlineStr">
        <is>
          <t>FA-1012</t>
        </is>
      </c>
      <c r="B16" t="inlineStr">
        <is>
          <t>Coil handling equipment</t>
        </is>
      </c>
      <c r="C16" t="inlineStr">
        <is>
          <t>Leasehold improvement</t>
        </is>
      </c>
      <c r="D16" t="inlineStr">
        <is>
          <t>04/30/2025</t>
        </is>
      </c>
      <c r="E16" t="inlineStr">
        <is>
          <t>S/L</t>
        </is>
      </c>
      <c r="F16" t="inlineStr">
        <is>
          <t>15.0</t>
        </is>
      </c>
      <c r="G16" s="8" t="n">
        <v>13650.86</v>
      </c>
      <c r="H16" s="8" t="n">
        <v>0</v>
      </c>
      <c r="I16" s="8" t="n">
        <v>682.54</v>
      </c>
      <c r="J16" s="8" t="n">
        <v>682.54</v>
      </c>
      <c r="K16" s="8">
        <f>G16-J16</f>
        <v>12968.32</v>
      </c>
    </row>
    <row r="17">
      <c r="A17" s="5" t="inlineStr"/>
      <c r="B17" s="6" t="inlineStr">
        <is>
          <t>Total leasehold improvement</t>
        </is>
      </c>
      <c r="C17" s="5" t="inlineStr"/>
      <c r="D17" s="5" t="inlineStr"/>
      <c r="E17" s="5" t="inlineStr"/>
      <c r="F17" s="5" t="inlineStr"/>
      <c r="G17" s="10">
        <f>SUM(G14:G16)</f>
        <v>369704.86</v>
      </c>
      <c r="H17" s="10">
        <f>SUM(H14:H16)</f>
        <v>320448.6</v>
      </c>
      <c r="I17" s="10">
        <f>SUM(I14:I16)</f>
        <v>24419.47</v>
      </c>
      <c r="J17" s="10">
        <f>SUM(J14:J16)</f>
        <v>344868.07</v>
      </c>
      <c r="K17" s="10">
        <f>SUM(K14:K16)</f>
        <v>24836.79</v>
      </c>
    </row>
    <row r="18"/>
    <row r="19">
      <c r="A19" t="inlineStr">
        <is>
          <t>leasehold improvement ending accumulated depreciation</t>
        </is>
      </c>
      <c r="B19" s="8" t="n">
        <v>344868.07</v>
      </c>
    </row>
    <row r="20"/>
    <row r="21">
      <c r="A21" t="inlineStr">
        <is>
          <t>FA-1003</t>
        </is>
      </c>
      <c r="B21" t="inlineStr">
        <is>
          <t>Stamping and forming line</t>
        </is>
      </c>
      <c r="C21" t="inlineStr">
        <is>
          <t>Machinery</t>
        </is>
      </c>
      <c r="D21" t="inlineStr">
        <is>
          <t>07/01/2016</t>
        </is>
      </c>
      <c r="E21" t="inlineStr">
        <is>
          <t>S/L</t>
        </is>
      </c>
      <c r="F21" t="inlineStr">
        <is>
          <t>10.0</t>
        </is>
      </c>
      <c r="G21" s="8" t="n">
        <v>1144000</v>
      </c>
      <c r="H21" s="8" t="n">
        <v>972400</v>
      </c>
      <c r="I21" s="8" t="n">
        <v>114400</v>
      </c>
      <c r="J21" s="8" t="n">
        <v>1086800</v>
      </c>
      <c r="K21" s="8">
        <f>G21-J21</f>
        <v>57200</v>
      </c>
    </row>
    <row r="22">
      <c r="A22" t="inlineStr">
        <is>
          <t>FA-1004</t>
        </is>
      </c>
      <c r="B22" t="inlineStr">
        <is>
          <t>CNC machining centers</t>
        </is>
      </c>
      <c r="C22" t="inlineStr">
        <is>
          <t>Machinery</t>
        </is>
      </c>
      <c r="D22" t="inlineStr">
        <is>
          <t>07/01/2016</t>
        </is>
      </c>
      <c r="E22" t="inlineStr">
        <is>
          <t>S/L</t>
        </is>
      </c>
      <c r="F22" t="inlineStr">
        <is>
          <t>10.0</t>
        </is>
      </c>
      <c r="G22" s="8" t="n">
        <v>1007096</v>
      </c>
      <c r="H22" s="8" t="n">
        <v>856031.6</v>
      </c>
      <c r="I22" s="8" t="n">
        <v>100709.6</v>
      </c>
      <c r="J22" s="8" t="n">
        <v>956741.2</v>
      </c>
      <c r="K22" s="8">
        <f>G22-J22</f>
        <v>50354.8</v>
      </c>
    </row>
    <row r="23">
      <c r="A23" t="inlineStr">
        <is>
          <t>FA-1005</t>
        </is>
      </c>
      <c r="B23" t="inlineStr">
        <is>
          <t>Assembly and packaging line</t>
        </is>
      </c>
      <c r="C23" t="inlineStr">
        <is>
          <t>Machinery</t>
        </is>
      </c>
      <c r="D23" t="inlineStr">
        <is>
          <t>07/01/2016</t>
        </is>
      </c>
      <c r="E23" t="inlineStr">
        <is>
          <t>S/L</t>
        </is>
      </c>
      <c r="F23" t="inlineStr">
        <is>
          <t>10.0</t>
        </is>
      </c>
      <c r="G23" s="8" t="n">
        <v>780500</v>
      </c>
      <c r="H23" s="8" t="n">
        <v>663425</v>
      </c>
      <c r="I23" s="8" t="n">
        <v>78050</v>
      </c>
      <c r="J23" s="8" t="n">
        <v>741475</v>
      </c>
      <c r="K23" s="8">
        <f>G23-J23</f>
        <v>39025</v>
      </c>
    </row>
    <row r="24">
      <c r="A24" s="5" t="inlineStr"/>
      <c r="B24" s="6" t="inlineStr">
        <is>
          <t>Total machinery</t>
        </is>
      </c>
      <c r="C24" s="5" t="inlineStr"/>
      <c r="D24" s="5" t="inlineStr"/>
      <c r="E24" s="5" t="inlineStr"/>
      <c r="F24" s="5" t="inlineStr"/>
      <c r="G24" s="10">
        <f>SUM(G21:G23)</f>
        <v>2931596</v>
      </c>
      <c r="H24" s="10">
        <f>SUM(H21:H23)</f>
        <v>2491856.6</v>
      </c>
      <c r="I24" s="10">
        <f>SUM(I21:I23)</f>
        <v>293159.6</v>
      </c>
      <c r="J24" s="10">
        <f>SUM(J21:J23)</f>
        <v>2785016.2</v>
      </c>
      <c r="K24" s="10">
        <f>SUM(K21:K23)</f>
        <v>146579.8</v>
      </c>
    </row>
    <row r="25"/>
    <row r="26">
      <c r="A26" t="inlineStr">
        <is>
          <t>machinery ending accumulated depreciation</t>
        </is>
      </c>
      <c r="B26" s="8" t="n">
        <v>2785016.2</v>
      </c>
    </row>
    <row r="27"/>
    <row r="28">
      <c r="A28" t="inlineStr">
        <is>
          <t>FA-1010</t>
        </is>
      </c>
      <c r="B28" t="inlineStr">
        <is>
          <t>Delivery trucks</t>
        </is>
      </c>
      <c r="C28" t="inlineStr">
        <is>
          <t>Vehicle</t>
        </is>
      </c>
      <c r="D28" t="inlineStr">
        <is>
          <t>07/01/2021</t>
        </is>
      </c>
      <c r="E28" t="inlineStr">
        <is>
          <t>S/L</t>
        </is>
      </c>
      <c r="F28" t="inlineStr">
        <is>
          <t>5.0</t>
        </is>
      </c>
      <c r="G28" s="8" t="n">
        <v>159139</v>
      </c>
      <c r="H28" s="8" t="n">
        <v>111397.3</v>
      </c>
      <c r="I28" s="8" t="n">
        <v>31827.8</v>
      </c>
      <c r="J28" s="8" t="n">
        <v>143225.1</v>
      </c>
      <c r="K28" s="8">
        <f>G28-J28</f>
        <v>15913.9</v>
      </c>
    </row>
    <row r="29">
      <c r="A29" t="inlineStr">
        <is>
          <t>FA-1011</t>
        </is>
      </c>
      <c r="B29" t="inlineStr">
        <is>
          <t>Box vans and service pickups</t>
        </is>
      </c>
      <c r="C29" t="inlineStr">
        <is>
          <t>Vehicle</t>
        </is>
      </c>
      <c r="D29" t="inlineStr">
        <is>
          <t>07/01/2021</t>
        </is>
      </c>
      <c r="E29" t="inlineStr">
        <is>
          <t>S/L</t>
        </is>
      </c>
      <c r="F29" t="inlineStr">
        <is>
          <t>5.0</t>
        </is>
      </c>
      <c r="G29" s="8" t="n">
        <v>149967</v>
      </c>
      <c r="H29" s="8" t="n">
        <v>104976.9</v>
      </c>
      <c r="I29" s="8" t="n">
        <v>29993.4</v>
      </c>
      <c r="J29" s="8" t="n">
        <v>134970.3</v>
      </c>
      <c r="K29" s="8">
        <f>G29-J29</f>
        <v>14996.7</v>
      </c>
    </row>
    <row r="30">
      <c r="A30" s="5" t="inlineStr"/>
      <c r="B30" s="6" t="inlineStr">
        <is>
          <t>Total vehicle</t>
        </is>
      </c>
      <c r="C30" s="5" t="inlineStr"/>
      <c r="D30" s="5" t="inlineStr"/>
      <c r="E30" s="5" t="inlineStr"/>
      <c r="F30" s="5" t="inlineStr"/>
      <c r="G30" s="10">
        <f>SUM(G28:G29)</f>
        <v>309106</v>
      </c>
      <c r="H30" s="10">
        <f>SUM(H28:H29)</f>
        <v>216374.2</v>
      </c>
      <c r="I30" s="10">
        <f>SUM(I28:I29)</f>
        <v>61821.2</v>
      </c>
      <c r="J30" s="10">
        <f>SUM(J28:J29)</f>
        <v>278195.4</v>
      </c>
      <c r="K30" s="10">
        <f>SUM(K28:K29)</f>
        <v>30910.6</v>
      </c>
    </row>
    <row r="31"/>
    <row r="32">
      <c r="A32" t="inlineStr">
        <is>
          <t>vehicle ending accumulated depreciation</t>
        </is>
      </c>
      <c r="B32" s="8" t="n">
        <v>278195.4</v>
      </c>
    </row>
    <row r="33"/>
    <row r="34">
      <c r="A34" s="5" t="inlineStr"/>
      <c r="B34" s="6" t="inlineStr">
        <is>
          <t>Grand total</t>
        </is>
      </c>
      <c r="C34" s="5" t="inlineStr"/>
      <c r="D34" s="5" t="inlineStr"/>
      <c r="E34" s="5" t="inlineStr"/>
      <c r="F34" s="5" t="inlineStr"/>
      <c r="G34" s="10" t="n">
        <v>4807073.86</v>
      </c>
      <c r="H34" s="10" t="n">
        <v>3968917.76</v>
      </c>
      <c r="I34" s="10" t="n">
        <v>550352.7</v>
      </c>
      <c r="J34" s="10" t="n">
        <v>4519270.46</v>
      </c>
      <c r="K34" s="10">
        <f>G34-J34</f>
        <v>287803.4</v>
      </c>
    </row>
  </sheetData>
  <autoFilter ref="A5:K34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Morgan Kellerman</cp:lastModifiedBy>
  <dcterms:created xsi:type="dcterms:W3CDTF">2026-01-23T13:49:00Z</dcterms:created>
  <dcterms:modified xsi:type="dcterms:W3CDTF">2026-01-23T17:28:00Z</dcterms:modified>
</cp:coreProperties>
</file>