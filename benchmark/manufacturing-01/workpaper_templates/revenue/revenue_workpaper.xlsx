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0" activeTab="0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0&gt; Source Index" sheetId="2" state="visible" r:id="rId2"/>
    <sheet xmlns:r="http://schemas.openxmlformats.org/officeDocument/2006/relationships" name="&lt;.1&gt; Revenue Lead Sheet" sheetId="3" state="visible" r:id="rId3"/>
    <sheet xmlns:r="http://schemas.openxmlformats.org/officeDocument/2006/relationships" name="&lt;.2&gt; Revenue Reconciliation" sheetId="4" state="visible" r:id="rId4"/>
    <sheet xmlns:r="http://schemas.openxmlformats.org/officeDocument/2006/relationships" name="&lt;.3&gt; Detail Testing" sheetId="5" state="visible" r:id="rId5"/>
    <sheet xmlns:r="http://schemas.openxmlformats.org/officeDocument/2006/relationships" name="&lt;.4&gt; Cutoff (Two-Directional)" sheetId="6" state="visible" r:id="rId6"/>
    <sheet xmlns:r="http://schemas.openxmlformats.org/officeDocument/2006/relationships" name="&lt;.5&gt; Variable Consideration" sheetId="7" state="visible" r:id="rId7"/>
    <sheet xmlns:r="http://schemas.openxmlformats.org/officeDocument/2006/relationships" name="&lt;.6&gt; Contract Liab Rollforward" sheetId="8" state="visible" r:id="rId8"/>
    <sheet xmlns:r="http://schemas.openxmlformats.org/officeDocument/2006/relationships" name="&lt;.7&gt; Recognition Framework" sheetId="9" state="visible" r:id="rId9"/>
    <sheet xmlns:r="http://schemas.openxmlformats.org/officeDocument/2006/relationships" name="&lt;.8&gt; Analytics &amp; Disclosures" sheetId="10" state="visible" r:id="rId10"/>
  </sheets>
  <definedNames>
    <definedName name="_xlnm.Print_Area" localSheetId="0">'Library Procedures'!$A$1:$F$40</definedName>
    <definedName name="_xlnm.Print_Area" localSheetId="1">'&lt;.0&gt; Source Index'!$A$1:$H$32</definedName>
    <definedName name="_xlnm.Print_Area" localSheetId="2">'&lt;.1&gt; Revenue Lead Sheet'!$A$1:$I$35</definedName>
    <definedName name="_xlnm.Print_Area" localSheetId="3">'&lt;.2&gt; Revenue Reconciliation'!$A$1:$I$32</definedName>
    <definedName name="_xlnm.Print_Area" localSheetId="4">'&lt;.3&gt; Detail Testing'!$A$1:$Y$36</definedName>
    <definedName name="_xlnm.Print_Area" localSheetId="5">'&lt;.4&gt; Cutoff (Two-Directional)'!$A$1:$J$46</definedName>
    <definedName name="_xlnm.Print_Area" localSheetId="6">'&lt;.5&gt; Variable Consideration'!$A$1:$H$47</definedName>
    <definedName name="_xlnm.Print_Area" localSheetId="7">'&lt;.6&gt; Contract Liab Rollforward'!$A$1:$H$41</definedName>
    <definedName name="_xlnm.Print_Area" localSheetId="8">'&lt;.7&gt; Recognition Framework'!$A$1:$H$53</definedName>
    <definedName name="_xlnm.Print_Area" localSheetId="9">'&lt;.8&gt; Analytics &amp; Disclosures'!$A$1:$H$37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Georgia"/>
      <charset val="1"/>
      <b val="1"/>
      <color rgb="FFA32020"/>
      <sz val="14"/>
    </font>
    <font>
      <name val="Georgia"/>
      <charset val="1"/>
      <b val="1"/>
      <color rgb="FF1A1A1A"/>
      <sz val="9"/>
    </font>
    <font>
      <name val="Georgia"/>
      <charset val="1"/>
      <color rgb="FF1A1A1A"/>
      <sz val="9"/>
    </font>
    <font>
      <name val="Georgia"/>
      <charset val="1"/>
      <b val="1"/>
      <color rgb="FFA32020"/>
      <sz val="9"/>
    </font>
    <font>
      <name val="Georgia"/>
      <charset val="1"/>
      <b val="1"/>
      <color rgb="FFFFFFFF"/>
      <sz val="8.5"/>
    </font>
    <font>
      <name val="Georgia"/>
      <charset val="1"/>
      <b val="1"/>
      <color rgb="FFDC6900"/>
      <sz val="9"/>
    </font>
    <font>
      <name val="Georgia"/>
      <charset val="1"/>
      <color rgb="FF6E6E6E"/>
      <sz val="9"/>
    </font>
    <font>
      <name val="Georgia"/>
      <charset val="1"/>
      <b val="1"/>
      <color rgb="FFDC6900"/>
      <sz val="8"/>
    </font>
    <font>
      <name val="Georgia"/>
      <charset val="1"/>
      <b val="1"/>
      <color rgb="FF1A1A1A"/>
      <sz val="10"/>
    </font>
    <font>
      <name val="Georgia"/>
      <charset val="1"/>
      <b val="1"/>
      <color rgb="FFA32020"/>
      <sz val="10"/>
    </font>
    <font>
      <name val="Georgia"/>
      <charset val="1"/>
      <b val="1"/>
      <color rgb="FFFFFFFF"/>
      <sz val="9"/>
    </font>
  </fonts>
  <fills count="4">
    <fill>
      <patternFill/>
    </fill>
    <fill>
      <patternFill patternType="gray125"/>
    </fill>
    <fill>
      <patternFill patternType="solid">
        <fgColor rgb="FFA32020"/>
        <bgColor rgb="FF993366"/>
      </patternFill>
    </fill>
    <fill>
      <patternFill patternType="solid">
        <fgColor rgb="FFF4DCDC"/>
        <bgColor rgb="FFCCCCFF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1" fillId="2" borderId="1" pivotButton="0" quotePrefix="0" xfId="0"/>
    <xf numFmtId="0" fontId="2" fillId="3" borderId="1" pivotButton="0" quotePrefix="0" xfId="0"/>
    <xf numFmtId="0" fontId="7" fillId="0" borderId="0" pivotButton="0" quotePrefix="0" xfId="0"/>
    <xf numFmtId="0" fontId="3" fillId="0" borderId="1" pivotButton="0" quotePrefix="0" xfId="0"/>
    <xf numFmtId="0" fontId="3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4" fontId="3" fillId="0" borderId="1" pivotButton="0" quotePrefix="0" xfId="0"/>
    <xf numFmtId="10" fontId="3" fillId="0" borderId="1" pivotButton="0" quotePrefix="0" xfId="0"/>
    <xf numFmtId="0" fontId="9" fillId="3" borderId="1" pivotButton="0" quotePrefix="0" xfId="0"/>
    <xf numFmtId="4" fontId="9" fillId="3" borderId="1" pivotButton="0" quotePrefix="0" xfId="0"/>
    <xf numFmtId="0" fontId="2" fillId="0" borderId="1" pivotButton="0" quotePrefix="0" xfId="0"/>
    <xf numFmtId="4" fontId="2" fillId="3" borderId="1" pivotButton="0" quotePrefix="0" xfId="0"/>
    <xf numFmtId="0" fontId="3" fillId="0" borderId="1" applyAlignment="1" pivotButton="0" quotePrefix="0" xfId="0">
      <alignment horizontal="center" vertical="center"/>
    </xf>
    <xf numFmtId="3" fontId="3" fillId="0" borderId="1" pivotButton="0" quotePrefix="0" xfId="0"/>
    <xf numFmtId="0" fontId="10" fillId="0" borderId="0" pivotButton="0" quotePrefix="0" xfId="0"/>
    <xf numFmtId="0" fontId="2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 wrapText="1"/>
    </xf>
    <xf numFmtId="0" fontId="4" fillId="0" borderId="2" pivotButton="0" quotePrefix="0" xfId="0"/>
    <xf numFmtId="0" fontId="3" fillId="0" borderId="2" applyAlignment="1" pivotButton="0" quotePrefix="0" xfId="0">
      <alignment horizontal="left" vertical="center" wrapText="1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3" fillId="0" borderId="1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wrapText="1"/>
    </xf>
    <xf numFmtId="0" fontId="3" fillId="0" borderId="4" applyAlignment="1" pivotButton="0" quotePrefix="0" xfId="0">
      <alignment vertical="center" wrapText="1"/>
    </xf>
    <xf numFmtId="0" fontId="3" fillId="0" borderId="5" applyAlignment="1" pivotButton="0" quotePrefix="0" xfId="0">
      <alignment vertical="center" wrapText="1"/>
    </xf>
    <xf numFmtId="0" fontId="3" fillId="0" borderId="6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6" pivotButton="0" quotePrefix="0" xfId="0"/>
    <xf numFmtId="0" fontId="3" fillId="0" borderId="2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DCDC"/>
      <rgbColor rgb="FF3366FF"/>
      <rgbColor rgb="FF33CCCC"/>
      <rgbColor rgb="FF99CC00"/>
      <rgbColor rgb="FFFFCC00"/>
      <rgbColor rgb="FFFF9900"/>
      <rgbColor rgb="FFDC6900"/>
      <rgbColor rgb="FF6E6E6E"/>
      <rgbColor rgb="FF969696"/>
      <rgbColor rgb="FF003366"/>
      <rgbColor rgb="FF339966"/>
      <rgbColor rgb="FF003300"/>
      <rgbColor rgb="FF333300"/>
      <rgbColor rgb="FFA3202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0"/>
  <sheetViews>
    <sheetView showGridLines="0" tabSelected="1" zoomScale="85" zoomScaleNormal="100" workbookViewId="0">
      <selection activeCell="A4" sqref="A4:F4"/>
    </sheetView>
  </sheetViews>
  <sheetFormatPr baseColWidth="8" defaultColWidth="8.6328125" defaultRowHeight="14.5"/>
  <cols>
    <col width="8.26953125" customWidth="1" min="1" max="1"/>
    <col width="102" customWidth="1" min="2" max="2"/>
    <col width="30" customWidth="1" min="3" max="3"/>
    <col width="13" customWidth="1" min="4" max="4"/>
    <col width="15" customWidth="1" min="5" max="5"/>
    <col width="12" customWidth="1" min="6" max="6"/>
  </cols>
  <sheetData>
    <row r="1" ht="17.5" customHeight="1">
      <c r="A1" s="6" t="inlineStr">
        <is>
          <t>Revenue — Library of Audit Procedures</t>
        </is>
      </c>
    </row>
    <row r="2">
      <c r="A2" s="8" t="inlineStr">
        <is>
          <t>Client / Entity: Whitmore Products Company</t>
        </is>
      </c>
    </row>
    <row r="3">
      <c r="A3" s="8" t="inlineStr">
        <is>
          <t>Prepared by: Audit Senior 8606 (assigned)      Reviewed by: Audit Manager A1DC (assigned)</t>
        </is>
      </c>
    </row>
    <row r="4" ht="25.5" customHeight="1">
      <c r="A4" s="31" t="inlineStr">
        <is>
          <t>Tick each procedure when complete; enter the W/P reference, performed-by initials and date. Work through ALL applicable procedures before concluding.</t>
        </is>
      </c>
    </row>
    <row r="5"/>
    <row r="6" ht="19.5" customHeight="1">
      <c r="A6" s="25" t="inlineStr">
        <is>
          <t>Done</t>
        </is>
      </c>
      <c r="B6" s="26" t="inlineStr">
        <is>
          <t>Procedure</t>
        </is>
      </c>
      <c r="C6" s="26" t="inlineStr">
        <is>
          <t>Assertion(s)</t>
        </is>
      </c>
      <c r="D6" s="25" t="inlineStr">
        <is>
          <t>W/P Ref</t>
        </is>
      </c>
      <c r="E6" s="25" t="inlineStr">
        <is>
          <t>Performed by</t>
        </is>
      </c>
      <c r="F6" s="25" t="inlineStr">
        <is>
          <t>Date</t>
        </is>
      </c>
    </row>
    <row r="7">
      <c r="A7" s="1" t="inlineStr">
        <is>
          <t>&lt;.0&gt; Source Index</t>
        </is>
      </c>
      <c r="B7" s="42" t="n"/>
      <c r="C7" s="42" t="n"/>
      <c r="D7" s="42" t="n"/>
      <c r="E7" s="42" t="n"/>
      <c r="F7" s="43" t="n"/>
    </row>
    <row r="8" ht="39" customHeight="1">
      <c r="A8" s="33" t="n"/>
      <c r="B8" s="24" t="inlineStr">
        <is>
          <t>1. Obtain and index all revenue PBC sources (register / sales journal, GL detail, invoices, contracts / POs, shipping documents, price lists, cash-receipts ledger, rebate agreements, post-YE credit-memo log, first post-YE sales journal &amp; shipping log, deferred-revenue schedule); document limitations.</t>
        </is>
      </c>
      <c r="C8" s="24" t="inlineStr">
        <is>
          <t>Completeness</t>
        </is>
      </c>
      <c r="D8" s="20" t="inlineStr">
        <is>
          <t>&lt;.0&gt;</t>
        </is>
      </c>
      <c r="E8" s="33" t="n"/>
      <c r="F8" s="33" t="n"/>
    </row>
    <row r="9">
      <c r="A9" s="1" t="inlineStr">
        <is>
          <t>&lt;.1&gt; Revenue Lead Sheet</t>
        </is>
      </c>
      <c r="B9" s="42" t="n"/>
      <c r="C9" s="42" t="n"/>
      <c r="D9" s="42" t="n"/>
      <c r="E9" s="42" t="n"/>
      <c r="F9" s="43" t="n"/>
    </row>
    <row r="10" ht="25.5" customHeight="1">
      <c r="A10" s="33" t="n"/>
      <c r="B10" s="24" t="inlineStr">
        <is>
          <t>2. Agree revenue by stream to the trial balance / GL, foot the lead, and flag each stream's recognition pattern (point-in-time / over-time) to route it to the &lt;.7&gt; framework.</t>
        </is>
      </c>
      <c r="C10" s="24" t="inlineStr">
        <is>
          <t>Occurrence; Completeness; Classification</t>
        </is>
      </c>
      <c r="D10" s="20" t="inlineStr">
        <is>
          <t>&lt;.1&gt;</t>
        </is>
      </c>
      <c r="E10" s="33" t="n"/>
      <c r="F10" s="33" t="n"/>
    </row>
    <row r="11" ht="25.5" customHeight="1">
      <c r="A11" s="33" t="n"/>
      <c r="B11" s="24" t="inlineStr">
        <is>
          <t>3. Evaluate gross vs contra presentation — returns, discounts and rebates net against gross revenue — and confirm net revenue ties to the TB.</t>
        </is>
      </c>
      <c r="C11" s="24" t="inlineStr">
        <is>
          <t>Classification; Accuracy</t>
        </is>
      </c>
      <c r="D11" s="20" t="inlineStr">
        <is>
          <t>&lt;.1&gt;</t>
        </is>
      </c>
      <c r="E11" s="33" t="n"/>
      <c r="F11" s="33" t="n"/>
    </row>
    <row r="12">
      <c r="A12" s="1" t="inlineStr">
        <is>
          <t>&lt;.2&gt; Revenue Reconciliation</t>
        </is>
      </c>
      <c r="B12" s="42" t="n"/>
      <c r="C12" s="42" t="n"/>
      <c r="D12" s="42" t="n"/>
      <c r="E12" s="42" t="n"/>
      <c r="F12" s="43" t="n"/>
    </row>
    <row r="13" ht="25.5" customHeight="1">
      <c r="A13" s="33" t="n"/>
      <c r="B13" s="24" t="inlineStr">
        <is>
          <t>4. Reconcile the revenue register / sub-ledger to the GL by stream, isolating reconciling items (e.g., rebate accruals) and quantifying unidentified differences against the threshold.</t>
        </is>
      </c>
      <c r="C13" s="24" t="inlineStr">
        <is>
          <t>Completeness; Accuracy</t>
        </is>
      </c>
      <c r="D13" s="20" t="inlineStr">
        <is>
          <t>&lt;.2&gt;</t>
        </is>
      </c>
      <c r="E13" s="33" t="n"/>
      <c r="F13" s="33" t="n"/>
    </row>
    <row r="14" ht="25.5" customHeight="1">
      <c r="A14" s="33" t="n"/>
      <c r="B14" s="24" t="inlineStr">
        <is>
          <t>5. Map every stream to its testing approach (detail testing, cutoff, variable consideration, analytics) and evaluate any untested amounts.</t>
        </is>
      </c>
      <c r="C14" s="24" t="inlineStr">
        <is>
          <t>Completeness</t>
        </is>
      </c>
      <c r="D14" s="20" t="inlineStr">
        <is>
          <t>&lt;.2&gt;</t>
        </is>
      </c>
      <c r="E14" s="33" t="n"/>
      <c r="F14" s="33" t="n"/>
    </row>
    <row r="15">
      <c r="A15" s="1" t="inlineStr">
        <is>
          <t>&lt;.3&gt; Detail Testing</t>
        </is>
      </c>
      <c r="B15" s="42" t="n"/>
      <c r="C15" s="42" t="n"/>
      <c r="D15" s="42" t="n"/>
      <c r="E15" s="42" t="n"/>
      <c r="F15" s="43" t="n"/>
    </row>
    <row r="16" ht="39" customHeight="1">
      <c r="A16" s="33" t="n"/>
      <c r="B16" s="24" t="inlineStr">
        <is>
          <t>6. Detail-test selected transactions through the five-step model — contract / PO existence and approval, unit price agreed to the contract / PO, quantities agreed order → delivery (BOL / POD) → invoice, control-transfer date per shipping terms, and period propriety.</t>
        </is>
      </c>
      <c r="C16" s="24" t="inlineStr">
        <is>
          <t>Occurrence; Accuracy; Cutoff</t>
        </is>
      </c>
      <c r="D16" s="20" t="inlineStr">
        <is>
          <t>&lt;.3&gt;</t>
        </is>
      </c>
      <c r="E16" s="33" t="n"/>
      <c r="F16" s="33" t="n"/>
    </row>
    <row r="17" ht="25.5" customHeight="1">
      <c r="A17" s="33" t="n"/>
      <c r="B17" s="24" t="inlineStr">
        <is>
          <t>7. Corroborate occurrence by agreeing the applied cash receipt to the invoice (payment support), explaining discounts, taxes and other deductions.</t>
        </is>
      </c>
      <c r="C17" s="24" t="inlineStr">
        <is>
          <t>Occurrence; Accuracy</t>
        </is>
      </c>
      <c r="D17" s="20" t="inlineStr">
        <is>
          <t>&lt;.3&gt;</t>
        </is>
      </c>
      <c r="E17" s="33" t="n"/>
      <c r="F17" s="33" t="n"/>
    </row>
    <row r="18" ht="25.5" customHeight="1">
      <c r="A18" s="33" t="n"/>
      <c r="B18" s="24" t="inlineStr">
        <is>
          <t>8. Recompute revenue (invoice price × invoiced quantity), compare to the recorded amount, and investigate differences.</t>
        </is>
      </c>
      <c r="C18" s="24" t="inlineStr">
        <is>
          <t>Accuracy</t>
        </is>
      </c>
      <c r="D18" s="20" t="inlineStr">
        <is>
          <t>&lt;.3&gt;</t>
        </is>
      </c>
      <c r="E18" s="33" t="n"/>
      <c r="F18" s="33" t="n"/>
    </row>
    <row r="19">
      <c r="A19" s="1" t="inlineStr">
        <is>
          <t>&lt;.4&gt; Cutoff — Two-Directional</t>
        </is>
      </c>
      <c r="B19" s="42" t="n"/>
      <c r="C19" s="42" t="n"/>
      <c r="D19" s="42" t="n"/>
      <c r="E19" s="42" t="n"/>
      <c r="F19" s="43" t="n"/>
    </row>
    <row r="20" ht="25.5" customHeight="1">
      <c r="A20" s="33" t="n"/>
      <c r="B20" s="24" t="inlineStr">
        <is>
          <t>9. Test BEFORE-period cutoff — the last shipments / invoices before year-end — confirming control transferred before YE for every sale recorded in the year.</t>
        </is>
      </c>
      <c r="C20" s="24" t="inlineStr">
        <is>
          <t>Cutoff; Occurrence</t>
        </is>
      </c>
      <c r="D20" s="20" t="inlineStr">
        <is>
          <t>&lt;.4&gt;</t>
        </is>
      </c>
      <c r="E20" s="33" t="n"/>
      <c r="F20" s="33" t="n"/>
    </row>
    <row r="21" ht="25.5" customHeight="1">
      <c r="A21" s="33" t="n"/>
      <c r="B21" s="24" t="inlineStr">
        <is>
          <t>10. Test AFTER-period cutoff — the first shipments / invoices after year-end (first post-YE sales journal and shipping log) — confirming January activity was not recorded in the current year.</t>
        </is>
      </c>
      <c r="C21" s="24" t="inlineStr">
        <is>
          <t>Cutoff; Completeness</t>
        </is>
      </c>
      <c r="D21" s="20" t="inlineStr">
        <is>
          <t>&lt;.4&gt;</t>
        </is>
      </c>
      <c r="E21" s="33" t="n"/>
      <c r="F21" s="33" t="n"/>
    </row>
    <row r="22" ht="25.5" customHeight="1">
      <c r="A22" s="33" t="n"/>
      <c r="B22" s="24" t="inlineStr">
        <is>
          <t>11. Review post-year-end credit memos and returns for items relating to pre-YE sales and evaluate whether current-year revenue requires adjustment.</t>
        </is>
      </c>
      <c r="C22" s="24" t="inlineStr">
        <is>
          <t>Cutoff; Accuracy</t>
        </is>
      </c>
      <c r="D22" s="20" t="inlineStr">
        <is>
          <t>&lt;.4&gt;</t>
        </is>
      </c>
      <c r="E22" s="33" t="n"/>
      <c r="F22" s="33" t="n"/>
    </row>
    <row r="23">
      <c r="A23" s="1" t="inlineStr">
        <is>
          <t>&lt;.5&gt; Variable Consideration</t>
        </is>
      </c>
      <c r="B23" s="42" t="n"/>
      <c r="C23" s="42" t="n"/>
      <c r="D23" s="42" t="n"/>
      <c r="E23" s="42" t="n"/>
      <c r="F23" s="43" t="n"/>
    </row>
    <row r="24" ht="39" customHeight="1">
      <c r="A24" s="33" t="n"/>
      <c r="B24" s="24" t="inlineStr">
        <is>
          <t>12. Identify all variable-consideration programs (rebates, volume discounts, returns, allowances, price protection), obtain program terms, and recompute the accrual under the entity's method (expected value / most-likely amount) with the constraint considered (ASC 606-10-32-5 to 32-13).</t>
        </is>
      </c>
      <c r="C24" s="24" t="inlineStr">
        <is>
          <t>Accuracy; Valuation; Completeness</t>
        </is>
      </c>
      <c r="D24" s="20" t="inlineStr">
        <is>
          <t>&lt;.5&gt;</t>
        </is>
      </c>
      <c r="E24" s="33" t="n"/>
      <c r="F24" s="33" t="n"/>
    </row>
    <row r="25" ht="25.5" customHeight="1">
      <c r="A25" s="33" t="n"/>
      <c r="B25" s="24" t="inlineStr">
        <is>
          <t>13. Test the returns reserve — recompute from historical return rates and benchmark against actual post-year-end returns.</t>
        </is>
      </c>
      <c r="C25" s="24" t="inlineStr">
        <is>
          <t>Valuation; Accuracy</t>
        </is>
      </c>
      <c r="D25" s="20" t="inlineStr">
        <is>
          <t>&lt;.5&gt;/&lt;.4&gt;</t>
        </is>
      </c>
      <c r="E25" s="33" t="n"/>
      <c r="F25" s="33" t="n"/>
    </row>
    <row r="26">
      <c r="A26" s="1" t="inlineStr">
        <is>
          <t>&lt;.6&gt; Contract Liability Rollforward</t>
        </is>
      </c>
      <c r="B26" s="42" t="n"/>
      <c r="C26" s="42" t="n"/>
      <c r="D26" s="42" t="n"/>
      <c r="E26" s="42" t="n"/>
      <c r="F26" s="43" t="n"/>
    </row>
    <row r="27" ht="39" customHeight="1">
      <c r="A27" s="33" t="n"/>
      <c r="B27" s="24" t="inlineStr">
        <is>
          <t>14. Roll contract liabilities forward (opening + advance billings / receipts − releases = closing), tie to the TB and PY, and test releases for satisfaction of the performance obligation (premature release = overstated revenue).</t>
        </is>
      </c>
      <c r="C27" s="24" t="inlineStr">
        <is>
          <t>Completeness; Cutoff; Occurrence</t>
        </is>
      </c>
      <c r="D27" s="20" t="inlineStr">
        <is>
          <t>&lt;.6&gt;</t>
        </is>
      </c>
      <c r="E27" s="33" t="n"/>
      <c r="F27" s="33" t="n"/>
    </row>
    <row r="28">
      <c r="A28" s="1" t="inlineStr">
        <is>
          <t>&lt;.7&gt; Recognition Framework</t>
        </is>
      </c>
      <c r="B28" s="42" t="n"/>
      <c r="C28" s="42" t="n"/>
      <c r="D28" s="42" t="n"/>
      <c r="E28" s="42" t="n"/>
      <c r="F28" s="43" t="n"/>
    </row>
    <row r="29" ht="25.5" customHeight="1">
      <c r="A29" s="33" t="n"/>
      <c r="B29" s="24" t="inlineStr">
        <is>
          <t>15. Conclude the ASC 606 five-step model per stream — contract, performance obligations, transaction price, allocation, and timing.</t>
        </is>
      </c>
      <c r="C29" s="24" t="inlineStr">
        <is>
          <t>Occurrence; Accuracy</t>
        </is>
      </c>
      <c r="D29" s="20" t="inlineStr">
        <is>
          <t>&lt;.7&gt;</t>
        </is>
      </c>
      <c r="E29" s="33" t="n"/>
      <c r="F29" s="33" t="n"/>
    </row>
    <row r="30" ht="39" customHeight="1">
      <c r="A30" s="33" t="n"/>
      <c r="B30" s="24" t="inlineStr">
        <is>
          <t>16. For POINT-IN-TIME streams, evaluate the control-transfer indicators (ASC 606-10-25-30: right to payment, legal title, physical possession, risks &amp; rewards, acceptance) and conclude the recognition point against shipping terms.</t>
        </is>
      </c>
      <c r="C30" s="24" t="inlineStr">
        <is>
          <t>Occurrence; Cutoff</t>
        </is>
      </c>
      <c r="D30" s="20" t="inlineStr">
        <is>
          <t>&lt;.7&gt;</t>
        </is>
      </c>
      <c r="E30" s="33" t="n"/>
      <c r="F30" s="33" t="n"/>
    </row>
    <row r="31" ht="39" customHeight="1">
      <c r="A31" s="33" t="n"/>
      <c r="B31" s="24" t="inlineStr">
        <is>
          <t>17. For OVER-TIME streams (e.g., custom job orders), evaluate the ASC 606-10-25-27 criteria — simultaneous consumption, customer-controlled asset, or no alternative use PLUS an enforceable right to payment — and test the measure of progress (input / output) where over-time applies.</t>
        </is>
      </c>
      <c r="C31" s="24" t="inlineStr">
        <is>
          <t>Accuracy; Occurrence</t>
        </is>
      </c>
      <c r="D31" s="20" t="inlineStr">
        <is>
          <t>&lt;.7&gt;</t>
        </is>
      </c>
      <c r="E31" s="33" t="n"/>
      <c r="F31" s="33" t="n"/>
    </row>
    <row r="32" ht="39" customHeight="1">
      <c r="A32" s="33" t="n"/>
      <c r="B32" s="24" t="inlineStr">
        <is>
          <t>18. Resolve principal vs agent for pass-through / wholesale streams (ASC 606-10-55-36 to 55-40: control before transfer, inventory risk, pricing discretion, fulfilment responsibility) and confirm gross vs net presentation.</t>
        </is>
      </c>
      <c r="C32" s="24" t="inlineStr">
        <is>
          <t>Presentation &amp; Disclosure; Classification</t>
        </is>
      </c>
      <c r="D32" s="20" t="inlineStr">
        <is>
          <t>&lt;.7&gt;</t>
        </is>
      </c>
      <c r="E32" s="33" t="n"/>
      <c r="F32" s="33" t="n"/>
    </row>
    <row r="33">
      <c r="A33" s="1" t="inlineStr">
        <is>
          <t>&lt;.8&gt; Analytics &amp; Disclosures</t>
        </is>
      </c>
      <c r="B33" s="42" t="n"/>
      <c r="C33" s="42" t="n"/>
      <c r="D33" s="42" t="n"/>
      <c r="E33" s="42" t="n"/>
      <c r="F33" s="43" t="n"/>
    </row>
    <row r="34" ht="25.5" customHeight="1">
      <c r="A34" s="33" t="n"/>
      <c r="B34" s="24" t="inlineStr">
        <is>
          <t>19. Perform revenue analytics — by stream, current-vs-prior, margin, monthly trend / spike review, contra-revenue ratio, customer concentration — and investigate unusual movements.</t>
        </is>
      </c>
      <c r="C34" s="24" t="inlineStr">
        <is>
          <t>Completeness; Accuracy</t>
        </is>
      </c>
      <c r="D34" s="20" t="inlineStr">
        <is>
          <t>&lt;.8&gt;</t>
        </is>
      </c>
      <c r="E34" s="33" t="n"/>
      <c r="F34" s="33" t="n"/>
    </row>
    <row r="35" ht="39" customHeight="1">
      <c r="A35" s="33" t="n"/>
      <c r="B35" s="24" t="inlineStr">
        <is>
          <t>20. Evaluate presentation and disclosure — disaggregation (50-5), contract balances incl. revenue from the opening liability (50-8), remaining performance obligations (50-13), significant judgments (50-17), policy, and gross/net presentation.</t>
        </is>
      </c>
      <c r="C35" s="24" t="inlineStr">
        <is>
          <t>Presentation &amp; Disclosure</t>
        </is>
      </c>
      <c r="D35" s="20" t="inlineStr">
        <is>
          <t>&lt;.8&gt;</t>
        </is>
      </c>
      <c r="E35" s="33" t="n"/>
      <c r="F35" s="33" t="n"/>
    </row>
    <row r="36">
      <c r="A36" s="1" t="inlineStr">
        <is>
          <t>Documentation &amp; Review</t>
        </is>
      </c>
      <c r="B36" s="42" t="n"/>
      <c r="C36" s="42" t="n"/>
      <c r="D36" s="42" t="n"/>
      <c r="E36" s="42" t="n"/>
      <c r="F36" s="43" t="n"/>
    </row>
    <row r="37" ht="15" customHeight="1">
      <c r="A37" s="33" t="n"/>
      <c r="B37" s="24" t="inlineStr">
        <is>
          <t>21. Cross-reference each procedure to its workpaper tab and link it to the relevant assertion(s).</t>
        </is>
      </c>
      <c r="C37" s="24" t="inlineStr">
        <is>
          <t>Overall</t>
        </is>
      </c>
      <c r="D37" s="20" t="inlineStr">
        <is>
          <t>&lt;.0&gt;-&lt;.8&gt;</t>
        </is>
      </c>
      <c r="E37" s="33" t="n"/>
      <c r="F37" s="33" t="n"/>
    </row>
    <row r="38" ht="25.5" customHeight="1">
      <c r="A38" s="33" t="n"/>
      <c r="B38" s="24" t="inlineStr">
        <is>
          <t>22. Verify lead, reconciliation, detail, rollforward and recompute formulas foot correctly and the workbook source trail is complete.</t>
        </is>
      </c>
      <c r="C38" s="24" t="inlineStr">
        <is>
          <t>Accuracy; Completeness</t>
        </is>
      </c>
      <c r="D38" s="20" t="inlineStr">
        <is>
          <t>&lt;.1&gt;-&lt;.6&gt;</t>
        </is>
      </c>
      <c r="E38" s="33" t="n"/>
      <c r="F38" s="33" t="n"/>
    </row>
    <row r="39">
      <c r="A39" s="1" t="inlineStr">
        <is>
          <t>Conclusion</t>
        </is>
      </c>
      <c r="B39" s="42" t="n"/>
      <c r="C39" s="42" t="n"/>
      <c r="D39" s="42" t="n"/>
      <c r="E39" s="42" t="n"/>
      <c r="F39" s="43" t="n"/>
    </row>
    <row r="40" ht="39" customHeight="1">
      <c r="A40" s="33" t="n"/>
      <c r="B40" s="24" t="inlineStr">
        <is>
          <t>23. All planned revenue audit procedures above were performed; results support the occurrence, accuracy, cutoff and presentation of recorded revenue and contract balances, subject to documented open items.</t>
        </is>
      </c>
      <c r="C40" s="24" t="inlineStr">
        <is>
          <t>Overall</t>
        </is>
      </c>
      <c r="D40" s="20" t="inlineStr">
        <is>
          <t>&lt;.0&gt;-&lt;.8&gt;</t>
        </is>
      </c>
      <c r="E40" s="33" t="n"/>
      <c r="F40" s="33" t="n"/>
    </row>
  </sheetData>
  <mergeCells count="12">
    <mergeCell ref="A33:F33"/>
    <mergeCell ref="A28:F28"/>
    <mergeCell ref="A36:F36"/>
    <mergeCell ref="A19:F19"/>
    <mergeCell ref="A23:F23"/>
    <mergeCell ref="A9:F9"/>
    <mergeCell ref="A12:F12"/>
    <mergeCell ref="A4:F4"/>
    <mergeCell ref="A26:F26"/>
    <mergeCell ref="A39:F39"/>
    <mergeCell ref="A15:F15"/>
    <mergeCell ref="A7:F7"/>
  </mergeCells>
  <pageMargins left="0.3" right="0.3" top="0.4" bottom="0.4" header="0.2" footer="0.2"/>
  <pageSetup orientation="portrait" paperSize="1" fitToHeight="1" fitToWidth="1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2"/>
  <sheetViews>
    <sheetView showGridLines="0" zoomScale="85" zoomScaleNormal="100" workbookViewId="0">
      <selection activeCell="A4" sqref="A4:G6"/>
    </sheetView>
  </sheetViews>
  <sheetFormatPr baseColWidth="8" defaultColWidth="8.6328125" defaultRowHeight="14.5"/>
  <cols>
    <col width="21.90625" bestFit="1" customWidth="1" min="1" max="1"/>
    <col width="38" customWidth="1" min="2" max="2"/>
    <col width="20" customWidth="1" min="3" max="3"/>
    <col width="14" customWidth="1" min="4" max="4"/>
    <col width="12" customWidth="1" min="5" max="5"/>
    <col width="24" customWidth="1" min="6" max="6"/>
    <col width="34" customWidth="1" min="7" max="7"/>
  </cols>
  <sheetData>
    <row r="1" ht="17.5" customHeight="1">
      <c r="A1" s="6" t="inlineStr">
        <is>
          <t>Source Index</t>
        </is>
      </c>
    </row>
    <row r="2">
      <c r="A2" s="7" t="inlineStr">
        <is>
          <t>Client / Entity</t>
        </is>
      </c>
      <c r="B2" s="8" t="inlineStr">
        <is>
          <t>[Client / Entity]</t>
        </is>
      </c>
      <c r="D2" s="7" t="inlineStr">
        <is>
          <t>Year-End</t>
        </is>
      </c>
      <c r="E2" s="8" t="inlineStr">
        <is>
          <t>[YYYY-MM-DD]</t>
        </is>
      </c>
      <c r="G2" s="7" t="inlineStr">
        <is>
          <t>Currency</t>
        </is>
      </c>
      <c r="H2" s="8" t="inlineStr">
        <is>
          <t>[CCY]</t>
        </is>
      </c>
    </row>
    <row r="3">
      <c r="A3" s="7" t="inlineStr">
        <is>
          <t>Performance Materiality</t>
        </is>
      </c>
      <c r="B3" s="8" t="inlineStr">
        <is>
          <t>[PM]</t>
        </is>
      </c>
      <c r="D3" s="7" t="inlineStr">
        <is>
          <t>Testing Threshold (SUM)</t>
        </is>
      </c>
      <c r="E3" s="8" t="inlineStr">
        <is>
          <t>[Threshold]</t>
        </is>
      </c>
    </row>
    <row r="4" ht="27.75" customHeight="1">
      <c r="A4" s="29" t="inlineStr">
        <is>
          <t>Purpose:</t>
        </is>
      </c>
      <c r="B4" s="30" t="inlineStr">
        <is>
          <t>Map every revenue PBC source and its limitations so the evidence trail is complete and traceable.</t>
        </is>
      </c>
      <c r="C4" s="44" t="n"/>
      <c r="D4" s="44" t="n"/>
      <c r="E4" s="44" t="n"/>
      <c r="F4" s="44" t="n"/>
      <c r="G4" s="45" t="n"/>
    </row>
    <row r="5" ht="55.5" customHeight="1">
      <c r="A5" s="29" t="inlineStr">
        <is>
          <t>Scope:</t>
        </is>
      </c>
      <c r="B5" s="30" t="inlineStr">
        <is>
          <t>Revenue register / sales journal, GL detail, invoices, executed contracts / POs / master terms, shipping documents (BOL / POD), price lists, cash-receipts ledger, rebate program agreements, post-YE credit-memo &amp; returns log, first post-YE sales journal &amp; shipping log, deferred-revenue schedule.</t>
        </is>
      </c>
      <c r="C5" s="44" t="n"/>
      <c r="D5" s="44" t="n"/>
      <c r="E5" s="44" t="n"/>
      <c r="F5" s="44" t="n"/>
      <c r="G5" s="45" t="n"/>
    </row>
    <row r="6" ht="15" customHeight="1">
      <c r="A6" s="29" t="inlineStr">
        <is>
          <t>Assertions:</t>
        </is>
      </c>
      <c r="B6" s="30" t="inlineStr">
        <is>
          <t>Completeness</t>
        </is>
      </c>
      <c r="C6" s="44" t="n"/>
      <c r="D6" s="44" t="n"/>
      <c r="E6" s="44" t="n"/>
      <c r="F6" s="44" t="n"/>
      <c r="G6" s="45" t="n"/>
    </row>
    <row r="7" ht="30" customHeight="1">
      <c r="A7" s="28" t="inlineStr">
        <is>
          <t>Ref</t>
        </is>
      </c>
      <c r="B7" s="28" t="inlineStr">
        <is>
          <t>Source document / PBC</t>
        </is>
      </c>
      <c r="C7" s="28" t="inlineStr">
        <is>
          <t>Provided by</t>
        </is>
      </c>
      <c r="D7" s="28" t="inlineStr">
        <is>
          <t>Date received</t>
        </is>
      </c>
      <c r="E7" s="28" t="inlineStr">
        <is>
          <t>Format</t>
        </is>
      </c>
      <c r="F7" s="28" t="inlineStr">
        <is>
          <t>Used in tab(s)</t>
        </is>
      </c>
      <c r="G7" s="28" t="inlineStr">
        <is>
          <t>Limitations / notes</t>
        </is>
      </c>
    </row>
    <row r="8">
      <c r="A8" s="33" t="n"/>
      <c r="B8" s="33" t="n"/>
      <c r="C8" s="33" t="n"/>
      <c r="D8" s="33" t="n"/>
      <c r="E8" s="33" t="n"/>
      <c r="F8" s="33" t="n"/>
      <c r="G8" s="33" t="n"/>
    </row>
    <row r="9">
      <c r="A9" s="33" t="n"/>
      <c r="B9" s="33" t="n"/>
      <c r="C9" s="33" t="n"/>
      <c r="D9" s="33" t="n"/>
      <c r="E9" s="33" t="n"/>
      <c r="F9" s="33" t="n"/>
      <c r="G9" s="33" t="n"/>
    </row>
    <row r="10">
      <c r="A10" s="33" t="n"/>
      <c r="B10" s="33" t="n"/>
      <c r="C10" s="33" t="n"/>
      <c r="D10" s="33" t="n"/>
      <c r="E10" s="33" t="n"/>
      <c r="F10" s="33" t="n"/>
      <c r="G10" s="33" t="n"/>
    </row>
    <row r="11">
      <c r="A11" s="33" t="n"/>
      <c r="B11" s="33" t="n"/>
      <c r="C11" s="33" t="n"/>
      <c r="D11" s="33" t="n"/>
      <c r="E11" s="33" t="n"/>
      <c r="F11" s="33" t="n"/>
      <c r="G11" s="33" t="n"/>
    </row>
    <row r="12">
      <c r="A12" s="33" t="n"/>
      <c r="B12" s="33" t="n"/>
      <c r="C12" s="33" t="n"/>
      <c r="D12" s="33" t="n"/>
      <c r="E12" s="33" t="n"/>
      <c r="F12" s="33" t="n"/>
      <c r="G12" s="33" t="n"/>
    </row>
    <row r="13">
      <c r="A13" s="33" t="n"/>
      <c r="B13" s="33" t="n"/>
      <c r="C13" s="33" t="n"/>
      <c r="D13" s="33" t="n"/>
      <c r="E13" s="33" t="n"/>
      <c r="F13" s="33" t="n"/>
      <c r="G13" s="33" t="n"/>
    </row>
    <row r="14">
      <c r="A14" s="33" t="n"/>
      <c r="B14" s="33" t="n"/>
      <c r="C14" s="33" t="n"/>
      <c r="D14" s="33" t="n"/>
      <c r="E14" s="33" t="n"/>
      <c r="F14" s="33" t="n"/>
      <c r="G14" s="33" t="n"/>
    </row>
    <row r="15">
      <c r="A15" s="33" t="n"/>
      <c r="B15" s="33" t="n"/>
      <c r="C15" s="33" t="n"/>
      <c r="D15" s="33" t="n"/>
      <c r="E15" s="33" t="n"/>
      <c r="F15" s="33" t="n"/>
      <c r="G15" s="33" t="n"/>
    </row>
    <row r="16">
      <c r="A16" s="33" t="n"/>
      <c r="B16" s="33" t="n"/>
      <c r="C16" s="33" t="n"/>
      <c r="D16" s="33" t="n"/>
      <c r="E16" s="33" t="n"/>
      <c r="F16" s="33" t="n"/>
      <c r="G16" s="33" t="n"/>
    </row>
    <row r="17">
      <c r="A17" s="33" t="n"/>
      <c r="B17" s="33" t="n"/>
      <c r="C17" s="33" t="n"/>
      <c r="D17" s="33" t="n"/>
      <c r="E17" s="33" t="n"/>
      <c r="F17" s="33" t="n"/>
      <c r="G17" s="33" t="n"/>
    </row>
    <row r="18">
      <c r="A18" s="33" t="n"/>
      <c r="B18" s="33" t="n"/>
      <c r="C18" s="33" t="n"/>
      <c r="D18" s="33" t="n"/>
      <c r="E18" s="33" t="n"/>
      <c r="F18" s="33" t="n"/>
      <c r="G18" s="33" t="n"/>
    </row>
    <row r="19">
      <c r="A19" s="33" t="n"/>
      <c r="B19" s="33" t="n"/>
      <c r="C19" s="33" t="n"/>
      <c r="D19" s="33" t="n"/>
      <c r="E19" s="33" t="n"/>
      <c r="F19" s="33" t="n"/>
      <c r="G19" s="33" t="n"/>
    </row>
    <row r="20"/>
    <row r="21">
      <c r="A21" s="34" t="inlineStr">
        <is>
          <t>TM Legends</t>
        </is>
      </c>
    </row>
    <row r="22">
      <c r="A22" s="12" t="inlineStr">
        <is>
          <t>TB</t>
        </is>
      </c>
      <c r="B22" s="33" t="inlineStr">
        <is>
          <t>Agreed to trial balance</t>
        </is>
      </c>
      <c r="C22" s="42" t="n"/>
      <c r="D22" s="43" t="n"/>
    </row>
    <row r="23">
      <c r="A23" s="12" t="inlineStr">
        <is>
          <t>GL</t>
        </is>
      </c>
      <c r="B23" s="33" t="inlineStr">
        <is>
          <t>Agreed to general ledger</t>
        </is>
      </c>
      <c r="C23" s="42" t="n"/>
      <c r="D23" s="43" t="n"/>
    </row>
    <row r="24">
      <c r="A24" s="12" t="inlineStr">
        <is>
          <t>CF</t>
        </is>
      </c>
      <c r="B24" s="33" t="inlineStr">
        <is>
          <t>Confirmed with third party</t>
        </is>
      </c>
      <c r="C24" s="42" t="n"/>
      <c r="D24" s="43" t="n"/>
    </row>
    <row r="25">
      <c r="A25" s="12" t="inlineStr">
        <is>
          <t>V</t>
        </is>
      </c>
      <c r="B25" s="33" t="inlineStr">
        <is>
          <t>Vouched to source document</t>
        </is>
      </c>
      <c r="C25" s="42" t="n"/>
      <c r="D25" s="43" t="n"/>
    </row>
    <row r="26">
      <c r="A26" s="12" t="inlineStr">
        <is>
          <t>SR</t>
        </is>
      </c>
      <c r="B26" s="33" t="inlineStr">
        <is>
          <t>Agreed to subsequent bank-cleared receipt</t>
        </is>
      </c>
      <c r="C26" s="42" t="n"/>
      <c r="D26" s="43" t="n"/>
    </row>
    <row r="27">
      <c r="A27" s="12" t="inlineStr">
        <is>
          <t>R</t>
        </is>
      </c>
      <c r="B27" s="33" t="inlineStr">
        <is>
          <t>Recalculated independently</t>
        </is>
      </c>
      <c r="C27" s="42" t="n"/>
      <c r="D27" s="43" t="n"/>
    </row>
    <row r="28">
      <c r="A28" s="12" t="inlineStr">
        <is>
          <t>F</t>
        </is>
      </c>
      <c r="B28" s="33" t="inlineStr">
        <is>
          <t>Footed / cross-cast</t>
        </is>
      </c>
      <c r="C28" s="42" t="n"/>
      <c r="D28" s="43" t="n"/>
    </row>
    <row r="29">
      <c r="A29" s="12" t="inlineStr">
        <is>
          <t>T</t>
        </is>
      </c>
      <c r="B29" s="33" t="inlineStr">
        <is>
          <t>Traced to downstream record</t>
        </is>
      </c>
      <c r="C29" s="42" t="n"/>
      <c r="D29" s="43" t="n"/>
    </row>
    <row r="30">
      <c r="A30" s="12" t="inlineStr">
        <is>
          <t>PBC</t>
        </is>
      </c>
      <c r="B30" s="33" t="inlineStr">
        <is>
          <t>Prepared by client</t>
        </is>
      </c>
      <c r="C30" s="42" t="n"/>
      <c r="D30" s="43" t="n"/>
    </row>
    <row r="31"/>
    <row r="32" ht="27.75" customHeight="1">
      <c r="A32" s="31" t="inlineStr">
        <is>
          <t>Before sign-off complete Library Procedure 1 (source completeness &amp; limitations).</t>
        </is>
      </c>
    </row>
  </sheetData>
  <mergeCells count="13">
    <mergeCell ref="A32:G32"/>
    <mergeCell ref="B28:D28"/>
    <mergeCell ref="B5:G5"/>
    <mergeCell ref="B23:D23"/>
    <mergeCell ref="B22:D22"/>
    <mergeCell ref="B26:D26"/>
    <mergeCell ref="B27:D27"/>
    <mergeCell ref="B4:G4"/>
    <mergeCell ref="B30:D30"/>
    <mergeCell ref="B29:D29"/>
    <mergeCell ref="B25:D25"/>
    <mergeCell ref="B24:D24"/>
    <mergeCell ref="B6:G6"/>
  </mergeCells>
  <pageMargins left="0.3" right="0.3" top="0.4" bottom="0.4" header="0.2" footer="0.2"/>
  <pageSetup orientation="portrait" paperSize="1" fitToHeight="1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showGridLines="0" zoomScale="85" zoomScaleNormal="100" workbookViewId="0">
      <selection activeCell="A4" sqref="A4:I6"/>
    </sheetView>
  </sheetViews>
  <sheetFormatPr baseColWidth="8" defaultColWidth="8.6328125" defaultRowHeight="14.5"/>
  <cols>
    <col width="24" customWidth="1" min="1" max="1"/>
    <col width="12" customWidth="1" min="2" max="2"/>
    <col width="18" customWidth="1" min="3" max="3"/>
    <col width="14" customWidth="1" min="4" max="4"/>
    <col width="15" customWidth="1" min="5" max="6"/>
    <col width="14" customWidth="1" min="7" max="7"/>
    <col width="11" customWidth="1" min="8" max="8"/>
    <col width="28" customWidth="1" min="9" max="9"/>
  </cols>
  <sheetData>
    <row r="1" ht="17.5" customHeight="1">
      <c r="A1" s="6" t="inlineStr">
        <is>
          <t>Revenue Lead Sheet</t>
        </is>
      </c>
    </row>
    <row r="2">
      <c r="A2" s="7" t="inlineStr">
        <is>
          <t>Client / Entity</t>
        </is>
      </c>
      <c r="B2" s="8" t="inlineStr">
        <is>
          <t>[Client / Entity]</t>
        </is>
      </c>
      <c r="D2" s="7" t="inlineStr">
        <is>
          <t>Year-End</t>
        </is>
      </c>
      <c r="E2" s="8" t="inlineStr">
        <is>
          <t>[YYYY-MM-DD]</t>
        </is>
      </c>
      <c r="G2" s="7" t="inlineStr">
        <is>
          <t>Currency</t>
        </is>
      </c>
      <c r="H2" s="8" t="inlineStr">
        <is>
          <t>[CCY]</t>
        </is>
      </c>
    </row>
    <row r="3">
      <c r="A3" s="7" t="inlineStr">
        <is>
          <t>Performance Materiality</t>
        </is>
      </c>
      <c r="B3" s="8" t="inlineStr">
        <is>
          <t>[PM]</t>
        </is>
      </c>
      <c r="D3" s="7" t="inlineStr">
        <is>
          <t>Testing Threshold (SUM)</t>
        </is>
      </c>
      <c r="E3" s="8" t="inlineStr">
        <is>
          <t>[Threshold]</t>
        </is>
      </c>
    </row>
    <row r="4" ht="27.75" customHeight="1">
      <c r="A4" s="29" t="inlineStr">
        <is>
          <t>Purpose:</t>
        </is>
      </c>
      <c r="B4" s="30" t="inlineStr">
        <is>
          <t>Summarize revenue by stream, flag the recognition pattern (point-in-time / over-time) and presentation (gross / contra), and tie net revenue to the trial balance.</t>
        </is>
      </c>
      <c r="C4" s="44" t="n"/>
      <c r="D4" s="44" t="n"/>
      <c r="E4" s="44" t="n"/>
      <c r="F4" s="44" t="n"/>
      <c r="G4" s="44" t="n"/>
      <c r="H4" s="44" t="n"/>
      <c r="I4" s="45" t="n"/>
    </row>
    <row r="5" ht="27.75" customHeight="1">
      <c r="A5" s="29" t="inlineStr">
        <is>
          <t>Scope:</t>
        </is>
      </c>
      <c r="B5" s="30" t="inlineStr">
        <is>
          <t>All revenue streams (product, service, freight, other) and contra-revenue (returns, discounts &amp; rebates), by GL account.</t>
        </is>
      </c>
      <c r="C5" s="44" t="n"/>
      <c r="D5" s="44" t="n"/>
      <c r="E5" s="44" t="n"/>
      <c r="F5" s="44" t="n"/>
      <c r="G5" s="44" t="n"/>
      <c r="H5" s="44" t="n"/>
      <c r="I5" s="45" t="n"/>
    </row>
    <row r="6" ht="15" customHeight="1">
      <c r="A6" s="29" t="inlineStr">
        <is>
          <t>Assertions:</t>
        </is>
      </c>
      <c r="B6" s="30" t="inlineStr">
        <is>
          <t>Occurrence; Completeness; Accuracy; Classification</t>
        </is>
      </c>
      <c r="C6" s="44" t="n"/>
      <c r="D6" s="44" t="n"/>
      <c r="E6" s="44" t="n"/>
      <c r="F6" s="44" t="n"/>
      <c r="G6" s="44" t="n"/>
      <c r="H6" s="44" t="n"/>
      <c r="I6" s="45" t="n"/>
    </row>
    <row r="7" ht="30" customHeight="1">
      <c r="A7" s="28" t="inlineStr">
        <is>
          <t>Stream</t>
        </is>
      </c>
      <c r="B7" s="28" t="inlineStr">
        <is>
          <t>GL Account</t>
        </is>
      </c>
      <c r="C7" s="28" t="inlineStr">
        <is>
          <t>Recognition (Point-in-time / Over-time)</t>
        </is>
      </c>
      <c r="D7" s="28" t="inlineStr">
        <is>
          <t>Presentation (Gross / Contra)</t>
        </is>
      </c>
      <c r="E7" s="28" t="inlineStr">
        <is>
          <t>CY</t>
        </is>
      </c>
      <c r="F7" s="28" t="inlineStr">
        <is>
          <t>PY</t>
        </is>
      </c>
      <c r="G7" s="28" t="inlineStr">
        <is>
          <t>Difference</t>
        </is>
      </c>
      <c r="H7" s="28" t="inlineStr">
        <is>
          <t>% Change</t>
        </is>
      </c>
      <c r="I7" s="28" t="inlineStr">
        <is>
          <t>Source / Comments</t>
        </is>
      </c>
    </row>
    <row r="8">
      <c r="E8" s="13" t="inlineStr">
        <is>
          <t>TB</t>
        </is>
      </c>
      <c r="F8" s="13" t="inlineStr">
        <is>
          <t>PY</t>
        </is>
      </c>
      <c r="G8" s="13" t="inlineStr">
        <is>
          <t>R</t>
        </is>
      </c>
    </row>
    <row r="9">
      <c r="A9" s="33" t="n"/>
      <c r="B9" s="33" t="n"/>
      <c r="C9" s="33" t="n"/>
      <c r="D9" s="33" t="n"/>
      <c r="E9" s="14" t="n"/>
      <c r="F9" s="14" t="n"/>
      <c r="G9" s="14">
        <f>IF(AND(E9="",F9=""),"",E9-F9)</f>
        <v/>
      </c>
      <c r="H9" s="15">
        <f>IF(OR(F9="",F9=0),"",(E9-F9)/F9)</f>
        <v/>
      </c>
      <c r="I9" s="33" t="n"/>
    </row>
    <row r="10">
      <c r="A10" s="33" t="n"/>
      <c r="B10" s="33" t="n"/>
      <c r="C10" s="33" t="n"/>
      <c r="D10" s="33" t="n"/>
      <c r="E10" s="14" t="n"/>
      <c r="F10" s="14" t="n"/>
      <c r="G10" s="14">
        <f>IF(AND(E10="",F10=""),"",E10-F10)</f>
        <v/>
      </c>
      <c r="H10" s="15">
        <f>IF(OR(F10="",F10=0),"",(E10-F10)/F10)</f>
        <v/>
      </c>
      <c r="I10" s="33" t="n"/>
    </row>
    <row r="11">
      <c r="A11" s="33" t="n"/>
      <c r="B11" s="33" t="n"/>
      <c r="C11" s="33" t="n"/>
      <c r="D11" s="33" t="n"/>
      <c r="E11" s="14" t="n"/>
      <c r="F11" s="14" t="n"/>
      <c r="G11" s="14">
        <f>IF(AND(E11="",F11=""),"",E11-F11)</f>
        <v/>
      </c>
      <c r="H11" s="15">
        <f>IF(OR(F11="",F11=0),"",(E11-F11)/F11)</f>
        <v/>
      </c>
      <c r="I11" s="33" t="n"/>
    </row>
    <row r="12">
      <c r="A12" s="33" t="n"/>
      <c r="B12" s="33" t="n"/>
      <c r="C12" s="33" t="n"/>
      <c r="D12" s="33" t="n"/>
      <c r="E12" s="14" t="n"/>
      <c r="F12" s="14" t="n"/>
      <c r="G12" s="14">
        <f>IF(AND(E12="",F12=""),"",E12-F12)</f>
        <v/>
      </c>
      <c r="H12" s="15">
        <f>IF(OR(F12="",F12=0),"",(E12-F12)/F12)</f>
        <v/>
      </c>
      <c r="I12" s="33" t="n"/>
    </row>
    <row r="13">
      <c r="A13" s="33" t="n"/>
      <c r="B13" s="33" t="n"/>
      <c r="C13" s="33" t="n"/>
      <c r="D13" s="33" t="n"/>
      <c r="E13" s="14" t="n"/>
      <c r="F13" s="14" t="n"/>
      <c r="G13" s="14">
        <f>IF(AND(E13="",F13=""),"",E13-F13)</f>
        <v/>
      </c>
      <c r="H13" s="15">
        <f>IF(OR(F13="",F13=0),"",(E13-F13)/F13)</f>
        <v/>
      </c>
      <c r="I13" s="33" t="n"/>
    </row>
    <row r="14">
      <c r="A14" s="33" t="n"/>
      <c r="B14" s="33" t="n"/>
      <c r="C14" s="33" t="n"/>
      <c r="D14" s="33" t="n"/>
      <c r="E14" s="14" t="n"/>
      <c r="F14" s="14" t="n"/>
      <c r="G14" s="14">
        <f>IF(AND(E14="",F14=""),"",E14-F14)</f>
        <v/>
      </c>
      <c r="H14" s="15">
        <f>IF(OR(F14="",F14=0),"",(E14-F14)/F14)</f>
        <v/>
      </c>
      <c r="I14" s="33" t="n"/>
    </row>
    <row r="15">
      <c r="A15" s="33" t="n"/>
      <c r="B15" s="33" t="n"/>
      <c r="C15" s="33" t="n"/>
      <c r="D15" s="33" t="n"/>
      <c r="E15" s="14" t="n"/>
      <c r="F15" s="14" t="n"/>
      <c r="G15" s="14">
        <f>IF(AND(E15="",F15=""),"",E15-F15)</f>
        <v/>
      </c>
      <c r="H15" s="15">
        <f>IF(OR(F15="",F15=0),"",(E15-F15)/F15)</f>
        <v/>
      </c>
      <c r="I15" s="33" t="n"/>
    </row>
    <row r="16">
      <c r="A16" s="33" t="n"/>
      <c r="B16" s="33" t="n"/>
      <c r="C16" s="33" t="n"/>
      <c r="D16" s="33" t="n"/>
      <c r="E16" s="14" t="n"/>
      <c r="F16" s="14" t="n"/>
      <c r="G16" s="14">
        <f>IF(AND(E16="",F16=""),"",E16-F16)</f>
        <v/>
      </c>
      <c r="H16" s="15">
        <f>IF(OR(F16="",F16=0),"",(E16-F16)/F16)</f>
        <v/>
      </c>
      <c r="I16" s="33" t="n"/>
    </row>
    <row r="17">
      <c r="A17" s="33" t="n"/>
      <c r="B17" s="33" t="n"/>
      <c r="C17" s="33" t="n"/>
      <c r="D17" s="33" t="n"/>
      <c r="E17" s="14" t="n"/>
      <c r="F17" s="14" t="n"/>
      <c r="G17" s="14">
        <f>IF(AND(E17="",F17=""),"",E17-F17)</f>
        <v/>
      </c>
      <c r="H17" s="15">
        <f>IF(OR(F17="",F17=0),"",(E17-F17)/F17)</f>
        <v/>
      </c>
      <c r="I17" s="33" t="n"/>
    </row>
    <row r="18">
      <c r="A18" s="16" t="inlineStr">
        <is>
          <t>Net revenue</t>
        </is>
      </c>
      <c r="B18" s="16" t="n"/>
      <c r="C18" s="16" t="n"/>
      <c r="D18" s="16" t="n"/>
      <c r="E18" s="17">
        <f>SUM(E9:E17)</f>
        <v/>
      </c>
      <c r="F18" s="17">
        <f>SUM(F9:F17)</f>
        <v/>
      </c>
      <c r="G18" s="17">
        <f>SUM(G9:G17)</f>
        <v/>
      </c>
      <c r="H18" s="16" t="n"/>
      <c r="I18" s="16" t="n"/>
    </row>
    <row r="19">
      <c r="A19" s="33" t="inlineStr">
        <is>
          <t>Net revenue per trial balance</t>
        </is>
      </c>
      <c r="B19" s="33" t="n"/>
      <c r="C19" s="33" t="n"/>
      <c r="D19" s="33" t="n"/>
      <c r="E19" s="14" t="n"/>
      <c r="F19" s="33" t="n"/>
      <c r="G19" s="33" t="n"/>
      <c r="H19" s="33" t="n"/>
      <c r="I19" s="33" t="n"/>
    </row>
    <row r="20">
      <c r="A20" s="18" t="inlineStr">
        <is>
          <t>Difference (should be 0)</t>
        </is>
      </c>
      <c r="B20" s="33" t="n"/>
      <c r="C20" s="33" t="n"/>
      <c r="D20" s="33" t="n"/>
      <c r="E20" s="19">
        <f>E18-E19</f>
        <v/>
      </c>
      <c r="F20" s="33" t="n"/>
      <c r="G20" s="33" t="n"/>
      <c r="H20" s="33" t="n"/>
      <c r="I20" s="33" t="n"/>
    </row>
    <row r="21"/>
    <row r="22" ht="27.75" customHeight="1">
      <c r="A22" s="31" t="inlineStr">
        <is>
          <t>Contra streams (returns, discounts &amp; rebates) carry debit balances and net against gross revenue. The recognition flag routes each stream to the &lt;.7&gt; framework: point-in-time streams to the control-transfer evaluation; over-time streams (e.g., custom job orders) to the ASC 606-10-25-27 criteria and measure of progress.</t>
        </is>
      </c>
    </row>
    <row r="23"/>
    <row r="24">
      <c r="A24" s="34" t="inlineStr">
        <is>
          <t>TM Legends</t>
        </is>
      </c>
    </row>
    <row r="25">
      <c r="A25" s="12" t="inlineStr">
        <is>
          <t>TB</t>
        </is>
      </c>
      <c r="B25" s="33" t="inlineStr">
        <is>
          <t>Agreed to trial balance</t>
        </is>
      </c>
      <c r="C25" s="42" t="n"/>
      <c r="D25" s="43" t="n"/>
    </row>
    <row r="26">
      <c r="A26" s="12" t="inlineStr">
        <is>
          <t>GL</t>
        </is>
      </c>
      <c r="B26" s="33" t="inlineStr">
        <is>
          <t>Agreed to general ledger</t>
        </is>
      </c>
      <c r="C26" s="42" t="n"/>
      <c r="D26" s="43" t="n"/>
    </row>
    <row r="27">
      <c r="A27" s="12" t="inlineStr">
        <is>
          <t>CF</t>
        </is>
      </c>
      <c r="B27" s="33" t="inlineStr">
        <is>
          <t>Confirmed with third party</t>
        </is>
      </c>
      <c r="C27" s="42" t="n"/>
      <c r="D27" s="43" t="n"/>
    </row>
    <row r="28">
      <c r="A28" s="12" t="inlineStr">
        <is>
          <t>V</t>
        </is>
      </c>
      <c r="B28" s="33" t="inlineStr">
        <is>
          <t>Vouched to source document</t>
        </is>
      </c>
      <c r="C28" s="42" t="n"/>
      <c r="D28" s="43" t="n"/>
    </row>
    <row r="29">
      <c r="A29" s="12" t="inlineStr">
        <is>
          <t>SR</t>
        </is>
      </c>
      <c r="B29" s="33" t="inlineStr">
        <is>
          <t>Agreed to subsequent bank-cleared receipt</t>
        </is>
      </c>
      <c r="C29" s="42" t="n"/>
      <c r="D29" s="43" t="n"/>
    </row>
    <row r="30">
      <c r="A30" s="12" t="inlineStr">
        <is>
          <t>R</t>
        </is>
      </c>
      <c r="B30" s="33" t="inlineStr">
        <is>
          <t>Recalculated independently</t>
        </is>
      </c>
      <c r="C30" s="42" t="n"/>
      <c r="D30" s="43" t="n"/>
    </row>
    <row r="31">
      <c r="A31" s="12" t="inlineStr">
        <is>
          <t>F</t>
        </is>
      </c>
      <c r="B31" s="33" t="inlineStr">
        <is>
          <t>Footed / cross-cast</t>
        </is>
      </c>
      <c r="C31" s="42" t="n"/>
      <c r="D31" s="43" t="n"/>
    </row>
    <row r="32">
      <c r="A32" s="12" t="inlineStr">
        <is>
          <t>T</t>
        </is>
      </c>
      <c r="B32" s="33" t="inlineStr">
        <is>
          <t>Traced to downstream record</t>
        </is>
      </c>
      <c r="C32" s="42" t="n"/>
      <c r="D32" s="43" t="n"/>
    </row>
    <row r="33">
      <c r="A33" s="12" t="inlineStr">
        <is>
          <t>PBC</t>
        </is>
      </c>
      <c r="B33" s="33" t="inlineStr">
        <is>
          <t>Prepared by client</t>
        </is>
      </c>
      <c r="C33" s="42" t="n"/>
      <c r="D33" s="43" t="n"/>
    </row>
    <row r="34"/>
    <row r="35" ht="27.75" customHeight="1">
      <c r="A35" s="31" t="inlineStr">
        <is>
          <t>Before sign-off complete Library Procedures 2-3 (lead tie-out &amp; recognition flags; gross vs contra presentation).</t>
        </is>
      </c>
    </row>
  </sheetData>
  <mergeCells count="14">
    <mergeCell ref="B33:D33"/>
    <mergeCell ref="B28:D28"/>
    <mergeCell ref="B31:D31"/>
    <mergeCell ref="B6:I6"/>
    <mergeCell ref="B32:D32"/>
    <mergeCell ref="B26:D26"/>
    <mergeCell ref="B27:D27"/>
    <mergeCell ref="B5:I5"/>
    <mergeCell ref="B30:D30"/>
    <mergeCell ref="A22:I22"/>
    <mergeCell ref="B29:D29"/>
    <mergeCell ref="A35:I35"/>
    <mergeCell ref="B25:D25"/>
    <mergeCell ref="B4:I4"/>
  </mergeCells>
  <pageMargins left="0.3" right="0.3" top="0.4" bottom="0.4" header="0.2" footer="0.2"/>
  <pageSetup orientation="landscape" paperSize="1" fitToHeight="1" fitToWidth="1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zoomScale="85" zoomScaleNormal="100" workbookViewId="0">
      <selection activeCell="A4" sqref="A4:I6"/>
    </sheetView>
  </sheetViews>
  <sheetFormatPr baseColWidth="8" defaultColWidth="8.6328125" defaultRowHeight="14.5"/>
  <cols>
    <col width="24" customWidth="1" min="1" max="1"/>
    <col width="15" customWidth="1" min="2" max="2"/>
    <col width="16" customWidth="1" min="3" max="3"/>
    <col width="24" customWidth="1" min="4" max="4"/>
    <col width="15" customWidth="1" min="5" max="6"/>
    <col width="18" customWidth="1" min="7" max="7"/>
    <col width="14" customWidth="1" min="8" max="8"/>
    <col width="26" customWidth="1" min="9" max="9"/>
  </cols>
  <sheetData>
    <row r="1" ht="17.5" customHeight="1">
      <c r="A1" s="6" t="inlineStr">
        <is>
          <t>Revenue Reconciliation &amp; Testing-Approach Map</t>
        </is>
      </c>
    </row>
    <row r="2">
      <c r="A2" s="7" t="inlineStr">
        <is>
          <t>Client / Entity</t>
        </is>
      </c>
      <c r="B2" s="8" t="inlineStr">
        <is>
          <t>[Client / Entity]</t>
        </is>
      </c>
      <c r="D2" s="7" t="inlineStr">
        <is>
          <t>Year-End</t>
        </is>
      </c>
      <c r="E2" s="8" t="inlineStr">
        <is>
          <t>[YYYY-MM-DD]</t>
        </is>
      </c>
      <c r="G2" s="7" t="inlineStr">
        <is>
          <t>Currency</t>
        </is>
      </c>
      <c r="H2" s="8" t="inlineStr">
        <is>
          <t>[CCY]</t>
        </is>
      </c>
    </row>
    <row r="3">
      <c r="A3" s="7" t="inlineStr">
        <is>
          <t>Performance Materiality</t>
        </is>
      </c>
      <c r="B3" s="8" t="inlineStr">
        <is>
          <t>[PM]</t>
        </is>
      </c>
      <c r="D3" s="7" t="inlineStr">
        <is>
          <t>Testing Threshold (SUM)</t>
        </is>
      </c>
      <c r="E3" s="8" t="inlineStr">
        <is>
          <t>[Threshold]</t>
        </is>
      </c>
    </row>
    <row r="4" ht="42" customHeight="1">
      <c r="A4" s="29" t="inlineStr">
        <is>
          <t>Purpose:</t>
        </is>
      </c>
      <c r="B4" s="30" t="inlineStr">
        <is>
          <t>Reconcile the revenue register / sub-ledger to the GL by stream, isolate reconciling items (e.g., rebate accruals), quantify unidentified differences, and map every stream to the tab that tests it — leaving no untested amounts unevaluated.</t>
        </is>
      </c>
      <c r="C4" s="44" t="n"/>
      <c r="D4" s="44" t="n"/>
      <c r="E4" s="44" t="n"/>
      <c r="F4" s="44" t="n"/>
      <c r="G4" s="44" t="n"/>
      <c r="H4" s="44" t="n"/>
      <c r="I4" s="45" t="n"/>
    </row>
    <row r="5" ht="15" customHeight="1">
      <c r="A5" s="29" t="inlineStr">
        <is>
          <t>Scope:</t>
        </is>
      </c>
      <c r="B5" s="30" t="inlineStr">
        <is>
          <t>Every revenue GL account and the full-period revenue register / sales journal.</t>
        </is>
      </c>
      <c r="C5" s="44" t="n"/>
      <c r="D5" s="44" t="n"/>
      <c r="E5" s="44" t="n"/>
      <c r="F5" s="44" t="n"/>
      <c r="G5" s="44" t="n"/>
      <c r="H5" s="44" t="n"/>
      <c r="I5" s="45" t="n"/>
    </row>
    <row r="6" ht="15" customHeight="1">
      <c r="A6" s="29" t="inlineStr">
        <is>
          <t>Assertions:</t>
        </is>
      </c>
      <c r="B6" s="30" t="inlineStr">
        <is>
          <t>Completeness; Accuracy; Occurrence</t>
        </is>
      </c>
      <c r="C6" s="44" t="n"/>
      <c r="D6" s="44" t="n"/>
      <c r="E6" s="44" t="n"/>
      <c r="F6" s="44" t="n"/>
      <c r="G6" s="44" t="n"/>
      <c r="H6" s="44" t="n"/>
      <c r="I6" s="45" t="n"/>
    </row>
    <row r="7" ht="30" customHeight="1">
      <c r="A7" s="28" t="inlineStr">
        <is>
          <t>Stream / GL account</t>
        </is>
      </c>
      <c r="B7" s="28" t="inlineStr">
        <is>
          <t>Per GL</t>
        </is>
      </c>
      <c r="C7" s="28" t="inlineStr">
        <is>
          <t>Per register / sub-ledger</t>
        </is>
      </c>
      <c r="D7" s="28" t="inlineStr">
        <is>
          <t>Reconciling items (describe)</t>
        </is>
      </c>
      <c r="E7" s="28" t="inlineStr">
        <is>
          <t>Reconciling amount</t>
        </is>
      </c>
      <c r="F7" s="28" t="inlineStr">
        <is>
          <t>Unidentified difference</t>
        </is>
      </c>
      <c r="G7" s="28" t="inlineStr">
        <is>
          <t>Tested on (tab / approach)</t>
        </is>
      </c>
      <c r="H7" s="28" t="inlineStr">
        <is>
          <t>Untested amount</t>
        </is>
      </c>
      <c r="I7" s="28" t="inlineStr">
        <is>
          <t>Comments</t>
        </is>
      </c>
    </row>
    <row r="8">
      <c r="B8" s="13" t="inlineStr">
        <is>
          <t>TB</t>
        </is>
      </c>
      <c r="C8" s="13" t="inlineStr">
        <is>
          <t>PBC</t>
        </is>
      </c>
      <c r="F8" s="13" t="inlineStr">
        <is>
          <t>R</t>
        </is>
      </c>
    </row>
    <row r="9">
      <c r="A9" s="33" t="n"/>
      <c r="B9" s="14" t="n"/>
      <c r="C9" s="14" t="n"/>
      <c r="D9" s="33" t="n"/>
      <c r="E9" s="14" t="n"/>
      <c r="F9" s="14">
        <f>IF(AND(B9="",C9=""),"",B9-C9-IF(E9="",0,E9))</f>
        <v/>
      </c>
      <c r="G9" s="33" t="n"/>
      <c r="H9" s="14" t="n"/>
      <c r="I9" s="33" t="n"/>
    </row>
    <row r="10">
      <c r="A10" s="33" t="n"/>
      <c r="B10" s="14" t="n"/>
      <c r="C10" s="14" t="n"/>
      <c r="D10" s="33" t="n"/>
      <c r="E10" s="14" t="n"/>
      <c r="F10" s="14">
        <f>IF(AND(B10="",C10=""),"",B10-C10-IF(E10="",0,E10))</f>
        <v/>
      </c>
      <c r="G10" s="33" t="n"/>
      <c r="H10" s="14" t="n"/>
      <c r="I10" s="33" t="n"/>
    </row>
    <row r="11">
      <c r="A11" s="33" t="n"/>
      <c r="B11" s="14" t="n"/>
      <c r="C11" s="14" t="n"/>
      <c r="D11" s="33" t="n"/>
      <c r="E11" s="14" t="n"/>
      <c r="F11" s="14">
        <f>IF(AND(B11="",C11=""),"",B11-C11-IF(E11="",0,E11))</f>
        <v/>
      </c>
      <c r="G11" s="33" t="n"/>
      <c r="H11" s="14" t="n"/>
      <c r="I11" s="33" t="n"/>
    </row>
    <row r="12">
      <c r="A12" s="33" t="n"/>
      <c r="B12" s="14" t="n"/>
      <c r="C12" s="14" t="n"/>
      <c r="D12" s="33" t="n"/>
      <c r="E12" s="14" t="n"/>
      <c r="F12" s="14">
        <f>IF(AND(B12="",C12=""),"",B12-C12-IF(E12="",0,E12))</f>
        <v/>
      </c>
      <c r="G12" s="33" t="n"/>
      <c r="H12" s="14" t="n"/>
      <c r="I12" s="33" t="n"/>
    </row>
    <row r="13">
      <c r="A13" s="33" t="n"/>
      <c r="B13" s="14" t="n"/>
      <c r="C13" s="14" t="n"/>
      <c r="D13" s="33" t="n"/>
      <c r="E13" s="14" t="n"/>
      <c r="F13" s="14">
        <f>IF(AND(B13="",C13=""),"",B13-C13-IF(E13="",0,E13))</f>
        <v/>
      </c>
      <c r="G13" s="33" t="n"/>
      <c r="H13" s="14" t="n"/>
      <c r="I13" s="33" t="n"/>
    </row>
    <row r="14">
      <c r="A14" s="33" t="n"/>
      <c r="B14" s="14" t="n"/>
      <c r="C14" s="14" t="n"/>
      <c r="D14" s="33" t="n"/>
      <c r="E14" s="14" t="n"/>
      <c r="F14" s="14">
        <f>IF(AND(B14="",C14=""),"",B14-C14-IF(E14="",0,E14))</f>
        <v/>
      </c>
      <c r="G14" s="33" t="n"/>
      <c r="H14" s="14" t="n"/>
      <c r="I14" s="33" t="n"/>
    </row>
    <row r="15">
      <c r="A15" s="33" t="n"/>
      <c r="B15" s="14" t="n"/>
      <c r="C15" s="14" t="n"/>
      <c r="D15" s="33" t="n"/>
      <c r="E15" s="14" t="n"/>
      <c r="F15" s="14">
        <f>IF(AND(B15="",C15=""),"",B15-C15-IF(E15="",0,E15))</f>
        <v/>
      </c>
      <c r="G15" s="33" t="n"/>
      <c r="H15" s="14" t="n"/>
      <c r="I15" s="33" t="n"/>
    </row>
    <row r="16">
      <c r="A16" s="33" t="n"/>
      <c r="B16" s="14" t="n"/>
      <c r="C16" s="14" t="n"/>
      <c r="D16" s="33" t="n"/>
      <c r="E16" s="14" t="n"/>
      <c r="F16" s="14">
        <f>IF(AND(B16="",C16=""),"",B16-C16-IF(E16="",0,E16))</f>
        <v/>
      </c>
      <c r="G16" s="33" t="n"/>
      <c r="H16" s="14" t="n"/>
      <c r="I16" s="33" t="n"/>
    </row>
    <row r="17">
      <c r="A17" s="16" t="inlineStr">
        <is>
          <t>Total</t>
        </is>
      </c>
      <c r="B17" s="17">
        <f>SUM(B9:B16)</f>
        <v/>
      </c>
      <c r="C17" s="17">
        <f>SUM(C9:C16)</f>
        <v/>
      </c>
      <c r="D17" s="16" t="n"/>
      <c r="E17" s="17">
        <f>SUM(E9:E16)</f>
        <v/>
      </c>
      <c r="F17" s="17">
        <f>SUM(F9:F16)</f>
        <v/>
      </c>
      <c r="G17" s="16" t="n"/>
      <c r="H17" s="17">
        <f>SUM(H9:H16)</f>
        <v/>
      </c>
      <c r="I17" s="16" t="n"/>
    </row>
    <row r="18"/>
    <row r="19" ht="27.75" customHeight="1">
      <c r="A19" s="31" t="inlineStr">
        <is>
          <t>Unidentified differences must be individually and in aggregate below the testing threshold. The testing-approach column maps each stream to &lt;.3&gt; detail testing, &lt;.4&gt; cutoff, &lt;.5&gt; variable consideration or analytics — any untested amount is evaluated and either tested or accepted with a documented basis.</t>
        </is>
      </c>
    </row>
    <row r="20"/>
    <row r="21">
      <c r="A21" s="34" t="inlineStr">
        <is>
          <t>TM Legends</t>
        </is>
      </c>
    </row>
    <row r="22">
      <c r="A22" s="12" t="inlineStr">
        <is>
          <t>TB</t>
        </is>
      </c>
      <c r="B22" s="33" t="inlineStr">
        <is>
          <t>Agreed to trial balance</t>
        </is>
      </c>
      <c r="C22" s="42" t="n"/>
      <c r="D22" s="43" t="n"/>
    </row>
    <row r="23">
      <c r="A23" s="12" t="inlineStr">
        <is>
          <t>GL</t>
        </is>
      </c>
      <c r="B23" s="33" t="inlineStr">
        <is>
          <t>Agreed to general ledger</t>
        </is>
      </c>
      <c r="C23" s="42" t="n"/>
      <c r="D23" s="43" t="n"/>
    </row>
    <row r="24">
      <c r="A24" s="12" t="inlineStr">
        <is>
          <t>CF</t>
        </is>
      </c>
      <c r="B24" s="33" t="inlineStr">
        <is>
          <t>Confirmed with third party</t>
        </is>
      </c>
      <c r="C24" s="42" t="n"/>
      <c r="D24" s="43" t="n"/>
    </row>
    <row r="25">
      <c r="A25" s="12" t="inlineStr">
        <is>
          <t>V</t>
        </is>
      </c>
      <c r="B25" s="33" t="inlineStr">
        <is>
          <t>Vouched to source document</t>
        </is>
      </c>
      <c r="C25" s="42" t="n"/>
      <c r="D25" s="43" t="n"/>
    </row>
    <row r="26">
      <c r="A26" s="12" t="inlineStr">
        <is>
          <t>SR</t>
        </is>
      </c>
      <c r="B26" s="33" t="inlineStr">
        <is>
          <t>Agreed to subsequent bank-cleared receipt</t>
        </is>
      </c>
      <c r="C26" s="42" t="n"/>
      <c r="D26" s="43" t="n"/>
    </row>
    <row r="27">
      <c r="A27" s="12" t="inlineStr">
        <is>
          <t>R</t>
        </is>
      </c>
      <c r="B27" s="33" t="inlineStr">
        <is>
          <t>Recalculated independently</t>
        </is>
      </c>
      <c r="C27" s="42" t="n"/>
      <c r="D27" s="43" t="n"/>
    </row>
    <row r="28">
      <c r="A28" s="12" t="inlineStr">
        <is>
          <t>F</t>
        </is>
      </c>
      <c r="B28" s="33" t="inlineStr">
        <is>
          <t>Footed / cross-cast</t>
        </is>
      </c>
      <c r="C28" s="42" t="n"/>
      <c r="D28" s="43" t="n"/>
    </row>
    <row r="29">
      <c r="A29" s="12" t="inlineStr">
        <is>
          <t>T</t>
        </is>
      </c>
      <c r="B29" s="33" t="inlineStr">
        <is>
          <t>Traced to downstream record</t>
        </is>
      </c>
      <c r="C29" s="42" t="n"/>
      <c r="D29" s="43" t="n"/>
    </row>
    <row r="30">
      <c r="A30" s="12" t="inlineStr">
        <is>
          <t>PBC</t>
        </is>
      </c>
      <c r="B30" s="33" t="inlineStr">
        <is>
          <t>Prepared by client</t>
        </is>
      </c>
      <c r="C30" s="42" t="n"/>
      <c r="D30" s="43" t="n"/>
    </row>
    <row r="31"/>
    <row r="32" ht="27.75" customHeight="1">
      <c r="A32" s="31" t="inlineStr">
        <is>
          <t>Before sign-off complete Library Procedures 4-5 (register-to-GL reconciliation; testing-approach map &amp; untested amounts).</t>
        </is>
      </c>
    </row>
  </sheetData>
  <mergeCells count="14">
    <mergeCell ref="B28:D28"/>
    <mergeCell ref="A19:I19"/>
    <mergeCell ref="B23:D23"/>
    <mergeCell ref="B6:I6"/>
    <mergeCell ref="A32:I32"/>
    <mergeCell ref="B22:D22"/>
    <mergeCell ref="B26:D26"/>
    <mergeCell ref="B27:D27"/>
    <mergeCell ref="B5:I5"/>
    <mergeCell ref="B30:D30"/>
    <mergeCell ref="B29:D29"/>
    <mergeCell ref="B25:D25"/>
    <mergeCell ref="B24:D24"/>
    <mergeCell ref="B4:I4"/>
  </mergeCells>
  <pageMargins left="0.3" right="0.3" top="0.4" bottom="0.4" header="0.2" footer="0.2"/>
  <pageSetup orientation="landscape" paperSize="1" fitToHeight="1" fitToWidth="1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Y36"/>
  <sheetViews>
    <sheetView showGridLines="0" zoomScale="85" zoomScaleNormal="100" workbookViewId="0">
      <pane xSplit="3" ySplit="8" topLeftCell="D9" activePane="bottomRight" state="frozen"/>
      <selection pane="topRight" activeCell="E1" sqref="E1"/>
      <selection pane="bottomLeft" activeCell="A9" sqref="A9"/>
      <selection pane="bottomRight" activeCell="C9" sqref="C9"/>
    </sheetView>
  </sheetViews>
  <sheetFormatPr baseColWidth="8" defaultColWidth="8.6328125" defaultRowHeight="14.5"/>
  <cols>
    <col width="22.6328125" customWidth="1" min="1" max="1"/>
    <col width="13" customWidth="1" min="2" max="2"/>
    <col width="12" customWidth="1" min="3" max="3"/>
    <col width="16" customWidth="1" min="4" max="4"/>
    <col width="12" customWidth="1" min="5" max="5"/>
    <col width="13" customWidth="1" min="6" max="6"/>
    <col width="12" customWidth="1" min="7" max="9"/>
    <col width="11" customWidth="1" min="10" max="10"/>
    <col width="10" customWidth="1" min="11" max="11"/>
    <col width="12" customWidth="1" min="12" max="12"/>
    <col width="10" customWidth="1" min="13" max="13"/>
    <col width="12" customWidth="1" min="14" max="14"/>
    <col width="14" customWidth="1" min="15" max="15"/>
    <col width="12" customWidth="1" min="16" max="16"/>
    <col width="10" customWidth="1" min="17" max="17"/>
    <col width="13" customWidth="1" min="18" max="18"/>
    <col width="14" customWidth="1" min="19" max="19"/>
    <col width="12" customWidth="1" min="20" max="20"/>
    <col width="13" customWidth="1" min="21" max="22"/>
    <col width="12" customWidth="1" min="23" max="23"/>
    <col width="11" customWidth="1" min="24" max="24"/>
    <col width="22" customWidth="1" min="25" max="25"/>
  </cols>
  <sheetData>
    <row r="1" ht="17.5" customHeight="1">
      <c r="A1" s="6" t="inlineStr">
        <is>
          <t>Revenue Detail Testing (ASC 606 Five-Step)</t>
        </is>
      </c>
    </row>
    <row r="2">
      <c r="A2" s="7" t="inlineStr">
        <is>
          <t>Client / Entity</t>
        </is>
      </c>
      <c r="B2" s="8" t="inlineStr">
        <is>
          <t>[Client / Entity]</t>
        </is>
      </c>
      <c r="D2" s="7" t="inlineStr">
        <is>
          <t>Year-End</t>
        </is>
      </c>
      <c r="E2" s="8" t="inlineStr">
        <is>
          <t>[YYYY-MM-DD]</t>
        </is>
      </c>
      <c r="G2" s="7" t="inlineStr">
        <is>
          <t>Currency</t>
        </is>
      </c>
      <c r="H2" s="8" t="inlineStr">
        <is>
          <t>[CCY]</t>
        </is>
      </c>
    </row>
    <row r="3">
      <c r="A3" s="7" t="inlineStr">
        <is>
          <t>Performance Materiality</t>
        </is>
      </c>
      <c r="B3" s="8" t="inlineStr">
        <is>
          <t>[PM]</t>
        </is>
      </c>
      <c r="D3" s="7" t="inlineStr">
        <is>
          <t>Testing Threshold (SUM)</t>
        </is>
      </c>
      <c r="E3" s="8" t="inlineStr">
        <is>
          <t>[Threshold]</t>
        </is>
      </c>
    </row>
    <row r="4" ht="42" customHeight="1">
      <c r="A4" s="29" t="inlineStr">
        <is>
          <t>Purpose:</t>
        </is>
      </c>
      <c r="B4" s="46" t="inlineStr">
        <is>
          <t>Test selected revenue transactions through the five-step model: contract / PO approved, price agreed to contract, quantities agreed order → delivery → invoice, control transfer dated, period propriety concluded, cash receipt corroborated, and revenue recomputed.</t>
        </is>
      </c>
      <c r="C4" s="44" t="n"/>
      <c r="D4" s="44" t="n"/>
      <c r="E4" s="44" t="n"/>
      <c r="F4" s="44" t="n"/>
      <c r="G4" s="44" t="n"/>
      <c r="H4" s="44" t="n"/>
      <c r="I4" s="45" t="n"/>
    </row>
    <row r="5" ht="27.75" customHeight="1">
      <c r="A5" s="29" t="inlineStr">
        <is>
          <t>Scope:</t>
        </is>
      </c>
      <c r="B5" s="46" t="inlineStr">
        <is>
          <t>Selections from the revenue register above the testing threshold, covering each significant stream.</t>
        </is>
      </c>
      <c r="C5" s="44" t="n"/>
      <c r="D5" s="44" t="n"/>
      <c r="E5" s="44" t="n"/>
      <c r="F5" s="44" t="n"/>
      <c r="G5" s="44" t="n"/>
      <c r="H5" s="44" t="n"/>
      <c r="I5" s="45" t="n"/>
    </row>
    <row r="6" ht="15" customHeight="1">
      <c r="A6" s="29" t="inlineStr">
        <is>
          <t>Assertions:</t>
        </is>
      </c>
      <c r="B6" s="46" t="inlineStr">
        <is>
          <t>Occurrence; Accuracy; Cutoff</t>
        </is>
      </c>
      <c r="C6" s="44" t="n"/>
      <c r="D6" s="44" t="n"/>
      <c r="E6" s="44" t="n"/>
      <c r="F6" s="44" t="n"/>
      <c r="G6" s="44" t="n"/>
      <c r="H6" s="44" t="n"/>
      <c r="I6" s="45" t="n"/>
    </row>
    <row r="7" ht="45.75" customHeight="1">
      <c r="A7" s="28" t="inlineStr">
        <is>
          <t>Sel #</t>
        </is>
      </c>
      <c r="B7" s="28" t="inlineStr">
        <is>
          <t>Invoice #</t>
        </is>
      </c>
      <c r="C7" s="28" t="inlineStr">
        <is>
          <t>Rev-rec date</t>
        </is>
      </c>
      <c r="D7" s="28" t="inlineStr">
        <is>
          <t>Customer</t>
        </is>
      </c>
      <c r="E7" s="28" t="inlineStr">
        <is>
          <t>Stream</t>
        </is>
      </c>
      <c r="F7" s="28" t="inlineStr">
        <is>
          <t>Contract / PO ref</t>
        </is>
      </c>
      <c r="G7" s="28" t="inlineStr">
        <is>
          <t>Contract / PO approved (Y/N)</t>
        </is>
      </c>
      <c r="H7" s="28" t="inlineStr">
        <is>
          <t>Unit price per contract / PO</t>
        </is>
      </c>
      <c r="I7" s="28" t="inlineStr">
        <is>
          <t>Unit price per invoice</t>
        </is>
      </c>
      <c r="J7" s="28" t="inlineStr">
        <is>
          <t>Price diff</t>
        </is>
      </c>
      <c r="K7" s="28" t="inlineStr">
        <is>
          <t>Qty ordered</t>
        </is>
      </c>
      <c r="L7" s="28" t="inlineStr">
        <is>
          <t>Qty delivered (BOL / POD)</t>
        </is>
      </c>
      <c r="M7" s="28" t="inlineStr">
        <is>
          <t>Qty invoiced</t>
        </is>
      </c>
      <c r="N7" s="28" t="inlineStr">
        <is>
          <t>Qty diff (invoiced − delivered)</t>
        </is>
      </c>
      <c r="O7" s="28" t="inlineStr">
        <is>
          <t>Shipping terms / control point</t>
        </is>
      </c>
      <c r="P7" s="28" t="inlineStr">
        <is>
          <t>Control-transfer date</t>
        </is>
      </c>
      <c r="Q7" s="28" t="inlineStr">
        <is>
          <t>Proper period (Y/N)</t>
        </is>
      </c>
      <c r="R7" s="28" t="inlineStr">
        <is>
          <t>Revenue recorded</t>
        </is>
      </c>
      <c r="S7" s="28" t="inlineStr">
        <is>
          <t>Recomputed (= inv price × qty invoiced)</t>
        </is>
      </c>
      <c r="T7" s="28" t="inlineStr">
        <is>
          <t>Difference</t>
        </is>
      </c>
      <c r="U7" s="28" t="inlineStr">
        <is>
          <t>Cash receipt ref</t>
        </is>
      </c>
      <c r="V7" s="28" t="inlineStr">
        <is>
          <t>Amount received (applied)</t>
        </is>
      </c>
      <c r="W7" s="28" t="inlineStr">
        <is>
          <t>Receipt diff</t>
        </is>
      </c>
      <c r="X7" s="28" t="inlineStr">
        <is>
          <t>Principal / Agent</t>
        </is>
      </c>
      <c r="Y7" s="28" t="inlineStr">
        <is>
          <t>Comments</t>
        </is>
      </c>
    </row>
    <row r="8">
      <c r="B8" s="13" t="inlineStr">
        <is>
          <t>PBC</t>
        </is>
      </c>
      <c r="H8" s="13" t="inlineStr">
        <is>
          <t>V</t>
        </is>
      </c>
      <c r="L8" s="13" t="inlineStr">
        <is>
          <t>V</t>
        </is>
      </c>
      <c r="P8" s="13" t="inlineStr">
        <is>
          <t>V</t>
        </is>
      </c>
      <c r="R8" s="13" t="inlineStr">
        <is>
          <t>TB</t>
        </is>
      </c>
      <c r="V8" s="13" t="inlineStr">
        <is>
          <t>SR</t>
        </is>
      </c>
    </row>
    <row r="9">
      <c r="A9" s="20" t="n">
        <v>1</v>
      </c>
      <c r="B9" s="33" t="n"/>
      <c r="C9" s="33" t="n"/>
      <c r="D9" s="33" t="n"/>
      <c r="E9" s="33" t="n"/>
      <c r="F9" s="33" t="n"/>
      <c r="G9" s="33" t="n"/>
      <c r="H9" s="14" t="n"/>
      <c r="I9" s="14" t="n"/>
      <c r="J9" s="14">
        <f>IF(OR(H9="",I9=""),"",I9-H9)</f>
        <v/>
      </c>
      <c r="K9" s="21" t="n"/>
      <c r="L9" s="21" t="n"/>
      <c r="M9" s="21" t="n"/>
      <c r="N9" s="33">
        <f>IF(OR(L9="",M9=""),"",M9-L9)</f>
        <v/>
      </c>
      <c r="O9" s="33" t="n"/>
      <c r="P9" s="33" t="n"/>
      <c r="Q9" s="33" t="n"/>
      <c r="R9" s="14" t="n"/>
      <c r="S9" s="14">
        <f>IF(OR(I9="",M9=""),"",I9*M9)</f>
        <v/>
      </c>
      <c r="T9" s="14">
        <f>IF(OR(R9="",S9=""),"",R9-S9)</f>
        <v/>
      </c>
      <c r="U9" s="33" t="n"/>
      <c r="V9" s="14" t="n"/>
      <c r="W9" s="14">
        <f>IF(OR(R9="",V9=""),"",R9-V9)</f>
        <v/>
      </c>
      <c r="X9" s="33" t="n"/>
      <c r="Y9" s="33" t="n"/>
    </row>
    <row r="10">
      <c r="A10" s="20" t="n">
        <v>2</v>
      </c>
      <c r="B10" s="33" t="n"/>
      <c r="C10" s="33" t="n"/>
      <c r="D10" s="33" t="n"/>
      <c r="E10" s="33" t="n"/>
      <c r="F10" s="33" t="n"/>
      <c r="G10" s="33" t="n"/>
      <c r="H10" s="14" t="n"/>
      <c r="I10" s="14" t="n"/>
      <c r="J10" s="14">
        <f>IF(OR(H10="",I10=""),"",I10-H10)</f>
        <v/>
      </c>
      <c r="K10" s="21" t="n"/>
      <c r="L10" s="21" t="n"/>
      <c r="M10" s="21" t="n"/>
      <c r="N10" s="33">
        <f>IF(OR(L10="",M10=""),"",M10-L10)</f>
        <v/>
      </c>
      <c r="O10" s="33" t="n"/>
      <c r="P10" s="33" t="n"/>
      <c r="Q10" s="33" t="n"/>
      <c r="R10" s="14" t="n"/>
      <c r="S10" s="14">
        <f>IF(OR(I10="",M10=""),"",I10*M10)</f>
        <v/>
      </c>
      <c r="T10" s="14">
        <f>IF(OR(R10="",S10=""),"",R10-S10)</f>
        <v/>
      </c>
      <c r="U10" s="33" t="n"/>
      <c r="V10" s="14" t="n"/>
      <c r="W10" s="14">
        <f>IF(OR(R10="",V10=""),"",R10-V10)</f>
        <v/>
      </c>
      <c r="X10" s="33" t="n"/>
      <c r="Y10" s="33" t="n"/>
    </row>
    <row r="11">
      <c r="A11" s="20" t="n">
        <v>3</v>
      </c>
      <c r="B11" s="33" t="n"/>
      <c r="C11" s="33" t="n"/>
      <c r="D11" s="33" t="n"/>
      <c r="E11" s="33" t="n"/>
      <c r="F11" s="33" t="n"/>
      <c r="G11" s="33" t="n"/>
      <c r="H11" s="14" t="n"/>
      <c r="I11" s="14" t="n"/>
      <c r="J11" s="14">
        <f>IF(OR(H11="",I11=""),"",I11-H11)</f>
        <v/>
      </c>
      <c r="K11" s="21" t="n"/>
      <c r="L11" s="21" t="n"/>
      <c r="M11" s="21" t="n"/>
      <c r="N11" s="33">
        <f>IF(OR(L11="",M11=""),"",M11-L11)</f>
        <v/>
      </c>
      <c r="O11" s="33" t="n"/>
      <c r="P11" s="33" t="n"/>
      <c r="Q11" s="33" t="n"/>
      <c r="R11" s="14" t="n"/>
      <c r="S11" s="14">
        <f>IF(OR(I11="",M11=""),"",I11*M11)</f>
        <v/>
      </c>
      <c r="T11" s="14">
        <f>IF(OR(R11="",S11=""),"",R11-S11)</f>
        <v/>
      </c>
      <c r="U11" s="33" t="n"/>
      <c r="V11" s="14" t="n"/>
      <c r="W11" s="14">
        <f>IF(OR(R11="",V11=""),"",R11-V11)</f>
        <v/>
      </c>
      <c r="X11" s="33" t="n"/>
      <c r="Y11" s="33" t="n"/>
    </row>
    <row r="12">
      <c r="A12" s="20" t="n">
        <v>4</v>
      </c>
      <c r="B12" s="33" t="n"/>
      <c r="C12" s="33" t="n"/>
      <c r="D12" s="33" t="n"/>
      <c r="E12" s="33" t="n"/>
      <c r="F12" s="33" t="n"/>
      <c r="G12" s="33" t="n"/>
      <c r="H12" s="14" t="n"/>
      <c r="I12" s="14" t="n"/>
      <c r="J12" s="14">
        <f>IF(OR(H12="",I12=""),"",I12-H12)</f>
        <v/>
      </c>
      <c r="K12" s="21" t="n"/>
      <c r="L12" s="21" t="n"/>
      <c r="M12" s="21" t="n"/>
      <c r="N12" s="33">
        <f>IF(OR(L12="",M12=""),"",M12-L12)</f>
        <v/>
      </c>
      <c r="O12" s="33" t="n"/>
      <c r="P12" s="33" t="n"/>
      <c r="Q12" s="33" t="n"/>
      <c r="R12" s="14" t="n"/>
      <c r="S12" s="14">
        <f>IF(OR(I12="",M12=""),"",I12*M12)</f>
        <v/>
      </c>
      <c r="T12" s="14">
        <f>IF(OR(R12="",S12=""),"",R12-S12)</f>
        <v/>
      </c>
      <c r="U12" s="33" t="n"/>
      <c r="V12" s="14" t="n"/>
      <c r="W12" s="14">
        <f>IF(OR(R12="",V12=""),"",R12-V12)</f>
        <v/>
      </c>
      <c r="X12" s="33" t="n"/>
      <c r="Y12" s="33" t="n"/>
    </row>
    <row r="13">
      <c r="A13" s="20" t="n">
        <v>5</v>
      </c>
      <c r="B13" s="33" t="n"/>
      <c r="C13" s="33" t="n"/>
      <c r="D13" s="33" t="n"/>
      <c r="E13" s="33" t="n"/>
      <c r="F13" s="33" t="n"/>
      <c r="G13" s="33" t="n"/>
      <c r="H13" s="14" t="n"/>
      <c r="I13" s="14" t="n"/>
      <c r="J13" s="14">
        <f>IF(OR(H13="",I13=""),"",I13-H13)</f>
        <v/>
      </c>
      <c r="K13" s="21" t="n"/>
      <c r="L13" s="21" t="n"/>
      <c r="M13" s="21" t="n"/>
      <c r="N13" s="33">
        <f>IF(OR(L13="",M13=""),"",M13-L13)</f>
        <v/>
      </c>
      <c r="O13" s="33" t="n"/>
      <c r="P13" s="33" t="n"/>
      <c r="Q13" s="33" t="n"/>
      <c r="R13" s="14" t="n"/>
      <c r="S13" s="14">
        <f>IF(OR(I13="",M13=""),"",I13*M13)</f>
        <v/>
      </c>
      <c r="T13" s="14">
        <f>IF(OR(R13="",S13=""),"",R13-S13)</f>
        <v/>
      </c>
      <c r="U13" s="33" t="n"/>
      <c r="V13" s="14" t="n"/>
      <c r="W13" s="14">
        <f>IF(OR(R13="",V13=""),"",R13-V13)</f>
        <v/>
      </c>
      <c r="X13" s="33" t="n"/>
      <c r="Y13" s="33" t="n"/>
    </row>
    <row r="14">
      <c r="A14" s="20" t="n">
        <v>6</v>
      </c>
      <c r="B14" s="33" t="n"/>
      <c r="C14" s="33" t="n"/>
      <c r="D14" s="33" t="n"/>
      <c r="E14" s="33" t="n"/>
      <c r="F14" s="33" t="n"/>
      <c r="G14" s="33" t="n"/>
      <c r="H14" s="14" t="n"/>
      <c r="I14" s="14" t="n"/>
      <c r="J14" s="14">
        <f>IF(OR(H14="",I14=""),"",I14-H14)</f>
        <v/>
      </c>
      <c r="K14" s="21" t="n"/>
      <c r="L14" s="21" t="n"/>
      <c r="M14" s="21" t="n"/>
      <c r="N14" s="33">
        <f>IF(OR(L14="",M14=""),"",M14-L14)</f>
        <v/>
      </c>
      <c r="O14" s="33" t="n"/>
      <c r="P14" s="33" t="n"/>
      <c r="Q14" s="33" t="n"/>
      <c r="R14" s="14" t="n"/>
      <c r="S14" s="14">
        <f>IF(OR(I14="",M14=""),"",I14*M14)</f>
        <v/>
      </c>
      <c r="T14" s="14">
        <f>IF(OR(R14="",S14=""),"",R14-S14)</f>
        <v/>
      </c>
      <c r="U14" s="33" t="n"/>
      <c r="V14" s="14" t="n"/>
      <c r="W14" s="14">
        <f>IF(OR(R14="",V14=""),"",R14-V14)</f>
        <v/>
      </c>
      <c r="X14" s="33" t="n"/>
      <c r="Y14" s="33" t="n"/>
    </row>
    <row r="15">
      <c r="A15" s="20" t="n">
        <v>7</v>
      </c>
      <c r="B15" s="33" t="n"/>
      <c r="C15" s="33" t="n"/>
      <c r="D15" s="33" t="n"/>
      <c r="E15" s="33" t="n"/>
      <c r="F15" s="33" t="n"/>
      <c r="G15" s="33" t="n"/>
      <c r="H15" s="14" t="n"/>
      <c r="I15" s="14" t="n"/>
      <c r="J15" s="14">
        <f>IF(OR(H15="",I15=""),"",I15-H15)</f>
        <v/>
      </c>
      <c r="K15" s="21" t="n"/>
      <c r="L15" s="21" t="n"/>
      <c r="M15" s="21" t="n"/>
      <c r="N15" s="33">
        <f>IF(OR(L15="",M15=""),"",M15-L15)</f>
        <v/>
      </c>
      <c r="O15" s="33" t="n"/>
      <c r="P15" s="33" t="n"/>
      <c r="Q15" s="33" t="n"/>
      <c r="R15" s="14" t="n"/>
      <c r="S15" s="14">
        <f>IF(OR(I15="",M15=""),"",I15*M15)</f>
        <v/>
      </c>
      <c r="T15" s="14">
        <f>IF(OR(R15="",S15=""),"",R15-S15)</f>
        <v/>
      </c>
      <c r="U15" s="33" t="n"/>
      <c r="V15" s="14" t="n"/>
      <c r="W15" s="14">
        <f>IF(OR(R15="",V15=""),"",R15-V15)</f>
        <v/>
      </c>
      <c r="X15" s="33" t="n"/>
      <c r="Y15" s="33" t="n"/>
    </row>
    <row r="16">
      <c r="A16" s="20" t="n">
        <v>8</v>
      </c>
      <c r="B16" s="33" t="n"/>
      <c r="C16" s="33" t="n"/>
      <c r="D16" s="33" t="n"/>
      <c r="E16" s="33" t="n"/>
      <c r="F16" s="33" t="n"/>
      <c r="G16" s="33" t="n"/>
      <c r="H16" s="14" t="n"/>
      <c r="I16" s="14" t="n"/>
      <c r="J16" s="14">
        <f>IF(OR(H16="",I16=""),"",I16-H16)</f>
        <v/>
      </c>
      <c r="K16" s="21" t="n"/>
      <c r="L16" s="21" t="n"/>
      <c r="M16" s="21" t="n"/>
      <c r="N16" s="33">
        <f>IF(OR(L16="",M16=""),"",M16-L16)</f>
        <v/>
      </c>
      <c r="O16" s="33" t="n"/>
      <c r="P16" s="33" t="n"/>
      <c r="Q16" s="33" t="n"/>
      <c r="R16" s="14" t="n"/>
      <c r="S16" s="14">
        <f>IF(OR(I16="",M16=""),"",I16*M16)</f>
        <v/>
      </c>
      <c r="T16" s="14">
        <f>IF(OR(R16="",S16=""),"",R16-S16)</f>
        <v/>
      </c>
      <c r="U16" s="33" t="n"/>
      <c r="V16" s="14" t="n"/>
      <c r="W16" s="14">
        <f>IF(OR(R16="",V16=""),"",R16-V16)</f>
        <v/>
      </c>
      <c r="X16" s="33" t="n"/>
      <c r="Y16" s="33" t="n"/>
    </row>
    <row r="17">
      <c r="A17" s="20" t="n">
        <v>9</v>
      </c>
      <c r="B17" s="33" t="n"/>
      <c r="C17" s="33" t="n"/>
      <c r="D17" s="33" t="n"/>
      <c r="E17" s="33" t="n"/>
      <c r="F17" s="33" t="n"/>
      <c r="G17" s="33" t="n"/>
      <c r="H17" s="14" t="n"/>
      <c r="I17" s="14" t="n"/>
      <c r="J17" s="14">
        <f>IF(OR(H17="",I17=""),"",I17-H17)</f>
        <v/>
      </c>
      <c r="K17" s="21" t="n"/>
      <c r="L17" s="21" t="n"/>
      <c r="M17" s="21" t="n"/>
      <c r="N17" s="33">
        <f>IF(OR(L17="",M17=""),"",M17-L17)</f>
        <v/>
      </c>
      <c r="O17" s="33" t="n"/>
      <c r="P17" s="33" t="n"/>
      <c r="Q17" s="33" t="n"/>
      <c r="R17" s="14" t="n"/>
      <c r="S17" s="14">
        <f>IF(OR(I17="",M17=""),"",I17*M17)</f>
        <v/>
      </c>
      <c r="T17" s="14">
        <f>IF(OR(R17="",S17=""),"",R17-S17)</f>
        <v/>
      </c>
      <c r="U17" s="33" t="n"/>
      <c r="V17" s="14" t="n"/>
      <c r="W17" s="14">
        <f>IF(OR(R17="",V17=""),"",R17-V17)</f>
        <v/>
      </c>
      <c r="X17" s="33" t="n"/>
      <c r="Y17" s="33" t="n"/>
    </row>
    <row r="18">
      <c r="A18" s="20" t="n">
        <v>10</v>
      </c>
      <c r="B18" s="33" t="n"/>
      <c r="C18" s="33" t="n"/>
      <c r="D18" s="33" t="n"/>
      <c r="E18" s="33" t="n"/>
      <c r="F18" s="33" t="n"/>
      <c r="G18" s="33" t="n"/>
      <c r="H18" s="14" t="n"/>
      <c r="I18" s="14" t="n"/>
      <c r="J18" s="14">
        <f>IF(OR(H18="",I18=""),"",I18-H18)</f>
        <v/>
      </c>
      <c r="K18" s="21" t="n"/>
      <c r="L18" s="21" t="n"/>
      <c r="M18" s="21" t="n"/>
      <c r="N18" s="33">
        <f>IF(OR(L18="",M18=""),"",M18-L18)</f>
        <v/>
      </c>
      <c r="O18" s="33" t="n"/>
      <c r="P18" s="33" t="n"/>
      <c r="Q18" s="33" t="n"/>
      <c r="R18" s="14" t="n"/>
      <c r="S18" s="14">
        <f>IF(OR(I18="",M18=""),"",I18*M18)</f>
        <v/>
      </c>
      <c r="T18" s="14">
        <f>IF(OR(R18="",S18=""),"",R18-S18)</f>
        <v/>
      </c>
      <c r="U18" s="33" t="n"/>
      <c r="V18" s="14" t="n"/>
      <c r="W18" s="14">
        <f>IF(OR(R18="",V18=""),"",R18-V18)</f>
        <v/>
      </c>
      <c r="X18" s="33" t="n"/>
      <c r="Y18" s="33" t="n"/>
    </row>
    <row r="19">
      <c r="A19" s="20" t="n">
        <v>11</v>
      </c>
      <c r="B19" s="33" t="n"/>
      <c r="C19" s="33" t="n"/>
      <c r="D19" s="33" t="n"/>
      <c r="E19" s="33" t="n"/>
      <c r="F19" s="33" t="n"/>
      <c r="G19" s="33" t="n"/>
      <c r="H19" s="14" t="n"/>
      <c r="I19" s="14" t="n"/>
      <c r="J19" s="14">
        <f>IF(OR(H19="",I19=""),"",I19-H19)</f>
        <v/>
      </c>
      <c r="K19" s="21" t="n"/>
      <c r="L19" s="21" t="n"/>
      <c r="M19" s="21" t="n"/>
      <c r="N19" s="33">
        <f>IF(OR(L19="",M19=""),"",M19-L19)</f>
        <v/>
      </c>
      <c r="O19" s="33" t="n"/>
      <c r="P19" s="33" t="n"/>
      <c r="Q19" s="33" t="n"/>
      <c r="R19" s="14" t="n"/>
      <c r="S19" s="14">
        <f>IF(OR(I19="",M19=""),"",I19*M19)</f>
        <v/>
      </c>
      <c r="T19" s="14">
        <f>IF(OR(R19="",S19=""),"",R19-S19)</f>
        <v/>
      </c>
      <c r="U19" s="33" t="n"/>
      <c r="V19" s="14" t="n"/>
      <c r="W19" s="14">
        <f>IF(OR(R19="",V19=""),"",R19-V19)</f>
        <v/>
      </c>
      <c r="X19" s="33" t="n"/>
      <c r="Y19" s="33" t="n"/>
    </row>
    <row r="20">
      <c r="A20" s="20" t="n">
        <v>12</v>
      </c>
      <c r="B20" s="33" t="n"/>
      <c r="C20" s="33" t="n"/>
      <c r="D20" s="33" t="n"/>
      <c r="E20" s="33" t="n"/>
      <c r="F20" s="33" t="n"/>
      <c r="G20" s="33" t="n"/>
      <c r="H20" s="14" t="n"/>
      <c r="I20" s="14" t="n"/>
      <c r="J20" s="14">
        <f>IF(OR(H20="",I20=""),"",I20-H20)</f>
        <v/>
      </c>
      <c r="K20" s="21" t="n"/>
      <c r="L20" s="21" t="n"/>
      <c r="M20" s="21" t="n"/>
      <c r="N20" s="33">
        <f>IF(OR(L20="",M20=""),"",M20-L20)</f>
        <v/>
      </c>
      <c r="O20" s="33" t="n"/>
      <c r="P20" s="33" t="n"/>
      <c r="Q20" s="33" t="n"/>
      <c r="R20" s="14" t="n"/>
      <c r="S20" s="14">
        <f>IF(OR(I20="",M20=""),"",I20*M20)</f>
        <v/>
      </c>
      <c r="T20" s="14">
        <f>IF(OR(R20="",S20=""),"",R20-S20)</f>
        <v/>
      </c>
      <c r="U20" s="33" t="n"/>
      <c r="V20" s="14" t="n"/>
      <c r="W20" s="14">
        <f>IF(OR(R20="",V20=""),"",R20-V20)</f>
        <v/>
      </c>
      <c r="X20" s="33" t="n"/>
      <c r="Y20" s="33" t="n"/>
    </row>
    <row r="21">
      <c r="A21" s="16" t="inlineStr">
        <is>
          <t>Total</t>
        </is>
      </c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7">
        <f>SUM(R9:R20)</f>
        <v/>
      </c>
      <c r="S21" s="17">
        <f>SUM(S9:S20)</f>
        <v/>
      </c>
      <c r="T21" s="17">
        <f>SUM(T9:T20)</f>
        <v/>
      </c>
      <c r="U21" s="16" t="n"/>
      <c r="V21" s="17">
        <f>SUM(V9:V20)</f>
        <v/>
      </c>
      <c r="W21" s="17">
        <f>SUM(W9:W20)</f>
        <v/>
      </c>
      <c r="X21" s="16" t="n"/>
      <c r="Y21" s="16" t="n"/>
    </row>
    <row r="22"/>
    <row r="23" ht="44.5" customHeight="1">
      <c r="A23" s="32" t="inlineStr">
        <is>
          <t>Proper period: control-transfer date (per shipping terms and BOL / POD) determines the recognition period — conclude Y/N per selection and route period errors to &lt;.4&gt;. Cash-receipt corroboration: agree the applied payment to the invoice; discounts, taxes or other deductions explain any receipt difference. Principal / agent conclusions are supported on &lt;.7&gt;.</t>
        </is>
      </c>
      <c r="J23" s="31" t="n"/>
      <c r="K23" s="31" t="n"/>
      <c r="L23" s="31" t="n"/>
      <c r="M23" s="31" t="n"/>
      <c r="N23" s="31" t="n"/>
      <c r="O23" s="31" t="n"/>
      <c r="P23" s="31" t="n"/>
      <c r="Q23" s="31" t="n"/>
      <c r="R23" s="31" t="n"/>
      <c r="S23" s="31" t="n"/>
      <c r="T23" s="31" t="n"/>
      <c r="U23" s="31" t="n"/>
      <c r="V23" s="31" t="n"/>
      <c r="W23" s="31" t="n"/>
      <c r="X23" s="31" t="n"/>
      <c r="Y23" s="31" t="n"/>
    </row>
    <row r="24"/>
    <row r="25">
      <c r="A25" s="34" t="inlineStr">
        <is>
          <t>TM Legends</t>
        </is>
      </c>
    </row>
    <row r="26">
      <c r="A26" s="12" t="inlineStr">
        <is>
          <t>TB</t>
        </is>
      </c>
      <c r="B26" s="33" t="inlineStr">
        <is>
          <t>Agreed to trial balance</t>
        </is>
      </c>
      <c r="C26" s="42" t="n"/>
      <c r="D26" s="43" t="n"/>
    </row>
    <row r="27">
      <c r="A27" s="12" t="inlineStr">
        <is>
          <t>GL</t>
        </is>
      </c>
      <c r="B27" s="33" t="inlineStr">
        <is>
          <t>Agreed to general ledger</t>
        </is>
      </c>
      <c r="C27" s="42" t="n"/>
      <c r="D27" s="43" t="n"/>
    </row>
    <row r="28">
      <c r="A28" s="12" t="inlineStr">
        <is>
          <t>CF</t>
        </is>
      </c>
      <c r="B28" s="33" t="inlineStr">
        <is>
          <t>Confirmed with third party</t>
        </is>
      </c>
      <c r="C28" s="42" t="n"/>
      <c r="D28" s="43" t="n"/>
    </row>
    <row r="29">
      <c r="A29" s="12" t="inlineStr">
        <is>
          <t>V</t>
        </is>
      </c>
      <c r="B29" s="33" t="inlineStr">
        <is>
          <t>Vouched to source document</t>
        </is>
      </c>
      <c r="C29" s="42" t="n"/>
      <c r="D29" s="43" t="n"/>
    </row>
    <row r="30">
      <c r="A30" s="12" t="inlineStr">
        <is>
          <t>SR</t>
        </is>
      </c>
      <c r="B30" s="33" t="inlineStr">
        <is>
          <t>Agreed to subsequent bank-cleared receipt</t>
        </is>
      </c>
      <c r="C30" s="42" t="n"/>
      <c r="D30" s="43" t="n"/>
    </row>
    <row r="31">
      <c r="A31" s="12" t="inlineStr">
        <is>
          <t>R</t>
        </is>
      </c>
      <c r="B31" s="33" t="inlineStr">
        <is>
          <t>Recalculated independently</t>
        </is>
      </c>
      <c r="C31" s="42" t="n"/>
      <c r="D31" s="43" t="n"/>
    </row>
    <row r="32">
      <c r="A32" s="12" t="inlineStr">
        <is>
          <t>F</t>
        </is>
      </c>
      <c r="B32" s="33" t="inlineStr">
        <is>
          <t>Footed / cross-cast</t>
        </is>
      </c>
      <c r="C32" s="42" t="n"/>
      <c r="D32" s="43" t="n"/>
    </row>
    <row r="33">
      <c r="A33" s="12" t="inlineStr">
        <is>
          <t>T</t>
        </is>
      </c>
      <c r="B33" s="33" t="inlineStr">
        <is>
          <t>Traced to downstream record</t>
        </is>
      </c>
      <c r="C33" s="42" t="n"/>
      <c r="D33" s="43" t="n"/>
    </row>
    <row r="34">
      <c r="A34" s="12" t="inlineStr">
        <is>
          <t>PBC</t>
        </is>
      </c>
      <c r="B34" s="33" t="inlineStr">
        <is>
          <t>Prepared by client</t>
        </is>
      </c>
      <c r="C34" s="42" t="n"/>
      <c r="D34" s="43" t="n"/>
    </row>
    <row r="35"/>
    <row r="36" ht="27.75" customHeight="1">
      <c r="A36" s="31" t="inlineStr">
        <is>
          <t>Before sign-off complete Library Procedures 6-8 (five-step detail test; cash-receipt corroboration; recompute &amp; differences).</t>
        </is>
      </c>
    </row>
  </sheetData>
  <mergeCells count="14">
    <mergeCell ref="B33:D33"/>
    <mergeCell ref="B28:D28"/>
    <mergeCell ref="B31:D31"/>
    <mergeCell ref="B6:I6"/>
    <mergeCell ref="A36:Y36"/>
    <mergeCell ref="B32:D32"/>
    <mergeCell ref="B26:D26"/>
    <mergeCell ref="A23:I23"/>
    <mergeCell ref="B27:D27"/>
    <mergeCell ref="B5:I5"/>
    <mergeCell ref="B30:D30"/>
    <mergeCell ref="B29:D29"/>
    <mergeCell ref="B4:I4"/>
    <mergeCell ref="B34:D34"/>
  </mergeCells>
  <pageMargins left="0.3" right="0.3" top="0.4" bottom="0.4" header="0.2" footer="0.2"/>
  <pageSetup orientation="landscape" paperSize="1" fitToHeight="1" fitToWidth="2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46"/>
  <sheetViews>
    <sheetView showGridLines="0" zoomScale="85" zoomScaleNormal="100" workbookViewId="0">
      <selection activeCell="A33" sqref="A33:J34"/>
    </sheetView>
  </sheetViews>
  <sheetFormatPr baseColWidth="8" defaultColWidth="8.6328125" defaultRowHeight="14.5"/>
  <cols>
    <col width="59.7265625" bestFit="1" customWidth="1" min="1" max="1"/>
    <col width="14.81640625" bestFit="1" customWidth="1" min="2" max="2"/>
    <col width="8.81640625" bestFit="1" customWidth="1" min="3" max="3"/>
    <col width="22.453125" bestFit="1" customWidth="1" min="4" max="4"/>
    <col width="12.90625" bestFit="1" customWidth="1" min="5" max="5"/>
    <col width="14.90625" bestFit="1" customWidth="1" min="6" max="6"/>
    <col width="14.81640625" bestFit="1" customWidth="1" min="7" max="7"/>
    <col width="13" customWidth="1" min="8" max="8"/>
    <col width="12.36328125" bestFit="1" customWidth="1" min="9" max="9"/>
    <col width="9.54296875" bestFit="1" customWidth="1" min="10" max="10"/>
  </cols>
  <sheetData>
    <row r="1" ht="17.5" customHeight="1">
      <c r="A1" s="6" t="inlineStr">
        <is>
          <t>Revenue Cutoff — Two-Directional</t>
        </is>
      </c>
    </row>
    <row r="2">
      <c r="A2" s="7" t="inlineStr">
        <is>
          <t>Client / Entity</t>
        </is>
      </c>
      <c r="B2" s="8" t="inlineStr">
        <is>
          <t>[Client / Entity]</t>
        </is>
      </c>
      <c r="D2" s="7" t="inlineStr">
        <is>
          <t>Year-End</t>
        </is>
      </c>
      <c r="E2" s="8" t="inlineStr">
        <is>
          <t>[YYYY-MM-DD]</t>
        </is>
      </c>
      <c r="G2" s="7" t="inlineStr">
        <is>
          <t>Currency</t>
        </is>
      </c>
      <c r="H2" s="8" t="inlineStr">
        <is>
          <t>[CCY]</t>
        </is>
      </c>
    </row>
    <row r="3">
      <c r="A3" s="7" t="inlineStr">
        <is>
          <t>Performance Materiality</t>
        </is>
      </c>
      <c r="B3" s="8" t="inlineStr">
        <is>
          <t>[PM]</t>
        </is>
      </c>
      <c r="D3" s="7" t="inlineStr">
        <is>
          <t>Testing Threshold (SUM)</t>
        </is>
      </c>
      <c r="E3" s="8" t="inlineStr">
        <is>
          <t>[Threshold]</t>
        </is>
      </c>
    </row>
    <row r="4" ht="21.5" customHeight="1">
      <c r="A4" s="34" t="inlineStr">
        <is>
          <t>Purpose:</t>
        </is>
      </c>
      <c r="B4" s="35" t="inlineStr">
        <is>
          <t>Test cutoff in BOTH directions — the last shipments / invoices before year-end and the first after — and review post-year-end credit memos and returns for sales that should be reversed.</t>
        </is>
      </c>
    </row>
    <row r="5">
      <c r="A5" s="34" t="inlineStr">
        <is>
          <t>Scope:</t>
        </is>
      </c>
      <c r="B5" s="35" t="inlineStr">
        <is>
          <t>Sales journal and shipping log immediately before AND after year-end (mandatory both directions), plus the post-YE credit-memo / returns log.</t>
        </is>
      </c>
    </row>
    <row r="6">
      <c r="A6" s="34" t="inlineStr">
        <is>
          <t>Assertions:</t>
        </is>
      </c>
      <c r="B6" s="35" t="inlineStr">
        <is>
          <t>Cutoff; Occurrence; Completeness</t>
        </is>
      </c>
    </row>
    <row r="7">
      <c r="A7" s="22" t="inlineStr">
        <is>
          <t>A. Before-period cutoff (last 5 shipments / invoices before YE)</t>
        </is>
      </c>
    </row>
    <row r="8" ht="22" customHeight="1">
      <c r="A8" s="10" t="inlineStr">
        <is>
          <t>Sel #</t>
        </is>
      </c>
      <c r="B8" s="10" t="inlineStr">
        <is>
          <t>Invoice / BOL ref</t>
        </is>
      </c>
      <c r="C8" s="10" t="inlineStr">
        <is>
          <t>Customer</t>
        </is>
      </c>
      <c r="D8" s="10" t="inlineStr">
        <is>
          <t>Invoice date</t>
        </is>
      </c>
      <c r="E8" s="10" t="inlineStr">
        <is>
          <t>Ship / control date</t>
        </is>
      </c>
      <c r="F8" s="10" t="inlineStr">
        <is>
          <t>Control before YE? (Y/N)</t>
        </is>
      </c>
      <c r="G8" s="10" t="inlineStr">
        <is>
          <t>In CY revenue? (Y/N)</t>
        </is>
      </c>
      <c r="H8" s="10" t="inlineStr">
        <is>
          <t>Should it be? (Y/N)</t>
        </is>
      </c>
      <c r="I8" s="10" t="inlineStr">
        <is>
          <t>Proper period (Y/N)</t>
        </is>
      </c>
      <c r="J8" s="10" t="inlineStr">
        <is>
          <t>Comments</t>
        </is>
      </c>
    </row>
    <row r="9">
      <c r="A9" s="20" t="n">
        <v>1</v>
      </c>
      <c r="B9" s="33" t="n"/>
      <c r="C9" s="33" t="n"/>
      <c r="D9" s="33" t="n"/>
      <c r="E9" s="33" t="n"/>
      <c r="F9" s="33" t="n"/>
      <c r="G9" s="33" t="n"/>
      <c r="H9" s="33" t="n"/>
      <c r="I9" s="33">
        <f>IF(OR(G9="",H9=""),"",IF(G9=H9,"Y","N"))</f>
        <v/>
      </c>
      <c r="J9" s="33" t="n"/>
    </row>
    <row r="10">
      <c r="A10" s="20" t="n">
        <v>2</v>
      </c>
      <c r="B10" s="33" t="n"/>
      <c r="C10" s="33" t="n"/>
      <c r="D10" s="33" t="n"/>
      <c r="E10" s="33" t="n"/>
      <c r="F10" s="33" t="n"/>
      <c r="G10" s="33" t="n"/>
      <c r="H10" s="33" t="n"/>
      <c r="I10" s="33">
        <f>IF(OR(G10="",H10=""),"",IF(G10=H10,"Y","N"))</f>
        <v/>
      </c>
      <c r="J10" s="33" t="n"/>
    </row>
    <row r="11">
      <c r="A11" s="20" t="n">
        <v>3</v>
      </c>
      <c r="B11" s="33" t="n"/>
      <c r="C11" s="33" t="n"/>
      <c r="D11" s="33" t="n"/>
      <c r="E11" s="33" t="n"/>
      <c r="F11" s="33" t="n"/>
      <c r="G11" s="33" t="n"/>
      <c r="H11" s="33" t="n"/>
      <c r="I11" s="33">
        <f>IF(OR(G11="",H11=""),"",IF(G11=H11,"Y","N"))</f>
        <v/>
      </c>
      <c r="J11" s="33" t="n"/>
    </row>
    <row r="12">
      <c r="A12" s="20" t="n">
        <v>4</v>
      </c>
      <c r="B12" s="33" t="n"/>
      <c r="C12" s="33" t="n"/>
      <c r="D12" s="33" t="n"/>
      <c r="E12" s="33" t="n"/>
      <c r="F12" s="33" t="n"/>
      <c r="G12" s="33" t="n"/>
      <c r="H12" s="33" t="n"/>
      <c r="I12" s="33">
        <f>IF(OR(G12="",H12=""),"",IF(G12=H12,"Y","N"))</f>
        <v/>
      </c>
      <c r="J12" s="33" t="n"/>
    </row>
    <row r="13">
      <c r="A13" s="20" t="n">
        <v>5</v>
      </c>
      <c r="B13" s="33" t="n"/>
      <c r="C13" s="33" t="n"/>
      <c r="D13" s="33" t="n"/>
      <c r="E13" s="33" t="n"/>
      <c r="F13" s="33" t="n"/>
      <c r="G13" s="33" t="n"/>
      <c r="H13" s="33" t="n"/>
      <c r="I13" s="33">
        <f>IF(OR(G13="",H13=""),"",IF(G13=H13,"Y","N"))</f>
        <v/>
      </c>
      <c r="J13" s="33" t="n"/>
    </row>
    <row r="14"/>
    <row r="15">
      <c r="A15" s="22" t="inlineStr">
        <is>
          <t>B. After-period cutoff (first 5 shipments / invoices after YE)</t>
        </is>
      </c>
    </row>
    <row r="16" ht="22" customHeight="1">
      <c r="A16" s="10" t="inlineStr">
        <is>
          <t>Sel #</t>
        </is>
      </c>
      <c r="B16" s="10" t="inlineStr">
        <is>
          <t>Invoice / BOL ref</t>
        </is>
      </c>
      <c r="C16" s="10" t="inlineStr">
        <is>
          <t>Customer</t>
        </is>
      </c>
      <c r="D16" s="10" t="inlineStr">
        <is>
          <t>Invoice date</t>
        </is>
      </c>
      <c r="E16" s="10" t="inlineStr">
        <is>
          <t>Ship / control date</t>
        </is>
      </c>
      <c r="F16" s="10" t="inlineStr">
        <is>
          <t>Control after YE? (Y/N)</t>
        </is>
      </c>
      <c r="G16" s="10" t="inlineStr">
        <is>
          <t>Excluded from CY? (Y/N)</t>
        </is>
      </c>
      <c r="H16" s="10" t="inlineStr">
        <is>
          <t>Should it be? (Y/N)</t>
        </is>
      </c>
      <c r="I16" s="10" t="inlineStr">
        <is>
          <t>Proper period (Y/N)</t>
        </is>
      </c>
      <c r="J16" s="10" t="inlineStr">
        <is>
          <t>Comments</t>
        </is>
      </c>
    </row>
    <row r="17">
      <c r="A17" s="20" t="n">
        <v>1</v>
      </c>
      <c r="B17" s="33" t="n"/>
      <c r="C17" s="33" t="n"/>
      <c r="D17" s="33" t="n"/>
      <c r="E17" s="33" t="n"/>
      <c r="F17" s="33" t="n"/>
      <c r="G17" s="33" t="n"/>
      <c r="H17" s="33" t="n"/>
      <c r="I17" s="33">
        <f>IF(OR(G17="",H17=""),"",IF(G17=H17,"Y","N"))</f>
        <v/>
      </c>
      <c r="J17" s="33" t="n"/>
    </row>
    <row r="18">
      <c r="A18" s="20" t="n">
        <v>2</v>
      </c>
      <c r="B18" s="33" t="n"/>
      <c r="C18" s="33" t="n"/>
      <c r="D18" s="33" t="n"/>
      <c r="E18" s="33" t="n"/>
      <c r="F18" s="33" t="n"/>
      <c r="G18" s="33" t="n"/>
      <c r="H18" s="33" t="n"/>
      <c r="I18" s="33">
        <f>IF(OR(G18="",H18=""),"",IF(G18=H18,"Y","N"))</f>
        <v/>
      </c>
      <c r="J18" s="33" t="n"/>
    </row>
    <row r="19">
      <c r="A19" s="20" t="n">
        <v>3</v>
      </c>
      <c r="B19" s="33" t="n"/>
      <c r="C19" s="33" t="n"/>
      <c r="D19" s="33" t="n"/>
      <c r="E19" s="33" t="n"/>
      <c r="F19" s="33" t="n"/>
      <c r="G19" s="33" t="n"/>
      <c r="H19" s="33" t="n"/>
      <c r="I19" s="33">
        <f>IF(OR(G19="",H19=""),"",IF(G19=H19,"Y","N"))</f>
        <v/>
      </c>
      <c r="J19" s="33" t="n"/>
    </row>
    <row r="20">
      <c r="A20" s="20" t="n">
        <v>4</v>
      </c>
      <c r="B20" s="33" t="n"/>
      <c r="C20" s="33" t="n"/>
      <c r="D20" s="33" t="n"/>
      <c r="E20" s="33" t="n"/>
      <c r="F20" s="33" t="n"/>
      <c r="G20" s="33" t="n"/>
      <c r="H20" s="33" t="n"/>
      <c r="I20" s="33">
        <f>IF(OR(G20="",H20=""),"",IF(G20=H20,"Y","N"))</f>
        <v/>
      </c>
      <c r="J20" s="33" t="n"/>
    </row>
    <row r="21">
      <c r="A21" s="20" t="n">
        <v>5</v>
      </c>
      <c r="B21" s="33" t="n"/>
      <c r="C21" s="33" t="n"/>
      <c r="D21" s="33" t="n"/>
      <c r="E21" s="33" t="n"/>
      <c r="F21" s="33" t="n"/>
      <c r="G21" s="33" t="n"/>
      <c r="H21" s="33" t="n"/>
      <c r="I21" s="33">
        <f>IF(OR(G21="",H21=""),"",IF(G21=H21,"Y","N"))</f>
        <v/>
      </c>
      <c r="J21" s="33" t="n"/>
    </row>
    <row r="22"/>
    <row r="23">
      <c r="A23" s="22" t="inlineStr">
        <is>
          <t>C. Post-year-end credit memos &amp; returns</t>
        </is>
      </c>
    </row>
    <row r="24" ht="22" customHeight="1">
      <c r="A24" s="10" t="inlineStr">
        <is>
          <t>Sel #</t>
        </is>
      </c>
      <c r="B24" s="10" t="inlineStr">
        <is>
          <t>Credit memo ref</t>
        </is>
      </c>
      <c r="C24" s="10" t="inlineStr">
        <is>
          <t>Customer</t>
        </is>
      </c>
      <c r="D24" s="10" t="inlineStr">
        <is>
          <t>CM date</t>
        </is>
      </c>
      <c r="E24" s="10" t="inlineStr">
        <is>
          <t>Amount</t>
        </is>
      </c>
      <c r="F24" s="10" t="inlineStr">
        <is>
          <t>Relates to pre-YE sale? (Y/N)</t>
        </is>
      </c>
      <c r="G24" s="10" t="inlineStr">
        <is>
          <t>Reason (return / pricing / error)</t>
        </is>
      </c>
      <c r="H24" s="10" t="inlineStr">
        <is>
          <t>CY adjustment needed? (Y/N)</t>
        </is>
      </c>
      <c r="I24" s="10" t="n"/>
      <c r="J24" s="10" t="inlineStr">
        <is>
          <t>Comments</t>
        </is>
      </c>
    </row>
    <row r="25">
      <c r="A25" s="20" t="n">
        <v>1</v>
      </c>
      <c r="B25" s="33" t="n"/>
      <c r="C25" s="33" t="n"/>
      <c r="D25" s="33" t="n"/>
      <c r="E25" s="14" t="n"/>
      <c r="F25" s="33" t="n"/>
      <c r="G25" s="33" t="n"/>
      <c r="H25" s="33" t="n"/>
      <c r="I25" s="33" t="n"/>
      <c r="J25" s="33" t="n"/>
    </row>
    <row r="26">
      <c r="A26" s="20" t="n">
        <v>2</v>
      </c>
      <c r="B26" s="33" t="n"/>
      <c r="C26" s="33" t="n"/>
      <c r="D26" s="33" t="n"/>
      <c r="E26" s="14" t="n"/>
      <c r="F26" s="33" t="n"/>
      <c r="G26" s="33" t="n"/>
      <c r="H26" s="33" t="n"/>
      <c r="I26" s="33" t="n"/>
      <c r="J26" s="33" t="n"/>
    </row>
    <row r="27">
      <c r="A27" s="20" t="n">
        <v>3</v>
      </c>
      <c r="B27" s="33" t="n"/>
      <c r="C27" s="33" t="n"/>
      <c r="D27" s="33" t="n"/>
      <c r="E27" s="14" t="n"/>
      <c r="F27" s="33" t="n"/>
      <c r="G27" s="33" t="n"/>
      <c r="H27" s="33" t="n"/>
      <c r="I27" s="33" t="n"/>
      <c r="J27" s="33" t="n"/>
    </row>
    <row r="28">
      <c r="A28" s="20" t="n">
        <v>4</v>
      </c>
      <c r="B28" s="33" t="n"/>
      <c r="C28" s="33" t="n"/>
      <c r="D28" s="33" t="n"/>
      <c r="E28" s="14" t="n"/>
      <c r="F28" s="33" t="n"/>
      <c r="G28" s="33" t="n"/>
      <c r="H28" s="33" t="n"/>
      <c r="I28" s="33" t="n"/>
      <c r="J28" s="33" t="n"/>
    </row>
    <row r="29">
      <c r="A29" s="20" t="n">
        <v>5</v>
      </c>
      <c r="B29" s="33" t="n"/>
      <c r="C29" s="33" t="n"/>
      <c r="D29" s="33" t="n"/>
      <c r="E29" s="14" t="n"/>
      <c r="F29" s="33" t="n"/>
      <c r="G29" s="33" t="n"/>
      <c r="H29" s="33" t="n"/>
      <c r="I29" s="33" t="n"/>
      <c r="J29" s="33" t="n"/>
    </row>
    <row r="30">
      <c r="A30" s="20" t="n">
        <v>6</v>
      </c>
      <c r="B30" s="33" t="n"/>
      <c r="C30" s="33" t="n"/>
      <c r="D30" s="33" t="n"/>
      <c r="E30" s="14" t="n"/>
      <c r="F30" s="33" t="n"/>
      <c r="G30" s="33" t="n"/>
      <c r="H30" s="33" t="n"/>
      <c r="I30" s="33" t="n"/>
      <c r="J30" s="33" t="n"/>
    </row>
    <row r="31">
      <c r="A31" s="23" t="inlineStr">
        <is>
          <t>Total credit memos reviewed</t>
        </is>
      </c>
      <c r="B31" s="42" t="n"/>
      <c r="C31" s="42" t="n"/>
      <c r="D31" s="43" t="n"/>
      <c r="E31" s="19">
        <f>SUM(E25:E30)</f>
        <v/>
      </c>
      <c r="F31" s="23" t="n"/>
      <c r="G31" s="23" t="n"/>
      <c r="H31" s="23" t="n"/>
      <c r="I31" s="23" t="n"/>
      <c r="J31" s="23" t="n"/>
    </row>
    <row r="32"/>
    <row r="33">
      <c r="A33" s="32" t="inlineStr">
        <is>
          <t>Both directions are mandatory: before-period tests that recorded sales belong in the year (control transferred); after-period tests that January activity was not pulled forward. Credit memos shortly after year-end relating to pre-YE sales may indicate overstatement — evaluate for reversal against the threshold. GRN-style date exceptions from &lt;.3&gt; feed this tab.</t>
        </is>
      </c>
    </row>
    <row r="34"/>
    <row r="35">
      <c r="A35" s="34" t="inlineStr">
        <is>
          <t>TM Legends</t>
        </is>
      </c>
    </row>
    <row r="36">
      <c r="A36" s="12" t="inlineStr">
        <is>
          <t>TB</t>
        </is>
      </c>
      <c r="B36" s="33" t="inlineStr">
        <is>
          <t>Agreed to trial balance</t>
        </is>
      </c>
      <c r="C36" s="42" t="n"/>
      <c r="D36" s="43" t="n"/>
    </row>
    <row r="37">
      <c r="A37" s="12" t="inlineStr">
        <is>
          <t>GL</t>
        </is>
      </c>
      <c r="B37" s="33" t="inlineStr">
        <is>
          <t>Agreed to general ledger</t>
        </is>
      </c>
      <c r="C37" s="42" t="n"/>
      <c r="D37" s="43" t="n"/>
    </row>
    <row r="38">
      <c r="A38" s="12" t="inlineStr">
        <is>
          <t>CF</t>
        </is>
      </c>
      <c r="B38" s="33" t="inlineStr">
        <is>
          <t>Confirmed with third party</t>
        </is>
      </c>
      <c r="C38" s="42" t="n"/>
      <c r="D38" s="43" t="n"/>
    </row>
    <row r="39">
      <c r="A39" s="12" t="inlineStr">
        <is>
          <t>V</t>
        </is>
      </c>
      <c r="B39" s="33" t="inlineStr">
        <is>
          <t>Vouched to source document</t>
        </is>
      </c>
      <c r="C39" s="42" t="n"/>
      <c r="D39" s="43" t="n"/>
    </row>
    <row r="40">
      <c r="A40" s="12" t="inlineStr">
        <is>
          <t>SR</t>
        </is>
      </c>
      <c r="B40" s="33" t="inlineStr">
        <is>
          <t>Agreed to subsequent bank-cleared receipt</t>
        </is>
      </c>
      <c r="C40" s="42" t="n"/>
      <c r="D40" s="43" t="n"/>
    </row>
    <row r="41">
      <c r="A41" s="12" t="inlineStr">
        <is>
          <t>R</t>
        </is>
      </c>
      <c r="B41" s="33" t="inlineStr">
        <is>
          <t>Recalculated independently</t>
        </is>
      </c>
      <c r="C41" s="42" t="n"/>
      <c r="D41" s="43" t="n"/>
    </row>
    <row r="42">
      <c r="A42" s="12" t="inlineStr">
        <is>
          <t>F</t>
        </is>
      </c>
      <c r="B42" s="33" t="inlineStr">
        <is>
          <t>Footed / cross-cast</t>
        </is>
      </c>
      <c r="C42" s="42" t="n"/>
      <c r="D42" s="43" t="n"/>
    </row>
    <row r="43">
      <c r="A43" s="12" t="inlineStr">
        <is>
          <t>T</t>
        </is>
      </c>
      <c r="B43" s="33" t="inlineStr">
        <is>
          <t>Traced to downstream record</t>
        </is>
      </c>
      <c r="C43" s="42" t="n"/>
      <c r="D43" s="43" t="n"/>
    </row>
    <row r="44">
      <c r="A44" s="12" t="inlineStr">
        <is>
          <t>PBC</t>
        </is>
      </c>
      <c r="B44" s="33" t="inlineStr">
        <is>
          <t>Prepared by client</t>
        </is>
      </c>
      <c r="C44" s="42" t="n"/>
      <c r="D44" s="43" t="n"/>
    </row>
    <row r="45"/>
    <row r="46">
      <c r="A46" s="31" t="inlineStr">
        <is>
          <t>Before sign-off complete Library Procedures 9-11 (before-period; after-period; post-YE credit memos &amp; returns).</t>
        </is>
      </c>
    </row>
  </sheetData>
  <mergeCells count="15">
    <mergeCell ref="B42:D42"/>
    <mergeCell ref="A46:J46"/>
    <mergeCell ref="B36:D36"/>
    <mergeCell ref="B5:J5"/>
    <mergeCell ref="B37:D37"/>
    <mergeCell ref="A31:D31"/>
    <mergeCell ref="B41:D41"/>
    <mergeCell ref="B40:D40"/>
    <mergeCell ref="A33:J34"/>
    <mergeCell ref="B38:D38"/>
    <mergeCell ref="B44:D44"/>
    <mergeCell ref="B4:J4"/>
    <mergeCell ref="B43:D43"/>
    <mergeCell ref="B39:D39"/>
    <mergeCell ref="B6:J6"/>
  </mergeCells>
  <pageMargins left="0.3" right="0.3" top="0.4" bottom="0.4" header="0.2" footer="0.2"/>
  <pageSetup orientation="landscape" paperSize="1" fitToHeight="1" fitToWidth="1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47"/>
  <sheetViews>
    <sheetView showGridLines="0" topLeftCell="A32" zoomScale="85" zoomScaleNormal="100" workbookViewId="0">
      <selection activeCell="A40" sqref="A40"/>
    </sheetView>
  </sheetViews>
  <sheetFormatPr baseColWidth="8" defaultColWidth="8.6328125" defaultRowHeight="14.5"/>
  <cols>
    <col width="36.453125" customWidth="1" min="1" max="1"/>
    <col width="18" customWidth="1" min="2" max="2"/>
    <col width="16" customWidth="1" min="3" max="3"/>
    <col width="15" customWidth="1" min="4" max="7"/>
    <col width="26" customWidth="1" min="8" max="8"/>
  </cols>
  <sheetData>
    <row r="1" ht="17.5" customHeight="1">
      <c r="A1" s="6" t="inlineStr">
        <is>
          <t>Variable Consideration &amp; Contra-Revenue</t>
        </is>
      </c>
    </row>
    <row r="2">
      <c r="A2" s="7" t="inlineStr">
        <is>
          <t>Client / Entity</t>
        </is>
      </c>
      <c r="B2" s="8" t="inlineStr">
        <is>
          <t>[Client / Entity]</t>
        </is>
      </c>
      <c r="D2" s="7" t="inlineStr">
        <is>
          <t>Year-End</t>
        </is>
      </c>
      <c r="E2" s="8" t="inlineStr">
        <is>
          <t>[YYYY-MM-DD]</t>
        </is>
      </c>
      <c r="G2" s="7" t="inlineStr">
        <is>
          <t>Currency</t>
        </is>
      </c>
      <c r="H2" s="8" t="inlineStr">
        <is>
          <t>[CCY]</t>
        </is>
      </c>
    </row>
    <row r="3">
      <c r="A3" s="7" t="inlineStr">
        <is>
          <t>Performance Materiality</t>
        </is>
      </c>
      <c r="B3" s="8" t="inlineStr">
        <is>
          <t>[PM]</t>
        </is>
      </c>
      <c r="D3" s="7" t="inlineStr">
        <is>
          <t>Testing Threshold (SUM)</t>
        </is>
      </c>
      <c r="E3" s="8" t="inlineStr">
        <is>
          <t>[Threshold]</t>
        </is>
      </c>
    </row>
    <row r="4" ht="42" customHeight="1">
      <c r="A4" s="29" t="inlineStr">
        <is>
          <t>Purpose:</t>
        </is>
      </c>
      <c r="B4" s="30" t="inlineStr">
        <is>
          <t>Identify every variable-consideration program (rebates, volume discounts, returns, allowances, price protection), recompute the accrual under the entity's method, and test the returns reserve against post-year-end actuals.</t>
        </is>
      </c>
      <c r="C4" s="44" t="n"/>
      <c r="D4" s="44" t="n"/>
      <c r="E4" s="44" t="n"/>
      <c r="F4" s="44" t="n"/>
      <c r="G4" s="44" t="n"/>
      <c r="H4" s="45" t="n"/>
    </row>
    <row r="5" ht="27.75" customHeight="1">
      <c r="A5" s="29" t="inlineStr">
        <is>
          <t>Scope:</t>
        </is>
      </c>
      <c r="B5" s="30" t="inlineStr">
        <is>
          <t>Rebate / discount program agreements, eligible-sales data, historical and post-YE returns; ASC 606-10-32-5 to 32-13 (estimate and constraint).</t>
        </is>
      </c>
      <c r="C5" s="44" t="n"/>
      <c r="D5" s="44" t="n"/>
      <c r="E5" s="44" t="n"/>
      <c r="F5" s="44" t="n"/>
      <c r="G5" s="44" t="n"/>
      <c r="H5" s="45" t="n"/>
    </row>
    <row r="6" ht="15" customHeight="1">
      <c r="A6" s="29" t="inlineStr">
        <is>
          <t>Assertions:</t>
        </is>
      </c>
      <c r="B6" s="30" t="inlineStr">
        <is>
          <t>Accuracy; Valuation; Completeness</t>
        </is>
      </c>
      <c r="C6" s="44" t="n"/>
      <c r="D6" s="44" t="n"/>
      <c r="E6" s="44" t="n"/>
      <c r="F6" s="44" t="n"/>
      <c r="G6" s="44" t="n"/>
      <c r="H6" s="45" t="n"/>
    </row>
    <row r="7">
      <c r="A7" s="22" t="inlineStr">
        <is>
          <t>A. Program inventory</t>
        </is>
      </c>
    </row>
    <row r="8" ht="30" customHeight="1">
      <c r="A8" s="10" t="inlineStr">
        <is>
          <t>Program</t>
        </is>
      </c>
      <c r="B8" s="10" t="inlineStr">
        <is>
          <t>Type (rebate / discount / returns / allowance)</t>
        </is>
      </c>
      <c r="C8" s="10" t="inlineStr">
        <is>
          <t>Terms obtained (Y/N)</t>
        </is>
      </c>
      <c r="D8" s="10" t="inlineStr">
        <is>
          <t>Method (expected value / most likely)</t>
        </is>
      </c>
      <c r="E8" s="10" t="inlineStr">
        <is>
          <t>Constraint considered (Y/N)</t>
        </is>
      </c>
      <c r="F8" s="10" t="n"/>
      <c r="G8" s="10" t="n"/>
      <c r="H8" s="10" t="inlineStr">
        <is>
          <t>Comments</t>
        </is>
      </c>
    </row>
    <row r="9">
      <c r="A9" s="33" t="n"/>
      <c r="B9" s="33" t="n"/>
      <c r="C9" s="33" t="n"/>
      <c r="D9" s="33" t="n"/>
      <c r="E9" s="33" t="n"/>
      <c r="F9" s="33" t="n"/>
      <c r="G9" s="33" t="n"/>
      <c r="H9" s="33" t="n"/>
    </row>
    <row r="10">
      <c r="A10" s="33" t="n"/>
      <c r="B10" s="33" t="n"/>
      <c r="C10" s="33" t="n"/>
      <c r="D10" s="33" t="n"/>
      <c r="E10" s="33" t="n"/>
      <c r="F10" s="33" t="n"/>
      <c r="G10" s="33" t="n"/>
      <c r="H10" s="33" t="n"/>
    </row>
    <row r="11">
      <c r="A11" s="33" t="n"/>
      <c r="B11" s="33" t="n"/>
      <c r="C11" s="33" t="n"/>
      <c r="D11" s="33" t="n"/>
      <c r="E11" s="33" t="n"/>
      <c r="F11" s="33" t="n"/>
      <c r="G11" s="33" t="n"/>
      <c r="H11" s="33" t="n"/>
    </row>
    <row r="12">
      <c r="A12" s="33" t="n"/>
      <c r="B12" s="33" t="n"/>
      <c r="C12" s="33" t="n"/>
      <c r="D12" s="33" t="n"/>
      <c r="E12" s="33" t="n"/>
      <c r="F12" s="33" t="n"/>
      <c r="G12" s="33" t="n"/>
      <c r="H12" s="33" t="n"/>
    </row>
    <row r="13">
      <c r="A13" s="33" t="n"/>
      <c r="B13" s="33" t="n"/>
      <c r="C13" s="33" t="n"/>
      <c r="D13" s="33" t="n"/>
      <c r="E13" s="33" t="n"/>
      <c r="F13" s="33" t="n"/>
      <c r="G13" s="33" t="n"/>
      <c r="H13" s="33" t="n"/>
    </row>
    <row r="14"/>
    <row r="15">
      <c r="A15" s="22" t="inlineStr">
        <is>
          <t>B. Accrual recompute</t>
        </is>
      </c>
    </row>
    <row r="16" ht="25.5" customHeight="1">
      <c r="A16" s="10" t="inlineStr">
        <is>
          <t>Program</t>
        </is>
      </c>
      <c r="B16" s="10" t="inlineStr">
        <is>
          <t>Eligible base (sales)</t>
        </is>
      </c>
      <c r="C16" s="10" t="inlineStr">
        <is>
          <t>Rate / %</t>
        </is>
      </c>
      <c r="D16" s="10" t="inlineStr">
        <is>
          <t>Recomputed accrual</t>
        </is>
      </c>
      <c r="E16" s="10" t="inlineStr">
        <is>
          <t>Recorded accrual</t>
        </is>
      </c>
      <c r="F16" s="10" t="inlineStr">
        <is>
          <t>Difference</t>
        </is>
      </c>
      <c r="G16" s="10" t="n"/>
      <c r="H16" s="10" t="inlineStr">
        <is>
          <t>Comments</t>
        </is>
      </c>
    </row>
    <row r="17">
      <c r="B17" s="13" t="inlineStr">
        <is>
          <t>V</t>
        </is>
      </c>
      <c r="D17" s="13" t="inlineStr">
        <is>
          <t>R</t>
        </is>
      </c>
      <c r="E17" s="13" t="inlineStr">
        <is>
          <t>TB</t>
        </is>
      </c>
    </row>
    <row r="18">
      <c r="A18" s="33" t="n"/>
      <c r="B18" s="14" t="n"/>
      <c r="C18" s="15" t="n"/>
      <c r="D18" s="14">
        <f>IF(OR(B18="",C18=""),"",B18*C18)</f>
        <v/>
      </c>
      <c r="E18" s="14" t="n"/>
      <c r="F18" s="14">
        <f>IF(AND(D18="",E18=""),"",D18-E18)</f>
        <v/>
      </c>
      <c r="G18" s="33" t="n"/>
      <c r="H18" s="33" t="n"/>
    </row>
    <row r="19">
      <c r="A19" s="33" t="n"/>
      <c r="B19" s="14" t="n"/>
      <c r="C19" s="15" t="n"/>
      <c r="D19" s="14">
        <f>IF(OR(B19="",C19=""),"",B19*C19)</f>
        <v/>
      </c>
      <c r="E19" s="14" t="n"/>
      <c r="F19" s="14">
        <f>IF(AND(D19="",E19=""),"",D19-E19)</f>
        <v/>
      </c>
      <c r="G19" s="33" t="n"/>
      <c r="H19" s="33" t="n"/>
    </row>
    <row r="20">
      <c r="A20" s="33" t="n"/>
      <c r="B20" s="14" t="n"/>
      <c r="C20" s="15" t="n"/>
      <c r="D20" s="14">
        <f>IF(OR(B20="",C20=""),"",B20*C20)</f>
        <v/>
      </c>
      <c r="E20" s="14" t="n"/>
      <c r="F20" s="14">
        <f>IF(AND(D20="",E20=""),"",D20-E20)</f>
        <v/>
      </c>
      <c r="G20" s="33" t="n"/>
      <c r="H20" s="33" t="n"/>
    </row>
    <row r="21">
      <c r="A21" s="33" t="n"/>
      <c r="B21" s="14" t="n"/>
      <c r="C21" s="15" t="n"/>
      <c r="D21" s="14">
        <f>IF(OR(B21="",C21=""),"",B21*C21)</f>
        <v/>
      </c>
      <c r="E21" s="14" t="n"/>
      <c r="F21" s="14">
        <f>IF(AND(D21="",E21=""),"",D21-E21)</f>
        <v/>
      </c>
      <c r="G21" s="33" t="n"/>
      <c r="H21" s="33" t="n"/>
    </row>
    <row r="22">
      <c r="A22" s="33" t="n"/>
      <c r="B22" s="14" t="n"/>
      <c r="C22" s="15" t="n"/>
      <c r="D22" s="14">
        <f>IF(OR(B22="",C22=""),"",B22*C22)</f>
        <v/>
      </c>
      <c r="E22" s="14" t="n"/>
      <c r="F22" s="14">
        <f>IF(AND(D22="",E22=""),"",D22-E22)</f>
        <v/>
      </c>
      <c r="G22" s="33" t="n"/>
      <c r="H22" s="33" t="n"/>
    </row>
    <row r="23">
      <c r="A23" s="16" t="inlineStr">
        <is>
          <t>Total</t>
        </is>
      </c>
      <c r="B23" s="17">
        <f>SUM(B18:B22)</f>
        <v/>
      </c>
      <c r="C23" s="16" t="n"/>
      <c r="D23" s="17">
        <f>SUM(D18:D22)</f>
        <v/>
      </c>
      <c r="E23" s="17">
        <f>SUM(E18:E22)</f>
        <v/>
      </c>
      <c r="F23" s="17">
        <f>SUM(F18:F22)</f>
        <v/>
      </c>
      <c r="G23" s="16" t="n"/>
      <c r="H23" s="16" t="n"/>
    </row>
    <row r="24"/>
    <row r="25">
      <c r="A25" s="22" t="inlineStr">
        <is>
          <t>C. Returns reserve (lookback)</t>
        </is>
      </c>
    </row>
    <row r="26"/>
    <row r="27">
      <c r="A27" s="33" t="inlineStr">
        <is>
          <t>Sales subject to return (period)</t>
        </is>
      </c>
      <c r="B27" s="14" t="n"/>
    </row>
    <row r="28">
      <c r="A28" s="33" t="inlineStr">
        <is>
          <t>Historical return rate %</t>
        </is>
      </c>
      <c r="B28" s="15" t="n"/>
    </row>
    <row r="29">
      <c r="A29" s="18" t="inlineStr">
        <is>
          <t>Recomputed returns reserve</t>
        </is>
      </c>
      <c r="B29" s="19">
        <f>IF(OR(B27="",B28=""),"",B27*B28)</f>
        <v/>
      </c>
    </row>
    <row r="30">
      <c r="A30" s="33" t="inlineStr">
        <is>
          <t>Actual post-YE returns to date (per &lt;.4&gt; Part C)</t>
        </is>
      </c>
      <c r="B30" s="14" t="n"/>
    </row>
    <row r="31">
      <c r="A31" s="33" t="inlineStr">
        <is>
          <t>Reserve per books</t>
        </is>
      </c>
      <c r="B31" s="14" t="n"/>
    </row>
    <row r="32">
      <c r="A32" s="18" t="inlineStr">
        <is>
          <t>Difference (recomputed vs books)</t>
        </is>
      </c>
      <c r="B32" s="19">
        <f>IF(OR(B29="",B31=""),"",B29-B31)</f>
        <v/>
      </c>
    </row>
    <row r="33"/>
    <row r="34">
      <c r="A34" s="32" t="inlineStr">
        <is>
          <t>Variable consideration is estimated (expected value or most-likely amount) and constrained so that a significant revenue reversal is not probable (ASC 606-10-32-11). Corroborate rates to program agreements and the base to tested sales; benchmark the returns reserve against actual post-YE returns.</t>
        </is>
      </c>
    </row>
    <row r="35"/>
    <row r="36">
      <c r="A36" s="34" t="inlineStr">
        <is>
          <t>TM Legends</t>
        </is>
      </c>
    </row>
    <row r="37">
      <c r="A37" s="12" t="inlineStr">
        <is>
          <t>TB</t>
        </is>
      </c>
      <c r="B37" s="33" t="inlineStr">
        <is>
          <t>Agreed to trial balance</t>
        </is>
      </c>
      <c r="C37" s="42" t="n"/>
      <c r="D37" s="43" t="n"/>
    </row>
    <row r="38">
      <c r="A38" s="12" t="inlineStr">
        <is>
          <t>GL</t>
        </is>
      </c>
      <c r="B38" s="33" t="inlineStr">
        <is>
          <t>Agreed to general ledger</t>
        </is>
      </c>
      <c r="C38" s="42" t="n"/>
      <c r="D38" s="43" t="n"/>
    </row>
    <row r="39">
      <c r="A39" s="12" t="inlineStr">
        <is>
          <t>CF</t>
        </is>
      </c>
      <c r="B39" s="33" t="inlineStr">
        <is>
          <t>Confirmed with third party</t>
        </is>
      </c>
      <c r="C39" s="42" t="n"/>
      <c r="D39" s="43" t="n"/>
    </row>
    <row r="40">
      <c r="A40" s="12" t="inlineStr">
        <is>
          <t>V</t>
        </is>
      </c>
      <c r="B40" s="33" t="inlineStr">
        <is>
          <t>Vouched to source document</t>
        </is>
      </c>
      <c r="C40" s="42" t="n"/>
      <c r="D40" s="43" t="n"/>
    </row>
    <row r="41">
      <c r="A41" s="12" t="inlineStr">
        <is>
          <t>SR</t>
        </is>
      </c>
      <c r="B41" s="33" t="inlineStr">
        <is>
          <t>Agreed to subsequent bank-cleared receipt</t>
        </is>
      </c>
      <c r="C41" s="42" t="n"/>
      <c r="D41" s="43" t="n"/>
    </row>
    <row r="42">
      <c r="A42" s="12" t="inlineStr">
        <is>
          <t>R</t>
        </is>
      </c>
      <c r="B42" s="33" t="inlineStr">
        <is>
          <t>Recalculated independently</t>
        </is>
      </c>
      <c r="C42" s="42" t="n"/>
      <c r="D42" s="43" t="n"/>
    </row>
    <row r="43">
      <c r="A43" s="12" t="inlineStr">
        <is>
          <t>F</t>
        </is>
      </c>
      <c r="B43" s="33" t="inlineStr">
        <is>
          <t>Footed / cross-cast</t>
        </is>
      </c>
      <c r="C43" s="42" t="n"/>
      <c r="D43" s="43" t="n"/>
    </row>
    <row r="44">
      <c r="A44" s="12" t="inlineStr">
        <is>
          <t>T</t>
        </is>
      </c>
      <c r="B44" s="33" t="inlineStr">
        <is>
          <t>Traced to downstream record</t>
        </is>
      </c>
      <c r="C44" s="42" t="n"/>
      <c r="D44" s="43" t="n"/>
    </row>
    <row r="45">
      <c r="A45" s="12" t="inlineStr">
        <is>
          <t>PBC</t>
        </is>
      </c>
      <c r="B45" s="33" t="inlineStr">
        <is>
          <t>Prepared by client</t>
        </is>
      </c>
      <c r="C45" s="42" t="n"/>
      <c r="D45" s="43" t="n"/>
    </row>
    <row r="46"/>
    <row r="47" ht="27.75" customHeight="1">
      <c r="A47" s="31" t="inlineStr">
        <is>
          <t>Before sign-off complete Library Procedures 12-13 (program recompute; returns-reserve lookback).</t>
        </is>
      </c>
    </row>
  </sheetData>
  <mergeCells count="14">
    <mergeCell ref="A34:H35"/>
    <mergeCell ref="B42:D42"/>
    <mergeCell ref="B37:D37"/>
    <mergeCell ref="B45:D45"/>
    <mergeCell ref="B41:D41"/>
    <mergeCell ref="B4:H4"/>
    <mergeCell ref="B40:D40"/>
    <mergeCell ref="B6:H6"/>
    <mergeCell ref="B44:D44"/>
    <mergeCell ref="A47:H47"/>
    <mergeCell ref="B43:D43"/>
    <mergeCell ref="B39:D39"/>
    <mergeCell ref="B5:H5"/>
    <mergeCell ref="B38:D38"/>
  </mergeCells>
  <pageMargins left="0.3" right="0.3" top="0.4" bottom="0.4" header="0.2" footer="0.2"/>
  <pageSetup orientation="portrait" paperSize="1" fitToHeight="1" fitToWidth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41"/>
  <sheetViews>
    <sheetView showGridLines="0" zoomScale="85" zoomScaleNormal="100" workbookViewId="0">
      <selection activeCell="A28" sqref="A28:H28"/>
    </sheetView>
  </sheetViews>
  <sheetFormatPr baseColWidth="8" defaultColWidth="8.6328125" defaultRowHeight="14.5"/>
  <cols>
    <col width="40.90625" customWidth="1" min="1" max="1"/>
    <col width="15" customWidth="1" min="2" max="6"/>
    <col width="16" customWidth="1" min="7" max="7"/>
    <col width="26" customWidth="1" min="8" max="8"/>
  </cols>
  <sheetData>
    <row r="1" ht="17.5" customHeight="1">
      <c r="A1" s="6" t="inlineStr">
        <is>
          <t>Contract Liability (Deferred Revenue) Rollforward</t>
        </is>
      </c>
    </row>
    <row r="2">
      <c r="A2" s="7" t="inlineStr">
        <is>
          <t>Client / Entity</t>
        </is>
      </c>
      <c r="B2" s="8" t="inlineStr">
        <is>
          <t>[Client / Entity]</t>
        </is>
      </c>
      <c r="D2" s="7" t="inlineStr">
        <is>
          <t>Year-End</t>
        </is>
      </c>
      <c r="E2" s="8" t="inlineStr">
        <is>
          <t>[YYYY-MM-DD]</t>
        </is>
      </c>
      <c r="G2" s="7" t="inlineStr">
        <is>
          <t>Currency</t>
        </is>
      </c>
      <c r="H2" s="8" t="inlineStr">
        <is>
          <t>[CCY]</t>
        </is>
      </c>
    </row>
    <row r="3">
      <c r="A3" s="7" t="inlineStr">
        <is>
          <t>Performance Materiality</t>
        </is>
      </c>
      <c r="B3" s="8" t="inlineStr">
        <is>
          <t>[PM]</t>
        </is>
      </c>
      <c r="D3" s="7" t="inlineStr">
        <is>
          <t>Testing Threshold (SUM)</t>
        </is>
      </c>
      <c r="E3" s="8" t="inlineStr">
        <is>
          <t>[Threshold]</t>
        </is>
      </c>
    </row>
    <row r="4" ht="27.75" customHeight="1">
      <c r="A4" s="29" t="inlineStr">
        <is>
          <t>Purpose:</t>
        </is>
      </c>
      <c r="B4" s="30" t="inlineStr">
        <is>
          <t>Roll contract liabilities forward — opening + advance billings / receipts − revenue released = closing — tie to the TB, and test releases against satisfaction of the performance obligation.</t>
        </is>
      </c>
      <c r="C4" s="44" t="n"/>
      <c r="D4" s="44" t="n"/>
      <c r="E4" s="44" t="n"/>
      <c r="F4" s="44" t="n"/>
      <c r="G4" s="44" t="n"/>
      <c r="H4" s="45" t="n"/>
    </row>
    <row r="5" ht="15" customHeight="1">
      <c r="A5" s="29" t="inlineStr">
        <is>
          <t>Scope:</t>
        </is>
      </c>
      <c r="B5" s="30" t="inlineStr">
        <is>
          <t>Deferred-revenue schedule by contract / customer; opening balance bridged to the PY TB.</t>
        </is>
      </c>
      <c r="C5" s="44" t="n"/>
      <c r="D5" s="44" t="n"/>
      <c r="E5" s="44" t="n"/>
      <c r="F5" s="44" t="n"/>
      <c r="G5" s="44" t="n"/>
      <c r="H5" s="45" t="n"/>
    </row>
    <row r="6" ht="15" customHeight="1">
      <c r="A6" s="29" t="inlineStr">
        <is>
          <t>Assertions:</t>
        </is>
      </c>
      <c r="B6" s="30" t="inlineStr">
        <is>
          <t>Completeness; Accuracy; Cutoff; Occurrence</t>
        </is>
      </c>
      <c r="C6" s="44" t="n"/>
      <c r="D6" s="44" t="n"/>
      <c r="E6" s="44" t="n"/>
      <c r="F6" s="44" t="n"/>
      <c r="G6" s="44" t="n"/>
      <c r="H6" s="45" t="n"/>
    </row>
    <row r="7">
      <c r="A7" s="22" t="inlineStr">
        <is>
          <t>A. Rollforward summary</t>
        </is>
      </c>
    </row>
    <row r="8">
      <c r="A8" s="33" t="inlineStr">
        <is>
          <t>Opening contract liabilities (= PY TB)</t>
        </is>
      </c>
      <c r="B8" s="14" t="n"/>
    </row>
    <row r="9">
      <c r="A9" s="33" t="inlineStr">
        <is>
          <t>Add: billings / cash received in advance of performance</t>
        </is>
      </c>
      <c r="B9" s="14" t="n"/>
    </row>
    <row r="10">
      <c r="A10" s="33" t="inlineStr">
        <is>
          <t>Less: revenue recognized from the opening balance</t>
        </is>
      </c>
      <c r="B10" s="14" t="n"/>
    </row>
    <row r="11">
      <c r="A11" s="33" t="inlineStr">
        <is>
          <t>Less: revenue recognized from current-year additions</t>
        </is>
      </c>
      <c r="B11" s="14" t="n"/>
    </row>
    <row r="12">
      <c r="A12" s="18" t="inlineStr">
        <is>
          <t>Closing contract liabilities (computed)</t>
        </is>
      </c>
      <c r="B12" s="19">
        <f>B8+B9-B10-B11</f>
        <v/>
      </c>
    </row>
    <row r="13">
      <c r="A13" s="33" t="inlineStr">
        <is>
          <t>Closing per trial balance</t>
        </is>
      </c>
      <c r="B13" s="14" t="n"/>
    </row>
    <row r="14">
      <c r="A14" s="18" t="inlineStr">
        <is>
          <t>Difference (should be 0)</t>
        </is>
      </c>
      <c r="B14" s="19">
        <f>B12-B13</f>
        <v/>
      </c>
    </row>
    <row r="15"/>
    <row r="16">
      <c r="A16" s="22" t="inlineStr">
        <is>
          <t>B. Detail by contract / customer</t>
        </is>
      </c>
    </row>
    <row r="17" ht="30" customHeight="1">
      <c r="A17" s="10" t="inlineStr">
        <is>
          <t>Contract / customer</t>
        </is>
      </c>
      <c r="B17" s="10" t="inlineStr">
        <is>
          <t>Opening</t>
        </is>
      </c>
      <c r="C17" s="10" t="inlineStr">
        <is>
          <t>Additions</t>
        </is>
      </c>
      <c r="D17" s="10" t="inlineStr">
        <is>
          <t>Releases (revenue)</t>
        </is>
      </c>
      <c r="E17" s="10" t="inlineStr">
        <is>
          <t>Closing (computed)</t>
        </is>
      </c>
      <c r="F17" s="10" t="inlineStr">
        <is>
          <t>Per schedule</t>
        </is>
      </c>
      <c r="G17" s="10" t="inlineStr">
        <is>
          <t>Release tested — PO satisfied? (Y/N)</t>
        </is>
      </c>
      <c r="H17" s="10" t="inlineStr">
        <is>
          <t>Comments</t>
        </is>
      </c>
    </row>
    <row r="18">
      <c r="B18" s="13" t="inlineStr">
        <is>
          <t>PY</t>
        </is>
      </c>
      <c r="D18" s="13" t="inlineStr">
        <is>
          <t>V</t>
        </is>
      </c>
      <c r="F18" s="13" t="inlineStr">
        <is>
          <t>F</t>
        </is>
      </c>
    </row>
    <row r="19">
      <c r="A19" s="33" t="n"/>
      <c r="B19" s="14" t="n"/>
      <c r="C19" s="14" t="n"/>
      <c r="D19" s="14" t="n"/>
      <c r="E19" s="14">
        <f>IF(COUNT(B19:D19)=0,"",B19+C19-D19)</f>
        <v/>
      </c>
      <c r="F19" s="14" t="n"/>
      <c r="G19" s="33" t="n"/>
      <c r="H19" s="33" t="n"/>
    </row>
    <row r="20">
      <c r="A20" s="33" t="n"/>
      <c r="B20" s="14" t="n"/>
      <c r="C20" s="14" t="n"/>
      <c r="D20" s="14" t="n"/>
      <c r="E20" s="14">
        <f>IF(COUNT(B20:D20)=0,"",B20+C20-D20)</f>
        <v/>
      </c>
      <c r="F20" s="14" t="n"/>
      <c r="G20" s="33" t="n"/>
      <c r="H20" s="33" t="n"/>
    </row>
    <row r="21">
      <c r="A21" s="33" t="n"/>
      <c r="B21" s="14" t="n"/>
      <c r="C21" s="14" t="n"/>
      <c r="D21" s="14" t="n"/>
      <c r="E21" s="14">
        <f>IF(COUNT(B21:D21)=0,"",B21+C21-D21)</f>
        <v/>
      </c>
      <c r="F21" s="14" t="n"/>
      <c r="G21" s="33" t="n"/>
      <c r="H21" s="33" t="n"/>
    </row>
    <row r="22">
      <c r="A22" s="33" t="n"/>
      <c r="B22" s="14" t="n"/>
      <c r="C22" s="14" t="n"/>
      <c r="D22" s="14" t="n"/>
      <c r="E22" s="14">
        <f>IF(COUNT(B22:D22)=0,"",B22+C22-D22)</f>
        <v/>
      </c>
      <c r="F22" s="14" t="n"/>
      <c r="G22" s="33" t="n"/>
      <c r="H22" s="33" t="n"/>
    </row>
    <row r="23">
      <c r="A23" s="33" t="n"/>
      <c r="B23" s="14" t="n"/>
      <c r="C23" s="14" t="n"/>
      <c r="D23" s="14" t="n"/>
      <c r="E23" s="14">
        <f>IF(COUNT(B23:D23)=0,"",B23+C23-D23)</f>
        <v/>
      </c>
      <c r="F23" s="14" t="n"/>
      <c r="G23" s="33" t="n"/>
      <c r="H23" s="33" t="n"/>
    </row>
    <row r="24">
      <c r="A24" s="33" t="n"/>
      <c r="B24" s="14" t="n"/>
      <c r="C24" s="14" t="n"/>
      <c r="D24" s="14" t="n"/>
      <c r="E24" s="14">
        <f>IF(COUNT(B24:D24)=0,"",B24+C24-D24)</f>
        <v/>
      </c>
      <c r="F24" s="14" t="n"/>
      <c r="G24" s="33" t="n"/>
      <c r="H24" s="33" t="n"/>
    </row>
    <row r="25">
      <c r="A25" s="33" t="n"/>
      <c r="B25" s="14" t="n"/>
      <c r="C25" s="14" t="n"/>
      <c r="D25" s="14" t="n"/>
      <c r="E25" s="14">
        <f>IF(COUNT(B25:D25)=0,"",B25+C25-D25)</f>
        <v/>
      </c>
      <c r="F25" s="14" t="n"/>
      <c r="G25" s="33" t="n"/>
      <c r="H25" s="33" t="n"/>
    </row>
    <row r="26">
      <c r="A26" s="16" t="inlineStr">
        <is>
          <t>Total</t>
        </is>
      </c>
      <c r="B26" s="17">
        <f>SUM(B19:B25)</f>
        <v/>
      </c>
      <c r="C26" s="17">
        <f>SUM(C19:C25)</f>
        <v/>
      </c>
      <c r="D26" s="17">
        <f>SUM(D19:D25)</f>
        <v/>
      </c>
      <c r="E26" s="17">
        <f>SUM(E19:E25)</f>
        <v/>
      </c>
      <c r="F26" s="17">
        <f>SUM(F19:F25)</f>
        <v/>
      </c>
      <c r="G26" s="16" t="n"/>
      <c r="H26" s="16" t="n"/>
    </row>
    <row r="27"/>
    <row r="28" ht="27.75" customHeight="1">
      <c r="A28" s="32" t="inlineStr">
        <is>
          <t>Releases are tested for satisfaction of the performance obligation (delivery / service completion) — premature release overstates revenue (feeds &lt;.4&gt; cutoff). The revenue recognized from the opening balance supports the ASC 606-10-50-8 disclosure on &lt;.8&gt;.</t>
        </is>
      </c>
    </row>
    <row r="29"/>
    <row r="30">
      <c r="A30" s="34" t="inlineStr">
        <is>
          <t>TM Legends</t>
        </is>
      </c>
    </row>
    <row r="31">
      <c r="A31" s="12" t="inlineStr">
        <is>
          <t>TB</t>
        </is>
      </c>
      <c r="B31" s="33" t="inlineStr">
        <is>
          <t>Agreed to trial balance</t>
        </is>
      </c>
      <c r="C31" s="42" t="n"/>
      <c r="D31" s="43" t="n"/>
    </row>
    <row r="32">
      <c r="A32" s="12" t="inlineStr">
        <is>
          <t>GL</t>
        </is>
      </c>
      <c r="B32" s="33" t="inlineStr">
        <is>
          <t>Agreed to general ledger</t>
        </is>
      </c>
      <c r="C32" s="42" t="n"/>
      <c r="D32" s="43" t="n"/>
    </row>
    <row r="33">
      <c r="A33" s="12" t="inlineStr">
        <is>
          <t>CF</t>
        </is>
      </c>
      <c r="B33" s="33" t="inlineStr">
        <is>
          <t>Confirmed with third party</t>
        </is>
      </c>
      <c r="C33" s="42" t="n"/>
      <c r="D33" s="43" t="n"/>
    </row>
    <row r="34">
      <c r="A34" s="12" t="inlineStr">
        <is>
          <t>V</t>
        </is>
      </c>
      <c r="B34" s="33" t="inlineStr">
        <is>
          <t>Vouched to source document</t>
        </is>
      </c>
      <c r="C34" s="42" t="n"/>
      <c r="D34" s="43" t="n"/>
    </row>
    <row r="35">
      <c r="A35" s="12" t="inlineStr">
        <is>
          <t>SR</t>
        </is>
      </c>
      <c r="B35" s="33" t="inlineStr">
        <is>
          <t>Agreed to subsequent bank-cleared receipt</t>
        </is>
      </c>
      <c r="C35" s="42" t="n"/>
      <c r="D35" s="43" t="n"/>
    </row>
    <row r="36">
      <c r="A36" s="12" t="inlineStr">
        <is>
          <t>R</t>
        </is>
      </c>
      <c r="B36" s="33" t="inlineStr">
        <is>
          <t>Recalculated independently</t>
        </is>
      </c>
      <c r="C36" s="42" t="n"/>
      <c r="D36" s="43" t="n"/>
    </row>
    <row r="37">
      <c r="A37" s="12" t="inlineStr">
        <is>
          <t>F</t>
        </is>
      </c>
      <c r="B37" s="33" t="inlineStr">
        <is>
          <t>Footed / cross-cast</t>
        </is>
      </c>
      <c r="C37" s="42" t="n"/>
      <c r="D37" s="43" t="n"/>
    </row>
    <row r="38">
      <c r="A38" s="12" t="inlineStr">
        <is>
          <t>T</t>
        </is>
      </c>
      <c r="B38" s="33" t="inlineStr">
        <is>
          <t>Traced to downstream record</t>
        </is>
      </c>
      <c r="C38" s="42" t="n"/>
      <c r="D38" s="43" t="n"/>
    </row>
    <row r="39">
      <c r="A39" s="12" t="inlineStr">
        <is>
          <t>PBC</t>
        </is>
      </c>
      <c r="B39" s="33" t="inlineStr">
        <is>
          <t>Prepared by client</t>
        </is>
      </c>
      <c r="C39" s="42" t="n"/>
      <c r="D39" s="43" t="n"/>
    </row>
    <row r="40"/>
    <row r="41" ht="27.75" customHeight="1">
      <c r="A41" s="31" t="inlineStr">
        <is>
          <t>Before sign-off complete Library Procedure 14 (rollforward, tie-out &amp; release testing).</t>
        </is>
      </c>
    </row>
  </sheetData>
  <mergeCells count="14">
    <mergeCell ref="B33:D33"/>
    <mergeCell ref="B36:D36"/>
    <mergeCell ref="B37:D37"/>
    <mergeCell ref="B31:D31"/>
    <mergeCell ref="B4:H4"/>
    <mergeCell ref="B32:D32"/>
    <mergeCell ref="B35:D35"/>
    <mergeCell ref="A28:H28"/>
    <mergeCell ref="B6:H6"/>
    <mergeCell ref="A41:H41"/>
    <mergeCell ref="B39:D39"/>
    <mergeCell ref="B5:H5"/>
    <mergeCell ref="B38:D38"/>
    <mergeCell ref="B34:D34"/>
  </mergeCells>
  <pageMargins left="0.3" right="0.3" top="0.4" bottom="0.4" header="0.2" footer="0.2"/>
  <pageSetup orientation="portrait" paperSize="1" fitToHeight="1" fitToWidth="1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53"/>
  <sheetViews>
    <sheetView showGridLines="0" zoomScale="85" zoomScaleNormal="100" workbookViewId="0">
      <selection activeCell="A1" sqref="A1"/>
    </sheetView>
  </sheetViews>
  <sheetFormatPr baseColWidth="8" defaultColWidth="8.6328125" defaultRowHeight="14.5"/>
  <cols>
    <col width="28.08984375" customWidth="1" min="1" max="1"/>
    <col width="20" customWidth="1" min="2" max="3"/>
    <col width="18" customWidth="1" min="4" max="5"/>
    <col width="20" customWidth="1" min="6" max="6"/>
    <col width="22" customWidth="1" min="7" max="7"/>
    <col width="26" customWidth="1" min="8" max="8"/>
  </cols>
  <sheetData>
    <row r="1" ht="17.5" customHeight="1">
      <c r="A1" s="6" t="inlineStr">
        <is>
          <t>Recognition Framework — Five-Step, Point-in-Time / Over-Time, Principal vs Agent</t>
        </is>
      </c>
    </row>
    <row r="2">
      <c r="A2" s="7" t="inlineStr">
        <is>
          <t>Client / Entity</t>
        </is>
      </c>
      <c r="B2" s="8" t="inlineStr">
        <is>
          <t>[Client / Entity]</t>
        </is>
      </c>
      <c r="D2" s="7" t="inlineStr">
        <is>
          <t>Year-End</t>
        </is>
      </c>
      <c r="E2" s="8" t="inlineStr">
        <is>
          <t>[YYYY-MM-DD]</t>
        </is>
      </c>
      <c r="G2" s="7" t="inlineStr">
        <is>
          <t>Currency</t>
        </is>
      </c>
      <c r="H2" s="8" t="inlineStr">
        <is>
          <t>[CCY]</t>
        </is>
      </c>
    </row>
    <row r="3">
      <c r="A3" s="7" t="inlineStr">
        <is>
          <t>Performance Materiality</t>
        </is>
      </c>
      <c r="B3" s="8" t="inlineStr">
        <is>
          <t>[PM]</t>
        </is>
      </c>
      <c r="D3" s="7" t="inlineStr">
        <is>
          <t>Testing Threshold (SUM)</t>
        </is>
      </c>
      <c r="E3" s="8" t="inlineStr">
        <is>
          <t>[Threshold]</t>
        </is>
      </c>
    </row>
    <row r="4" ht="42" customHeight="1">
      <c r="A4" s="29" t="inlineStr">
        <is>
          <t>Purpose:</t>
        </is>
      </c>
      <c r="B4" s="30" t="inlineStr">
        <is>
          <t>Conclude the ASC 606 five-step model per stream; evaluate control transfer for point-in-time streams, the over-time criteria and measure of progress for over-time streams, and principal-vs-agent for pass-through streams.</t>
        </is>
      </c>
      <c r="C4" s="44" t="n"/>
      <c r="D4" s="44" t="n"/>
      <c r="E4" s="44" t="n"/>
      <c r="F4" s="44" t="n"/>
      <c r="G4" s="44" t="n"/>
      <c r="H4" s="45" t="n"/>
    </row>
    <row r="5" ht="15" customHeight="1">
      <c r="A5" s="29" t="inlineStr">
        <is>
          <t>Scope:</t>
        </is>
      </c>
      <c r="B5" s="30" t="inlineStr">
        <is>
          <t>Each revenue stream per the &lt;.1&gt; lead; executed contracts and the entity's policy memo.</t>
        </is>
      </c>
      <c r="C5" s="44" t="n"/>
      <c r="D5" s="44" t="n"/>
      <c r="E5" s="44" t="n"/>
      <c r="F5" s="44" t="n"/>
      <c r="G5" s="44" t="n"/>
      <c r="H5" s="45" t="n"/>
    </row>
    <row r="6" ht="15" customHeight="1">
      <c r="A6" s="29" t="inlineStr">
        <is>
          <t>Assertions:</t>
        </is>
      </c>
      <c r="B6" s="30" t="inlineStr">
        <is>
          <t>Occurrence; Accuracy; Classification; Presentation &amp; Disclosure</t>
        </is>
      </c>
      <c r="C6" s="44" t="n"/>
      <c r="D6" s="44" t="n"/>
      <c r="E6" s="44" t="n"/>
      <c r="F6" s="44" t="n"/>
      <c r="G6" s="44" t="n"/>
      <c r="H6" s="45" t="n"/>
    </row>
    <row r="7" ht="15" customHeight="1">
      <c r="A7" s="34" t="n"/>
      <c r="B7" s="35" t="n"/>
      <c r="C7" s="35" t="n"/>
      <c r="D7" s="35" t="n"/>
      <c r="E7" s="35" t="n"/>
      <c r="F7" s="35" t="n"/>
      <c r="G7" s="35" t="n"/>
      <c r="H7" s="35" t="n"/>
    </row>
    <row r="8">
      <c r="A8" s="22" t="inlineStr">
        <is>
          <t>A. Five-step conclusion by stream</t>
        </is>
      </c>
    </row>
    <row r="9" ht="31.5" customHeight="1">
      <c r="A9" s="10" t="inlineStr">
        <is>
          <t>Stream</t>
        </is>
      </c>
      <c r="B9" s="10" t="inlineStr">
        <is>
          <t>Step 1: contract identified (basis)</t>
        </is>
      </c>
      <c r="C9" s="10" t="inlineStr">
        <is>
          <t>Step 2: performance obligation(s)</t>
        </is>
      </c>
      <c r="D9" s="10" t="inlineStr">
        <is>
          <t>Step 3: transaction price (fixed / variable)</t>
        </is>
      </c>
      <c r="E9" s="10" t="inlineStr">
        <is>
          <t>Step 4: allocation (single / multiple PO)</t>
        </is>
      </c>
      <c r="F9" s="10" t="inlineStr">
        <is>
          <t>Step 5: timing (PIT / Over-time)</t>
        </is>
      </c>
      <c r="G9" s="10" t="inlineStr">
        <is>
          <t>Control point / measure of progress</t>
        </is>
      </c>
      <c r="H9" s="10" t="inlineStr">
        <is>
          <t>Conclusion</t>
        </is>
      </c>
    </row>
    <row r="10">
      <c r="A10" s="33" t="n"/>
      <c r="B10" s="33" t="n"/>
      <c r="C10" s="33" t="n"/>
      <c r="D10" s="33" t="n"/>
      <c r="E10" s="33" t="n"/>
      <c r="F10" s="33" t="n"/>
      <c r="G10" s="33" t="n"/>
      <c r="H10" s="33" t="n"/>
    </row>
    <row r="11">
      <c r="A11" s="33" t="n"/>
      <c r="B11" s="33" t="n"/>
      <c r="C11" s="33" t="n"/>
      <c r="D11" s="33" t="n"/>
      <c r="E11" s="33" t="n"/>
      <c r="F11" s="33" t="n"/>
      <c r="G11" s="33" t="n"/>
      <c r="H11" s="33" t="n"/>
    </row>
    <row r="12">
      <c r="A12" s="33" t="n"/>
      <c r="B12" s="33" t="n"/>
      <c r="C12" s="33" t="n"/>
      <c r="D12" s="33" t="n"/>
      <c r="E12" s="33" t="n"/>
      <c r="F12" s="33" t="n"/>
      <c r="G12" s="33" t="n"/>
      <c r="H12" s="33" t="n"/>
    </row>
    <row r="13">
      <c r="A13" s="33" t="n"/>
      <c r="B13" s="33" t="n"/>
      <c r="C13" s="33" t="n"/>
      <c r="D13" s="33" t="n"/>
      <c r="E13" s="33" t="n"/>
      <c r="F13" s="33" t="n"/>
      <c r="G13" s="33" t="n"/>
      <c r="H13" s="33" t="n"/>
    </row>
    <row r="14">
      <c r="A14" s="33" t="n"/>
      <c r="B14" s="33" t="n"/>
      <c r="C14" s="33" t="n"/>
      <c r="D14" s="33" t="n"/>
      <c r="E14" s="33" t="n"/>
      <c r="F14" s="33" t="n"/>
      <c r="G14" s="33" t="n"/>
      <c r="H14" s="33" t="n"/>
    </row>
    <row r="15">
      <c r="A15" s="33" t="n"/>
      <c r="B15" s="33" t="n"/>
      <c r="C15" s="33" t="n"/>
      <c r="D15" s="33" t="n"/>
      <c r="E15" s="33" t="n"/>
      <c r="F15" s="33" t="n"/>
      <c r="G15" s="33" t="n"/>
      <c r="H15" s="33" t="n"/>
    </row>
    <row r="16"/>
    <row r="17">
      <c r="A17" s="22" t="inlineStr">
        <is>
          <t>B. Point-in-time — control-transfer indicators (ASC 606-10-25-30)</t>
        </is>
      </c>
    </row>
    <row r="18" ht="24" customHeight="1">
      <c r="A18" s="10" t="inlineStr">
        <is>
          <t>Indicator</t>
        </is>
      </c>
      <c r="B18" s="10" t="inlineStr">
        <is>
          <t>Stream 1 (Y/N)</t>
        </is>
      </c>
      <c r="C18" s="10" t="inlineStr">
        <is>
          <t>Stream 2 (Y/N)</t>
        </is>
      </c>
      <c r="D18" s="10" t="inlineStr">
        <is>
          <t>Stream 3 (Y/N)</t>
        </is>
      </c>
      <c r="E18" s="10" t="inlineStr">
        <is>
          <t>Basis / evidence</t>
        </is>
      </c>
      <c r="F18" s="10" t="inlineStr">
        <is>
          <t>Comments</t>
        </is>
      </c>
    </row>
    <row r="19" ht="26" customHeight="1">
      <c r="A19" s="24" t="inlineStr">
        <is>
          <t>Entity has a present right to payment</t>
        </is>
      </c>
      <c r="B19" s="33" t="n"/>
      <c r="C19" s="33" t="n"/>
      <c r="D19" s="33" t="n"/>
      <c r="E19" s="33" t="n"/>
      <c r="F19" s="33" t="n"/>
    </row>
    <row r="20" ht="21.75" customHeight="1">
      <c r="A20" s="24" t="inlineStr">
        <is>
          <t>Customer has legal title</t>
        </is>
      </c>
      <c r="B20" s="33" t="n"/>
      <c r="C20" s="33" t="n"/>
      <c r="D20" s="33" t="n"/>
      <c r="E20" s="33" t="n"/>
      <c r="F20" s="33" t="n"/>
    </row>
    <row r="21" ht="21.75" customHeight="1">
      <c r="A21" s="24" t="inlineStr">
        <is>
          <t>Customer has physical possession</t>
        </is>
      </c>
      <c r="B21" s="33" t="n"/>
      <c r="C21" s="33" t="n"/>
      <c r="D21" s="33" t="n"/>
      <c r="E21" s="33" t="n"/>
      <c r="F21" s="33" t="n"/>
    </row>
    <row r="22" ht="21.75" customHeight="1">
      <c r="A22" s="24" t="inlineStr">
        <is>
          <t>Customer has significant risks &amp; rewards of ownership</t>
        </is>
      </c>
      <c r="B22" s="33" t="n"/>
      <c r="C22" s="33" t="n"/>
      <c r="D22" s="33" t="n"/>
      <c r="E22" s="33" t="n"/>
      <c r="F22" s="33" t="n"/>
    </row>
    <row r="23" ht="21.75" customHeight="1">
      <c r="A23" s="24" t="inlineStr">
        <is>
          <t>Customer has accepted the asset</t>
        </is>
      </c>
      <c r="B23" s="33" t="n"/>
      <c r="C23" s="33" t="n"/>
      <c r="D23" s="33" t="n"/>
      <c r="E23" s="33" t="n"/>
      <c r="F23" s="33" t="n"/>
    </row>
    <row r="24">
      <c r="A24" s="23" t="inlineStr">
        <is>
          <t>Conclusion — control transfers at (point):</t>
        </is>
      </c>
      <c r="B24" s="23" t="n"/>
      <c r="C24" s="23" t="n"/>
      <c r="D24" s="23" t="n"/>
      <c r="E24" s="23" t="n"/>
      <c r="F24" s="23" t="n"/>
    </row>
    <row r="25"/>
    <row r="26">
      <c r="A26" s="22" t="inlineStr">
        <is>
          <t>C. Over-time criteria (ASC 606-10-25-27) — e.g., custom job orders</t>
        </is>
      </c>
    </row>
    <row r="27" ht="30" customHeight="1">
      <c r="A27" s="10" t="inlineStr">
        <is>
          <t>Criterion (ANY one met → over-time)</t>
        </is>
      </c>
      <c r="B27" s="10" t="inlineStr">
        <is>
          <t>Met? (Y/N)</t>
        </is>
      </c>
      <c r="C27" s="10" t="inlineStr">
        <is>
          <t>Basis / evidence</t>
        </is>
      </c>
      <c r="D27" s="10" t="inlineStr">
        <is>
          <t>Measure of progress (input / output)</t>
        </is>
      </c>
      <c r="E27" s="10" t="inlineStr">
        <is>
          <t>Basis for measure</t>
        </is>
      </c>
      <c r="F27" s="10" t="inlineStr">
        <is>
          <t>Comments</t>
        </is>
      </c>
    </row>
    <row r="28" ht="36.5" customHeight="1">
      <c r="A28" s="24" t="inlineStr">
        <is>
          <t>(a) Customer simultaneously receives and consumes the benefits as the entity performs</t>
        </is>
      </c>
      <c r="B28" s="33" t="n"/>
      <c r="C28" s="33" t="n"/>
      <c r="D28" s="33" t="n"/>
      <c r="E28" s="33" t="n"/>
      <c r="F28" s="33" t="n"/>
    </row>
    <row r="29" ht="37" customHeight="1">
      <c r="A29" s="24" t="inlineStr">
        <is>
          <t>(b) Performance creates or enhances an asset the customer controls as it is created</t>
        </is>
      </c>
      <c r="B29" s="33" t="n"/>
      <c r="C29" s="33" t="n"/>
      <c r="D29" s="33" t="n"/>
      <c r="E29" s="33" t="n"/>
      <c r="F29" s="33" t="n"/>
    </row>
    <row r="30" ht="37.5" customHeight="1">
      <c r="A30" s="24" t="inlineStr">
        <is>
          <t>(c) No alternative use to the entity AND enforceable right to payment for performance completed to date</t>
        </is>
      </c>
      <c r="B30" s="33" t="n"/>
      <c r="C30" s="33" t="n"/>
      <c r="D30" s="33" t="n"/>
      <c r="E30" s="33" t="n"/>
      <c r="F30" s="33" t="n"/>
    </row>
    <row r="31">
      <c r="A31" s="23" t="inlineStr">
        <is>
          <t>Conclusion — over-time recognition appropriate? (Y/N) &amp; method:</t>
        </is>
      </c>
      <c r="B31" s="23" t="n"/>
      <c r="C31" s="23" t="n"/>
      <c r="D31" s="23" t="n"/>
      <c r="E31" s="23" t="n"/>
      <c r="F31" s="23" t="n"/>
    </row>
    <row r="32"/>
    <row r="33">
      <c r="A33" s="22" t="inlineStr">
        <is>
          <t>D. Principal vs agent (ASC 606-10-55-36 to 55-40) — pass-through / wholesale streams</t>
        </is>
      </c>
    </row>
    <row r="34" ht="36" customHeight="1">
      <c r="A34" s="10" t="inlineStr">
        <is>
          <t>Stream / arrangement</t>
        </is>
      </c>
      <c r="B34" s="10" t="inlineStr">
        <is>
          <t>Controls good / service before transfer? (Y/N)</t>
        </is>
      </c>
      <c r="C34" s="10" t="inlineStr">
        <is>
          <t>Inventory risk? (Y/N)</t>
        </is>
      </c>
      <c r="D34" s="10" t="inlineStr">
        <is>
          <t>Pricing discretion? (Y/N)</t>
        </is>
      </c>
      <c r="E34" s="10" t="inlineStr">
        <is>
          <t>Primary responsibility to fulfil? (Y/N)</t>
        </is>
      </c>
      <c r="F34" s="10" t="inlineStr">
        <is>
          <t>Conclusion (Principal - gross / Agent - net)</t>
        </is>
      </c>
      <c r="G34" s="10" t="inlineStr">
        <is>
          <t>Recorded presentation correct? (Y/N)</t>
        </is>
      </c>
      <c r="H34" s="10" t="inlineStr">
        <is>
          <t>Comments</t>
        </is>
      </c>
    </row>
    <row r="35">
      <c r="A35" s="33" t="n"/>
      <c r="B35" s="33" t="n"/>
      <c r="C35" s="33" t="n"/>
      <c r="D35" s="33" t="n"/>
      <c r="E35" s="33" t="n"/>
      <c r="F35" s="33" t="n"/>
      <c r="G35" s="33" t="n"/>
      <c r="H35" s="33" t="n"/>
    </row>
    <row r="36">
      <c r="A36" s="33" t="n"/>
      <c r="B36" s="33" t="n"/>
      <c r="C36" s="33" t="n"/>
      <c r="D36" s="33" t="n"/>
      <c r="E36" s="33" t="n"/>
      <c r="F36" s="33" t="n"/>
      <c r="G36" s="33" t="n"/>
      <c r="H36" s="33" t="n"/>
    </row>
    <row r="37">
      <c r="A37" s="33" t="n"/>
      <c r="B37" s="33" t="n"/>
      <c r="C37" s="33" t="n"/>
      <c r="D37" s="33" t="n"/>
      <c r="E37" s="33" t="n"/>
      <c r="F37" s="33" t="n"/>
      <c r="G37" s="33" t="n"/>
      <c r="H37" s="33" t="n"/>
    </row>
    <row r="38">
      <c r="A38" s="33" t="n"/>
      <c r="B38" s="33" t="n"/>
      <c r="C38" s="33" t="n"/>
      <c r="D38" s="33" t="n"/>
      <c r="E38" s="33" t="n"/>
      <c r="F38" s="33" t="n"/>
      <c r="G38" s="33" t="n"/>
      <c r="H38" s="33" t="n"/>
    </row>
    <row r="39"/>
    <row r="40" ht="27.75" customHeight="1">
      <c r="A40" s="32" t="inlineStr">
        <is>
          <t>Point-in-time streams: control indicators support the recognition point (typically shipping terms). Over-time streams: any 25-27 criterion met requires over-time recognition with a faithful measure of progress — for custom job orders test criterion (c) including the enforceable right to payment. Principal concludes GROSS; agent concludes NET (fee / commission only).</t>
        </is>
      </c>
    </row>
    <row r="41"/>
    <row r="42">
      <c r="A42" s="34" t="inlineStr">
        <is>
          <t>TM Legends</t>
        </is>
      </c>
    </row>
    <row r="43">
      <c r="A43" s="12" t="inlineStr">
        <is>
          <t>TB</t>
        </is>
      </c>
      <c r="B43" s="33" t="inlineStr">
        <is>
          <t>Agreed to trial balance</t>
        </is>
      </c>
      <c r="C43" s="42" t="n"/>
      <c r="D43" s="43" t="n"/>
    </row>
    <row r="44">
      <c r="A44" s="12" t="inlineStr">
        <is>
          <t>GL</t>
        </is>
      </c>
      <c r="B44" s="33" t="inlineStr">
        <is>
          <t>Agreed to general ledger</t>
        </is>
      </c>
      <c r="C44" s="42" t="n"/>
      <c r="D44" s="43" t="n"/>
    </row>
    <row r="45">
      <c r="A45" s="12" t="inlineStr">
        <is>
          <t>CF</t>
        </is>
      </c>
      <c r="B45" s="33" t="inlineStr">
        <is>
          <t>Confirmed with third party</t>
        </is>
      </c>
      <c r="C45" s="42" t="n"/>
      <c r="D45" s="43" t="n"/>
    </row>
    <row r="46">
      <c r="A46" s="12" t="inlineStr">
        <is>
          <t>V</t>
        </is>
      </c>
      <c r="B46" s="33" t="inlineStr">
        <is>
          <t>Vouched to source document</t>
        </is>
      </c>
      <c r="C46" s="42" t="n"/>
      <c r="D46" s="43" t="n"/>
    </row>
    <row r="47">
      <c r="A47" s="12" t="inlineStr">
        <is>
          <t>SR</t>
        </is>
      </c>
      <c r="B47" s="33" t="inlineStr">
        <is>
          <t>Agreed to subsequent bank-cleared receipt</t>
        </is>
      </c>
      <c r="C47" s="42" t="n"/>
      <c r="D47" s="43" t="n"/>
    </row>
    <row r="48">
      <c r="A48" s="12" t="inlineStr">
        <is>
          <t>R</t>
        </is>
      </c>
      <c r="B48" s="33" t="inlineStr">
        <is>
          <t>Recalculated independently</t>
        </is>
      </c>
      <c r="C48" s="42" t="n"/>
      <c r="D48" s="43" t="n"/>
    </row>
    <row r="49">
      <c r="A49" s="12" t="inlineStr">
        <is>
          <t>F</t>
        </is>
      </c>
      <c r="B49" s="33" t="inlineStr">
        <is>
          <t>Footed / cross-cast</t>
        </is>
      </c>
      <c r="C49" s="42" t="n"/>
      <c r="D49" s="43" t="n"/>
    </row>
    <row r="50">
      <c r="A50" s="12" t="inlineStr">
        <is>
          <t>T</t>
        </is>
      </c>
      <c r="B50" s="33" t="inlineStr">
        <is>
          <t>Traced to downstream record</t>
        </is>
      </c>
      <c r="C50" s="42" t="n"/>
      <c r="D50" s="43" t="n"/>
    </row>
    <row r="51">
      <c r="A51" s="12" t="inlineStr">
        <is>
          <t>PBC</t>
        </is>
      </c>
      <c r="B51" s="33" t="inlineStr">
        <is>
          <t>Prepared by client</t>
        </is>
      </c>
      <c r="C51" s="42" t="n"/>
      <c r="D51" s="43" t="n"/>
    </row>
    <row r="52"/>
    <row r="53" ht="27.75" customHeight="1">
      <c r="A53" s="31" t="inlineStr">
        <is>
          <t>Before sign-off complete Library Procedures 15-18 (five-step; point-in-time; over-time; principal vs agent).</t>
        </is>
      </c>
    </row>
  </sheetData>
  <mergeCells count="14">
    <mergeCell ref="A53:H53"/>
    <mergeCell ref="B45:D45"/>
    <mergeCell ref="B46:D46"/>
    <mergeCell ref="B4:H4"/>
    <mergeCell ref="B49:D49"/>
    <mergeCell ref="B50:D50"/>
    <mergeCell ref="B6:H6"/>
    <mergeCell ref="B44:D44"/>
    <mergeCell ref="B43:D43"/>
    <mergeCell ref="B5:H5"/>
    <mergeCell ref="B51:D51"/>
    <mergeCell ref="B47:D47"/>
    <mergeCell ref="B48:D48"/>
    <mergeCell ref="A40:H40"/>
  </mergeCells>
  <pageMargins left="0.3" right="0.3" top="0.4" bottom="0.4" header="0.2" footer="0.2"/>
  <pageSetup orientation="portrait" paperSize="1" fitToHeight="1" fitToWidth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7"/>
  <sheetViews>
    <sheetView showGridLines="0" zoomScale="85" zoomScaleNormal="100" workbookViewId="0">
      <selection activeCell="A21" sqref="A21"/>
    </sheetView>
  </sheetViews>
  <sheetFormatPr baseColWidth="8" defaultColWidth="8.6328125" defaultRowHeight="14.5"/>
  <cols>
    <col width="38" customWidth="1" min="1" max="1"/>
    <col width="16" customWidth="1" min="2" max="3"/>
    <col width="14" customWidth="1" min="4" max="4"/>
    <col width="34" customWidth="1" min="5" max="5"/>
  </cols>
  <sheetData>
    <row r="1" ht="17.5" customHeight="1">
      <c r="A1" s="6" t="inlineStr">
        <is>
          <t>Analytics &amp; Disclosures</t>
        </is>
      </c>
    </row>
    <row r="2">
      <c r="A2" s="7" t="inlineStr">
        <is>
          <t>Client / Entity</t>
        </is>
      </c>
      <c r="B2" s="8" t="inlineStr">
        <is>
          <t>[Client / Entity]</t>
        </is>
      </c>
      <c r="D2" s="7" t="inlineStr">
        <is>
          <t>Year-End</t>
        </is>
      </c>
      <c r="E2" s="8" t="inlineStr">
        <is>
          <t>[YYYY-MM-DD]</t>
        </is>
      </c>
      <c r="G2" s="7" t="inlineStr">
        <is>
          <t>Currency</t>
        </is>
      </c>
      <c r="H2" s="8" t="inlineStr">
        <is>
          <t>[CCY]</t>
        </is>
      </c>
    </row>
    <row r="3">
      <c r="A3" s="7" t="inlineStr">
        <is>
          <t>Performance Materiality</t>
        </is>
      </c>
      <c r="B3" s="8" t="inlineStr">
        <is>
          <t>[PM]</t>
        </is>
      </c>
      <c r="D3" s="7" t="inlineStr">
        <is>
          <t>Testing Threshold (SUM)</t>
        </is>
      </c>
      <c r="E3" s="8" t="inlineStr">
        <is>
          <t>[Threshold]</t>
        </is>
      </c>
    </row>
    <row r="4" ht="15" customHeight="1">
      <c r="A4" s="29" t="inlineStr">
        <is>
          <t>Purpose:</t>
        </is>
      </c>
      <c r="B4" s="30" t="inlineStr">
        <is>
          <t>Perform revenue analytics by stream and evaluate ASC 606 presentation and disclosure matters.</t>
        </is>
      </c>
      <c r="C4" s="44" t="n"/>
      <c r="D4" s="44" t="n"/>
      <c r="E4" s="45" t="n"/>
    </row>
    <row r="5" ht="27.75" customHeight="1">
      <c r="A5" s="29" t="inlineStr">
        <is>
          <t>Scope:</t>
        </is>
      </c>
      <c r="B5" s="30" t="inlineStr">
        <is>
          <t>Lead-sheet balances, margins by stream, monthly trend data; disaggregation, contract-balance and judgment disclosures.</t>
        </is>
      </c>
      <c r="C5" s="44" t="n"/>
      <c r="D5" s="44" t="n"/>
      <c r="E5" s="45" t="n"/>
    </row>
    <row r="6" ht="15" customHeight="1">
      <c r="A6" s="29" t="inlineStr">
        <is>
          <t>Assertions:</t>
        </is>
      </c>
      <c r="B6" s="30" t="inlineStr">
        <is>
          <t>Completeness; Accuracy; Presentation &amp; Disclosure</t>
        </is>
      </c>
      <c r="C6" s="44" t="n"/>
      <c r="D6" s="44" t="n"/>
      <c r="E6" s="45" t="n"/>
    </row>
    <row r="7">
      <c r="A7" s="22" t="inlineStr">
        <is>
          <t>A. Analytics</t>
        </is>
      </c>
    </row>
    <row r="8" ht="18" customHeight="1">
      <c r="A8" s="10" t="inlineStr">
        <is>
          <t>Metric</t>
        </is>
      </c>
      <c r="B8" s="10" t="inlineStr">
        <is>
          <t>CY</t>
        </is>
      </c>
      <c r="C8" s="10" t="inlineStr">
        <is>
          <t>PY</t>
        </is>
      </c>
      <c r="D8" s="10" t="inlineStr">
        <is>
          <t>Change</t>
        </is>
      </c>
      <c r="E8" s="10" t="inlineStr">
        <is>
          <t>Note</t>
        </is>
      </c>
    </row>
    <row r="9">
      <c r="A9" s="33" t="inlineStr">
        <is>
          <t>Net revenue</t>
        </is>
      </c>
      <c r="B9" s="33" t="n"/>
      <c r="C9" s="33" t="n"/>
      <c r="D9" s="33">
        <f>IF(OR(B9="",C9=""),"",B9-C9)</f>
        <v/>
      </c>
      <c r="E9" s="33" t="n"/>
    </row>
    <row r="10">
      <c r="A10" s="33" t="inlineStr">
        <is>
          <t>Gross margin %</t>
        </is>
      </c>
      <c r="B10" s="33" t="n"/>
      <c r="C10" s="33" t="n"/>
      <c r="D10" s="33">
        <f>IF(OR(B10="",C10=""),"",B10-C10)</f>
        <v/>
      </c>
      <c r="E10" s="33" t="n"/>
    </row>
    <row r="11">
      <c r="A11" s="33" t="inlineStr">
        <is>
          <t>Revenue per month (average) — spike review</t>
        </is>
      </c>
      <c r="B11" s="33" t="n"/>
      <c r="C11" s="33" t="n"/>
      <c r="D11" s="33">
        <f>IF(OR(B11="",C11=""),"",B11-C11)</f>
        <v/>
      </c>
      <c r="E11" s="33" t="n"/>
    </row>
    <row r="12">
      <c r="A12" s="33" t="inlineStr">
        <is>
          <t>Contra-revenue as % of gross</t>
        </is>
      </c>
      <c r="B12" s="33" t="n"/>
      <c r="C12" s="33" t="n"/>
      <c r="D12" s="33">
        <f>IF(OR(B12="",C12=""),"",B12-C12)</f>
        <v/>
      </c>
      <c r="E12" s="33" t="n"/>
    </row>
    <row r="13">
      <c r="A13" s="33" t="inlineStr">
        <is>
          <t>Top-5 customer concentration %</t>
        </is>
      </c>
      <c r="B13" s="33" t="n"/>
      <c r="C13" s="33" t="n"/>
      <c r="D13" s="33">
        <f>IF(OR(B13="",C13=""),"",B13-C13)</f>
        <v/>
      </c>
      <c r="E13" s="33" t="n"/>
    </row>
    <row r="14">
      <c r="A14" s="33" t="inlineStr">
        <is>
          <t>DSO (cross-reference AR)</t>
        </is>
      </c>
      <c r="B14" s="33" t="n"/>
      <c r="C14" s="33" t="n"/>
      <c r="D14" s="33">
        <f>IF(OR(B14="",C14=""),"",B14-C14)</f>
        <v/>
      </c>
      <c r="E14" s="33" t="n"/>
    </row>
    <row r="15"/>
    <row r="16">
      <c r="A16" s="22" t="inlineStr">
        <is>
          <t>B. Presentation &amp; disclosure matters</t>
        </is>
      </c>
    </row>
    <row r="17" ht="18" customHeight="1">
      <c r="A17" s="10" t="inlineStr">
        <is>
          <t>Area</t>
        </is>
      </c>
      <c r="B17" s="10" t="inlineStr">
        <is>
          <t>Relevant? (Y/N)</t>
        </is>
      </c>
      <c r="C17" s="10" t="inlineStr">
        <is>
          <t>Support / source</t>
        </is>
      </c>
      <c r="D17" s="10" t="inlineStr">
        <is>
          <t>Conclusion</t>
        </is>
      </c>
      <c r="E17" s="10" t="inlineStr">
        <is>
          <t>Comments</t>
        </is>
      </c>
    </row>
    <row r="18">
      <c r="A18" s="33" t="inlineStr">
        <is>
          <t>Disaggregation of revenue (ASC 606-10-50-5)</t>
        </is>
      </c>
      <c r="B18" s="33" t="n"/>
      <c r="C18" s="33" t="n"/>
      <c r="D18" s="33" t="n"/>
      <c r="E18" s="33" t="n"/>
    </row>
    <row r="19" ht="24" customHeight="1">
      <c r="A19" s="36" t="inlineStr">
        <is>
          <t>Contract balances — opening / closing &amp; revenue from opening liability (50-8)</t>
        </is>
      </c>
      <c r="B19" s="33" t="n"/>
      <c r="C19" s="33" t="n"/>
      <c r="D19" s="33" t="n"/>
      <c r="E19" s="33" t="n"/>
    </row>
    <row r="20">
      <c r="A20" s="33" t="inlineStr">
        <is>
          <t>Remaining performance obligations (50-13)</t>
        </is>
      </c>
      <c r="B20" s="33" t="n"/>
      <c r="C20" s="33" t="n"/>
      <c r="D20" s="33" t="n"/>
      <c r="E20" s="33" t="n"/>
    </row>
    <row r="21" ht="24" customHeight="1">
      <c r="A21" s="36" t="inlineStr">
        <is>
          <t>Significant judgments — timing &amp; transaction price (50-17)</t>
        </is>
      </c>
      <c r="B21" s="33" t="n"/>
      <c r="C21" s="33" t="n"/>
      <c r="D21" s="33" t="n"/>
      <c r="E21" s="33" t="n"/>
    </row>
    <row r="22">
      <c r="A22" s="33" t="inlineStr">
        <is>
          <t>Revenue-recognition policy disclosure</t>
        </is>
      </c>
      <c r="B22" s="33" t="n"/>
      <c r="C22" s="33" t="n"/>
      <c r="D22" s="33" t="n"/>
      <c r="E22" s="33" t="n"/>
    </row>
    <row r="23">
      <c r="A23" s="33" t="inlineStr">
        <is>
          <t>Principal vs agent presentation (gross / net)</t>
        </is>
      </c>
      <c r="B23" s="33" t="n"/>
      <c r="C23" s="33" t="n"/>
      <c r="D23" s="33" t="n"/>
      <c r="E23" s="33" t="n"/>
    </row>
    <row r="24">
      <c r="A24" s="33" t="inlineStr">
        <is>
          <t>Customer concentration / related-party revenue</t>
        </is>
      </c>
      <c r="B24" s="33" t="n"/>
      <c r="C24" s="33" t="n"/>
      <c r="D24" s="33" t="n"/>
      <c r="E24" s="33" t="n"/>
    </row>
    <row r="25"/>
    <row r="26">
      <c r="A26" s="34" t="inlineStr">
        <is>
          <t>TM Legends</t>
        </is>
      </c>
    </row>
    <row r="27">
      <c r="A27" s="12" t="inlineStr">
        <is>
          <t>TB</t>
        </is>
      </c>
      <c r="B27" s="33" t="inlineStr">
        <is>
          <t>Agreed to trial balance</t>
        </is>
      </c>
      <c r="C27" s="42" t="n"/>
      <c r="D27" s="43" t="n"/>
    </row>
    <row r="28">
      <c r="A28" s="12" t="inlineStr">
        <is>
          <t>GL</t>
        </is>
      </c>
      <c r="B28" s="33" t="inlineStr">
        <is>
          <t>Agreed to general ledger</t>
        </is>
      </c>
      <c r="C28" s="42" t="n"/>
      <c r="D28" s="43" t="n"/>
    </row>
    <row r="29">
      <c r="A29" s="12" t="inlineStr">
        <is>
          <t>CF</t>
        </is>
      </c>
      <c r="B29" s="33" t="inlineStr">
        <is>
          <t>Confirmed with third party</t>
        </is>
      </c>
      <c r="C29" s="42" t="n"/>
      <c r="D29" s="43" t="n"/>
    </row>
    <row r="30">
      <c r="A30" s="12" t="inlineStr">
        <is>
          <t>V</t>
        </is>
      </c>
      <c r="B30" s="33" t="inlineStr">
        <is>
          <t>Vouched to source document</t>
        </is>
      </c>
      <c r="C30" s="42" t="n"/>
      <c r="D30" s="43" t="n"/>
    </row>
    <row r="31">
      <c r="A31" s="12" t="inlineStr">
        <is>
          <t>SR</t>
        </is>
      </c>
      <c r="B31" s="33" t="inlineStr">
        <is>
          <t>Agreed to subsequent bank-cleared receipt</t>
        </is>
      </c>
      <c r="C31" s="42" t="n"/>
      <c r="D31" s="43" t="n"/>
    </row>
    <row r="32">
      <c r="A32" s="12" t="inlineStr">
        <is>
          <t>R</t>
        </is>
      </c>
      <c r="B32" s="33" t="inlineStr">
        <is>
          <t>Recalculated independently</t>
        </is>
      </c>
      <c r="C32" s="42" t="n"/>
      <c r="D32" s="43" t="n"/>
    </row>
    <row r="33">
      <c r="A33" s="12" t="inlineStr">
        <is>
          <t>F</t>
        </is>
      </c>
      <c r="B33" s="33" t="inlineStr">
        <is>
          <t>Footed / cross-cast</t>
        </is>
      </c>
      <c r="C33" s="42" t="n"/>
      <c r="D33" s="43" t="n"/>
    </row>
    <row r="34">
      <c r="A34" s="12" t="inlineStr">
        <is>
          <t>T</t>
        </is>
      </c>
      <c r="B34" s="33" t="inlineStr">
        <is>
          <t>Traced to downstream record</t>
        </is>
      </c>
      <c r="C34" s="42" t="n"/>
      <c r="D34" s="43" t="n"/>
    </row>
    <row r="35">
      <c r="A35" s="12" t="inlineStr">
        <is>
          <t>PBC</t>
        </is>
      </c>
      <c r="B35" s="33" t="inlineStr">
        <is>
          <t>Prepared by client</t>
        </is>
      </c>
      <c r="C35" s="42" t="n"/>
      <c r="D35" s="43" t="n"/>
    </row>
    <row r="36"/>
    <row r="37" ht="27.75" customHeight="1">
      <c r="A37" s="31" t="inlineStr">
        <is>
          <t>Before sign-off complete Library Procedures 19-20 (analytics; presentation &amp; disclosures).</t>
        </is>
      </c>
    </row>
  </sheetData>
  <mergeCells count="13">
    <mergeCell ref="B33:D33"/>
    <mergeCell ref="B28:D28"/>
    <mergeCell ref="B4:E4"/>
    <mergeCell ref="B31:D31"/>
    <mergeCell ref="B35:D35"/>
    <mergeCell ref="B32:D32"/>
    <mergeCell ref="B6:E6"/>
    <mergeCell ref="B27:D27"/>
    <mergeCell ref="A37:E37"/>
    <mergeCell ref="B30:D30"/>
    <mergeCell ref="B5:E5"/>
    <mergeCell ref="B29:D29"/>
    <mergeCell ref="B34:D34"/>
  </mergeCells>
  <pageMargins left="0.3" right="0.3" top="0.4" bottom="0.4" header="0.2" footer="0.2"/>
  <pageSetup orientation="portrait" paperSize="1" fitToHeight="1" fitToWidth="1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2026-07-03T09:49:16Z</dcterms:created>
  <dcterms:modified xmlns:dcterms="http://purl.org/dc/terms/" xmlns:xsi="http://www.w3.org/2001/XMLSchema-instance" xsi:type="dcterms:W3CDTF">2026-07-03T10:32:06Z</dcterms:modified>
  <cp:revision>0</cp:revision>
</cp:coreProperties>
</file>