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</sheets>
  <definedNames>
    <definedName name="_xlnm.Print_Area" localSheetId="0">'Library Procedures'!$A$1:$F$46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zoomScale="85" zoomScaleNormal="100" workbookViewId="0">
      <selection activeCell="B12" sqref="B12"/>
    </sheetView>
  </sheetViews>
  <sheetFormatPr baseColWidth="8" defaultColWidth="8.6328125" defaultRowHeight="14.5"/>
  <cols>
    <col width="6.453125" customWidth="1" min="1" max="1"/>
    <col width="94" customWidth="1" min="2" max="2"/>
    <col width="30" customWidth="1" min="3" max="3"/>
    <col width="12" customWidth="1" min="4" max="4"/>
    <col width="15" customWidth="1" min="5" max="5"/>
    <col width="12" customWidth="1" min="6" max="6"/>
  </cols>
  <sheetData>
    <row r="1" ht="17.25" customHeight="1">
      <c r="A1" s="7" t="inlineStr">
        <is>
          <t>Cash — Library of Audit Procedures</t>
        </is>
      </c>
      <c r="B1" s="6" t="n"/>
      <c r="C1" s="6" t="n"/>
      <c r="D1" s="6" t="n"/>
      <c r="E1" s="6" t="n"/>
      <c r="F1" s="6" t="n"/>
    </row>
    <row r="2" ht="15" customHeight="1">
      <c r="A2" s="9" t="inlineStr">
        <is>
          <t>Client / Entity: Whitmore Products Company</t>
        </is>
      </c>
      <c r="B2" s="6" t="n"/>
      <c r="C2" s="6" t="n"/>
      <c r="D2" s="6" t="n"/>
      <c r="E2" s="6" t="n"/>
      <c r="F2" s="6" t="n"/>
    </row>
    <row r="3" ht="15" customHeight="1">
      <c r="A3" s="9" t="inlineStr">
        <is>
          <t>Prepared by: Audit Senior 8606 (assigned)      Reviewed by: Audit Manager A1DC (assigned)</t>
        </is>
      </c>
      <c r="B3" s="6" t="n"/>
      <c r="C3" s="6" t="n"/>
      <c r="D3" s="6" t="n"/>
      <c r="E3" s="6" t="n"/>
      <c r="F3" s="6" t="n"/>
    </row>
    <row r="4" ht="25.5" customHeight="1">
      <c r="A4" s="3" t="inlineStr">
        <is>
          <t>Tick each procedure when complete; enter the W/P reference, performed-by initials and date. Work through ALL applicable procedures before concluding on cash.</t>
        </is>
      </c>
    </row>
    <row r="5">
      <c r="A5" s="6" t="n"/>
      <c r="B5" s="6" t="n"/>
      <c r="C5" s="6" t="n"/>
      <c r="D5" s="6" t="n"/>
      <c r="E5" s="6" t="n"/>
      <c r="F5" s="6" t="n"/>
    </row>
    <row r="6" ht="19.5" customHeight="1">
      <c r="A6" s="21" t="inlineStr">
        <is>
          <t>Done</t>
        </is>
      </c>
      <c r="B6" s="22" t="inlineStr">
        <is>
          <t>Procedure</t>
        </is>
      </c>
      <c r="C6" s="22" t="inlineStr">
        <is>
          <t>Assertion(s)</t>
        </is>
      </c>
      <c r="D6" s="21" t="inlineStr">
        <is>
          <t>W/P Ref</t>
        </is>
      </c>
      <c r="E6" s="21" t="inlineStr">
        <is>
          <t>Performed by</t>
        </is>
      </c>
      <c r="F6" s="21" t="inlineStr">
        <is>
          <t>Date</t>
        </is>
      </c>
    </row>
    <row r="7" ht="15" customHeight="1">
      <c r="A7" s="1" t="inlineStr">
        <is>
          <t>&lt;.1&gt; Cash Lead Sheet</t>
        </is>
      </c>
      <c r="B7" s="30" t="n"/>
      <c r="C7" s="30" t="n"/>
      <c r="D7" s="30" t="n"/>
      <c r="E7" s="30" t="n"/>
      <c r="F7" s="31" t="n"/>
    </row>
    <row r="8" ht="15" customHeight="1">
      <c r="A8" s="13" t="n"/>
      <c r="B8" s="23" t="inlineStr">
        <is>
          <t>1. Obtain the cash lead sheet and agree the total to the trial balance and general ledger.</t>
        </is>
      </c>
      <c r="C8" s="23" t="inlineStr">
        <is>
          <t>Completeness; Classification</t>
        </is>
      </c>
      <c r="D8" s="24" t="inlineStr">
        <is>
          <t>&lt;.1&gt;</t>
        </is>
      </c>
      <c r="E8" s="13" t="n"/>
      <c r="F8" s="13" t="n"/>
    </row>
    <row r="9" ht="15" customHeight="1">
      <c r="A9" s="13" t="n"/>
      <c r="B9" s="23" t="inlineStr">
        <is>
          <t>2. Foot the lead sheet and agree current-year and prior-year balances by account.</t>
        </is>
      </c>
      <c r="C9" s="23" t="inlineStr">
        <is>
          <t>Completeness; Accuracy</t>
        </is>
      </c>
      <c r="D9" s="24" t="inlineStr">
        <is>
          <t>&lt;.1&gt;</t>
        </is>
      </c>
      <c r="E9" s="13" t="n"/>
      <c r="F9" s="13" t="n"/>
    </row>
    <row r="10" ht="25.5" customHeight="1">
      <c r="A10" s="13" t="n"/>
      <c r="B10" s="23" t="inlineStr">
        <is>
          <t>3. Verify the cash population is complete — include operating, payroll, reserve/designated, zero-balance, merchant/lockbox and any restricted accounts.</t>
        </is>
      </c>
      <c r="C10" s="23" t="inlineStr">
        <is>
          <t>Completeness</t>
        </is>
      </c>
      <c r="D10" s="24" t="inlineStr">
        <is>
          <t>&lt;.1&gt;</t>
        </is>
      </c>
      <c r="E10" s="13" t="n"/>
      <c r="F10" s="13" t="n"/>
    </row>
    <row r="11" ht="15" customHeight="1">
      <c r="A11" s="13" t="n"/>
      <c r="B11" s="23" t="inlineStr">
        <is>
          <t>4. Compute the current-vs-prior-year movement and % change and investigate unusual changes.</t>
        </is>
      </c>
      <c r="C11" s="23" t="inlineStr">
        <is>
          <t>Completeness; Accuracy</t>
        </is>
      </c>
      <c r="D11" s="24" t="inlineStr">
        <is>
          <t>&lt;.1&gt;</t>
        </is>
      </c>
      <c r="E11" s="13" t="n"/>
      <c r="F11" s="13" t="n"/>
    </row>
    <row r="12" ht="15" customHeight="1">
      <c r="A12" s="13" t="n"/>
      <c r="B12" s="23" t="inlineStr">
        <is>
          <t>5. Compute the uninsured (above-FDIC) deposit exposure by institution.</t>
        </is>
      </c>
      <c r="C12" s="23" t="inlineStr">
        <is>
          <t>Presentation &amp; Disclosure</t>
        </is>
      </c>
      <c r="D12" s="24" t="inlineStr">
        <is>
          <t>&lt;.1&gt;/&lt;.7&gt;</t>
        </is>
      </c>
      <c r="E12" s="13" t="n"/>
      <c r="F12" s="13" t="n"/>
    </row>
    <row r="13" ht="15" customHeight="1">
      <c r="A13" s="1" t="inlineStr">
        <is>
          <t>&lt;.2&gt; Bank Confirmation</t>
        </is>
      </c>
      <c r="B13" s="30" t="n"/>
      <c r="C13" s="30" t="n"/>
      <c r="D13" s="30" t="n"/>
      <c r="E13" s="30" t="n"/>
      <c r="F13" s="31" t="n"/>
    </row>
    <row r="14" ht="39" customHeight="1">
      <c r="A14" s="13" t="n"/>
      <c r="B14" s="23" t="inlineStr">
        <is>
          <t>6. Send direct bank confirmations for ALL accounts using the full AICPA / Confirmation.com standard form covering balances, loans, lines of credit, facilities, guarantees and security interests.</t>
        </is>
      </c>
      <c r="C14" s="23" t="inlineStr">
        <is>
          <t>Existence; Rights &amp; Obligations; Completeness</t>
        </is>
      </c>
      <c r="D14" s="24" t="inlineStr">
        <is>
          <t>&lt;.2&gt;</t>
        </is>
      </c>
      <c r="E14" s="13" t="n"/>
      <c r="F14" s="13" t="n"/>
    </row>
    <row r="15" ht="25.5" customHeight="1">
      <c r="A15" s="13" t="n"/>
      <c r="B15" s="23" t="inlineStr">
        <is>
          <t>7. Control the confirmation process — send directly to the institution and require responses returned directly to the auditor; record date sent, follow-ups and method.</t>
        </is>
      </c>
      <c r="C15" s="23" t="inlineStr">
        <is>
          <t>Existence; Rights &amp; Obligations</t>
        </is>
      </c>
      <c r="D15" s="24" t="inlineStr">
        <is>
          <t>&lt;.2&gt;</t>
        </is>
      </c>
      <c r="E15" s="13" t="n"/>
      <c r="F15" s="13" t="n"/>
    </row>
    <row r="16" ht="25.5" customHeight="1">
      <c r="A16" s="13" t="n"/>
      <c r="B16" s="23" t="inlineStr">
        <is>
          <t>8. Follow up on non-responses (second/third request) and perform alternative procedures where no reply is received.</t>
        </is>
      </c>
      <c r="C16" s="23" t="inlineStr">
        <is>
          <t>Existence; Completeness</t>
        </is>
      </c>
      <c r="D16" s="24" t="inlineStr">
        <is>
          <t>&lt;.2&gt;</t>
        </is>
      </c>
      <c r="E16" s="13" t="n"/>
      <c r="F16" s="13" t="n"/>
    </row>
    <row r="17" ht="25.5" customHeight="1">
      <c r="A17" s="13" t="n"/>
      <c r="B17" s="23" t="inlineStr">
        <is>
          <t>9. Agree the confirmed balance to the GL and to the bank reconciliation; investigate any differences.</t>
        </is>
      </c>
      <c r="C17" s="23" t="inlineStr">
        <is>
          <t>Existence; Valuation</t>
        </is>
      </c>
      <c r="D17" s="24" t="inlineStr">
        <is>
          <t>&lt;.2&gt;/&lt;.3&gt;</t>
        </is>
      </c>
      <c r="E17" s="13" t="n"/>
      <c r="F17" s="13" t="n"/>
    </row>
    <row r="18" ht="39" customHeight="1">
      <c r="A18" s="13" t="n"/>
      <c r="B18" s="23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C18" s="23" t="inlineStr">
        <is>
          <t>Existence; Rights &amp; Obligations</t>
        </is>
      </c>
      <c r="D18" s="24" t="inlineStr">
        <is>
          <t>&lt;.2&gt;</t>
        </is>
      </c>
      <c r="E18" s="13" t="n"/>
      <c r="F18" s="13" t="n"/>
    </row>
    <row r="19" ht="15" customHeight="1">
      <c r="A19" s="1" t="inlineStr">
        <is>
          <t>&lt;.3&gt; Bank Reconciliation</t>
        </is>
      </c>
      <c r="B19" s="30" t="n"/>
      <c r="C19" s="30" t="n"/>
      <c r="D19" s="30" t="n"/>
      <c r="E19" s="30" t="n"/>
      <c r="F19" s="31" t="n"/>
    </row>
    <row r="20" ht="15" customHeight="1">
      <c r="A20" s="13" t="n"/>
      <c r="B20" s="23" t="inlineStr">
        <is>
          <t>11. Obtain the year-end bank reconciliation for each account.</t>
        </is>
      </c>
      <c r="C20" s="23" t="inlineStr">
        <is>
          <t>Valuation; Existence</t>
        </is>
      </c>
      <c r="D20" s="24" t="inlineStr">
        <is>
          <t>&lt;.3&gt;</t>
        </is>
      </c>
      <c r="E20" s="13" t="n"/>
      <c r="F20" s="13" t="n"/>
    </row>
    <row r="21" ht="15" customHeight="1">
      <c r="A21" s="13" t="n"/>
      <c r="B21" s="23" t="inlineStr">
        <is>
          <t>12. Agree the bank balance to the confirmation/statement and the book balance to the GL.</t>
        </is>
      </c>
      <c r="C21" s="23" t="inlineStr">
        <is>
          <t>Existence; Valuation</t>
        </is>
      </c>
      <c r="D21" s="24" t="inlineStr">
        <is>
          <t>&lt;.3&gt;</t>
        </is>
      </c>
      <c r="E21" s="13" t="n"/>
      <c r="F21" s="13" t="n"/>
    </row>
    <row r="22" ht="25.5" customHeight="1">
      <c r="A22" s="13" t="n"/>
      <c r="B22" s="23" t="inlineStr">
        <is>
          <t>13. Test the reconciling items — deposits in transit, outstanding checks, transfers in transit and other items — to supporting documentation.</t>
        </is>
      </c>
      <c r="C22" s="23" t="inlineStr">
        <is>
          <t>Valuation; Cutoff</t>
        </is>
      </c>
      <c r="D22" s="24" t="inlineStr">
        <is>
          <t>&lt;.3&gt;</t>
        </is>
      </c>
      <c r="E22" s="13" t="n"/>
      <c r="F22" s="13" t="n"/>
    </row>
    <row r="23" ht="15" customHeight="1">
      <c r="A23" s="13" t="n"/>
      <c r="B23" s="23" t="inlineStr">
        <is>
          <t>14. Recompute the reconciliation and investigate old, unusual or unsupported reconciling items.</t>
        </is>
      </c>
      <c r="C23" s="23" t="inlineStr">
        <is>
          <t>Valuation; Completeness</t>
        </is>
      </c>
      <c r="D23" s="24" t="inlineStr">
        <is>
          <t>&lt;.3&gt;</t>
        </is>
      </c>
      <c r="E23" s="13" t="n"/>
      <c r="F23" s="13" t="n"/>
    </row>
    <row r="24" ht="15" customHeight="1">
      <c r="A24" s="1" t="inlineStr">
        <is>
          <t>&lt;.4&gt; Outstanding Checks</t>
        </is>
      </c>
      <c r="B24" s="30" t="n"/>
      <c r="C24" s="30" t="n"/>
      <c r="D24" s="30" t="n"/>
      <c r="E24" s="30" t="n"/>
      <c r="F24" s="31" t="n"/>
    </row>
    <row r="25" ht="25.5" customHeight="1">
      <c r="A25" s="13" t="n"/>
      <c r="B25" s="23" t="inlineStr">
        <is>
          <t>15. Existence — select outstanding checks from the year-end list on a sample basis and trace each to the subsequent (cutoff) bank statement to confirm it cleared.</t>
        </is>
      </c>
      <c r="C25" s="23" t="inlineStr">
        <is>
          <t>Existence; Cutoff</t>
        </is>
      </c>
      <c r="D25" s="24" t="inlineStr">
        <is>
          <t>&lt;.4&gt;</t>
        </is>
      </c>
      <c r="E25" s="13" t="n"/>
      <c r="F25" s="13" t="n"/>
    </row>
    <row r="26" ht="25.5" customHeight="1">
      <c r="A26" s="13" t="n"/>
      <c r="B26" s="23" t="inlineStr">
        <is>
          <t>16. Completeness — select at least 5–10 checks that cleared in the subsequent-period bank statement (regardless of population) and trace back to the year-end outstanding-check list.</t>
        </is>
      </c>
      <c r="C26" s="23" t="inlineStr">
        <is>
          <t>Completeness; Cutoff</t>
        </is>
      </c>
      <c r="D26" s="24" t="inlineStr">
        <is>
          <t>&lt;.4&gt;</t>
        </is>
      </c>
      <c r="E26" s="13" t="n"/>
      <c r="F26" s="13" t="n"/>
    </row>
    <row r="27" ht="25.5" customHeight="1">
      <c r="A27" s="13" t="n"/>
      <c r="B27" s="23" t="inlineStr">
        <is>
          <t>17. Obtain the full outstanding-check register (not an aggregated figure) and investigate stale-dated or voided checks.</t>
        </is>
      </c>
      <c r="C27" s="23" t="inlineStr">
        <is>
          <t>Completeness; Valuation</t>
        </is>
      </c>
      <c r="D27" s="24" t="inlineStr">
        <is>
          <t>&lt;.4&gt;</t>
        </is>
      </c>
      <c r="E27" s="13" t="n"/>
      <c r="F27" s="13" t="n"/>
    </row>
    <row r="28" ht="15" customHeight="1">
      <c r="A28" s="1" t="inlineStr">
        <is>
          <t>&lt;.5&gt; Cutoff Procedures</t>
        </is>
      </c>
      <c r="B28" s="30" t="n"/>
      <c r="C28" s="30" t="n"/>
      <c r="D28" s="30" t="n"/>
      <c r="E28" s="30" t="n"/>
      <c r="F28" s="31" t="n"/>
    </row>
    <row r="29" ht="15" customHeight="1">
      <c r="A29" s="13" t="n"/>
      <c r="B29" s="23" t="inlineStr">
        <is>
          <t>18. Obtain the complete subsequent-period (e.g., full January) cutoff bank statement.</t>
        </is>
      </c>
      <c r="C29" s="23" t="inlineStr">
        <is>
          <t>Cutoff; Completeness</t>
        </is>
      </c>
      <c r="D29" s="24" t="inlineStr">
        <is>
          <t>&lt;.5&gt;</t>
        </is>
      </c>
      <c r="E29" s="13" t="n"/>
      <c r="F29" s="13" t="n"/>
    </row>
    <row r="30" ht="25.5" customHeight="1">
      <c r="A30" s="13" t="n"/>
      <c r="B30" s="23" t="inlineStr">
        <is>
          <t>19. Trace outstanding checks and deposits in transit to the cutoff statement to confirm they cleared in the proper period.</t>
        </is>
      </c>
      <c r="C30" s="23" t="inlineStr">
        <is>
          <t>Cutoff</t>
        </is>
      </c>
      <c r="D30" s="24" t="inlineStr">
        <is>
          <t>&lt;.5&gt;</t>
        </is>
      </c>
      <c r="E30" s="13" t="n"/>
      <c r="F30" s="13" t="n"/>
    </row>
    <row r="31" ht="25.5" customHeight="1">
      <c r="A31" s="13" t="n"/>
      <c r="B31" s="23" t="inlineStr">
        <is>
          <t>20. Review interaccount transfers around period-end, confirm both sides are recorded in the correct period, and prepare an inter-bank transfer (kiting) schedule.</t>
        </is>
      </c>
      <c r="C31" s="23" t="inlineStr">
        <is>
          <t>Cutoff; Completeness</t>
        </is>
      </c>
      <c r="D31" s="24" t="inlineStr">
        <is>
          <t>&lt;.5&gt;</t>
        </is>
      </c>
      <c r="E31" s="13" t="n"/>
      <c r="F31" s="13" t="n"/>
    </row>
    <row r="32" ht="15" customHeight="1">
      <c r="A32" s="13" t="n"/>
      <c r="B32" s="23" t="inlineStr">
        <is>
          <t>21. Scan subsequent-period cash activity for items that should be recorded at period-end.</t>
        </is>
      </c>
      <c r="C32" s="23" t="inlineStr">
        <is>
          <t>Completeness; Cutoff</t>
        </is>
      </c>
      <c r="D32" s="24" t="inlineStr">
        <is>
          <t>&lt;.5&gt;</t>
        </is>
      </c>
      <c r="E32" s="13" t="n"/>
      <c r="F32" s="13" t="n"/>
    </row>
    <row r="33" ht="15" customHeight="1">
      <c r="A33" s="1" t="inlineStr">
        <is>
          <t>&lt;.6&gt; Financial Condition of Depositories</t>
        </is>
      </c>
      <c r="B33" s="30" t="n"/>
      <c r="C33" s="30" t="n"/>
      <c r="D33" s="30" t="n"/>
      <c r="E33" s="30" t="n"/>
      <c r="F33" s="31" t="n"/>
    </row>
    <row r="34" ht="25.5" customHeight="1">
      <c r="A34" s="13" t="n"/>
      <c r="B34" s="23" t="inlineStr">
        <is>
          <t>22. Assess the financial condition / creditworthiness of each depository (credit ratings, regulatory/capital data, recent news), particularly where uninsured balances are significant.</t>
        </is>
      </c>
      <c r="C34" s="23" t="inlineStr">
        <is>
          <t>Valuation</t>
        </is>
      </c>
      <c r="D34" s="24" t="inlineStr">
        <is>
          <t>&lt;.6&gt;</t>
        </is>
      </c>
      <c r="E34" s="13" t="n"/>
      <c r="F34" s="13" t="n"/>
    </row>
    <row r="35" ht="15" customHeight="1">
      <c r="A35" s="13" t="n"/>
      <c r="B35" s="23" t="inlineStr">
        <is>
          <t>23. Evaluate the recoverability of uninsured balances and document concentration risk.</t>
        </is>
      </c>
      <c r="C35" s="23" t="inlineStr">
        <is>
          <t>Valuation; Presentation &amp; Disclosure</t>
        </is>
      </c>
      <c r="D35" s="24" t="inlineStr">
        <is>
          <t>&lt;.6&gt;</t>
        </is>
      </c>
      <c r="E35" s="13" t="n"/>
      <c r="F35" s="13" t="n"/>
    </row>
    <row r="36" ht="15" customHeight="1">
      <c r="A36" s="1" t="inlineStr">
        <is>
          <t>&lt;.7&gt; Presentation &amp; Disclosure</t>
        </is>
      </c>
      <c r="B36" s="30" t="n"/>
      <c r="C36" s="30" t="n"/>
      <c r="D36" s="30" t="n"/>
      <c r="E36" s="30" t="n"/>
      <c r="F36" s="31" t="n"/>
    </row>
    <row r="37" ht="15" customHeight="1">
      <c r="A37" s="13" t="n"/>
      <c r="B37" s="23" t="inlineStr">
        <is>
          <t>24. Evaluate the concentration of cash at one institution and the related disclosure.</t>
        </is>
      </c>
      <c r="C37" s="23" t="inlineStr">
        <is>
          <t>Presentation &amp; Disclosure</t>
        </is>
      </c>
      <c r="D37" s="24" t="inlineStr">
        <is>
          <t>&lt;.7&gt;</t>
        </is>
      </c>
      <c r="E37" s="13" t="n"/>
      <c r="F37" s="13" t="n"/>
    </row>
    <row r="38" ht="15" customHeight="1">
      <c r="A38" s="13" t="n"/>
      <c r="B38" s="23" t="inlineStr">
        <is>
          <t>25. Compute and disclose uninsured (above-FDIC) deposits.</t>
        </is>
      </c>
      <c r="C38" s="23" t="inlineStr">
        <is>
          <t>Presentation &amp; Disclosure</t>
        </is>
      </c>
      <c r="D38" s="24" t="inlineStr">
        <is>
          <t>&lt;.7&gt;</t>
        </is>
      </c>
      <c r="E38" s="13" t="n"/>
      <c r="F38" s="13" t="n"/>
    </row>
    <row r="39" ht="25.5" customHeight="1">
      <c r="A39" s="13" t="n"/>
      <c r="B39" s="23" t="inlineStr">
        <is>
          <t>26. Determine whether any cash is restricted or pledged; obtain the restricted-cash / collateral schedule and the loan/security agreement.</t>
        </is>
      </c>
      <c r="C39" s="23" t="inlineStr">
        <is>
          <t>Classification; Presentation &amp; Disclosure</t>
        </is>
      </c>
      <c r="D39" s="24" t="inlineStr">
        <is>
          <t>&lt;.7&gt;</t>
        </is>
      </c>
      <c r="E39" s="13" t="n"/>
      <c r="F39" s="13" t="n"/>
    </row>
    <row r="40" ht="25.5" customHeight="1">
      <c r="A40" s="13" t="n"/>
      <c r="B40" s="23" t="inlineStr">
        <is>
          <t>27. Assess classification of reserve/designated cash, bank overdrafts (reclassify to liabilities) and compensating balances.</t>
        </is>
      </c>
      <c r="C40" s="23" t="inlineStr">
        <is>
          <t>Classification</t>
        </is>
      </c>
      <c r="D40" s="24" t="inlineStr">
        <is>
          <t>&lt;.7&gt;</t>
        </is>
      </c>
      <c r="E40" s="13" t="n"/>
      <c r="F40" s="13" t="n"/>
    </row>
    <row r="41" ht="15" customHeight="1">
      <c r="A41" s="13" t="n"/>
      <c r="B41" s="23" t="inlineStr">
        <is>
          <t>28. Request merchant settlement / lockbox reports and reconcile clearing accounts.</t>
        </is>
      </c>
      <c r="C41" s="23" t="inlineStr">
        <is>
          <t>Completeness; Classification</t>
        </is>
      </c>
      <c r="D41" s="24" t="inlineStr">
        <is>
          <t>&lt;.7&gt;</t>
        </is>
      </c>
      <c r="E41" s="13" t="n"/>
      <c r="F41" s="13" t="n"/>
    </row>
    <row r="42" ht="15" customHeight="1">
      <c r="A42" s="1" t="inlineStr">
        <is>
          <t>Documentation &amp; Review</t>
        </is>
      </c>
      <c r="B42" s="30" t="n"/>
      <c r="C42" s="30" t="n"/>
      <c r="D42" s="30" t="n"/>
      <c r="E42" s="30" t="n"/>
      <c r="F42" s="31" t="n"/>
    </row>
    <row r="43" ht="25.5" customHeight="1">
      <c r="A43" s="13" t="n"/>
      <c r="B43" s="23" t="inlineStr">
        <is>
          <t>29. Cross-reference each procedure to its workpaper tab and link it to the relevant assertion(s).</t>
        </is>
      </c>
      <c r="C43" s="23" t="inlineStr">
        <is>
          <t>Overall</t>
        </is>
      </c>
      <c r="D43" s="24" t="inlineStr">
        <is>
          <t>&lt;.1&gt;–&lt;.7&gt;</t>
        </is>
      </c>
      <c r="E43" s="13" t="n"/>
      <c r="F43" s="13" t="n"/>
    </row>
    <row r="44" ht="25.5" customHeight="1">
      <c r="A44" s="13" t="n"/>
      <c r="B44" s="23" t="inlineStr">
        <is>
          <t>30. Verify the lead-sheet tie-out formulas foot correctly and the workbook source trail is complete.</t>
        </is>
      </c>
      <c r="C44" s="23" t="inlineStr">
        <is>
          <t>Accuracy; Completeness</t>
        </is>
      </c>
      <c r="D44" s="24" t="inlineStr">
        <is>
          <t>&lt;.1&gt;</t>
        </is>
      </c>
      <c r="E44" s="13" t="n"/>
      <c r="F44" s="13" t="n"/>
    </row>
    <row r="45" ht="15" customHeight="1">
      <c r="A45" s="1" t="inlineStr">
        <is>
          <t>Conclusion</t>
        </is>
      </c>
      <c r="B45" s="30" t="n"/>
      <c r="C45" s="30" t="n"/>
      <c r="D45" s="30" t="n"/>
      <c r="E45" s="30" t="n"/>
      <c r="F45" s="31" t="n"/>
    </row>
    <row r="46" ht="25.5" customHeight="1">
      <c r="A46" s="13" t="n"/>
      <c r="B46" s="23" t="inlineStr">
        <is>
          <t>31. All planned cash audit procedures above were performed; results support the recorded cash balance and related disclosures, subject to documented open items.</t>
        </is>
      </c>
      <c r="C46" s="23" t="inlineStr">
        <is>
          <t>Overall</t>
        </is>
      </c>
      <c r="D46" s="24" t="inlineStr">
        <is>
          <t>&lt;.1&gt;–&lt;.7&gt;</t>
        </is>
      </c>
      <c r="E46" s="13" t="n"/>
      <c r="F46" s="13" t="n"/>
    </row>
  </sheetData>
  <mergeCells count="10">
    <mergeCell ref="A24:F24"/>
    <mergeCell ref="A33:F33"/>
    <mergeCell ref="A28:F28"/>
    <mergeCell ref="A42:F42"/>
    <mergeCell ref="A36:F36"/>
    <mergeCell ref="A13:F13"/>
    <mergeCell ref="A19:F19"/>
    <mergeCell ref="A45:F45"/>
    <mergeCell ref="A4:F4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tabSelected="1" zoomScale="85" zoomScaleNormal="100" workbookViewId="0">
      <selection activeCell="E13" sqref="E13"/>
    </sheetView>
  </sheetViews>
  <sheetFormatPr baseColWidth="8" defaultColWidth="8.6328125" defaultRowHeight="14.5"/>
  <cols>
    <col width="30" customWidth="1" min="1" max="1"/>
    <col width="11" customWidth="1" min="2" max="2"/>
    <col width="22" customWidth="1" min="3" max="3"/>
    <col width="24" customWidth="1" min="4" max="5"/>
    <col width="14" customWidth="1" min="6" max="7"/>
    <col width="13" customWidth="1" min="8" max="8"/>
    <col width="11" customWidth="1" min="9" max="9"/>
    <col width="30" customWidth="1" min="10" max="10"/>
  </cols>
  <sheetData>
    <row r="1" ht="17.25" customHeight="1">
      <c r="A1" s="7" t="inlineStr">
        <is>
          <t>Cash Lead Sheet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  <c r="I2" s="6" t="n"/>
      <c r="J2" s="6" t="n"/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  <c r="I3" s="6" t="n"/>
      <c r="J3" s="6" t="n"/>
    </row>
    <row r="4" ht="27.75" customHeight="1">
      <c r="A4" s="10" t="inlineStr">
        <is>
          <t>Purpose:</t>
        </is>
      </c>
      <c r="B4" s="5" t="inlineStr">
        <is>
          <t>Summarize the cash population and tie the recorded balance to the trial balance; compute CY/PY movement and uninsured exposure.</t>
        </is>
      </c>
    </row>
    <row r="5" ht="27.75" customHeight="1">
      <c r="A5" s="10" t="inlineStr">
        <is>
          <t>Scope:</t>
        </is>
      </c>
      <c r="B5" s="5" t="inlineStr">
        <is>
          <t>List every cash/depository account (operating, payroll, reserve/designated, zero-balance, merchant/lockbox, restricted) from the trial balance and supporting records.</t>
        </is>
      </c>
    </row>
    <row r="6" ht="15" customHeight="1">
      <c r="A6" s="10" t="inlineStr">
        <is>
          <t>Assertions:</t>
        </is>
      </c>
      <c r="B6" s="5" t="inlineStr">
        <is>
          <t>Completeness; Classification; Accuracy</t>
        </is>
      </c>
    </row>
    <row r="7" ht="30" customHeight="1">
      <c r="A7" s="11" t="inlineStr">
        <is>
          <t>Entity</t>
        </is>
      </c>
      <c r="B7" s="11" t="inlineStr">
        <is>
          <t>Account ID</t>
        </is>
      </c>
      <c r="C7" s="11" t="inlineStr">
        <is>
          <t>Account Description</t>
        </is>
      </c>
      <c r="D7" s="11" t="inlineStr">
        <is>
          <t>Bank / Institution</t>
        </is>
      </c>
      <c r="E7" s="11" t="inlineStr">
        <is>
          <t>WP Ref / Status</t>
        </is>
      </c>
      <c r="F7" s="11" t="inlineStr">
        <is>
          <t>CY Balance</t>
        </is>
      </c>
      <c r="G7" s="11" t="inlineStr">
        <is>
          <t>PY Balance</t>
        </is>
      </c>
      <c r="H7" s="11" t="inlineStr">
        <is>
          <t>Difference</t>
        </is>
      </c>
      <c r="I7" s="11" t="inlineStr">
        <is>
          <t>% Change</t>
        </is>
      </c>
      <c r="J7" s="11" t="inlineStr">
        <is>
          <t>Source / Comments</t>
        </is>
      </c>
    </row>
    <row r="8" ht="15" customHeight="1">
      <c r="A8" s="6" t="n"/>
      <c r="B8" s="6" t="n"/>
      <c r="C8" s="6" t="n"/>
      <c r="D8" s="6" t="n"/>
      <c r="E8" s="6" t="n"/>
      <c r="F8" s="12" t="inlineStr">
        <is>
          <t>TB</t>
        </is>
      </c>
      <c r="G8" s="12" t="inlineStr">
        <is>
          <t>PY FS</t>
        </is>
      </c>
      <c r="H8" s="12" t="inlineStr">
        <is>
          <t>R</t>
        </is>
      </c>
      <c r="I8" s="12" t="inlineStr">
        <is>
          <t>R</t>
        </is>
      </c>
      <c r="J8" s="6" t="n"/>
    </row>
    <row r="9" ht="15" customHeight="1">
      <c r="A9" s="13" t="n"/>
      <c r="B9" s="13" t="n"/>
      <c r="C9" s="13" t="n"/>
      <c r="D9" s="13" t="n"/>
      <c r="E9" s="13" t="n"/>
      <c r="F9" s="14" t="n"/>
      <c r="G9" s="14" t="n"/>
      <c r="H9" s="14">
        <f>IF(AND(F9="",G9=""),"",F9-G9)</f>
        <v/>
      </c>
      <c r="I9" s="15">
        <f>IF(OR(G9="",G9=0),"",(F9-G9)/G9)</f>
        <v/>
      </c>
      <c r="J9" s="13" t="n"/>
    </row>
    <row r="10" ht="15" customHeight="1">
      <c r="A10" s="13" t="n"/>
      <c r="B10" s="13" t="n"/>
      <c r="C10" s="13" t="n"/>
      <c r="D10" s="13" t="n"/>
      <c r="E10" s="13" t="n"/>
      <c r="F10" s="14" t="n"/>
      <c r="G10" s="14" t="n"/>
      <c r="H10" s="14">
        <f>IF(AND(F10="",G10=""),"",F10-G10)</f>
        <v/>
      </c>
      <c r="I10" s="15">
        <f>IF(OR(G10="",G10=0),"",(F10-G10)/G10)</f>
        <v/>
      </c>
      <c r="J10" s="13" t="n"/>
    </row>
    <row r="11" ht="15" customHeight="1">
      <c r="A11" s="13" t="n"/>
      <c r="B11" s="13" t="n"/>
      <c r="C11" s="13" t="n"/>
      <c r="D11" s="13" t="n"/>
      <c r="E11" s="13" t="n"/>
      <c r="F11" s="14" t="n"/>
      <c r="G11" s="14" t="n"/>
      <c r="H11" s="14">
        <f>IF(AND(F11="",G11=""),"",F11-G11)</f>
        <v/>
      </c>
      <c r="I11" s="15">
        <f>IF(OR(G11="",G11=0),"",(F11-G11)/G11)</f>
        <v/>
      </c>
      <c r="J11" s="13" t="n"/>
    </row>
    <row r="12" ht="15" customHeight="1">
      <c r="A12" s="13" t="n"/>
      <c r="B12" s="13" t="n"/>
      <c r="C12" s="13" t="n"/>
      <c r="D12" s="13" t="n"/>
      <c r="E12" s="13" t="n"/>
      <c r="F12" s="14" t="n"/>
      <c r="G12" s="14" t="n"/>
      <c r="H12" s="14">
        <f>IF(AND(F12="",G12=""),"",F12-G12)</f>
        <v/>
      </c>
      <c r="I12" s="15">
        <f>IF(OR(G12="",G12=0),"",(F12-G12)/G12)</f>
        <v/>
      </c>
      <c r="J12" s="13" t="n"/>
    </row>
    <row r="13" ht="15" customHeight="1">
      <c r="A13" s="13" t="n"/>
      <c r="B13" s="13" t="n"/>
      <c r="C13" s="13" t="n"/>
      <c r="D13" s="13" t="n"/>
      <c r="E13" s="13" t="n"/>
      <c r="F13" s="14" t="n"/>
      <c r="G13" s="14" t="n"/>
      <c r="H13" s="14">
        <f>IF(AND(F13="",G13=""),"",F13-G13)</f>
        <v/>
      </c>
      <c r="I13" s="15">
        <f>IF(OR(G13="",G13=0),"",(F13-G13)/G13)</f>
        <v/>
      </c>
      <c r="J13" s="13" t="n"/>
    </row>
    <row r="14" ht="15" customHeight="1">
      <c r="A14" s="13" t="n"/>
      <c r="B14" s="13" t="n"/>
      <c r="C14" s="13" t="n"/>
      <c r="D14" s="13" t="n"/>
      <c r="E14" s="13" t="n"/>
      <c r="F14" s="14" t="n"/>
      <c r="G14" s="14" t="n"/>
      <c r="H14" s="14">
        <f>IF(AND(F14="",G14=""),"",F14-G14)</f>
        <v/>
      </c>
      <c r="I14" s="15">
        <f>IF(OR(G14="",G14=0),"",(F14-G14)/G14)</f>
        <v/>
      </c>
      <c r="J14" s="13" t="n"/>
    </row>
    <row r="15" ht="15" customHeight="1">
      <c r="A15" s="13" t="n"/>
      <c r="B15" s="13" t="n"/>
      <c r="C15" s="13" t="n"/>
      <c r="D15" s="13" t="n"/>
      <c r="E15" s="13" t="n"/>
      <c r="F15" s="14" t="n"/>
      <c r="G15" s="14" t="n"/>
      <c r="H15" s="14">
        <f>IF(AND(F15="",G15=""),"",F15-G15)</f>
        <v/>
      </c>
      <c r="I15" s="15">
        <f>IF(OR(G15="",G15=0),"",(F15-G15)/G15)</f>
        <v/>
      </c>
      <c r="J15" s="13" t="n"/>
    </row>
    <row r="16" ht="15" customHeight="1">
      <c r="A16" s="13" t="n"/>
      <c r="B16" s="13" t="n"/>
      <c r="C16" s="13" t="n"/>
      <c r="D16" s="13" t="n"/>
      <c r="E16" s="13" t="n"/>
      <c r="F16" s="14" t="n"/>
      <c r="G16" s="14" t="n"/>
      <c r="H16" s="14">
        <f>IF(AND(F16="",G16=""),"",F16-G16)</f>
        <v/>
      </c>
      <c r="I16" s="15">
        <f>IF(OR(G16="",G16=0),"",(F16-G16)/G16)</f>
        <v/>
      </c>
      <c r="J16" s="13" t="n"/>
    </row>
    <row r="17" ht="15" customHeight="1">
      <c r="A17" s="13" t="n"/>
      <c r="B17" s="13" t="n"/>
      <c r="C17" s="13" t="n"/>
      <c r="D17" s="13" t="n"/>
      <c r="E17" s="13" t="n"/>
      <c r="F17" s="14" t="n"/>
      <c r="G17" s="14" t="n"/>
      <c r="H17" s="14">
        <f>IF(AND(F17="",G17=""),"",F17-G17)</f>
        <v/>
      </c>
      <c r="I17" s="15">
        <f>IF(OR(G17="",G17=0),"",(F17-G17)/G17)</f>
        <v/>
      </c>
      <c r="J17" s="13" t="n"/>
    </row>
    <row r="18" ht="15" customHeight="1">
      <c r="A18" s="13" t="n"/>
      <c r="B18" s="13" t="n"/>
      <c r="C18" s="13" t="n"/>
      <c r="D18" s="13" t="n"/>
      <c r="E18" s="13" t="n"/>
      <c r="F18" s="14" t="n"/>
      <c r="G18" s="14" t="n"/>
      <c r="H18" s="14">
        <f>IF(AND(F18="",G18=""),"",F18-G18)</f>
        <v/>
      </c>
      <c r="I18" s="15">
        <f>IF(OR(G18="",G18=0),"",(F18-G18)/G18)</f>
        <v/>
      </c>
      <c r="J18" s="13" t="n"/>
    </row>
    <row r="19" ht="15" customHeight="1">
      <c r="A19" s="13" t="n"/>
      <c r="B19" s="13" t="n"/>
      <c r="C19" s="13" t="n"/>
      <c r="D19" s="13" t="n"/>
      <c r="E19" s="13" t="n"/>
      <c r="F19" s="14" t="n"/>
      <c r="G19" s="14" t="n"/>
      <c r="H19" s="14">
        <f>IF(AND(F19="",G19=""),"",F19-G19)</f>
        <v/>
      </c>
      <c r="I19" s="15">
        <f>IF(OR(G19="",G19=0),"",(F19-G19)/G19)</f>
        <v/>
      </c>
      <c r="J19" s="13" t="n"/>
    </row>
    <row r="20" ht="15" customHeight="1">
      <c r="A20" s="13" t="n"/>
      <c r="B20" s="13" t="n"/>
      <c r="C20" s="13" t="n"/>
      <c r="D20" s="13" t="n"/>
      <c r="E20" s="13" t="n"/>
      <c r="F20" s="14" t="n"/>
      <c r="G20" s="14" t="n"/>
      <c r="H20" s="14">
        <f>IF(AND(F20="",G20=""),"",F20-G20)</f>
        <v/>
      </c>
      <c r="I20" s="15">
        <f>IF(OR(G20="",G20=0),"",(F20-G20)/G20)</f>
        <v/>
      </c>
      <c r="J20" s="13" t="n"/>
    </row>
    <row r="21" ht="15" customHeight="1">
      <c r="A21" s="16" t="inlineStr">
        <is>
          <t>Total per lead sheet</t>
        </is>
      </c>
      <c r="B21" s="16" t="n"/>
      <c r="C21" s="16" t="n"/>
      <c r="D21" s="16" t="n"/>
      <c r="E21" s="16" t="n"/>
      <c r="F21" s="17">
        <f>SUM(F9:F20)</f>
        <v/>
      </c>
      <c r="G21" s="17">
        <f>SUM(G9:G20)</f>
        <v/>
      </c>
      <c r="H21" s="17">
        <f>F21-G21</f>
        <v/>
      </c>
      <c r="I21" s="16" t="n"/>
      <c r="J21" s="16" t="n"/>
    </row>
    <row r="22" ht="15" customHeight="1">
      <c r="A22" s="6" t="n"/>
      <c r="B22" s="6" t="n"/>
      <c r="C22" s="6" t="n"/>
      <c r="D22" s="6" t="n"/>
      <c r="E22" s="6" t="n"/>
      <c r="F22" s="18" t="inlineStr">
        <is>
          <t>F</t>
        </is>
      </c>
      <c r="G22" s="18" t="inlineStr">
        <is>
          <t>F</t>
        </is>
      </c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5" customHeight="1">
      <c r="A24" s="19" t="inlineStr">
        <is>
          <t>Tie-Out &amp; Uninsured Exposure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8" customHeight="1">
      <c r="A25" s="11" t="inlineStr">
        <is>
          <t>Metric</t>
        </is>
      </c>
      <c r="B25" s="11" t="inlineStr">
        <is>
          <t>CY Amount</t>
        </is>
      </c>
      <c r="C25" s="11" t="inlineStr">
        <is>
          <t>PY Amount</t>
        </is>
      </c>
      <c r="D25" s="11" t="inlineStr">
        <is>
          <t>Note</t>
        </is>
      </c>
      <c r="E25" s="6" t="n"/>
      <c r="F25" s="6" t="n"/>
      <c r="G25" s="6" t="n"/>
      <c r="H25" s="6" t="n"/>
      <c r="I25" s="6" t="n"/>
      <c r="J25" s="6" t="n"/>
    </row>
    <row r="26" ht="15" customHeight="1">
      <c r="A26" s="13" t="inlineStr">
        <is>
          <t>Total per lead sheet</t>
        </is>
      </c>
      <c r="B26" s="14" t="n"/>
      <c r="C26" s="14" t="n"/>
      <c r="D26" s="13" t="inlineStr">
        <is>
          <t>ties to total row above</t>
        </is>
      </c>
      <c r="E26" s="6" t="n"/>
      <c r="F26" s="6" t="n"/>
      <c r="G26" s="6" t="n"/>
      <c r="H26" s="6" t="n"/>
      <c r="I26" s="6" t="n"/>
      <c r="J26" s="6" t="n"/>
    </row>
    <row r="27" ht="15" customHeight="1">
      <c r="A27" s="13" t="inlineStr">
        <is>
          <t>Trial balance cash total</t>
        </is>
      </c>
      <c r="B27" s="14" t="n"/>
      <c r="C27" s="14" t="n"/>
      <c r="D27" s="13" t="inlineStr">
        <is>
          <t>agree to TB</t>
        </is>
      </c>
      <c r="E27" s="6" t="n"/>
      <c r="F27" s="6" t="n"/>
      <c r="G27" s="6" t="n"/>
      <c r="H27" s="6" t="n"/>
      <c r="I27" s="6" t="n"/>
      <c r="J27" s="6" t="n"/>
    </row>
    <row r="28" ht="15" customHeight="1">
      <c r="A28" s="13" t="inlineStr">
        <is>
          <t>Difference (should be 0)</t>
        </is>
      </c>
      <c r="B28" s="14">
        <f>B26-B27</f>
        <v/>
      </c>
      <c r="C28" s="14">
        <f>C26-C27</f>
        <v/>
      </c>
      <c r="D28" s="13" t="inlineStr">
        <is>
          <t>investigate if non-zero</t>
        </is>
      </c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5" customHeight="1">
      <c r="A30" s="10" t="inlineStr">
        <is>
          <t>TM Legends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5" customHeight="1">
      <c r="A31" s="26" t="inlineStr">
        <is>
          <t>TB</t>
        </is>
      </c>
      <c r="B31" s="29" t="inlineStr">
        <is>
          <t>Agreed to trial balance</t>
        </is>
      </c>
      <c r="C31" s="29" t="n"/>
      <c r="D31" s="6" t="n"/>
      <c r="E31" s="6" t="n"/>
      <c r="F31" s="6" t="n"/>
      <c r="G31" s="6" t="n"/>
    </row>
    <row r="32" ht="15" customHeight="1">
      <c r="A32" s="26" t="inlineStr">
        <is>
          <t>PY FS</t>
        </is>
      </c>
      <c r="B32" s="28" t="inlineStr">
        <is>
          <t>Traced from PY issued FS</t>
        </is>
      </c>
      <c r="C32" s="28" t="n"/>
      <c r="D32" s="6" t="n"/>
      <c r="E32" s="6" t="n"/>
      <c r="F32" s="6" t="n"/>
      <c r="G32" s="6" t="n"/>
    </row>
    <row r="33" ht="15" customHeight="1">
      <c r="A33" s="26" t="inlineStr">
        <is>
          <t>CF</t>
        </is>
      </c>
      <c r="B33" s="29" t="inlineStr">
        <is>
          <t>Confirmed with third party</t>
        </is>
      </c>
      <c r="C33" s="29" t="n"/>
      <c r="D33" s="6" t="n"/>
      <c r="E33" s="6" t="n"/>
      <c r="F33" s="6" t="n"/>
      <c r="G33" s="6" t="n"/>
    </row>
    <row r="34" ht="15" customHeight="1">
      <c r="A34" s="26" t="inlineStr">
        <is>
          <t>V</t>
        </is>
      </c>
      <c r="B34" s="29" t="inlineStr">
        <is>
          <t>Vouched to source document</t>
        </is>
      </c>
      <c r="C34" s="29" t="n"/>
      <c r="D34" s="6" t="n"/>
      <c r="E34" s="6" t="n"/>
      <c r="F34" s="6" t="n"/>
      <c r="G34" s="6" t="n"/>
    </row>
    <row r="35" ht="15" customHeight="1">
      <c r="A35" s="26" t="inlineStr">
        <is>
          <t>R</t>
        </is>
      </c>
      <c r="B35" s="29" t="inlineStr">
        <is>
          <t>Recalculated independently</t>
        </is>
      </c>
      <c r="C35" s="29" t="n"/>
      <c r="D35" s="6" t="n"/>
      <c r="E35" s="6" t="n"/>
      <c r="F35" s="6" t="n"/>
      <c r="G35" s="6" t="n"/>
    </row>
    <row r="36" ht="15" customHeight="1">
      <c r="A36" s="26" t="inlineStr">
        <is>
          <t>F</t>
        </is>
      </c>
      <c r="B36" s="29" t="inlineStr">
        <is>
          <t>Footed / cross-cast</t>
        </is>
      </c>
      <c r="C36" s="29" t="n"/>
      <c r="D36" s="6" t="n"/>
      <c r="E36" s="6" t="n"/>
      <c r="F36" s="6" t="n"/>
      <c r="G36" s="6" t="n"/>
    </row>
    <row r="37" ht="15" customHeight="1">
      <c r="A37" s="26" t="inlineStr">
        <is>
          <t>T</t>
        </is>
      </c>
      <c r="B37" s="29" t="inlineStr">
        <is>
          <t>Traced to downstream record</t>
        </is>
      </c>
      <c r="C37" s="29" t="n"/>
      <c r="D37" s="6" t="n"/>
      <c r="E37" s="6" t="n"/>
      <c r="F37" s="6" t="n"/>
      <c r="G37" s="6" t="n"/>
    </row>
    <row r="38">
      <c r="A38" s="26" t="inlineStr">
        <is>
          <t>PBC</t>
        </is>
      </c>
      <c r="B38" s="29" t="inlineStr">
        <is>
          <t>Prepared by client</t>
        </is>
      </c>
      <c r="C38" s="29" t="n"/>
      <c r="D38" s="6" t="n"/>
      <c r="E38" s="6" t="n"/>
      <c r="F38" s="6" t="n"/>
      <c r="G38" s="6" t="n"/>
    </row>
    <row r="39" ht="25.5" customHeight="1">
      <c r="A39" s="3" t="inlineStr">
        <is>
          <t>Before sign-off complete Library Procedures 1–5 (Cash Lead Sheet) and 25 (uninsured deposits). Uninsured calc detail is on &lt;.7&gt; Presentation &amp; Disclosure.</t>
        </is>
      </c>
    </row>
  </sheetData>
  <mergeCells count="4">
    <mergeCell ref="A39:J39"/>
    <mergeCell ref="B6:J6"/>
    <mergeCell ref="B5:J5"/>
    <mergeCell ref="B4:J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2"/>
  <sheetViews>
    <sheetView showGridLines="0" zoomScale="85" zoomScaleNormal="100" workbookViewId="0">
      <selection activeCell="A7" sqref="A7"/>
    </sheetView>
  </sheetViews>
  <sheetFormatPr baseColWidth="8" defaultColWidth="8.6328125" defaultRowHeight="14.5"/>
  <cols>
    <col width="24" customWidth="1" min="1" max="1"/>
    <col width="10" customWidth="1" min="2" max="2"/>
    <col width="22" customWidth="1" min="3" max="3"/>
    <col width="12" customWidth="1" min="4" max="4"/>
    <col width="24" customWidth="1" min="5" max="5"/>
    <col width="14" customWidth="1" min="6" max="6"/>
    <col width="16" customWidth="1" min="7" max="7"/>
    <col width="12" customWidth="1" min="8" max="8"/>
    <col width="13" customWidth="1" min="9" max="11"/>
    <col width="12" customWidth="1" min="12" max="12"/>
    <col width="22" customWidth="1" min="13" max="13"/>
    <col width="15" customWidth="1" min="14" max="14"/>
    <col width="16" customWidth="1" min="15" max="16"/>
    <col width="24" customWidth="1" min="17" max="17"/>
    <col width="26" customWidth="1" min="18" max="18"/>
  </cols>
  <sheetData>
    <row r="1" ht="17.25" customHeight="1">
      <c r="A1" s="7" t="inlineStr">
        <is>
          <t>Bank Confirmation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27.75" customHeight="1">
      <c r="A4" s="10" t="inlineStr">
        <is>
          <t>Purpose:</t>
        </is>
      </c>
      <c r="B4" s="5" t="inlineStr">
        <is>
          <t>Confirm balances and facilities directly with depositories, control the confirmation process, follow up on non-responses, and test the authenticity of confirmations.</t>
        </is>
      </c>
    </row>
    <row r="5" ht="27.75" customHeight="1">
      <c r="A5" s="10" t="inlineStr">
        <is>
          <t>Scope:</t>
        </is>
      </c>
      <c r="B5" s="5" t="inlineStr">
        <is>
          <t>All cash accounts plus loans, lines of credit, facilities, guarantees and security interests (full AICPA / Confirmation.com standard form).</t>
        </is>
      </c>
    </row>
    <row r="6" ht="15" customHeight="1">
      <c r="A6" s="10" t="inlineStr">
        <is>
          <t>Assertions:</t>
        </is>
      </c>
      <c r="B6" s="5" t="inlineStr">
        <is>
          <t>Existence; Rights &amp; Obligations; Valuation; Completeness</t>
        </is>
      </c>
    </row>
    <row r="7" ht="43.5" customHeight="1">
      <c r="A7" s="11" t="inlineStr">
        <is>
          <t>Entity</t>
        </is>
      </c>
      <c r="B7" s="11" t="inlineStr">
        <is>
          <t>Account ID</t>
        </is>
      </c>
      <c r="C7" s="11" t="inlineStr">
        <is>
          <t>Bank / Institution</t>
        </is>
      </c>
      <c r="D7" s="11" t="inlineStr">
        <is>
          <t>Account No./ Suffix</t>
        </is>
      </c>
      <c r="E7" s="11" t="inlineStr">
        <is>
          <t>Type (depository / loan / facility / guarantee)</t>
        </is>
      </c>
      <c r="F7" s="11" t="inlineStr">
        <is>
          <t>Balance per GL</t>
        </is>
      </c>
      <c r="G7" s="11" t="inlineStr">
        <is>
          <t>Balance per confirmation</t>
        </is>
      </c>
      <c r="H7" s="11" t="inlineStr">
        <is>
          <t>Difference</t>
        </is>
      </c>
      <c r="I7" s="11" t="inlineStr">
        <is>
          <t>Date conf. sent</t>
        </is>
      </c>
      <c r="J7" s="11" t="inlineStr">
        <is>
          <t>Follow-up 1 sent</t>
        </is>
      </c>
      <c r="K7" s="11" t="inlineStr">
        <is>
          <t>Follow-up 2 sent</t>
        </is>
      </c>
      <c r="L7" s="11" t="inlineStr">
        <is>
          <t>Response received (Y/N)</t>
        </is>
      </c>
      <c r="M7" s="11" t="inlineStr">
        <is>
          <t>Method sent (email / physical / Confirmation.com)</t>
        </is>
      </c>
      <c r="N7" s="11" t="inlineStr">
        <is>
          <t>Authenticity — domain check (Y/N)</t>
        </is>
      </c>
      <c r="O7" s="11" t="inlineStr">
        <is>
          <t>Authenticity — independent call-back (Y/N)</t>
        </is>
      </c>
      <c r="P7" s="11" t="inlineStr">
        <is>
          <t>Authenticity — independent contact source (Y/N)</t>
        </is>
      </c>
      <c r="Q7" s="11" t="inlineStr">
        <is>
          <t>Alternative procedures (if no reply)</t>
        </is>
      </c>
      <c r="R7" s="11" t="inlineStr">
        <is>
          <t>Conclusion / Comments</t>
        </is>
      </c>
    </row>
    <row r="8" ht="15" customHeight="1">
      <c r="A8" s="6" t="n"/>
      <c r="B8" s="6" t="n"/>
      <c r="C8" s="6" t="n"/>
      <c r="D8" s="6" t="n"/>
      <c r="E8" s="6" t="n"/>
      <c r="F8" s="12" t="inlineStr">
        <is>
          <t>TB</t>
        </is>
      </c>
      <c r="G8" s="12" t="inlineStr">
        <is>
          <t>CF</t>
        </is>
      </c>
      <c r="H8" s="12" t="inlineStr">
        <is>
          <t>R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15" customHeight="1">
      <c r="A9" s="13" t="n"/>
      <c r="B9" s="13" t="n"/>
      <c r="C9" s="13" t="n"/>
      <c r="D9" s="13" t="n"/>
      <c r="E9" s="13" t="n"/>
      <c r="F9" s="14" t="n"/>
      <c r="G9" s="14" t="n"/>
      <c r="H9" s="14">
        <f>IF(AND(F9="",G9=""),"",F9-G9)</f>
        <v/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 ht="15" customHeight="1">
      <c r="A10" s="13" t="n"/>
      <c r="B10" s="13" t="n"/>
      <c r="C10" s="13" t="n"/>
      <c r="D10" s="13" t="n"/>
      <c r="E10" s="13" t="n"/>
      <c r="F10" s="14" t="n"/>
      <c r="G10" s="14" t="n"/>
      <c r="H10" s="14">
        <f>IF(AND(F10="",G10=""),"",F10-G10)</f>
        <v/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 ht="15" customHeight="1">
      <c r="A11" s="13" t="n"/>
      <c r="B11" s="13" t="n"/>
      <c r="C11" s="13" t="n"/>
      <c r="D11" s="13" t="n"/>
      <c r="E11" s="13" t="n"/>
      <c r="F11" s="14" t="n"/>
      <c r="G11" s="14" t="n"/>
      <c r="H11" s="14">
        <f>IF(AND(F11="",G11=""),"",F11-G11)</f>
        <v/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 ht="15" customHeight="1">
      <c r="A12" s="13" t="n"/>
      <c r="B12" s="13" t="n"/>
      <c r="C12" s="13" t="n"/>
      <c r="D12" s="13" t="n"/>
      <c r="E12" s="13" t="n"/>
      <c r="F12" s="14" t="n"/>
      <c r="G12" s="14" t="n"/>
      <c r="H12" s="14">
        <f>IF(AND(F12="",G12=""),"",F12-G12)</f>
        <v/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 ht="15" customHeight="1">
      <c r="A13" s="13" t="n"/>
      <c r="B13" s="13" t="n"/>
      <c r="C13" s="13" t="n"/>
      <c r="D13" s="13" t="n"/>
      <c r="E13" s="13" t="n"/>
      <c r="F13" s="14" t="n"/>
      <c r="G13" s="14" t="n"/>
      <c r="H13" s="14">
        <f>IF(AND(F13="",G13=""),"",F13-G13)</f>
        <v/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 ht="15" customHeight="1">
      <c r="A14" s="13" t="n"/>
      <c r="B14" s="13" t="n"/>
      <c r="C14" s="13" t="n"/>
      <c r="D14" s="13" t="n"/>
      <c r="E14" s="13" t="n"/>
      <c r="F14" s="14" t="n"/>
      <c r="G14" s="14" t="n"/>
      <c r="H14" s="14">
        <f>IF(AND(F14="",G14=""),"",F14-G14)</f>
        <v/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 ht="15" customHeight="1">
      <c r="A15" s="13" t="n"/>
      <c r="B15" s="13" t="n"/>
      <c r="C15" s="13" t="n"/>
      <c r="D15" s="13" t="n"/>
      <c r="E15" s="13" t="n"/>
      <c r="F15" s="14" t="n"/>
      <c r="G15" s="14" t="n"/>
      <c r="H15" s="14">
        <f>IF(AND(F15="",G15=""),"",F15-G15)</f>
        <v/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 ht="15" customHeight="1">
      <c r="A16" s="13" t="n"/>
      <c r="B16" s="13" t="n"/>
      <c r="C16" s="13" t="n"/>
      <c r="D16" s="13" t="n"/>
      <c r="E16" s="13" t="n"/>
      <c r="F16" s="14" t="n"/>
      <c r="G16" s="14" t="n"/>
      <c r="H16" s="14">
        <f>IF(AND(F16="",G16=""),"",F16-G16)</f>
        <v/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15" customHeight="1">
      <c r="A17" s="13" t="n"/>
      <c r="B17" s="13" t="n"/>
      <c r="C17" s="13" t="n"/>
      <c r="D17" s="13" t="n"/>
      <c r="E17" s="13" t="n"/>
      <c r="F17" s="14" t="n"/>
      <c r="G17" s="14" t="n"/>
      <c r="H17" s="14">
        <f>IF(AND(F17="",G17=""),"",F17-G17)</f>
        <v/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 ht="15" customHeight="1">
      <c r="A18" s="13" t="n"/>
      <c r="B18" s="13" t="n"/>
      <c r="C18" s="13" t="n"/>
      <c r="D18" s="13" t="n"/>
      <c r="E18" s="13" t="n"/>
      <c r="F18" s="14" t="n"/>
      <c r="G18" s="14" t="n"/>
      <c r="H18" s="14">
        <f>IF(AND(F18="",G18=""),"",F18-G18)</f>
        <v/>
      </c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 ht="15" customHeight="1">
      <c r="A19" s="16" t="inlineStr">
        <is>
          <t>Total</t>
        </is>
      </c>
      <c r="B19" s="16" t="n"/>
      <c r="C19" s="16" t="n"/>
      <c r="D19" s="16" t="n"/>
      <c r="E19" s="16" t="n"/>
      <c r="F19" s="17">
        <f>SUM(F9:F18)</f>
        <v/>
      </c>
      <c r="G19" s="17">
        <f>SUM(G9:G18)</f>
        <v/>
      </c>
      <c r="H19" s="17">
        <f>F19-G19</f>
        <v/>
      </c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25.5" customHeight="1">
      <c r="A21" s="3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15" customHeight="1">
      <c r="A23" s="10" t="inlineStr">
        <is>
          <t>TM Legends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15" customHeight="1">
      <c r="A24" s="20" t="inlineStr">
        <is>
          <t>TB</t>
        </is>
      </c>
      <c r="B24" s="13" t="inlineStr">
        <is>
          <t>Agreed to trial balance</t>
        </is>
      </c>
      <c r="C24" s="30" t="n"/>
      <c r="D24" s="31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5" customHeight="1">
      <c r="A25" s="20" t="inlineStr">
        <is>
          <t>CF</t>
        </is>
      </c>
      <c r="B25" s="13" t="inlineStr">
        <is>
          <t>Confirmed with third party</t>
        </is>
      </c>
      <c r="C25" s="30" t="n"/>
      <c r="D25" s="31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 ht="15" customHeight="1">
      <c r="A26" s="20" t="inlineStr">
        <is>
          <t>V</t>
        </is>
      </c>
      <c r="B26" s="13" t="inlineStr">
        <is>
          <t>Vouched to source document</t>
        </is>
      </c>
      <c r="C26" s="30" t="n"/>
      <c r="D26" s="31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 ht="15" customHeight="1">
      <c r="A27" s="20" t="inlineStr">
        <is>
          <t>R</t>
        </is>
      </c>
      <c r="B27" s="13" t="inlineStr">
        <is>
          <t>Recalculated independently</t>
        </is>
      </c>
      <c r="C27" s="30" t="n"/>
      <c r="D27" s="31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 ht="15" customHeight="1">
      <c r="A28" s="20" t="inlineStr">
        <is>
          <t>F</t>
        </is>
      </c>
      <c r="B28" s="13" t="inlineStr">
        <is>
          <t>Footed / cross-cast</t>
        </is>
      </c>
      <c r="C28" s="30" t="n"/>
      <c r="D28" s="31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15" customHeight="1">
      <c r="A29" s="20" t="inlineStr">
        <is>
          <t>T</t>
        </is>
      </c>
      <c r="B29" s="13" t="inlineStr">
        <is>
          <t>Traced to downstream record</t>
        </is>
      </c>
      <c r="C29" s="30" t="n"/>
      <c r="D29" s="31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 ht="15" customHeight="1">
      <c r="A30" s="20" t="inlineStr">
        <is>
          <t>PBC</t>
        </is>
      </c>
      <c r="B30" s="13" t="inlineStr">
        <is>
          <t>Prepared by client</t>
        </is>
      </c>
      <c r="C30" s="30" t="n"/>
      <c r="D30" s="31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 ht="25.5" customHeight="1">
      <c r="A32" s="3" t="inlineStr">
        <is>
          <t>Before sign-off complete Library Procedures 6–10 (Bank Confirmation).</t>
        </is>
      </c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zoomScale="85" zoomScaleNormal="100" workbookViewId="0">
      <selection activeCell="A1" sqref="A1"/>
    </sheetView>
  </sheetViews>
  <sheetFormatPr baseColWidth="8" defaultColWidth="8.6328125" defaultRowHeight="14.5"/>
  <cols>
    <col width="24" customWidth="1" min="1" max="1"/>
    <col width="10" customWidth="1" min="2" max="2"/>
    <col width="22" customWidth="1" min="3" max="3"/>
    <col width="15" customWidth="1" min="4" max="4"/>
    <col width="18" customWidth="1" min="5" max="5"/>
    <col width="17" customWidth="1" min="6" max="7"/>
    <col width="18" customWidth="1" min="8" max="8"/>
    <col width="20" customWidth="1" min="9" max="9"/>
    <col width="18" customWidth="1" min="10" max="11"/>
    <col width="28" customWidth="1" min="12" max="12"/>
  </cols>
  <sheetData>
    <row r="1" ht="17.25" customHeight="1">
      <c r="A1" s="7" t="inlineStr">
        <is>
          <t>Bank Reconciliation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  <c r="I2" s="6" t="n"/>
      <c r="J2" s="6" t="n"/>
      <c r="K2" s="6" t="n"/>
      <c r="L2" s="6" t="n"/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  <c r="I3" s="6" t="n"/>
      <c r="J3" s="6" t="n"/>
      <c r="K3" s="6" t="n"/>
      <c r="L3" s="6" t="n"/>
    </row>
    <row r="4" ht="27.75" customHeight="1">
      <c r="A4" s="10" t="inlineStr">
        <is>
          <t>Purpose:</t>
        </is>
      </c>
      <c r="B4" s="5" t="inlineStr">
        <is>
          <t>Test each account's year-end bank reconciliation: agree the bank balance and book balance, test the reconciling items, and recompute.</t>
        </is>
      </c>
    </row>
    <row r="5" ht="15" customHeight="1">
      <c r="A5" s="10" t="inlineStr">
        <is>
          <t>Scope:</t>
        </is>
      </c>
      <c r="B5" s="5" t="inlineStr">
        <is>
          <t>The year-end bank reconciliation for every account on the lead sheet.</t>
        </is>
      </c>
    </row>
    <row r="6" ht="15" customHeight="1">
      <c r="A6" s="10" t="inlineStr">
        <is>
          <t>Assertions:</t>
        </is>
      </c>
      <c r="B6" s="5" t="inlineStr">
        <is>
          <t>Existence; Valuation; Completeness</t>
        </is>
      </c>
    </row>
    <row r="7" ht="39.75" customHeight="1">
      <c r="A7" s="11" t="inlineStr">
        <is>
          <t>Entity</t>
        </is>
      </c>
      <c r="B7" s="11" t="inlineStr">
        <is>
          <t>Account ID</t>
        </is>
      </c>
      <c r="C7" s="11" t="inlineStr">
        <is>
          <t>Bank / Institution</t>
        </is>
      </c>
      <c r="D7" s="11" t="inlineStr">
        <is>
          <t>GL balance</t>
        </is>
      </c>
      <c r="E7" s="11" t="inlineStr">
        <is>
          <t>Bank statement balance</t>
        </is>
      </c>
      <c r="F7" s="11" t="inlineStr">
        <is>
          <t>(+) Deposits in transit</t>
        </is>
      </c>
      <c r="G7" s="11" t="inlineStr">
        <is>
          <t>(−) Outstanding checks</t>
        </is>
      </c>
      <c r="H7" s="11" t="inlineStr">
        <is>
          <t>(+/−) Transfers in transit</t>
        </is>
      </c>
      <c r="I7" s="11" t="inlineStr">
        <is>
          <t>(+/−) Other reconciling items</t>
        </is>
      </c>
      <c r="J7" s="11" t="inlineStr">
        <is>
          <t>Reconciled bank balance</t>
        </is>
      </c>
      <c r="K7" s="11" t="inlineStr">
        <is>
          <t>Difference (GL − reconciled)</t>
        </is>
      </c>
      <c r="L7" s="11" t="inlineStr">
        <is>
          <t>Source / Comments</t>
        </is>
      </c>
    </row>
    <row r="8" ht="15" customHeight="1">
      <c r="A8" s="6" t="n"/>
      <c r="B8" s="6" t="n"/>
      <c r="C8" s="6" t="n"/>
      <c r="D8" s="12" t="inlineStr">
        <is>
          <t>TB</t>
        </is>
      </c>
      <c r="E8" s="12" t="inlineStr">
        <is>
          <t>CF</t>
        </is>
      </c>
      <c r="F8" s="12" t="inlineStr">
        <is>
          <t>V</t>
        </is>
      </c>
      <c r="G8" s="12" t="inlineStr">
        <is>
          <t>V</t>
        </is>
      </c>
      <c r="H8" s="12" t="inlineStr">
        <is>
          <t>V</t>
        </is>
      </c>
      <c r="I8" s="12" t="inlineStr">
        <is>
          <t>V</t>
        </is>
      </c>
      <c r="J8" s="12" t="inlineStr">
        <is>
          <t>R</t>
        </is>
      </c>
      <c r="K8" s="12" t="inlineStr">
        <is>
          <t>R</t>
        </is>
      </c>
      <c r="L8" s="6" t="n"/>
    </row>
    <row r="9" ht="15" customHeight="1">
      <c r="A9" s="13" t="n"/>
      <c r="B9" s="13" t="n"/>
      <c r="C9" s="13" t="n"/>
      <c r="D9" s="14" t="n"/>
      <c r="E9" s="14" t="n"/>
      <c r="F9" s="14" t="n"/>
      <c r="G9" s="14" t="n"/>
      <c r="H9" s="14" t="n"/>
      <c r="I9" s="14" t="n"/>
      <c r="J9" s="14">
        <f>IF(E9="","",E9+F9-G9+H9+I9)</f>
        <v/>
      </c>
      <c r="K9" s="14">
        <f>IF(J9="","",D9-J9)</f>
        <v/>
      </c>
      <c r="L9" s="13" t="n"/>
    </row>
    <row r="10" ht="15" customHeight="1">
      <c r="A10" s="13" t="n"/>
      <c r="B10" s="13" t="n"/>
      <c r="C10" s="13" t="n"/>
      <c r="D10" s="14" t="n"/>
      <c r="E10" s="14" t="n"/>
      <c r="F10" s="14" t="n"/>
      <c r="G10" s="14" t="n"/>
      <c r="H10" s="14" t="n"/>
      <c r="I10" s="14" t="n"/>
      <c r="J10" s="14">
        <f>IF(E10="","",E10+F10-G10+H10+I10)</f>
        <v/>
      </c>
      <c r="K10" s="14">
        <f>IF(J10="","",D10-J10)</f>
        <v/>
      </c>
      <c r="L10" s="13" t="n"/>
    </row>
    <row r="11" ht="15" customHeight="1">
      <c r="A11" s="13" t="n"/>
      <c r="B11" s="13" t="n"/>
      <c r="C11" s="13" t="n"/>
      <c r="D11" s="14" t="n"/>
      <c r="E11" s="14" t="n"/>
      <c r="F11" s="14" t="n"/>
      <c r="G11" s="14" t="n"/>
      <c r="H11" s="14" t="n"/>
      <c r="I11" s="14" t="n"/>
      <c r="J11" s="14">
        <f>IF(E11="","",E11+F11-G11+H11+I11)</f>
        <v/>
      </c>
      <c r="K11" s="14">
        <f>IF(J11="","",D11-J11)</f>
        <v/>
      </c>
      <c r="L11" s="13" t="n"/>
    </row>
    <row r="12" ht="15" customHeight="1">
      <c r="A12" s="13" t="n"/>
      <c r="B12" s="13" t="n"/>
      <c r="C12" s="13" t="n"/>
      <c r="D12" s="14" t="n"/>
      <c r="E12" s="14" t="n"/>
      <c r="F12" s="14" t="n"/>
      <c r="G12" s="14" t="n"/>
      <c r="H12" s="14" t="n"/>
      <c r="I12" s="14" t="n"/>
      <c r="J12" s="14">
        <f>IF(E12="","",E12+F12-G12+H12+I12)</f>
        <v/>
      </c>
      <c r="K12" s="14">
        <f>IF(J12="","",D12-J12)</f>
        <v/>
      </c>
      <c r="L12" s="13" t="n"/>
    </row>
    <row r="13" ht="15" customHeight="1">
      <c r="A13" s="13" t="n"/>
      <c r="B13" s="13" t="n"/>
      <c r="C13" s="13" t="n"/>
      <c r="D13" s="14" t="n"/>
      <c r="E13" s="14" t="n"/>
      <c r="F13" s="14" t="n"/>
      <c r="G13" s="14" t="n"/>
      <c r="H13" s="14" t="n"/>
      <c r="I13" s="14" t="n"/>
      <c r="J13" s="14">
        <f>IF(E13="","",E13+F13-G13+H13+I13)</f>
        <v/>
      </c>
      <c r="K13" s="14">
        <f>IF(J13="","",D13-J13)</f>
        <v/>
      </c>
      <c r="L13" s="13" t="n"/>
    </row>
    <row r="14" ht="15" customHeight="1">
      <c r="A14" s="13" t="n"/>
      <c r="B14" s="13" t="n"/>
      <c r="C14" s="13" t="n"/>
      <c r="D14" s="14" t="n"/>
      <c r="E14" s="14" t="n"/>
      <c r="F14" s="14" t="n"/>
      <c r="G14" s="14" t="n"/>
      <c r="H14" s="14" t="n"/>
      <c r="I14" s="14" t="n"/>
      <c r="J14" s="14">
        <f>IF(E14="","",E14+F14-G14+H14+I14)</f>
        <v/>
      </c>
      <c r="K14" s="14">
        <f>IF(J14="","",D14-J14)</f>
        <v/>
      </c>
      <c r="L14" s="13" t="n"/>
    </row>
    <row r="15" ht="15" customHeight="1">
      <c r="A15" s="13" t="n"/>
      <c r="B15" s="13" t="n"/>
      <c r="C15" s="13" t="n"/>
      <c r="D15" s="14" t="n"/>
      <c r="E15" s="14" t="n"/>
      <c r="F15" s="14" t="n"/>
      <c r="G15" s="14" t="n"/>
      <c r="H15" s="14" t="n"/>
      <c r="I15" s="14" t="n"/>
      <c r="J15" s="14">
        <f>IF(E15="","",E15+F15-G15+H15+I15)</f>
        <v/>
      </c>
      <c r="K15" s="14">
        <f>IF(J15="","",D15-J15)</f>
        <v/>
      </c>
      <c r="L15" s="13" t="n"/>
    </row>
    <row r="16" ht="15" customHeight="1">
      <c r="A16" s="13" t="n"/>
      <c r="B16" s="13" t="n"/>
      <c r="C16" s="13" t="n"/>
      <c r="D16" s="14" t="n"/>
      <c r="E16" s="14" t="n"/>
      <c r="F16" s="14" t="n"/>
      <c r="G16" s="14" t="n"/>
      <c r="H16" s="14" t="n"/>
      <c r="I16" s="14" t="n"/>
      <c r="J16" s="14">
        <f>IF(E16="","",E16+F16-G16+H16+I16)</f>
        <v/>
      </c>
      <c r="K16" s="14">
        <f>IF(J16="","",D16-J16)</f>
        <v/>
      </c>
      <c r="L16" s="13" t="n"/>
    </row>
    <row r="17" ht="15" customHeight="1">
      <c r="A17" s="13" t="n"/>
      <c r="B17" s="13" t="n"/>
      <c r="C17" s="13" t="n"/>
      <c r="D17" s="14" t="n"/>
      <c r="E17" s="14" t="n"/>
      <c r="F17" s="14" t="n"/>
      <c r="G17" s="14" t="n"/>
      <c r="H17" s="14" t="n"/>
      <c r="I17" s="14" t="n"/>
      <c r="J17" s="14">
        <f>IF(E17="","",E17+F17-G17+H17+I17)</f>
        <v/>
      </c>
      <c r="K17" s="14">
        <f>IF(J17="","",D17-J17)</f>
        <v/>
      </c>
      <c r="L17" s="13" t="n"/>
    </row>
    <row r="18" ht="15" customHeight="1">
      <c r="A18" s="13" t="n"/>
      <c r="B18" s="13" t="n"/>
      <c r="C18" s="13" t="n"/>
      <c r="D18" s="14" t="n"/>
      <c r="E18" s="14" t="n"/>
      <c r="F18" s="14" t="n"/>
      <c r="G18" s="14" t="n"/>
      <c r="H18" s="14" t="n"/>
      <c r="I18" s="14" t="n"/>
      <c r="J18" s="14">
        <f>IF(E18="","",E18+F18-G18+H18+I18)</f>
        <v/>
      </c>
      <c r="K18" s="14">
        <f>IF(J18="","",D18-J18)</f>
        <v/>
      </c>
      <c r="L18" s="13" t="n"/>
    </row>
    <row r="19" ht="15" customHeight="1">
      <c r="A19" s="16" t="inlineStr">
        <is>
          <t>Total</t>
        </is>
      </c>
      <c r="B19" s="16" t="n"/>
      <c r="C19" s="16" t="n"/>
      <c r="D19" s="17">
        <f>SUM(D9:D18)</f>
        <v/>
      </c>
      <c r="E19" s="17">
        <f>SUM(E9:E18)</f>
        <v/>
      </c>
      <c r="F19" s="17">
        <f>SUM(F9:F18)</f>
        <v/>
      </c>
      <c r="G19" s="17">
        <f>SUM(G9:G18)</f>
        <v/>
      </c>
      <c r="H19" s="17">
        <f>SUM(H9:H18)</f>
        <v/>
      </c>
      <c r="I19" s="17">
        <f>SUM(I9:I18)</f>
        <v/>
      </c>
      <c r="J19" s="17">
        <f>SUM(J9:J18)</f>
        <v/>
      </c>
      <c r="K19" s="17">
        <f>D19-J19</f>
        <v/>
      </c>
      <c r="L19" s="1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5.5" customHeight="1">
      <c r="A21" s="3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" customHeight="1">
      <c r="A23" s="10" t="inlineStr">
        <is>
          <t>TM Legends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" customHeight="1">
      <c r="A24" s="20" t="inlineStr">
        <is>
          <t>TB</t>
        </is>
      </c>
      <c r="B24" s="13" t="inlineStr">
        <is>
          <t>Agreed to trial balance</t>
        </is>
      </c>
      <c r="C24" s="30" t="n"/>
      <c r="D24" s="31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" customHeight="1">
      <c r="A25" s="20" t="inlineStr">
        <is>
          <t>CF</t>
        </is>
      </c>
      <c r="B25" s="13" t="inlineStr">
        <is>
          <t>Confirmed with third party</t>
        </is>
      </c>
      <c r="C25" s="30" t="n"/>
      <c r="D25" s="31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" customHeight="1">
      <c r="A26" s="20" t="inlineStr">
        <is>
          <t>V</t>
        </is>
      </c>
      <c r="B26" s="13" t="inlineStr">
        <is>
          <t>Vouched to source document</t>
        </is>
      </c>
      <c r="C26" s="30" t="n"/>
      <c r="D26" s="31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" customHeight="1">
      <c r="A27" s="20" t="inlineStr">
        <is>
          <t>R</t>
        </is>
      </c>
      <c r="B27" s="13" t="inlineStr">
        <is>
          <t>Recalculated independently</t>
        </is>
      </c>
      <c r="C27" s="30" t="n"/>
      <c r="D27" s="31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" customHeight="1">
      <c r="A28" s="20" t="inlineStr">
        <is>
          <t>F</t>
        </is>
      </c>
      <c r="B28" s="13" t="inlineStr">
        <is>
          <t>Footed / cross-cast</t>
        </is>
      </c>
      <c r="C28" s="30" t="n"/>
      <c r="D28" s="31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" customHeight="1">
      <c r="A29" s="20" t="inlineStr">
        <is>
          <t>T</t>
        </is>
      </c>
      <c r="B29" s="13" t="inlineStr">
        <is>
          <t>Traced to downstream record</t>
        </is>
      </c>
      <c r="C29" s="30" t="n"/>
      <c r="D29" s="31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15" customHeight="1">
      <c r="A30" s="20" t="inlineStr">
        <is>
          <t>PBC</t>
        </is>
      </c>
      <c r="B30" s="13" t="inlineStr">
        <is>
          <t>Prepared by client</t>
        </is>
      </c>
      <c r="C30" s="30" t="n"/>
      <c r="D30" s="31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25.5" customHeight="1">
      <c r="A32" s="3" t="inlineStr">
        <is>
          <t>Before sign-off complete Library Procedures 11–14 (Bank Reconciliation).</t>
        </is>
      </c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topLeftCell="A10" zoomScale="85" zoomScaleNormal="100" workbookViewId="0">
      <selection activeCell="B4" sqref="B4:H4"/>
    </sheetView>
  </sheetViews>
  <sheetFormatPr baseColWidth="8" defaultColWidth="8.6328125" defaultRowHeight="14.5"/>
  <cols>
    <col width="12" customWidth="1" min="1" max="1"/>
    <col width="26" customWidth="1" min="2" max="2"/>
    <col width="13" customWidth="1" min="3" max="3"/>
    <col width="14" customWidth="1" min="4" max="4"/>
    <col width="13" customWidth="1" min="5" max="5"/>
    <col width="34" customWidth="1" min="6" max="6"/>
    <col width="13" customWidth="1" min="7" max="7"/>
    <col width="30" customWidth="1" min="8" max="8"/>
  </cols>
  <sheetData>
    <row r="1" ht="17.25" customHeight="1">
      <c r="A1" s="7" t="inlineStr">
        <is>
          <t>Outstanding Checks Testing</t>
        </is>
      </c>
      <c r="B1" s="6" t="n"/>
      <c r="C1" s="6" t="n"/>
      <c r="D1" s="6" t="n"/>
      <c r="E1" s="6" t="n"/>
      <c r="F1" s="6" t="n"/>
      <c r="G1" s="6" t="n"/>
      <c r="H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</row>
    <row r="4" ht="42" customHeight="1">
      <c r="A4" s="10" t="inlineStr">
        <is>
          <t>Purpose:</t>
        </is>
      </c>
      <c r="B4" s="5" t="inlineStr">
        <is>
          <t>Test outstanding checks in two directions: existence (list → bank statement) on a sample basis, and completeness (bank statement → list) for at least 5–10 items regardless of population.</t>
        </is>
      </c>
    </row>
    <row r="5" ht="15" customHeight="1">
      <c r="A5" s="10" t="inlineStr">
        <is>
          <t>Scope:</t>
        </is>
      </c>
      <c r="B5" s="5" t="inlineStr">
        <is>
          <t>Year-end outstanding-check list and the subsequent-period (cutoff) bank statement.</t>
        </is>
      </c>
    </row>
    <row r="6" ht="15" customHeight="1">
      <c r="A6" s="10" t="inlineStr">
        <is>
          <t>Assertions:</t>
        </is>
      </c>
      <c r="B6" s="5" t="inlineStr">
        <is>
          <t>Existence; Completeness; Cutoff</t>
        </is>
      </c>
    </row>
    <row r="7" ht="15" customHeight="1">
      <c r="A7" s="10" t="inlineStr">
        <is>
          <t>Section A — Existence: from the outstanding-check LIST → subsequent bank statement (SAMPLE basis)</t>
        </is>
      </c>
    </row>
    <row r="8" ht="30" customHeight="1">
      <c r="A8" s="11" t="inlineStr">
        <is>
          <t>Check #</t>
        </is>
      </c>
      <c r="B8" s="11" t="inlineStr">
        <is>
          <t>Payee</t>
        </is>
      </c>
      <c r="C8" s="11" t="inlineStr">
        <is>
          <t>Check date</t>
        </is>
      </c>
      <c r="D8" s="11" t="inlineStr">
        <is>
          <t>Amount</t>
        </is>
      </c>
      <c r="E8" s="11" t="inlineStr">
        <is>
          <t>Per O/S list (Y)</t>
        </is>
      </c>
      <c r="F8" s="11" t="inlineStr">
        <is>
          <t>Cleared per subsequent bank statement (date)</t>
        </is>
      </c>
      <c r="G8" s="11" t="inlineStr">
        <is>
          <t>Agreed (Y/N)</t>
        </is>
      </c>
      <c r="H8" s="11" t="inlineStr">
        <is>
          <t>Comments</t>
        </is>
      </c>
    </row>
    <row r="9" ht="15" customHeight="1">
      <c r="A9" s="6" t="n"/>
      <c r="B9" s="6" t="n"/>
      <c r="C9" s="6" t="n"/>
      <c r="D9" s="12" t="inlineStr">
        <is>
          <t>V</t>
        </is>
      </c>
      <c r="E9" s="6" t="n"/>
      <c r="F9" s="6" t="n"/>
      <c r="G9" s="6" t="n"/>
      <c r="H9" s="6" t="n"/>
    </row>
    <row r="10" ht="15" customHeight="1">
      <c r="A10" s="13" t="n"/>
      <c r="B10" s="13" t="n"/>
      <c r="C10" s="13" t="n"/>
      <c r="D10" s="14" t="n"/>
      <c r="E10" s="13" t="n"/>
      <c r="F10" s="13" t="n"/>
      <c r="G10" s="13" t="n"/>
      <c r="H10" s="13" t="n"/>
    </row>
    <row r="11" ht="15" customHeight="1">
      <c r="A11" s="13" t="n"/>
      <c r="B11" s="13" t="n"/>
      <c r="C11" s="13" t="n"/>
      <c r="D11" s="14" t="n"/>
      <c r="E11" s="13" t="n"/>
      <c r="F11" s="13" t="n"/>
      <c r="G11" s="13" t="n"/>
      <c r="H11" s="13" t="n"/>
    </row>
    <row r="12" ht="15" customHeight="1">
      <c r="A12" s="13" t="n"/>
      <c r="B12" s="13" t="n"/>
      <c r="C12" s="13" t="n"/>
      <c r="D12" s="14" t="n"/>
      <c r="E12" s="13" t="n"/>
      <c r="F12" s="13" t="n"/>
      <c r="G12" s="13" t="n"/>
      <c r="H12" s="13" t="n"/>
    </row>
    <row r="13" ht="15" customHeight="1">
      <c r="A13" s="13" t="n"/>
      <c r="B13" s="13" t="n"/>
      <c r="C13" s="13" t="n"/>
      <c r="D13" s="14" t="n"/>
      <c r="E13" s="13" t="n"/>
      <c r="F13" s="13" t="n"/>
      <c r="G13" s="13" t="n"/>
      <c r="H13" s="13" t="n"/>
    </row>
    <row r="14" ht="15" customHeight="1">
      <c r="A14" s="13" t="n"/>
      <c r="B14" s="13" t="n"/>
      <c r="C14" s="13" t="n"/>
      <c r="D14" s="14" t="n"/>
      <c r="E14" s="13" t="n"/>
      <c r="F14" s="13" t="n"/>
      <c r="G14" s="13" t="n"/>
      <c r="H14" s="13" t="n"/>
    </row>
    <row r="15" ht="15" customHeight="1">
      <c r="A15" s="13" t="n"/>
      <c r="B15" s="13" t="n"/>
      <c r="C15" s="13" t="n"/>
      <c r="D15" s="14" t="n"/>
      <c r="E15" s="13" t="n"/>
      <c r="F15" s="13" t="n"/>
      <c r="G15" s="13" t="n"/>
      <c r="H15" s="13" t="n"/>
    </row>
    <row r="16" ht="15" customHeight="1">
      <c r="A16" s="13" t="n"/>
      <c r="B16" s="13" t="n"/>
      <c r="C16" s="13" t="n"/>
      <c r="D16" s="14" t="n"/>
      <c r="E16" s="13" t="n"/>
      <c r="F16" s="13" t="n"/>
      <c r="G16" s="13" t="n"/>
      <c r="H16" s="13" t="n"/>
    </row>
    <row r="17" ht="15" customHeight="1">
      <c r="A17" s="13" t="n"/>
      <c r="B17" s="13" t="n"/>
      <c r="C17" s="13" t="n"/>
      <c r="D17" s="14" t="n"/>
      <c r="E17" s="13" t="n"/>
      <c r="F17" s="13" t="n"/>
      <c r="G17" s="13" t="n"/>
      <c r="H17" s="13" t="n"/>
    </row>
    <row r="18" ht="15" customHeight="1">
      <c r="A18" s="13" t="n"/>
      <c r="B18" s="13" t="n"/>
      <c r="C18" s="13" t="n"/>
      <c r="D18" s="14" t="n"/>
      <c r="E18" s="13" t="n"/>
      <c r="F18" s="13" t="n"/>
      <c r="G18" s="13" t="n"/>
      <c r="H18" s="13" t="n"/>
    </row>
    <row r="19" ht="15" customHeight="1">
      <c r="A19" s="13" t="n"/>
      <c r="B19" s="13" t="n"/>
      <c r="C19" s="13" t="n"/>
      <c r="D19" s="14" t="n"/>
      <c r="E19" s="13" t="n"/>
      <c r="F19" s="13" t="n"/>
      <c r="G19" s="13" t="n"/>
      <c r="H19" s="13" t="n"/>
    </row>
    <row r="20" ht="15" customHeight="1">
      <c r="A20" s="13" t="n"/>
      <c r="B20" s="13" t="n"/>
      <c r="C20" s="13" t="n"/>
      <c r="D20" s="14" t="n"/>
      <c r="E20" s="13" t="n"/>
      <c r="F20" s="13" t="n"/>
      <c r="G20" s="13" t="n"/>
      <c r="H20" s="13" t="n"/>
    </row>
    <row r="21" ht="15" customHeight="1">
      <c r="A21" s="13" t="n"/>
      <c r="B21" s="13" t="n"/>
      <c r="C21" s="13" t="n"/>
      <c r="D21" s="14" t="n"/>
      <c r="E21" s="13" t="n"/>
      <c r="F21" s="13" t="n"/>
      <c r="G21" s="13" t="n"/>
      <c r="H21" s="13" t="n"/>
    </row>
    <row r="22" ht="15" customHeight="1">
      <c r="A22" s="10" t="inlineStr">
        <is>
          <t>Section B — Completeness: from subsequent bank STATEMENT → outstanding-check list (select at least 5–10, regardless of population)</t>
        </is>
      </c>
    </row>
    <row r="23" ht="30" customHeight="1">
      <c r="A23" s="11" t="inlineStr">
        <is>
          <t>Item per subsequent bank statement</t>
        </is>
      </c>
      <c r="B23" s="11" t="inlineStr">
        <is>
          <t>Cleared date</t>
        </is>
      </c>
      <c r="C23" s="11" t="inlineStr">
        <is>
          <t>Amount</t>
        </is>
      </c>
      <c r="D23" s="11" t="inlineStr">
        <is>
          <t>Check #</t>
        </is>
      </c>
      <c r="E23" s="11" t="inlineStr">
        <is>
          <t>On year-end O/S list? (Y/N)</t>
        </is>
      </c>
      <c r="F23" s="11" t="inlineStr">
        <is>
          <t>Recorded in proper period (Y/N)</t>
        </is>
      </c>
      <c r="G23" s="11" t="n"/>
      <c r="H23" s="11" t="inlineStr">
        <is>
          <t>Comments</t>
        </is>
      </c>
    </row>
    <row r="24" ht="15" customHeight="1">
      <c r="A24" s="13" t="n"/>
      <c r="B24" s="13" t="n"/>
      <c r="C24" s="14" t="n"/>
      <c r="D24" s="13" t="n"/>
      <c r="E24" s="13" t="n"/>
      <c r="F24" s="13" t="n"/>
      <c r="G24" s="13" t="n"/>
      <c r="H24" s="13" t="n"/>
    </row>
    <row r="25" ht="15" customHeight="1">
      <c r="A25" s="13" t="n"/>
      <c r="B25" s="13" t="n"/>
      <c r="C25" s="14" t="n"/>
      <c r="D25" s="13" t="n"/>
      <c r="E25" s="13" t="n"/>
      <c r="F25" s="13" t="n"/>
      <c r="G25" s="13" t="n"/>
      <c r="H25" s="13" t="n"/>
    </row>
    <row r="26" ht="15" customHeight="1">
      <c r="A26" s="13" t="n"/>
      <c r="B26" s="13" t="n"/>
      <c r="C26" s="14" t="n"/>
      <c r="D26" s="13" t="n"/>
      <c r="E26" s="13" t="n"/>
      <c r="F26" s="13" t="n"/>
      <c r="G26" s="13" t="n"/>
      <c r="H26" s="13" t="n"/>
    </row>
    <row r="27" ht="15" customHeight="1">
      <c r="A27" s="13" t="n"/>
      <c r="B27" s="13" t="n"/>
      <c r="C27" s="14" t="n"/>
      <c r="D27" s="13" t="n"/>
      <c r="E27" s="13" t="n"/>
      <c r="F27" s="13" t="n"/>
      <c r="G27" s="13" t="n"/>
      <c r="H27" s="13" t="n"/>
    </row>
    <row r="28" ht="15" customHeight="1">
      <c r="A28" s="13" t="n"/>
      <c r="B28" s="13" t="n"/>
      <c r="C28" s="14" t="n"/>
      <c r="D28" s="13" t="n"/>
      <c r="E28" s="13" t="n"/>
      <c r="F28" s="13" t="n"/>
      <c r="G28" s="13" t="n"/>
      <c r="H28" s="13" t="n"/>
    </row>
    <row r="29" ht="15" customHeight="1">
      <c r="A29" s="13" t="n"/>
      <c r="B29" s="13" t="n"/>
      <c r="C29" s="14" t="n"/>
      <c r="D29" s="13" t="n"/>
      <c r="E29" s="13" t="n"/>
      <c r="F29" s="13" t="n"/>
      <c r="G29" s="13" t="n"/>
      <c r="H29" s="13" t="n"/>
    </row>
    <row r="30" ht="15" customHeight="1">
      <c r="A30" s="13" t="n"/>
      <c r="B30" s="13" t="n"/>
      <c r="C30" s="14" t="n"/>
      <c r="D30" s="13" t="n"/>
      <c r="E30" s="13" t="n"/>
      <c r="F30" s="13" t="n"/>
      <c r="G30" s="13" t="n"/>
      <c r="H30" s="13" t="n"/>
    </row>
    <row r="31" ht="15" customHeight="1">
      <c r="A31" s="13" t="n"/>
      <c r="B31" s="13" t="n"/>
      <c r="C31" s="14" t="n"/>
      <c r="D31" s="13" t="n"/>
      <c r="E31" s="13" t="n"/>
      <c r="F31" s="13" t="n"/>
      <c r="G31" s="13" t="n"/>
      <c r="H31" s="13" t="n"/>
    </row>
    <row r="32" ht="15" customHeight="1">
      <c r="A32" s="13" t="n"/>
      <c r="B32" s="13" t="n"/>
      <c r="C32" s="14" t="n"/>
      <c r="D32" s="13" t="n"/>
      <c r="E32" s="13" t="n"/>
      <c r="F32" s="13" t="n"/>
      <c r="G32" s="13" t="n"/>
      <c r="H32" s="13" t="n"/>
    </row>
    <row r="33" ht="15" customHeight="1">
      <c r="A33" s="13" t="n"/>
      <c r="B33" s="13" t="n"/>
      <c r="C33" s="14" t="n"/>
      <c r="D33" s="13" t="n"/>
      <c r="E33" s="13" t="n"/>
      <c r="F33" s="13" t="n"/>
      <c r="G33" s="13" t="n"/>
      <c r="H33" s="13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25.5" customHeight="1">
      <c r="A35" s="3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10" t="inlineStr">
        <is>
          <t>TM Legends</t>
        </is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20" t="inlineStr">
        <is>
          <t>TB</t>
        </is>
      </c>
      <c r="B38" s="13" t="inlineStr">
        <is>
          <t>Agreed to trial balance</t>
        </is>
      </c>
      <c r="C38" s="30" t="n"/>
      <c r="D38" s="31" t="n"/>
      <c r="E38" s="6" t="n"/>
      <c r="F38" s="6" t="n"/>
      <c r="G38" s="6" t="n"/>
      <c r="H38" s="6" t="n"/>
    </row>
    <row r="39" ht="15" customHeight="1">
      <c r="A39" s="20" t="inlineStr">
        <is>
          <t>CF</t>
        </is>
      </c>
      <c r="B39" s="13" t="inlineStr">
        <is>
          <t>Confirmed with third party</t>
        </is>
      </c>
      <c r="C39" s="30" t="n"/>
      <c r="D39" s="31" t="n"/>
      <c r="E39" s="6" t="n"/>
      <c r="F39" s="6" t="n"/>
      <c r="G39" s="6" t="n"/>
      <c r="H39" s="6" t="n"/>
    </row>
    <row r="40" ht="15" customHeight="1">
      <c r="A40" s="20" t="inlineStr">
        <is>
          <t>V</t>
        </is>
      </c>
      <c r="B40" s="13" t="inlineStr">
        <is>
          <t>Vouched to source document</t>
        </is>
      </c>
      <c r="C40" s="30" t="n"/>
      <c r="D40" s="31" t="n"/>
      <c r="E40" s="6" t="n"/>
      <c r="F40" s="6" t="n"/>
      <c r="G40" s="6" t="n"/>
      <c r="H40" s="6" t="n"/>
    </row>
    <row r="41" ht="15" customHeight="1">
      <c r="A41" s="20" t="inlineStr">
        <is>
          <t>R</t>
        </is>
      </c>
      <c r="B41" s="13" t="inlineStr">
        <is>
          <t>Recalculated independently</t>
        </is>
      </c>
      <c r="C41" s="30" t="n"/>
      <c r="D41" s="31" t="n"/>
      <c r="E41" s="6" t="n"/>
      <c r="F41" s="6" t="n"/>
      <c r="G41" s="6" t="n"/>
      <c r="H41" s="6" t="n"/>
    </row>
    <row r="42" ht="15" customHeight="1">
      <c r="A42" s="20" t="inlineStr">
        <is>
          <t>F</t>
        </is>
      </c>
      <c r="B42" s="13" t="inlineStr">
        <is>
          <t>Footed / cross-cast</t>
        </is>
      </c>
      <c r="C42" s="30" t="n"/>
      <c r="D42" s="31" t="n"/>
      <c r="E42" s="6" t="n"/>
      <c r="F42" s="6" t="n"/>
      <c r="G42" s="6" t="n"/>
      <c r="H42" s="6" t="n"/>
    </row>
    <row r="43" ht="15" customHeight="1">
      <c r="A43" s="20" t="inlineStr">
        <is>
          <t>T</t>
        </is>
      </c>
      <c r="B43" s="13" t="inlineStr">
        <is>
          <t>Traced to downstream record</t>
        </is>
      </c>
      <c r="C43" s="30" t="n"/>
      <c r="D43" s="31" t="n"/>
      <c r="E43" s="6" t="n"/>
      <c r="F43" s="6" t="n"/>
      <c r="G43" s="6" t="n"/>
      <c r="H43" s="6" t="n"/>
    </row>
    <row r="44" ht="15" customHeight="1">
      <c r="A44" s="20" t="inlineStr">
        <is>
          <t>PBC</t>
        </is>
      </c>
      <c r="B44" s="13" t="inlineStr">
        <is>
          <t>Prepared by client</t>
        </is>
      </c>
      <c r="C44" s="30" t="n"/>
      <c r="D44" s="31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 ht="25.5" customHeight="1">
      <c r="A46" s="3" t="inlineStr">
        <is>
          <t>Before sign-off complete Library Procedures 15–17 (Outstanding Checks).</t>
        </is>
      </c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zoomScale="85" zoomScaleNormal="100" workbookViewId="0">
      <selection activeCell="A12" sqref="A12"/>
    </sheetView>
  </sheetViews>
  <sheetFormatPr baseColWidth="8" defaultColWidth="8.6328125" defaultRowHeight="14.5"/>
  <cols>
    <col width="30" customWidth="1" min="1" max="1"/>
    <col width="22" customWidth="1" min="2" max="3"/>
    <col width="13" customWidth="1" min="4" max="4"/>
    <col width="14" customWidth="1" min="5" max="5"/>
    <col width="20" customWidth="1" min="6" max="6"/>
    <col width="22" customWidth="1" min="7" max="7"/>
    <col width="24" customWidth="1" min="8" max="8"/>
    <col width="28" customWidth="1" min="9" max="9"/>
  </cols>
  <sheetData>
    <row r="1" ht="17.25" customHeight="1">
      <c r="A1" s="7" t="inlineStr">
        <is>
          <t>Cutoff Procedures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  <c r="I2" s="6" t="n"/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  <c r="I3" s="6" t="n"/>
    </row>
    <row r="4" ht="27.75" customHeight="1">
      <c r="A4" s="10" t="inlineStr">
        <is>
          <t>Purpose:</t>
        </is>
      </c>
      <c r="B4" s="5" t="inlineStr">
        <is>
          <t>Obtain the complete subsequent-period cutoff bank statement and test that period-end reconciling items and interaccount transfers are recorded in the proper period.</t>
        </is>
      </c>
    </row>
    <row r="5" ht="27.75" customHeight="1">
      <c r="A5" s="10" t="inlineStr">
        <is>
          <t>Scope:</t>
        </is>
      </c>
      <c r="B5" s="5" t="inlineStr">
        <is>
          <t>Cash activity around period-end for all accounts, using the full cutoff bank statement (not only items that clear the year-end rec).</t>
        </is>
      </c>
    </row>
    <row r="6" ht="15" customHeight="1">
      <c r="A6" s="10" t="inlineStr">
        <is>
          <t>Assertions:</t>
        </is>
      </c>
      <c r="B6" s="5" t="inlineStr">
        <is>
          <t>Cutoff; Completeness</t>
        </is>
      </c>
    </row>
    <row r="7" ht="30" customHeight="1">
      <c r="A7" s="11" t="inlineStr">
        <is>
          <t>Procedure area</t>
        </is>
      </c>
      <c r="B7" s="11" t="inlineStr">
        <is>
          <t>Entity</t>
        </is>
      </c>
      <c r="C7" s="11" t="inlineStr">
        <is>
          <t>Bank / Institution</t>
        </is>
      </c>
      <c r="D7" s="11" t="inlineStr">
        <is>
          <t>Date</t>
        </is>
      </c>
      <c r="E7" s="11" t="inlineStr">
        <is>
          <t>Amount</t>
        </is>
      </c>
      <c r="F7" s="11" t="inlineStr">
        <is>
          <t>Cleared in proper period (Y/N)</t>
        </is>
      </c>
      <c r="G7" s="11" t="inlineStr">
        <is>
          <t>Per cutoff bank statement (Y/N)</t>
        </is>
      </c>
      <c r="H7" s="11" t="inlineStr">
        <is>
          <t>Result</t>
        </is>
      </c>
      <c r="I7" s="11" t="inlineStr">
        <is>
          <t>Source / Comments</t>
        </is>
      </c>
    </row>
    <row r="8" ht="15" customHeight="1">
      <c r="A8" s="6" t="n"/>
      <c r="B8" s="6" t="n"/>
      <c r="C8" s="6" t="n"/>
      <c r="D8" s="12" t="inlineStr">
        <is>
          <t>V</t>
        </is>
      </c>
      <c r="E8" s="6" t="n"/>
      <c r="F8" s="6" t="n"/>
      <c r="G8" s="12" t="inlineStr">
        <is>
          <t>T</t>
        </is>
      </c>
      <c r="H8" s="6" t="n"/>
      <c r="I8" s="6" t="n"/>
    </row>
    <row r="9" ht="15" customHeight="1">
      <c r="A9" s="13" t="inlineStr">
        <is>
          <t>Outstanding check cutoff</t>
        </is>
      </c>
      <c r="B9" s="13" t="n"/>
      <c r="C9" s="13" t="n"/>
      <c r="D9" s="13" t="n"/>
      <c r="E9" s="14" t="n"/>
      <c r="F9" s="13" t="n"/>
      <c r="G9" s="13" t="n"/>
      <c r="H9" s="13" t="n"/>
      <c r="I9" s="13" t="n"/>
    </row>
    <row r="10" ht="15" customHeight="1">
      <c r="A10" s="13" t="inlineStr">
        <is>
          <t>Deposit-in-transit cutoff</t>
        </is>
      </c>
      <c r="B10" s="13" t="n"/>
      <c r="C10" s="13" t="n"/>
      <c r="D10" s="13" t="n"/>
      <c r="E10" s="14" t="n"/>
      <c r="F10" s="13" t="n"/>
      <c r="G10" s="13" t="n"/>
      <c r="H10" s="13" t="n"/>
      <c r="I10" s="13" t="n"/>
    </row>
    <row r="11" ht="15" customHeight="1">
      <c r="A11" s="13" t="inlineStr">
        <is>
          <t>Interaccount transfer cutoff (both sides)</t>
        </is>
      </c>
      <c r="B11" s="13" t="n"/>
      <c r="C11" s="13" t="n"/>
      <c r="D11" s="13" t="n"/>
      <c r="E11" s="14" t="n"/>
      <c r="F11" s="13" t="n"/>
      <c r="G11" s="13" t="n"/>
      <c r="H11" s="13" t="n"/>
      <c r="I11" s="13" t="n"/>
    </row>
    <row r="12" ht="15" customHeight="1">
      <c r="A12" s="13" t="inlineStr">
        <is>
          <t>Subsequent-period activity scan</t>
        </is>
      </c>
      <c r="B12" s="13" t="n"/>
      <c r="C12" s="13" t="n"/>
      <c r="D12" s="13" t="n"/>
      <c r="E12" s="14" t="n"/>
      <c r="F12" s="13" t="n"/>
      <c r="G12" s="13" t="n"/>
      <c r="H12" s="13" t="n"/>
      <c r="I12" s="13" t="n"/>
    </row>
    <row r="13" ht="15" customHeight="1">
      <c r="A13" s="13" t="inlineStr">
        <is>
          <t>Complete cutoff bank statement review</t>
        </is>
      </c>
      <c r="B13" s="13" t="n"/>
      <c r="C13" s="13" t="n"/>
      <c r="D13" s="13" t="n"/>
      <c r="E13" s="14" t="n"/>
      <c r="F13" s="13" t="n"/>
      <c r="G13" s="13" t="n"/>
      <c r="H13" s="13" t="n"/>
      <c r="I13" s="13" t="n"/>
    </row>
    <row r="14" ht="15" customHeight="1">
      <c r="A14" s="13" t="inlineStr">
        <is>
          <t>Inter-bank transfer / kiting schedule</t>
        </is>
      </c>
      <c r="B14" s="13" t="n"/>
      <c r="C14" s="13" t="n"/>
      <c r="D14" s="13" t="n"/>
      <c r="E14" s="14" t="n"/>
      <c r="F14" s="13" t="n"/>
      <c r="G14" s="13" t="n"/>
      <c r="H14" s="13" t="n"/>
      <c r="I14" s="13" t="n"/>
    </row>
    <row r="15" ht="15" customHeight="1">
      <c r="A15" s="13" t="n"/>
      <c r="B15" s="13" t="n"/>
      <c r="C15" s="13" t="n"/>
      <c r="D15" s="13" t="n"/>
      <c r="E15" s="14" t="n"/>
      <c r="F15" s="13" t="n"/>
      <c r="G15" s="13" t="n"/>
      <c r="H15" s="13" t="n"/>
      <c r="I15" s="13" t="n"/>
    </row>
    <row r="16" ht="15" customHeight="1">
      <c r="A16" s="13" t="n"/>
      <c r="B16" s="13" t="n"/>
      <c r="C16" s="13" t="n"/>
      <c r="D16" s="13" t="n"/>
      <c r="E16" s="14" t="n"/>
      <c r="F16" s="13" t="n"/>
      <c r="G16" s="13" t="n"/>
      <c r="H16" s="13" t="n"/>
      <c r="I16" s="13" t="n"/>
    </row>
    <row r="17" ht="15" customHeight="1">
      <c r="A17" s="13" t="n"/>
      <c r="B17" s="13" t="n"/>
      <c r="C17" s="13" t="n"/>
      <c r="D17" s="13" t="n"/>
      <c r="E17" s="14" t="n"/>
      <c r="F17" s="13" t="n"/>
      <c r="G17" s="13" t="n"/>
      <c r="H17" s="13" t="n"/>
      <c r="I17" s="13" t="n"/>
    </row>
    <row r="18" ht="15" customHeight="1">
      <c r="A18" s="13" t="n"/>
      <c r="B18" s="13" t="n"/>
      <c r="C18" s="13" t="n"/>
      <c r="D18" s="13" t="n"/>
      <c r="E18" s="14" t="n"/>
      <c r="F18" s="13" t="n"/>
      <c r="G18" s="13" t="n"/>
      <c r="H18" s="13" t="n"/>
      <c r="I18" s="13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25.5" customHeight="1">
      <c r="A20" s="3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15" customHeight="1">
      <c r="A22" s="10" t="inlineStr">
        <is>
          <t>TM Legends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15" customHeight="1">
      <c r="A23" s="20" t="inlineStr">
        <is>
          <t>TB</t>
        </is>
      </c>
      <c r="B23" s="13" t="inlineStr">
        <is>
          <t>Agreed to trial balance</t>
        </is>
      </c>
      <c r="C23" s="30" t="n"/>
      <c r="D23" s="31" t="n"/>
      <c r="E23" s="6" t="n"/>
      <c r="F23" s="6" t="n"/>
      <c r="G23" s="6" t="n"/>
      <c r="H23" s="6" t="n"/>
      <c r="I23" s="6" t="n"/>
    </row>
    <row r="24" ht="15" customHeight="1">
      <c r="A24" s="20" t="inlineStr">
        <is>
          <t>CF</t>
        </is>
      </c>
      <c r="B24" s="13" t="inlineStr">
        <is>
          <t>Confirmed with third party</t>
        </is>
      </c>
      <c r="C24" s="30" t="n"/>
      <c r="D24" s="31" t="n"/>
      <c r="E24" s="6" t="n"/>
      <c r="F24" s="6" t="n"/>
      <c r="G24" s="6" t="n"/>
      <c r="H24" s="6" t="n"/>
      <c r="I24" s="6" t="n"/>
    </row>
    <row r="25" ht="15" customHeight="1">
      <c r="A25" s="20" t="inlineStr">
        <is>
          <t>V</t>
        </is>
      </c>
      <c r="B25" s="13" t="inlineStr">
        <is>
          <t>Vouched to source document</t>
        </is>
      </c>
      <c r="C25" s="30" t="n"/>
      <c r="D25" s="31" t="n"/>
      <c r="E25" s="6" t="n"/>
      <c r="F25" s="6" t="n"/>
      <c r="G25" s="6" t="n"/>
      <c r="H25" s="6" t="n"/>
      <c r="I25" s="6" t="n"/>
    </row>
    <row r="26" ht="15" customHeight="1">
      <c r="A26" s="20" t="inlineStr">
        <is>
          <t>R</t>
        </is>
      </c>
      <c r="B26" s="13" t="inlineStr">
        <is>
          <t>Recalculated independently</t>
        </is>
      </c>
      <c r="C26" s="30" t="n"/>
      <c r="D26" s="31" t="n"/>
      <c r="E26" s="6" t="n"/>
      <c r="F26" s="6" t="n"/>
      <c r="G26" s="6" t="n"/>
      <c r="H26" s="6" t="n"/>
      <c r="I26" s="6" t="n"/>
    </row>
    <row r="27" ht="15" customHeight="1">
      <c r="A27" s="20" t="inlineStr">
        <is>
          <t>F</t>
        </is>
      </c>
      <c r="B27" s="13" t="inlineStr">
        <is>
          <t>Footed / cross-cast</t>
        </is>
      </c>
      <c r="C27" s="30" t="n"/>
      <c r="D27" s="31" t="n"/>
      <c r="E27" s="6" t="n"/>
      <c r="F27" s="6" t="n"/>
      <c r="G27" s="6" t="n"/>
      <c r="H27" s="6" t="n"/>
      <c r="I27" s="6" t="n"/>
    </row>
    <row r="28" ht="15" customHeight="1">
      <c r="A28" s="20" t="inlineStr">
        <is>
          <t>T</t>
        </is>
      </c>
      <c r="B28" s="13" t="inlineStr">
        <is>
          <t>Traced to downstream record</t>
        </is>
      </c>
      <c r="C28" s="30" t="n"/>
      <c r="D28" s="31" t="n"/>
      <c r="E28" s="6" t="n"/>
      <c r="F28" s="6" t="n"/>
      <c r="G28" s="6" t="n"/>
      <c r="H28" s="6" t="n"/>
      <c r="I28" s="6" t="n"/>
    </row>
    <row r="29" ht="15" customHeight="1">
      <c r="A29" s="20" t="inlineStr">
        <is>
          <t>PBC</t>
        </is>
      </c>
      <c r="B29" s="13" t="inlineStr">
        <is>
          <t>Prepared by client</t>
        </is>
      </c>
      <c r="C29" s="30" t="n"/>
      <c r="D29" s="31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25.5" customHeight="1">
      <c r="A31" s="3" t="inlineStr">
        <is>
          <t>Before sign-off complete Library Procedures 18–21 (Cutoff Procedures).</t>
        </is>
      </c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4" customWidth="1" min="1" max="1"/>
    <col width="18" customWidth="1" min="2" max="2"/>
    <col width="15" customWidth="1" min="3" max="3"/>
    <col width="18" customWidth="1" min="4" max="5"/>
    <col width="24" customWidth="1" min="6" max="6"/>
    <col width="22" customWidth="1" min="7" max="7"/>
    <col width="18" customWidth="1" min="8" max="8"/>
    <col width="24" customWidth="1" min="9" max="10"/>
  </cols>
  <sheetData>
    <row r="1" ht="17.25" customHeight="1">
      <c r="A1" s="7" t="inlineStr">
        <is>
          <t>Consider Financial Condition of Depositories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  <c r="I2" s="6" t="n"/>
      <c r="J2" s="6" t="n"/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  <c r="I3" s="6" t="n"/>
      <c r="J3" s="6" t="n"/>
    </row>
    <row r="4" ht="27.75" customHeight="1">
      <c r="A4" s="10" t="inlineStr">
        <is>
          <t>Purpose:</t>
        </is>
      </c>
      <c r="B4" s="5" t="inlineStr">
        <is>
          <t>Assess the financial condition / creditworthiness of each depository, especially where uninsured balances are significant, and evaluate recoverability and concentration risk.</t>
        </is>
      </c>
    </row>
    <row r="5" ht="15" customHeight="1">
      <c r="A5" s="10" t="inlineStr">
        <is>
          <t>Scope:</t>
        </is>
      </c>
      <c r="B5" s="5" t="inlineStr">
        <is>
          <t>Each institution holding cash, focusing on uninsured (above-FDIC) balances.</t>
        </is>
      </c>
    </row>
    <row r="6" ht="15" customHeight="1">
      <c r="A6" s="10" t="inlineStr">
        <is>
          <t>Assertions:</t>
        </is>
      </c>
      <c r="B6" s="5" t="inlineStr">
        <is>
          <t>Valuation; Presentation &amp; Disclosure</t>
        </is>
      </c>
    </row>
    <row r="7" ht="39.75" customHeight="1">
      <c r="A7" s="11" t="inlineStr">
        <is>
          <t>Bank / Institution</t>
        </is>
      </c>
      <c r="B7" s="11" t="inlineStr">
        <is>
          <t>Account(s)</t>
        </is>
      </c>
      <c r="C7" s="11" t="inlineStr">
        <is>
          <t>Aggregate balance</t>
        </is>
      </c>
      <c r="D7" s="11" t="inlineStr">
        <is>
          <t>Uninsured (above FDIC) exposure</t>
        </is>
      </c>
      <c r="E7" s="11" t="inlineStr">
        <is>
          <t>Credit rating (agency)</t>
        </is>
      </c>
      <c r="F7" s="11" t="inlineStr">
        <is>
          <t>Capital / regulatory indicators</t>
        </is>
      </c>
      <c r="G7" s="11" t="inlineStr">
        <is>
          <t>Negative news / events</t>
        </is>
      </c>
      <c r="H7" s="11" t="inlineStr">
        <is>
          <t>Source</t>
        </is>
      </c>
      <c r="I7" s="11" t="inlineStr">
        <is>
          <t>Risk assessment</t>
        </is>
      </c>
      <c r="J7" s="11" t="inlineStr">
        <is>
          <t>Conclusion</t>
        </is>
      </c>
    </row>
    <row r="8" ht="15" customHeight="1">
      <c r="A8" s="6" t="n"/>
      <c r="B8" s="6" t="n"/>
      <c r="C8" s="12" t="inlineStr">
        <is>
          <t>TB</t>
        </is>
      </c>
      <c r="D8" s="12" t="inlineStr">
        <is>
          <t>R</t>
        </is>
      </c>
      <c r="E8" s="6" t="n"/>
      <c r="F8" s="6" t="n"/>
      <c r="G8" s="6" t="n"/>
      <c r="H8" s="6" t="n"/>
      <c r="I8" s="6" t="n"/>
      <c r="J8" s="6" t="n"/>
    </row>
    <row r="9" ht="15" customHeight="1">
      <c r="A9" s="13" t="n"/>
      <c r="B9" s="13" t="n"/>
      <c r="C9" s="14" t="n"/>
      <c r="D9" s="14" t="n"/>
      <c r="E9" s="13" t="n"/>
      <c r="F9" s="13" t="n"/>
      <c r="G9" s="13" t="n"/>
      <c r="H9" s="13" t="n"/>
      <c r="I9" s="13" t="n"/>
      <c r="J9" s="13" t="n"/>
    </row>
    <row r="10" ht="15" customHeight="1">
      <c r="A10" s="13" t="n"/>
      <c r="B10" s="13" t="n"/>
      <c r="C10" s="14" t="n"/>
      <c r="D10" s="14" t="n"/>
      <c r="E10" s="13" t="n"/>
      <c r="F10" s="13" t="n"/>
      <c r="G10" s="13" t="n"/>
      <c r="H10" s="13" t="n"/>
      <c r="I10" s="13" t="n"/>
      <c r="J10" s="13" t="n"/>
    </row>
    <row r="11" ht="15" customHeight="1">
      <c r="A11" s="13" t="n"/>
      <c r="B11" s="13" t="n"/>
      <c r="C11" s="14" t="n"/>
      <c r="D11" s="14" t="n"/>
      <c r="E11" s="13" t="n"/>
      <c r="F11" s="13" t="n"/>
      <c r="G11" s="13" t="n"/>
      <c r="H11" s="13" t="n"/>
      <c r="I11" s="13" t="n"/>
      <c r="J11" s="13" t="n"/>
    </row>
    <row r="12" ht="15" customHeight="1">
      <c r="A12" s="13" t="n"/>
      <c r="B12" s="13" t="n"/>
      <c r="C12" s="14" t="n"/>
      <c r="D12" s="14" t="n"/>
      <c r="E12" s="13" t="n"/>
      <c r="F12" s="13" t="n"/>
      <c r="G12" s="13" t="n"/>
      <c r="H12" s="13" t="n"/>
      <c r="I12" s="13" t="n"/>
      <c r="J12" s="13" t="n"/>
    </row>
    <row r="13" ht="15" customHeight="1">
      <c r="A13" s="13" t="n"/>
      <c r="B13" s="13" t="n"/>
      <c r="C13" s="14" t="n"/>
      <c r="D13" s="14" t="n"/>
      <c r="E13" s="13" t="n"/>
      <c r="F13" s="13" t="n"/>
      <c r="G13" s="13" t="n"/>
      <c r="H13" s="13" t="n"/>
      <c r="I13" s="13" t="n"/>
      <c r="J13" s="13" t="n"/>
    </row>
    <row r="14" ht="15" customHeight="1">
      <c r="A14" s="13" t="n"/>
      <c r="B14" s="13" t="n"/>
      <c r="C14" s="14" t="n"/>
      <c r="D14" s="14" t="n"/>
      <c r="E14" s="13" t="n"/>
      <c r="F14" s="13" t="n"/>
      <c r="G14" s="13" t="n"/>
      <c r="H14" s="13" t="n"/>
      <c r="I14" s="13" t="n"/>
      <c r="J14" s="13" t="n"/>
    </row>
    <row r="15" ht="15" customHeight="1">
      <c r="A15" s="13" t="n"/>
      <c r="B15" s="13" t="n"/>
      <c r="C15" s="14" t="n"/>
      <c r="D15" s="14" t="n"/>
      <c r="E15" s="13" t="n"/>
      <c r="F15" s="13" t="n"/>
      <c r="G15" s="13" t="n"/>
      <c r="H15" s="13" t="n"/>
      <c r="I15" s="13" t="n"/>
      <c r="J15" s="13" t="n"/>
    </row>
    <row r="16" ht="15" customHeight="1">
      <c r="A16" s="13" t="n"/>
      <c r="B16" s="13" t="n"/>
      <c r="C16" s="14" t="n"/>
      <c r="D16" s="14" t="n"/>
      <c r="E16" s="13" t="n"/>
      <c r="F16" s="13" t="n"/>
      <c r="G16" s="13" t="n"/>
      <c r="H16" s="13" t="n"/>
      <c r="I16" s="13" t="n"/>
      <c r="J16" s="13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25.5" customHeight="1">
      <c r="A18" s="3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5" customHeight="1">
      <c r="A20" s="10" t="inlineStr">
        <is>
          <t>TM Legends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5" customHeight="1">
      <c r="A21" s="20" t="inlineStr">
        <is>
          <t>TB</t>
        </is>
      </c>
      <c r="B21" s="13" t="inlineStr">
        <is>
          <t>Agreed to trial balance</t>
        </is>
      </c>
      <c r="C21" s="30" t="n"/>
      <c r="D21" s="31" t="n"/>
      <c r="E21" s="6" t="n"/>
      <c r="F21" s="6" t="n"/>
      <c r="G21" s="6" t="n"/>
      <c r="H21" s="6" t="n"/>
      <c r="I21" s="6" t="n"/>
      <c r="J21" s="6" t="n"/>
    </row>
    <row r="22" ht="15" customHeight="1">
      <c r="A22" s="20" t="inlineStr">
        <is>
          <t>CF</t>
        </is>
      </c>
      <c r="B22" s="13" t="inlineStr">
        <is>
          <t>Confirmed with third party</t>
        </is>
      </c>
      <c r="C22" s="30" t="n"/>
      <c r="D22" s="31" t="n"/>
      <c r="E22" s="6" t="n"/>
      <c r="F22" s="6" t="n"/>
      <c r="G22" s="6" t="n"/>
      <c r="H22" s="6" t="n"/>
      <c r="I22" s="6" t="n"/>
      <c r="J22" s="6" t="n"/>
    </row>
    <row r="23" ht="15" customHeight="1">
      <c r="A23" s="20" t="inlineStr">
        <is>
          <t>V</t>
        </is>
      </c>
      <c r="B23" s="13" t="inlineStr">
        <is>
          <t>Vouched to source document</t>
        </is>
      </c>
      <c r="C23" s="30" t="n"/>
      <c r="D23" s="31" t="n"/>
      <c r="E23" s="6" t="n"/>
      <c r="F23" s="6" t="n"/>
      <c r="G23" s="6" t="n"/>
      <c r="H23" s="6" t="n"/>
      <c r="I23" s="6" t="n"/>
      <c r="J23" s="6" t="n"/>
    </row>
    <row r="24" ht="15" customHeight="1">
      <c r="A24" s="20" t="inlineStr">
        <is>
          <t>R</t>
        </is>
      </c>
      <c r="B24" s="13" t="inlineStr">
        <is>
          <t>Recalculated independently</t>
        </is>
      </c>
      <c r="C24" s="30" t="n"/>
      <c r="D24" s="31" t="n"/>
      <c r="E24" s="6" t="n"/>
      <c r="F24" s="6" t="n"/>
      <c r="G24" s="6" t="n"/>
      <c r="H24" s="6" t="n"/>
      <c r="I24" s="6" t="n"/>
      <c r="J24" s="6" t="n"/>
    </row>
    <row r="25" ht="15" customHeight="1">
      <c r="A25" s="20" t="inlineStr">
        <is>
          <t>F</t>
        </is>
      </c>
      <c r="B25" s="13" t="inlineStr">
        <is>
          <t>Footed / cross-cast</t>
        </is>
      </c>
      <c r="C25" s="30" t="n"/>
      <c r="D25" s="31" t="n"/>
      <c r="E25" s="6" t="n"/>
      <c r="F25" s="6" t="n"/>
      <c r="G25" s="6" t="n"/>
      <c r="H25" s="6" t="n"/>
      <c r="I25" s="6" t="n"/>
      <c r="J25" s="6" t="n"/>
    </row>
    <row r="26" ht="15" customHeight="1">
      <c r="A26" s="20" t="inlineStr">
        <is>
          <t>T</t>
        </is>
      </c>
      <c r="B26" s="13" t="inlineStr">
        <is>
          <t>Traced to downstream record</t>
        </is>
      </c>
      <c r="C26" s="30" t="n"/>
      <c r="D26" s="31" t="n"/>
      <c r="E26" s="6" t="n"/>
      <c r="F26" s="6" t="n"/>
      <c r="G26" s="6" t="n"/>
      <c r="H26" s="6" t="n"/>
      <c r="I26" s="6" t="n"/>
      <c r="J26" s="6" t="n"/>
    </row>
    <row r="27" ht="15" customHeight="1">
      <c r="A27" s="20" t="inlineStr">
        <is>
          <t>PBC</t>
        </is>
      </c>
      <c r="B27" s="13" t="inlineStr">
        <is>
          <t>Prepared by client</t>
        </is>
      </c>
      <c r="C27" s="30" t="n"/>
      <c r="D27" s="31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25.5" customHeight="1">
      <c r="A29" s="3" t="inlineStr">
        <is>
          <t>Before sign-off complete Library Procedures 22–23 (Financial Condition of Depositories).</t>
        </is>
      </c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6" customWidth="1" min="1" max="1"/>
    <col width="22" customWidth="1" min="2" max="2"/>
    <col width="12" customWidth="1" min="3" max="3"/>
    <col width="24" customWidth="1" min="4" max="4"/>
    <col width="16" customWidth="1" min="5" max="5"/>
    <col width="34" customWidth="1" min="6" max="6"/>
    <col width="30" customWidth="1" min="7" max="7"/>
    <col width="8" customWidth="1" min="8" max="8"/>
  </cols>
  <sheetData>
    <row r="1" ht="17.25" customHeight="1">
      <c r="A1" s="7" t="inlineStr">
        <is>
          <t>Presentation &amp; Disclosure</t>
        </is>
      </c>
      <c r="B1" s="6" t="n"/>
      <c r="C1" s="6" t="n"/>
      <c r="D1" s="6" t="n"/>
      <c r="E1" s="6" t="n"/>
      <c r="F1" s="6" t="n"/>
      <c r="G1" s="6" t="n"/>
      <c r="H1" s="6" t="n"/>
    </row>
    <row r="2" ht="15" customHeight="1">
      <c r="A2" s="8" t="inlineStr">
        <is>
          <t>Client / Entity</t>
        </is>
      </c>
      <c r="B2" s="9" t="inlineStr">
        <is>
          <t>[Client / Entity]</t>
        </is>
      </c>
      <c r="C2" s="6" t="n"/>
      <c r="D2" s="8" t="inlineStr">
        <is>
          <t>Year-End</t>
        </is>
      </c>
      <c r="E2" s="9" t="inlineStr">
        <is>
          <t>[YYYY-MM-DD]</t>
        </is>
      </c>
      <c r="F2" s="6" t="n"/>
      <c r="G2" s="8" t="inlineStr">
        <is>
          <t>Currency</t>
        </is>
      </c>
      <c r="H2" s="9" t="inlineStr">
        <is>
          <t>[CCY]</t>
        </is>
      </c>
    </row>
    <row r="3" ht="15" customHeight="1">
      <c r="A3" s="8" t="inlineStr">
        <is>
          <t>Performance Materiality</t>
        </is>
      </c>
      <c r="B3" s="9" t="inlineStr">
        <is>
          <t>[PM]</t>
        </is>
      </c>
      <c r="C3" s="6" t="n"/>
      <c r="D3" s="8" t="inlineStr">
        <is>
          <t>Testing Threshold (SUM)</t>
        </is>
      </c>
      <c r="E3" s="9" t="inlineStr">
        <is>
          <t>[Threshold]</t>
        </is>
      </c>
      <c r="F3" s="6" t="n"/>
      <c r="G3" s="6" t="n"/>
      <c r="H3" s="6" t="n"/>
    </row>
    <row r="4" ht="42" customHeight="1">
      <c r="A4" s="10" t="inlineStr">
        <is>
          <t>Purpose:</t>
        </is>
      </c>
      <c r="B4" s="5" t="inlineStr">
        <is>
          <t>Document cash presentation/disclosure matters: concentration, uninsured deposits, restricted/pledged cash, classification, overdrafts, compensating balances and merchant/lockbox accounts.</t>
        </is>
      </c>
      <c r="H4" s="6" t="n"/>
    </row>
    <row r="5" ht="15" customHeight="1">
      <c r="A5" s="10" t="inlineStr">
        <is>
          <t>Scope:</t>
        </is>
      </c>
      <c r="B5" s="5" t="inlineStr">
        <is>
          <t>Cash presentation and disclosure across all accounts.</t>
        </is>
      </c>
      <c r="H5" s="6" t="n"/>
    </row>
    <row r="6" ht="15" customHeight="1">
      <c r="A6" s="10" t="inlineStr">
        <is>
          <t>Assertions:</t>
        </is>
      </c>
      <c r="B6" s="5" t="inlineStr">
        <is>
          <t>Presentation &amp; Disclosure; Classification</t>
        </is>
      </c>
      <c r="H6" s="6" t="n"/>
    </row>
    <row r="7" ht="27.75" customHeight="1">
      <c r="A7" s="11" t="inlineStr">
        <is>
          <t>Area</t>
        </is>
      </c>
      <c r="B7" s="11" t="inlineStr">
        <is>
          <t>Entity</t>
        </is>
      </c>
      <c r="C7" s="11" t="inlineStr">
        <is>
          <t>Account ID</t>
        </is>
      </c>
      <c r="D7" s="11" t="inlineStr">
        <is>
          <t>Bank / Institution</t>
        </is>
      </c>
      <c r="E7" s="11" t="inlineStr">
        <is>
          <t>Amount / Count</t>
        </is>
      </c>
      <c r="F7" s="11" t="inlineStr">
        <is>
          <t>Conclusion / Status</t>
        </is>
      </c>
      <c r="G7" s="11" t="inlineStr">
        <is>
          <t>Source / Comments</t>
        </is>
      </c>
      <c r="H7" s="11" t="inlineStr">
        <is>
          <t>TM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 ht="15" customHeight="1">
      <c r="A9" s="13" t="inlineStr">
        <is>
          <t>Bank concentration</t>
        </is>
      </c>
      <c r="B9" s="13" t="n"/>
      <c r="C9" s="13" t="n"/>
      <c r="D9" s="13" t="n"/>
      <c r="E9" s="14" t="n"/>
      <c r="F9" s="13" t="n"/>
      <c r="G9" s="13" t="n"/>
      <c r="H9" s="13" t="n"/>
    </row>
    <row r="10" ht="15" customHeight="1">
      <c r="A10" s="13" t="inlineStr">
        <is>
          <t>Uninsured deposits (FDIC)</t>
        </is>
      </c>
      <c r="B10" s="13" t="n"/>
      <c r="C10" s="13" t="n"/>
      <c r="D10" s="13" t="n"/>
      <c r="E10" s="14" t="n"/>
      <c r="F10" s="13" t="n"/>
      <c r="G10" s="13" t="n"/>
      <c r="H10" s="13" t="n"/>
    </row>
    <row r="11" ht="15" customHeight="1">
      <c r="A11" s="13" t="inlineStr">
        <is>
          <t>Pledged / restricted cash</t>
        </is>
      </c>
      <c r="B11" s="13" t="n"/>
      <c r="C11" s="13" t="n"/>
      <c r="D11" s="13" t="n"/>
      <c r="E11" s="14" t="n"/>
      <c r="F11" s="13" t="n"/>
      <c r="G11" s="13" t="n"/>
      <c r="H11" s="13" t="n"/>
    </row>
    <row r="12" ht="15" customHeight="1">
      <c r="A12" s="13" t="inlineStr">
        <is>
          <t>Reserve / designated cash</t>
        </is>
      </c>
      <c r="B12" s="13" t="n"/>
      <c r="C12" s="13" t="n"/>
      <c r="D12" s="13" t="n"/>
      <c r="E12" s="14" t="n"/>
      <c r="F12" s="13" t="n"/>
      <c r="G12" s="13" t="n"/>
      <c r="H12" s="13" t="n"/>
    </row>
    <row r="13" ht="15" customHeight="1">
      <c r="A13" s="13" t="inlineStr">
        <is>
          <t>Bank overdrafts (reclassify)</t>
        </is>
      </c>
      <c r="B13" s="13" t="n"/>
      <c r="C13" s="13" t="n"/>
      <c r="D13" s="13" t="n"/>
      <c r="E13" s="14" t="n"/>
      <c r="F13" s="13" t="n"/>
      <c r="G13" s="13" t="n"/>
      <c r="H13" s="13" t="n"/>
    </row>
    <row r="14" ht="15" customHeight="1">
      <c r="A14" s="13" t="inlineStr">
        <is>
          <t>Compensating balances</t>
        </is>
      </c>
      <c r="B14" s="13" t="n"/>
      <c r="C14" s="13" t="n"/>
      <c r="D14" s="13" t="n"/>
      <c r="E14" s="14" t="n"/>
      <c r="F14" s="13" t="n"/>
      <c r="G14" s="13" t="n"/>
      <c r="H14" s="13" t="n"/>
    </row>
    <row r="15" ht="15" customHeight="1">
      <c r="A15" s="13" t="inlineStr">
        <is>
          <t>Merchant clearing / lockbox</t>
        </is>
      </c>
      <c r="B15" s="13" t="n"/>
      <c r="C15" s="13" t="n"/>
      <c r="D15" s="13" t="n"/>
      <c r="E15" s="14" t="n"/>
      <c r="F15" s="13" t="n"/>
      <c r="G15" s="13" t="n"/>
      <c r="H15" s="13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15" customHeight="1">
      <c r="A18" s="19" t="inlineStr">
        <is>
          <t>Uninsured Deposit Exposure (calc)</t>
        </is>
      </c>
      <c r="B18" s="6" t="n"/>
      <c r="C18" s="6" t="n"/>
      <c r="D18" s="6" t="n"/>
      <c r="E18" s="6" t="n"/>
      <c r="F18" s="6" t="n"/>
      <c r="G18" s="6" t="n"/>
      <c r="H18" s="6" t="n"/>
    </row>
    <row r="19" ht="27.75" customHeight="1">
      <c r="A19" s="11" t="inlineStr">
        <is>
          <t>Institution</t>
        </is>
      </c>
      <c r="B19" s="11" t="inlineStr">
        <is>
          <t># accounts</t>
        </is>
      </c>
      <c r="C19" s="11" t="inlineStr">
        <is>
          <t>Aggregate balance</t>
        </is>
      </c>
      <c r="D19" s="11" t="inlineStr">
        <is>
          <t>FDIC insured (=250,000 × #)</t>
        </is>
      </c>
      <c r="E19" s="11" t="inlineStr">
        <is>
          <t>Uninsured exposure</t>
        </is>
      </c>
      <c r="F19" s="6" t="n"/>
      <c r="G19" s="6" t="n"/>
      <c r="H19" s="6" t="n"/>
    </row>
    <row r="20" ht="15" customHeight="1">
      <c r="A20" s="13" t="n"/>
      <c r="B20" s="13" t="n"/>
      <c r="C20" s="14" t="n"/>
      <c r="D20" s="14">
        <f>IF(B20="","",250000*B20)</f>
        <v/>
      </c>
      <c r="E20" s="14">
        <f>IF(C20="","",MAX(0,C20-D20))</f>
        <v/>
      </c>
      <c r="F20" s="6" t="n"/>
      <c r="G20" s="6" t="n"/>
      <c r="H20" s="6" t="n"/>
    </row>
    <row r="21" ht="15" customHeight="1">
      <c r="A21" s="13" t="n"/>
      <c r="B21" s="13" t="n"/>
      <c r="C21" s="14" t="n"/>
      <c r="D21" s="14">
        <f>IF(B21="","",250000*B21)</f>
        <v/>
      </c>
      <c r="E21" s="14">
        <f>IF(C21="","",MAX(0,C21-D21))</f>
        <v/>
      </c>
      <c r="F21" s="6" t="n"/>
      <c r="G21" s="6" t="n"/>
      <c r="H21" s="6" t="n"/>
    </row>
    <row r="22" ht="15" customHeight="1">
      <c r="A22" s="13" t="n"/>
      <c r="B22" s="13" t="n"/>
      <c r="C22" s="14" t="n"/>
      <c r="D22" s="14">
        <f>IF(B22="","",250000*B22)</f>
        <v/>
      </c>
      <c r="E22" s="14">
        <f>IF(C22="","",MAX(0,C22-D22))</f>
        <v/>
      </c>
      <c r="F22" s="6" t="n"/>
      <c r="G22" s="6" t="n"/>
      <c r="H22" s="6" t="n"/>
    </row>
    <row r="23" ht="15" customHeight="1">
      <c r="A23" s="13" t="n"/>
      <c r="B23" s="13" t="n"/>
      <c r="C23" s="14" t="n"/>
      <c r="D23" s="14">
        <f>IF(B23="","",250000*B23)</f>
        <v/>
      </c>
      <c r="E23" s="14">
        <f>IF(C23="","",MAX(0,C23-D23))</f>
        <v/>
      </c>
      <c r="F23" s="6" t="n"/>
      <c r="G23" s="6" t="n"/>
      <c r="H23" s="6" t="n"/>
    </row>
    <row r="24" ht="15" customHeight="1">
      <c r="A24" s="13" t="n"/>
      <c r="B24" s="13" t="n"/>
      <c r="C24" s="14" t="n"/>
      <c r="D24" s="14">
        <f>IF(B24="","",250000*B24)</f>
        <v/>
      </c>
      <c r="E24" s="14">
        <f>IF(C24="","",MAX(0,C24-D24))</f>
        <v/>
      </c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10" t="inlineStr">
        <is>
          <t>TM Legends</t>
        </is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20" t="inlineStr">
        <is>
          <t>TB</t>
        </is>
      </c>
      <c r="B27" s="13" t="inlineStr">
        <is>
          <t>Agreed to trial balance</t>
        </is>
      </c>
      <c r="C27" s="30" t="n"/>
      <c r="D27" s="31" t="n"/>
      <c r="E27" s="6" t="n"/>
      <c r="F27" s="6" t="n"/>
      <c r="G27" s="6" t="n"/>
      <c r="H27" s="6" t="n"/>
    </row>
    <row r="28" ht="15" customHeight="1">
      <c r="A28" s="20" t="inlineStr">
        <is>
          <t>CF</t>
        </is>
      </c>
      <c r="B28" s="13" t="inlineStr">
        <is>
          <t>Confirmed with third party</t>
        </is>
      </c>
      <c r="C28" s="30" t="n"/>
      <c r="D28" s="31" t="n"/>
      <c r="E28" s="6" t="n"/>
      <c r="F28" s="6" t="n"/>
      <c r="G28" s="6" t="n"/>
      <c r="H28" s="6" t="n"/>
    </row>
    <row r="29" ht="15" customHeight="1">
      <c r="A29" s="20" t="inlineStr">
        <is>
          <t>V</t>
        </is>
      </c>
      <c r="B29" s="13" t="inlineStr">
        <is>
          <t>Vouched to source document</t>
        </is>
      </c>
      <c r="C29" s="30" t="n"/>
      <c r="D29" s="31" t="n"/>
      <c r="E29" s="6" t="n"/>
      <c r="F29" s="6" t="n"/>
      <c r="G29" s="6" t="n"/>
      <c r="H29" s="6" t="n"/>
    </row>
    <row r="30" ht="15" customHeight="1">
      <c r="A30" s="20" t="inlineStr">
        <is>
          <t>R</t>
        </is>
      </c>
      <c r="B30" s="13" t="inlineStr">
        <is>
          <t>Recalculated independently</t>
        </is>
      </c>
      <c r="C30" s="30" t="n"/>
      <c r="D30" s="31" t="n"/>
      <c r="E30" s="6" t="n"/>
      <c r="F30" s="6" t="n"/>
      <c r="G30" s="6" t="n"/>
      <c r="H30" s="6" t="n"/>
    </row>
    <row r="31" ht="15" customHeight="1">
      <c r="A31" s="20" t="inlineStr">
        <is>
          <t>F</t>
        </is>
      </c>
      <c r="B31" s="13" t="inlineStr">
        <is>
          <t>Footed / cross-cast</t>
        </is>
      </c>
      <c r="C31" s="30" t="n"/>
      <c r="D31" s="31" t="n"/>
      <c r="E31" s="6" t="n"/>
      <c r="F31" s="6" t="n"/>
      <c r="G31" s="6" t="n"/>
      <c r="H31" s="6" t="n"/>
    </row>
    <row r="32" ht="15" customHeight="1">
      <c r="A32" s="20" t="inlineStr">
        <is>
          <t>T</t>
        </is>
      </c>
      <c r="B32" s="13" t="inlineStr">
        <is>
          <t>Traced to downstream record</t>
        </is>
      </c>
      <c r="C32" s="30" t="n"/>
      <c r="D32" s="31" t="n"/>
      <c r="E32" s="6" t="n"/>
      <c r="F32" s="6" t="n"/>
      <c r="G32" s="6" t="n"/>
      <c r="H32" s="6" t="n"/>
    </row>
    <row r="33" ht="15" customHeight="1">
      <c r="A33" s="20" t="inlineStr">
        <is>
          <t>PBC</t>
        </is>
      </c>
      <c r="B33" s="13" t="inlineStr">
        <is>
          <t>Prepared by client</t>
        </is>
      </c>
      <c r="C33" s="30" t="n"/>
      <c r="D33" s="31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25.5" customHeight="1">
      <c r="A35" s="3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H35" s="6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revision>0</cp:revision>
</cp:coreProperties>
</file>