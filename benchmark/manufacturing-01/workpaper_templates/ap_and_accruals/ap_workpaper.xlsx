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500" firstSheet="0" activeTab="0" autoFilterDateGrouping="1"/>
  </bookViews>
  <sheets>
    <sheet xmlns:r="http://schemas.openxmlformats.org/officeDocument/2006/relationships" name="Library Procedures" sheetId="1" state="visible" r:id="rId1"/>
    <sheet xmlns:r="http://schemas.openxmlformats.org/officeDocument/2006/relationships" name="&lt;.0&gt; Source Index" sheetId="2" state="visible" r:id="rId2"/>
    <sheet xmlns:r="http://schemas.openxmlformats.org/officeDocument/2006/relationships" name="&lt;.1&gt; AP Lead Sheet" sheetId="3" state="visible" r:id="rId3"/>
    <sheet xmlns:r="http://schemas.openxmlformats.org/officeDocument/2006/relationships" name="&lt;.2&gt; AP Reconciliation" sheetId="4" state="visible" r:id="rId4"/>
    <sheet xmlns:r="http://schemas.openxmlformats.org/officeDocument/2006/relationships" name="&lt;.3&gt; DPO &amp; SURL Population" sheetId="5" state="visible" r:id="rId5"/>
    <sheet xmlns:r="http://schemas.openxmlformats.org/officeDocument/2006/relationships" name="&lt;.4&gt; SURL Subsequent Disb" sheetId="6" state="visible" r:id="rId6"/>
    <sheet xmlns:r="http://schemas.openxmlformats.org/officeDocument/2006/relationships" name="&lt;.5&gt; Completeness of Disb" sheetId="7" state="visible" r:id="rId7"/>
    <sheet xmlns:r="http://schemas.openxmlformats.org/officeDocument/2006/relationships" name="&lt;.6&gt; Outstanding Checks" sheetId="8" state="visible" r:id="rId8"/>
    <sheet xmlns:r="http://schemas.openxmlformats.org/officeDocument/2006/relationships" name="&lt;.7&gt; Open Invoice &amp; Cutoff" sheetId="9" state="visible" r:id="rId9"/>
    <sheet xmlns:r="http://schemas.openxmlformats.org/officeDocument/2006/relationships" name="&lt;.8&gt; Ratios &amp; Disclosures" sheetId="10" state="visible" r:id="rId10"/>
  </sheets>
  <definedNames>
    <definedName name="_xlnm.Print_Area" localSheetId="0">'Library Procedures'!$A$1:$F$38</definedName>
    <definedName name="_xlnm.Print_Area" localSheetId="1">'&lt;.0&gt; Source Index'!$A$1:$H$32</definedName>
    <definedName name="_xlnm.Print_Area" localSheetId="2">'&lt;.1&gt; AP Lead Sheet'!$A$1:$I$34</definedName>
    <definedName name="_xlnm.Print_Area" localSheetId="3">'&lt;.2&gt; AP Reconciliation'!$A$1:$H$38</definedName>
    <definedName name="_xlnm.Print_Area" localSheetId="4">'&lt;.3&gt; DPO &amp; SURL Population'!$A$1:$H$41</definedName>
    <definedName name="_xlnm.Print_Area" localSheetId="5">'&lt;.4&gt; SURL Subsequent Disb'!$A$1:$R$40</definedName>
    <definedName name="_xlnm.Print_Area" localSheetId="6">'&lt;.5&gt; Completeness of Disb'!$A$1:$H$35</definedName>
    <definedName name="_xlnm.Print_Area" localSheetId="7">'&lt;.6&gt; Outstanding Checks'!$A$1:$J$38</definedName>
    <definedName name="_xlnm.Print_Area" localSheetId="8">'&lt;.7&gt; Open Invoice &amp; Cutoff'!$A$1:$M$38</definedName>
    <definedName name="_xlnm.Print_Area" localSheetId="9">'&lt;.8&gt; Ratios &amp; Disclosures'!$A$1:$H$35</definedName>
  </definedNames>
  <calcPr calcId="191029" fullCalcOnLoad="1" iterateDelta="0.0001"/>
</workbook>
</file>

<file path=xl/styles.xml><?xml version="1.0" encoding="utf-8"?>
<styleSheet xmlns="http://schemas.openxmlformats.org/spreadsheetml/2006/main">
  <numFmts count="1">
    <numFmt numFmtId="164" formatCode="yyyy\-mm\-dd"/>
  </numFmts>
  <fonts count="12">
    <font>
      <name val="Calibri"/>
      <charset val="1"/>
      <family val="2"/>
      <color theme="1"/>
      <sz val="11"/>
    </font>
    <font>
      <name val="Georgia"/>
      <charset val="1"/>
      <b val="1"/>
      <color rgb="FFA32020"/>
      <sz val="14"/>
    </font>
    <font>
      <name val="Georgia"/>
      <charset val="1"/>
      <b val="1"/>
      <color rgb="FF1A1A1A"/>
      <sz val="9"/>
    </font>
    <font>
      <name val="Georgia"/>
      <charset val="1"/>
      <color rgb="FF1A1A1A"/>
      <sz val="9"/>
    </font>
    <font>
      <name val="Georgia"/>
      <charset val="1"/>
      <b val="1"/>
      <color rgb="FFA32020"/>
      <sz val="9"/>
    </font>
    <font>
      <name val="Georgia"/>
      <charset val="1"/>
      <b val="1"/>
      <color rgb="FFFFFFFF"/>
      <sz val="8.5"/>
    </font>
    <font>
      <name val="Georgia"/>
      <charset val="1"/>
      <b val="1"/>
      <color rgb="FFDC6900"/>
      <sz val="9"/>
    </font>
    <font>
      <name val="Georgia"/>
      <charset val="1"/>
      <color rgb="FF6E6E6E"/>
      <sz val="9"/>
    </font>
    <font>
      <name val="Georgia"/>
      <charset val="1"/>
      <b val="1"/>
      <color rgb="FFDC6900"/>
      <sz val="8"/>
    </font>
    <font>
      <name val="Georgia"/>
      <charset val="1"/>
      <b val="1"/>
      <color rgb="FF1A1A1A"/>
      <sz val="10"/>
    </font>
    <font>
      <name val="Georgia"/>
      <charset val="1"/>
      <b val="1"/>
      <color rgb="FFA32020"/>
      <sz val="10"/>
    </font>
    <font>
      <name val="Georgia"/>
      <charset val="1"/>
      <b val="1"/>
      <color rgb="FFFFFFFF"/>
      <sz val="9"/>
    </font>
  </fonts>
  <fills count="4">
    <fill>
      <patternFill/>
    </fill>
    <fill>
      <patternFill patternType="gray125"/>
    </fill>
    <fill>
      <patternFill patternType="solid">
        <fgColor rgb="FFA32020"/>
        <bgColor rgb="FF993366"/>
      </patternFill>
    </fill>
    <fill>
      <patternFill patternType="solid">
        <fgColor rgb="FFF4DCDC"/>
        <bgColor rgb="FFCCCCFF"/>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1">
    <xf numFmtId="0" fontId="0" fillId="0" borderId="0" pivotButton="0" quotePrefix="0" xfId="0"/>
    <xf numFmtId="0" fontId="11" fillId="2" borderId="1" pivotButton="0" quotePrefix="0" xfId="0"/>
    <xf numFmtId="0" fontId="7" fillId="0" borderId="0" pivotButton="0" quotePrefix="0" xfId="0"/>
    <xf numFmtId="0" fontId="3" fillId="0" borderId="1" pivotButton="0" quotePrefix="0" xfId="0"/>
    <xf numFmtId="0" fontId="3" fillId="0" borderId="0" applyAlignment="1" pivotButton="0" quotePrefix="0" xfId="0">
      <alignment horizontal="left" vertical="center" wrapText="1"/>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0" borderId="1" pivotButton="0" quotePrefix="0" xfId="0"/>
    <xf numFmtId="0" fontId="6" fillId="0" borderId="1" applyAlignment="1" pivotButton="0" quotePrefix="0" xfId="0">
      <alignment horizontal="center" vertical="center"/>
    </xf>
    <xf numFmtId="0" fontId="8" fillId="0" borderId="0" applyAlignment="1" pivotButton="0" quotePrefix="0" xfId="0">
      <alignment horizontal="center" vertical="center"/>
    </xf>
    <xf numFmtId="4" fontId="3" fillId="0" borderId="1" pivotButton="0" quotePrefix="0" xfId="0"/>
    <xf numFmtId="10" fontId="3" fillId="0" borderId="1" pivotButton="0" quotePrefix="0" xfId="0"/>
    <xf numFmtId="0" fontId="9" fillId="3" borderId="1" pivotButton="0" quotePrefix="0" xfId="0"/>
    <xf numFmtId="4" fontId="9" fillId="3" borderId="1" pivotButton="0" quotePrefix="0" xfId="0"/>
    <xf numFmtId="0" fontId="10" fillId="0" borderId="0" pivotButton="0" quotePrefix="0" xfId="0"/>
    <xf numFmtId="0" fontId="2" fillId="0" borderId="1" pivotButton="0" quotePrefix="0" xfId="0"/>
    <xf numFmtId="4" fontId="2" fillId="3" borderId="1" pivotButton="0" quotePrefix="0" xfId="0"/>
    <xf numFmtId="2" fontId="3" fillId="0" borderId="1" pivotButton="0" quotePrefix="0" xfId="0"/>
    <xf numFmtId="1" fontId="2" fillId="3" borderId="1" pivotButton="0" quotePrefix="0" xfId="0"/>
    <xf numFmtId="164" fontId="3" fillId="0" borderId="1" pivotButton="0" quotePrefix="0" xfId="0"/>
    <xf numFmtId="164" fontId="2" fillId="3" borderId="1" pivotButton="0" quotePrefix="0" xfId="0"/>
    <xf numFmtId="4" fontId="9" fillId="3" borderId="0" pivotButton="0" quotePrefix="0" xfId="0"/>
    <xf numFmtId="0" fontId="11" fillId="2" borderId="1" applyAlignment="1" pivotButton="0" quotePrefix="0" xfId="0">
      <alignment horizontal="center" vertical="center" wrapText="1"/>
    </xf>
    <xf numFmtId="0" fontId="11" fillId="2"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xf>
    <xf numFmtId="0" fontId="9" fillId="3" borderId="1" applyAlignment="1" pivotButton="0" quotePrefix="0" xfId="0">
      <alignment horizontal="center" vertical="center"/>
    </xf>
    <xf numFmtId="0" fontId="4" fillId="0" borderId="2" pivotButton="0" quotePrefix="0" xfId="0"/>
    <xf numFmtId="0" fontId="3" fillId="0" borderId="2" applyAlignment="1" pivotButton="0" quotePrefix="0" xfId="0">
      <alignment vertical="center" wrapText="1"/>
    </xf>
    <xf numFmtId="0" fontId="0" fillId="0" borderId="2" applyAlignment="1" pivotButton="0" quotePrefix="0" xfId="0">
      <alignment vertical="center" wrapText="1"/>
    </xf>
    <xf numFmtId="0" fontId="4" fillId="0" borderId="0" pivotButton="0" quotePrefix="0" xfId="0"/>
    <xf numFmtId="0" fontId="3" fillId="0" borderId="0" applyAlignment="1" pivotButton="0" quotePrefix="0" xfId="0">
      <alignment vertical="center" wrapText="1"/>
    </xf>
    <xf numFmtId="0" fontId="3" fillId="0" borderId="2" applyAlignment="1" pivotButton="0" quotePrefix="0" xfId="0">
      <alignment horizontal="left" vertical="center" wrapText="1"/>
    </xf>
    <xf numFmtId="0" fontId="3" fillId="0" borderId="2" pivotButton="0" quotePrefix="0" xfId="0"/>
    <xf numFmtId="0" fontId="0" fillId="0" borderId="5" pivotButton="0" quotePrefix="0" xfId="0"/>
    <xf numFmtId="0" fontId="0" fillId="0" borderId="6" pivotButton="0" quotePrefix="0" xfId="0"/>
    <xf numFmtId="0" fontId="0" fillId="0" borderId="9"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DCDC"/>
      <rgbColor rgb="FF3366FF"/>
      <rgbColor rgb="FF33CCCC"/>
      <rgbColor rgb="FF99CC00"/>
      <rgbColor rgb="FFFFCC00"/>
      <rgbColor rgb="FFFF9900"/>
      <rgbColor rgb="FFDC6900"/>
      <rgbColor rgb="FF6E6E6E"/>
      <rgbColor rgb="FF969696"/>
      <rgbColor rgb="FF003366"/>
      <rgbColor rgb="FF339966"/>
      <rgbColor rgb="FF003300"/>
      <rgbColor rgb="FF333300"/>
      <rgbColor rgb="FFA3202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38"/>
  <sheetViews>
    <sheetView showGridLines="0" tabSelected="1" zoomScale="85" zoomScaleNormal="100" workbookViewId="0">
      <selection activeCell="B38" sqref="B38"/>
    </sheetView>
  </sheetViews>
  <sheetFormatPr baseColWidth="8" defaultColWidth="8.6328125" defaultRowHeight="14.5"/>
  <cols>
    <col width="6.453125" customWidth="1" min="1" max="1"/>
    <col width="98" customWidth="1" min="2" max="2"/>
    <col width="30" customWidth="1" min="3" max="3"/>
    <col width="12" customWidth="1" min="4" max="4"/>
    <col width="15" customWidth="1" min="5" max="5"/>
    <col width="12" customWidth="1" min="6" max="6"/>
  </cols>
  <sheetData>
    <row r="1" ht="17.5" customHeight="1">
      <c r="A1" s="5" t="inlineStr">
        <is>
          <t>Accounts Payable — Library of Audit Procedures</t>
        </is>
      </c>
    </row>
    <row r="2">
      <c r="A2" s="7" t="inlineStr">
        <is>
          <t>Client / Entity: Whitmore Products Company</t>
        </is>
      </c>
    </row>
    <row r="3">
      <c r="A3" s="7" t="inlineStr">
        <is>
          <t>Prepared by: Audit Senior 8606 (assigned)      Reviewed by: Audit Manager A1DC (assigned)</t>
        </is>
      </c>
    </row>
    <row r="4" ht="25.5" customHeight="1">
      <c r="A4" s="2" t="inlineStr">
        <is>
          <t>Tick each procedure when complete; enter the W/P reference, performed-by initials and date. Work through ALL applicable procedures before concluding on accounts payable.</t>
        </is>
      </c>
    </row>
    <row r="5"/>
    <row r="6" ht="19.5" customHeight="1">
      <c r="A6" s="25" t="inlineStr">
        <is>
          <t>Done</t>
        </is>
      </c>
      <c r="B6" s="26" t="inlineStr">
        <is>
          <t>Procedure</t>
        </is>
      </c>
      <c r="C6" s="26" t="inlineStr">
        <is>
          <t>Assertion(s)</t>
        </is>
      </c>
      <c r="D6" s="25" t="inlineStr">
        <is>
          <t>W/P Ref</t>
        </is>
      </c>
      <c r="E6" s="25" t="inlineStr">
        <is>
          <t>Performed by</t>
        </is>
      </c>
      <c r="F6" s="25" t="inlineStr">
        <is>
          <t>Date</t>
        </is>
      </c>
    </row>
    <row r="7">
      <c r="A7" s="1" t="inlineStr">
        <is>
          <t>&lt;.0&gt; Source Index</t>
        </is>
      </c>
      <c r="B7" s="37" t="n"/>
      <c r="C7" s="37" t="n"/>
      <c r="D7" s="37" t="n"/>
      <c r="E7" s="37" t="n"/>
      <c r="F7" s="38" t="n"/>
    </row>
    <row r="8" ht="39" customHeight="1">
      <c r="A8" s="10" t="n"/>
      <c r="B8" s="27" t="inlineStr">
        <is>
          <t>1. Obtain and index all AP PBC sources (trade-only AP aging/sub-ledger, GL detail, subsequent disbursement records / bank statements, open/unpaid invoice file, vendor statements, RNI / unmatched-receiving report); document limitations.</t>
        </is>
      </c>
      <c r="C8" s="27" t="inlineStr">
        <is>
          <t>Completeness</t>
        </is>
      </c>
      <c r="D8" s="28" t="inlineStr">
        <is>
          <t>&lt;.0&gt;</t>
        </is>
      </c>
      <c r="E8" s="10" t="n"/>
      <c r="F8" s="10" t="n"/>
    </row>
    <row r="9">
      <c r="A9" s="1" t="inlineStr">
        <is>
          <t>&lt;.1&gt; AP Lead Sheet</t>
        </is>
      </c>
      <c r="B9" s="37" t="n"/>
      <c r="C9" s="37" t="n"/>
      <c r="D9" s="37" t="n"/>
      <c r="E9" s="37" t="n"/>
      <c r="F9" s="38" t="n"/>
    </row>
    <row r="10" ht="25.5" customHeight="1">
      <c r="A10" s="10" t="n"/>
      <c r="B10" s="27" t="inlineStr">
        <is>
          <t>2. Obtain the AP lead sheet and agree each CY and PY trade-payable balance to the trial balance and general ledger; state the sign convention (positive payable magnitudes).</t>
        </is>
      </c>
      <c r="C10" s="27" t="inlineStr">
        <is>
          <t>Completeness; Existence</t>
        </is>
      </c>
      <c r="D10" s="28" t="inlineStr">
        <is>
          <t>&lt;.1&gt;</t>
        </is>
      </c>
      <c r="E10" s="10" t="n"/>
      <c r="F10" s="10" t="n"/>
    </row>
    <row r="11" ht="15" customHeight="1">
      <c r="A11" s="10" t="n"/>
      <c r="B11" s="27" t="inlineStr">
        <is>
          <t>3. Foot the lead sheet and agree CY and PY totals to the trial balance.</t>
        </is>
      </c>
      <c r="C11" s="27" t="inlineStr">
        <is>
          <t>Accuracy</t>
        </is>
      </c>
      <c r="D11" s="28" t="inlineStr">
        <is>
          <t>&lt;.1&gt;</t>
        </is>
      </c>
      <c r="E11" s="10" t="n"/>
      <c r="F11" s="10" t="n"/>
    </row>
    <row r="12" ht="39" customHeight="1">
      <c r="A12" s="10" t="n"/>
      <c r="B12" s="27" t="inlineStr">
        <is>
          <t>4. Confirm the population is trade payables only — separate non-trade items miscoded into the AP aging (e.g. accrued payroll, customer deposits) and investigate debit balances for reclassification to other assets.</t>
        </is>
      </c>
      <c r="C12" s="27" t="inlineStr">
        <is>
          <t>Classification; Completeness</t>
        </is>
      </c>
      <c r="D12" s="28" t="inlineStr">
        <is>
          <t>&lt;.1&gt;</t>
        </is>
      </c>
      <c r="E12" s="10" t="n"/>
      <c r="F12" s="10" t="n"/>
    </row>
    <row r="13">
      <c r="A13" s="1" t="inlineStr">
        <is>
          <t>&lt;.2&gt; AP Reconciliation</t>
        </is>
      </c>
      <c r="B13" s="37" t="n"/>
      <c r="C13" s="37" t="n"/>
      <c r="D13" s="37" t="n"/>
      <c r="E13" s="37" t="n"/>
      <c r="F13" s="38" t="n"/>
    </row>
    <row r="14" ht="25.5" customHeight="1">
      <c r="A14" s="10" t="n"/>
      <c r="B14" s="27" t="inlineStr">
        <is>
          <t>5. Reconcile the AP sub-ledger / aging to the general ledger and trial balance; investigate reconciling items.</t>
        </is>
      </c>
      <c r="C14" s="27" t="inlineStr">
        <is>
          <t>Completeness; Accuracy</t>
        </is>
      </c>
      <c r="D14" s="28" t="inlineStr">
        <is>
          <t>&lt;.2&gt;</t>
        </is>
      </c>
      <c r="E14" s="10" t="n"/>
      <c r="F14" s="10" t="n"/>
    </row>
    <row r="15" ht="25.5" customHeight="1">
      <c r="A15" s="10" t="n"/>
      <c r="B15" s="27" t="inlineStr">
        <is>
          <t>6. Obtain vendor statements for major vendors and reconcile to the AP sub-ledger; resolve in-transit invoices/payments and differences.</t>
        </is>
      </c>
      <c r="C15" s="27" t="inlineStr">
        <is>
          <t>Completeness; Existence</t>
        </is>
      </c>
      <c r="D15" s="28" t="inlineStr">
        <is>
          <t>&lt;.2&gt;</t>
        </is>
      </c>
      <c r="E15" s="10" t="n"/>
      <c r="F15" s="10" t="n"/>
    </row>
    <row r="16">
      <c r="A16" s="1" t="inlineStr">
        <is>
          <t>&lt;.3&gt; DPO &amp; SURL Population</t>
        </is>
      </c>
      <c r="B16" s="37" t="n"/>
      <c r="C16" s="37" t="n"/>
      <c r="D16" s="37" t="n"/>
      <c r="E16" s="37" t="n"/>
      <c r="F16" s="38" t="n"/>
    </row>
    <row r="17" ht="25.5" customHeight="1">
      <c r="A17" s="10" t="n"/>
      <c r="B17" s="27" t="inlineStr">
        <is>
          <t>7. Compute Days Payable Outstanding (DPO = 365 / AP turnover) and set the SURL look-forward period as period-end through period-end + DPO.</t>
        </is>
      </c>
      <c r="C17" s="27" t="inlineStr">
        <is>
          <t>Completeness; Cutoff</t>
        </is>
      </c>
      <c r="D17" s="28" t="inlineStr">
        <is>
          <t>&lt;.3&gt;</t>
        </is>
      </c>
      <c r="E17" s="10" t="n"/>
      <c r="F17" s="10" t="n"/>
    </row>
    <row r="18" ht="25.5" customHeight="1">
      <c r="A18" s="10" t="n"/>
      <c r="B18" s="27" t="inlineStr">
        <is>
          <t>8. Quantify the subsequent-disbursement population (checks, ACH, wires, credit cards) from which SURL selections will be drawn.</t>
        </is>
      </c>
      <c r="C18" s="27" t="inlineStr">
        <is>
          <t>Completeness</t>
        </is>
      </c>
      <c r="D18" s="28" t="inlineStr">
        <is>
          <t>&lt;.3&gt;</t>
        </is>
      </c>
      <c r="E18" s="10" t="n"/>
      <c r="F18" s="10" t="n"/>
    </row>
    <row r="19">
      <c r="A19" s="1" t="inlineStr">
        <is>
          <t>&lt;.4&gt; SURL — Subsequent Disbursements</t>
        </is>
      </c>
      <c r="B19" s="37" t="n"/>
      <c r="C19" s="37" t="n"/>
      <c r="D19" s="37" t="n"/>
      <c r="E19" s="37" t="n"/>
      <c r="F19" s="38" t="n"/>
    </row>
    <row r="20" ht="39" customHeight="1">
      <c r="A20" s="10" t="n"/>
      <c r="B20" s="27" t="inlineStr">
        <is>
          <t>9. Perform a search for unrecorded liabilities — examine subsequent disbursements above the testing threshold through the SURL period; vouch to invoice and determine the goods-received / service period.</t>
        </is>
      </c>
      <c r="C20" s="27" t="inlineStr">
        <is>
          <t>Completeness; Cutoff</t>
        </is>
      </c>
      <c r="D20" s="28" t="inlineStr">
        <is>
          <t>&lt;.4&gt;</t>
        </is>
      </c>
      <c r="E20" s="10" t="n"/>
      <c r="F20" s="10" t="n"/>
    </row>
    <row r="21" ht="39" customHeight="1">
      <c r="A21" s="10" t="n"/>
      <c r="B21" s="27" t="inlineStr">
        <is>
          <t>10. Classify each item at period end — properly included, properly excluded, improperly included, or improperly excluded (an unrecorded liability); for pre-year-end items tie back to year-end AP, and for post-year-end items confirm exclusion from year-end AP.</t>
        </is>
      </c>
      <c r="C21" s="27" t="inlineStr">
        <is>
          <t>Completeness; Cutoff; Valuation &amp; Allocation</t>
        </is>
      </c>
      <c r="D21" s="28" t="inlineStr">
        <is>
          <t>&lt;.4&gt;</t>
        </is>
      </c>
      <c r="E21" s="10" t="n"/>
      <c r="F21" s="10" t="n"/>
    </row>
    <row r="22">
      <c r="A22" s="1" t="inlineStr">
        <is>
          <t>&lt;.5&gt; Completeness of Disbursements</t>
        </is>
      </c>
      <c r="B22" s="37" t="n"/>
      <c r="C22" s="37" t="n"/>
      <c r="D22" s="37" t="n"/>
      <c r="E22" s="37" t="n"/>
      <c r="F22" s="38" t="n"/>
    </row>
    <row r="23" ht="39" customHeight="1">
      <c r="A23" s="10" t="n"/>
      <c r="B23" s="27" t="inlineStr">
        <is>
          <t>11. Where SURL selections were drawn from the disbursement listing, test the completeness of that population — perform a sequence check of payment/check document numbers and agree the listing to the subsequent-period bank statement.</t>
        </is>
      </c>
      <c r="C23" s="27" t="inlineStr">
        <is>
          <t>Completeness</t>
        </is>
      </c>
      <c r="D23" s="28" t="inlineStr">
        <is>
          <t>&lt;.5&gt;</t>
        </is>
      </c>
      <c r="E23" s="10" t="n"/>
      <c r="F23" s="10" t="n"/>
    </row>
    <row r="24" ht="25.5" customHeight="1">
      <c r="A24" s="10" t="n"/>
      <c r="B24" s="27" t="inlineStr">
        <is>
          <t>12. Where SURL selections were drawn directly from the bank statement, document that the completeness test of the disbursement listing is NOT required (the bank statement is inherently complete).</t>
        </is>
      </c>
      <c r="C24" s="27" t="inlineStr">
        <is>
          <t>Completeness</t>
        </is>
      </c>
      <c r="D24" s="28" t="inlineStr">
        <is>
          <t>&lt;.5&gt;</t>
        </is>
      </c>
      <c r="E24" s="10" t="n"/>
      <c r="F24" s="10" t="n"/>
    </row>
    <row r="25">
      <c r="A25" s="1" t="inlineStr">
        <is>
          <t>&lt;.6&gt; Outstanding Checks → AP Tie-Back</t>
        </is>
      </c>
      <c r="B25" s="37" t="n"/>
      <c r="C25" s="37" t="n"/>
      <c r="D25" s="37" t="n"/>
      <c r="E25" s="37" t="n"/>
      <c r="F25" s="38" t="n"/>
    </row>
    <row r="26" ht="25.5" customHeight="1">
      <c r="A26" s="10" t="n"/>
      <c r="B26" s="27" t="inlineStr">
        <is>
          <t>13. Select outstanding checks issued on or before period-end that had not cleared the bank, and tie each back to the AP listing to confirm the related payable is appropriately recorded.</t>
        </is>
      </c>
      <c r="C26" s="27" t="inlineStr">
        <is>
          <t>Completeness; Existence</t>
        </is>
      </c>
      <c r="D26" s="28" t="inlineStr">
        <is>
          <t>&lt;.6&gt;</t>
        </is>
      </c>
      <c r="E26" s="10" t="n"/>
      <c r="F26" s="10" t="n"/>
    </row>
    <row r="27">
      <c r="A27" s="1" t="inlineStr">
        <is>
          <t>&lt;.7&gt; Open / Unpaid Invoice &amp; Cutoff</t>
        </is>
      </c>
      <c r="B27" s="37" t="n"/>
      <c r="C27" s="37" t="n"/>
      <c r="D27" s="37" t="n"/>
      <c r="E27" s="37" t="n"/>
      <c r="F27" s="38" t="n"/>
    </row>
    <row r="28" ht="39" customHeight="1">
      <c r="A28" s="10" t="n"/>
      <c r="B28" s="27" t="inlineStr">
        <is>
          <t>14. Select unpaid / open invoices from the subsequent period; determine the goods-received / service period; if it relates to pre-year-end, trace into year-end AP (an unrecorded liability if omitted); if post-year-end, confirm it is excluded from year-end AP.</t>
        </is>
      </c>
      <c r="C28" s="27" t="inlineStr">
        <is>
          <t>Completeness; Existence; Cutoff</t>
        </is>
      </c>
      <c r="D28" s="28" t="inlineStr">
        <is>
          <t>&lt;.7&gt;</t>
        </is>
      </c>
      <c r="E28" s="10" t="n"/>
      <c r="F28" s="10" t="n"/>
    </row>
    <row r="29" ht="25.5" customHeight="1">
      <c r="A29" s="10" t="n"/>
      <c r="B29" s="27" t="inlineStr">
        <is>
          <t>15. Obtain the received-not-invoiced (RNI) / unmatched-receiving report and test completeness of accrued purchases.</t>
        </is>
      </c>
      <c r="C29" s="27" t="inlineStr">
        <is>
          <t>Completeness</t>
        </is>
      </c>
      <c r="D29" s="28" t="inlineStr">
        <is>
          <t>&lt;.7&gt;</t>
        </is>
      </c>
      <c r="E29" s="10" t="n"/>
      <c r="F29" s="10" t="n"/>
    </row>
    <row r="30">
      <c r="A30" s="1" t="inlineStr">
        <is>
          <t>&lt;.8&gt; Ratios &amp; Disclosures</t>
        </is>
      </c>
      <c r="B30" s="37" t="n"/>
      <c r="C30" s="37" t="n"/>
      <c r="D30" s="37" t="n"/>
      <c r="E30" s="37" t="n"/>
      <c r="F30" s="38" t="n"/>
    </row>
    <row r="31" ht="25.5" customHeight="1">
      <c r="A31" s="10" t="n"/>
      <c r="B31" s="27" t="inlineStr">
        <is>
          <t>16. Compute AP analytics (DPO, AP turnover, AP as % of COGS/expenses) and investigate unusual trends.</t>
        </is>
      </c>
      <c r="C31" s="27" t="inlineStr">
        <is>
          <t>Presentation &amp; Disclosure</t>
        </is>
      </c>
      <c r="D31" s="28" t="inlineStr">
        <is>
          <t>&lt;.8&gt;</t>
        </is>
      </c>
      <c r="E31" s="10" t="n"/>
      <c r="F31" s="10" t="n"/>
    </row>
    <row r="32" ht="25.5" customHeight="1">
      <c r="A32" s="10" t="n"/>
      <c r="B32" s="27" t="inlineStr">
        <is>
          <t>17. Evaluate AP presentation and disclosure — related-party payables, current vs noncurrent, debit balances reclassified, customer deposits / contract-liability classification, and concentration.</t>
        </is>
      </c>
      <c r="C32" s="27" t="inlineStr">
        <is>
          <t>Presentation &amp; Disclosure; Classification</t>
        </is>
      </c>
      <c r="D32" s="28" t="inlineStr">
        <is>
          <t>&lt;.8&gt;</t>
        </is>
      </c>
      <c r="E32" s="10" t="n"/>
      <c r="F32" s="10" t="n"/>
    </row>
    <row r="33" ht="25.5" customHeight="1">
      <c r="A33" s="10" t="n"/>
      <c r="B33" s="27" t="inlineStr">
        <is>
          <t>18. Inquire of management and review board minutes / legal letters for unrecorded obligations, commitments and purchase obligations.</t>
        </is>
      </c>
      <c r="C33" s="27" t="inlineStr">
        <is>
          <t>Completeness; Presentation &amp; Disclosure</t>
        </is>
      </c>
      <c r="D33" s="28" t="inlineStr">
        <is>
          <t>&lt;.8&gt;</t>
        </is>
      </c>
      <c r="E33" s="10" t="n"/>
      <c r="F33" s="10" t="n"/>
    </row>
    <row r="34">
      <c r="A34" s="1" t="inlineStr">
        <is>
          <t>Documentation &amp; Review</t>
        </is>
      </c>
      <c r="B34" s="37" t="n"/>
      <c r="C34" s="37" t="n"/>
      <c r="D34" s="37" t="n"/>
      <c r="E34" s="37" t="n"/>
      <c r="F34" s="38" t="n"/>
    </row>
    <row r="35" ht="15" customHeight="1">
      <c r="A35" s="10" t="n"/>
      <c r="B35" s="27" t="inlineStr">
        <is>
          <t>19. Cross-reference each procedure to its workpaper tab and link it to the relevant assertion(s).</t>
        </is>
      </c>
      <c r="C35" s="27" t="inlineStr">
        <is>
          <t>Overall</t>
        </is>
      </c>
      <c r="D35" s="28" t="inlineStr">
        <is>
          <t>&lt;.0&gt;-&lt;.8&gt;</t>
        </is>
      </c>
      <c r="E35" s="10" t="n"/>
      <c r="F35" s="10" t="n"/>
    </row>
    <row r="36" ht="25.5" customHeight="1">
      <c r="A36" s="10" t="n"/>
      <c r="B36" s="27" t="inlineStr">
        <is>
          <t>20. Verify lead-sheet and reconciliation tie-out formulas foot correctly and the workbook source trail is complete.</t>
        </is>
      </c>
      <c r="C36" s="27" t="inlineStr">
        <is>
          <t>Accuracy; Completeness</t>
        </is>
      </c>
      <c r="D36" s="28" t="inlineStr">
        <is>
          <t>&lt;.1&gt;/&lt;.2&gt;</t>
        </is>
      </c>
      <c r="E36" s="10" t="n"/>
      <c r="F36" s="10" t="n"/>
    </row>
    <row r="37">
      <c r="A37" s="1" t="inlineStr">
        <is>
          <t>Conclusion</t>
        </is>
      </c>
      <c r="B37" s="37" t="n"/>
      <c r="C37" s="37" t="n"/>
      <c r="D37" s="37" t="n"/>
      <c r="E37" s="37" t="n"/>
      <c r="F37" s="38" t="n"/>
    </row>
    <row r="38" ht="25.5" customHeight="1">
      <c r="A38" s="10" t="n"/>
      <c r="B38" s="27" t="inlineStr">
        <is>
          <t>21. All planned AP audit procedures above were performed; results support the recorded accounts-payable balance and related disclosures, subject to documented open items.</t>
        </is>
      </c>
      <c r="C38" s="27" t="inlineStr">
        <is>
          <t>Overall</t>
        </is>
      </c>
      <c r="D38" s="28" t="inlineStr">
        <is>
          <t>&lt;.0&gt;-&lt;.8&gt;</t>
        </is>
      </c>
      <c r="E38" s="10" t="n"/>
      <c r="F38" s="10" t="n"/>
    </row>
  </sheetData>
  <mergeCells count="12">
    <mergeCell ref="A16:F16"/>
    <mergeCell ref="A19:F19"/>
    <mergeCell ref="A13:F13"/>
    <mergeCell ref="A37:F37"/>
    <mergeCell ref="A9:F9"/>
    <mergeCell ref="A27:F27"/>
    <mergeCell ref="A22:F22"/>
    <mergeCell ref="A34:F34"/>
    <mergeCell ref="A4:F4"/>
    <mergeCell ref="A30:F30"/>
    <mergeCell ref="A7:F7"/>
    <mergeCell ref="A25:F25"/>
  </mergeCells>
  <pageMargins left="0.3" right="0.3" top="0.4" bottom="0.4" header="0.2" footer="0.2"/>
  <pageSetup orientation="portrait" paperSize="1" fitToHeight="1" fitToWidth="1" horizontalDpi="300" verticalDpi="300"/>
</worksheet>
</file>

<file path=xl/worksheets/sheet2.xml><?xml version="1.0" encoding="utf-8"?>
<worksheet xmlns="http://schemas.openxmlformats.org/spreadsheetml/2006/main">
  <sheetPr>
    <outlinePr summaryBelow="1" summaryRight="1"/>
    <pageSetUpPr fitToPage="1"/>
  </sheetPr>
  <dimension ref="A1:H32"/>
  <sheetViews>
    <sheetView showGridLines="0" zoomScale="85" zoomScaleNormal="100" workbookViewId="0">
      <selection activeCell="A1" sqref="A1:A1048576"/>
    </sheetView>
  </sheetViews>
  <sheetFormatPr baseColWidth="8" defaultColWidth="8.6328125" defaultRowHeight="14.5"/>
  <cols>
    <col width="21.90625" bestFit="1" customWidth="1" min="1" max="1"/>
    <col width="36" customWidth="1" min="2" max="2"/>
    <col width="20" customWidth="1" min="3" max="3"/>
    <col width="14" customWidth="1" min="4" max="4"/>
    <col width="12" customWidth="1" min="5" max="5"/>
    <col width="24" customWidth="1" min="6" max="6"/>
    <col width="34" customWidth="1" min="7" max="7"/>
  </cols>
  <sheetData>
    <row r="1" ht="17.5" customHeight="1">
      <c r="A1" s="5" t="inlineStr">
        <is>
          <t>Source Index</t>
        </is>
      </c>
    </row>
    <row r="2">
      <c r="A2" s="6" t="inlineStr">
        <is>
          <t>Client / Entity</t>
        </is>
      </c>
      <c r="B2" s="7" t="inlineStr">
        <is>
          <t>[Client / Entity]</t>
        </is>
      </c>
      <c r="D2" s="6" t="inlineStr">
        <is>
          <t>Year-End</t>
        </is>
      </c>
      <c r="E2" s="7" t="inlineStr">
        <is>
          <t>[YYYY-MM-DD]</t>
        </is>
      </c>
      <c r="G2" s="6" t="inlineStr">
        <is>
          <t>Currency</t>
        </is>
      </c>
      <c r="H2" s="7" t="inlineStr">
        <is>
          <t>[CCY]</t>
        </is>
      </c>
    </row>
    <row r="3">
      <c r="A3" s="6" t="inlineStr">
        <is>
          <t>Performance Materiality</t>
        </is>
      </c>
      <c r="B3" s="7" t="inlineStr">
        <is>
          <t>[PM]</t>
        </is>
      </c>
      <c r="D3" s="6" t="inlineStr">
        <is>
          <t>Testing Threshold (SUM)</t>
        </is>
      </c>
      <c r="E3" s="7" t="inlineStr">
        <is>
          <t>[Threshold]</t>
        </is>
      </c>
    </row>
    <row r="4" ht="15" customHeight="1">
      <c r="A4" s="33" t="inlineStr">
        <is>
          <t>Purpose:</t>
        </is>
      </c>
      <c r="B4" s="4" t="inlineStr">
        <is>
          <t>Map every AP PBC source and its limitations so the evidence trail is complete and traceable.</t>
        </is>
      </c>
    </row>
    <row r="5" ht="42" customHeight="1">
      <c r="A5" s="33" t="inlineStr">
        <is>
          <t>Scope:</t>
        </is>
      </c>
      <c r="B5" s="4" t="inlineStr">
        <is>
          <t>All client-provided AP support: trade-only AP aging/sub-ledger, GL detail, subsequent disbursement records / bank statements, open/unpaid invoice file, vendor statements, RNI / unmatched-receiving report.</t>
        </is>
      </c>
    </row>
    <row r="6" ht="15" customHeight="1">
      <c r="A6" s="33" t="inlineStr">
        <is>
          <t>Assertions:</t>
        </is>
      </c>
      <c r="B6" s="4" t="inlineStr">
        <is>
          <t>Completeness</t>
        </is>
      </c>
    </row>
    <row r="7" ht="30" customHeight="1">
      <c r="A7" s="9" t="inlineStr">
        <is>
          <t>Ref</t>
        </is>
      </c>
      <c r="B7" s="9" t="inlineStr">
        <is>
          <t>Source document / PBC</t>
        </is>
      </c>
      <c r="C7" s="9" t="inlineStr">
        <is>
          <t>Provided by</t>
        </is>
      </c>
      <c r="D7" s="9" t="inlineStr">
        <is>
          <t>Date received</t>
        </is>
      </c>
      <c r="E7" s="9" t="inlineStr">
        <is>
          <t>Format</t>
        </is>
      </c>
      <c r="F7" s="9" t="inlineStr">
        <is>
          <t>Used in tab(s)</t>
        </is>
      </c>
      <c r="G7" s="9" t="inlineStr">
        <is>
          <t>Limitations / notes</t>
        </is>
      </c>
    </row>
    <row r="8">
      <c r="A8" s="10" t="n"/>
      <c r="B8" s="10" t="n"/>
      <c r="C8" s="10" t="n"/>
      <c r="D8" s="10" t="n"/>
      <c r="E8" s="10" t="n"/>
      <c r="F8" s="10" t="n"/>
      <c r="G8" s="10" t="n"/>
    </row>
    <row r="9">
      <c r="A9" s="10" t="n"/>
      <c r="B9" s="10" t="n"/>
      <c r="C9" s="10" t="n"/>
      <c r="D9" s="10" t="n"/>
      <c r="E9" s="10" t="n"/>
      <c r="F9" s="10" t="n"/>
      <c r="G9" s="10" t="n"/>
    </row>
    <row r="10">
      <c r="A10" s="10" t="n"/>
      <c r="B10" s="10" t="n"/>
      <c r="C10" s="10" t="n"/>
      <c r="D10" s="10" t="n"/>
      <c r="E10" s="10" t="n"/>
      <c r="F10" s="10" t="n"/>
      <c r="G10" s="10" t="n"/>
    </row>
    <row r="11">
      <c r="A11" s="10" t="n"/>
      <c r="B11" s="10" t="n"/>
      <c r="C11" s="10" t="n"/>
      <c r="D11" s="10" t="n"/>
      <c r="E11" s="10" t="n"/>
      <c r="F11" s="10" t="n"/>
      <c r="G11" s="10" t="n"/>
    </row>
    <row r="12">
      <c r="A12" s="10" t="n"/>
      <c r="B12" s="10" t="n"/>
      <c r="C12" s="10" t="n"/>
      <c r="D12" s="10" t="n"/>
      <c r="E12" s="10" t="n"/>
      <c r="F12" s="10" t="n"/>
      <c r="G12" s="10" t="n"/>
    </row>
    <row r="13">
      <c r="A13" s="10" t="n"/>
      <c r="B13" s="10" t="n"/>
      <c r="C13" s="10" t="n"/>
      <c r="D13" s="10" t="n"/>
      <c r="E13" s="10" t="n"/>
      <c r="F13" s="10" t="n"/>
      <c r="G13" s="10" t="n"/>
    </row>
    <row r="14">
      <c r="A14" s="10" t="n"/>
      <c r="B14" s="10" t="n"/>
      <c r="C14" s="10" t="n"/>
      <c r="D14" s="10" t="n"/>
      <c r="E14" s="10" t="n"/>
      <c r="F14" s="10" t="n"/>
      <c r="G14" s="10" t="n"/>
    </row>
    <row r="15">
      <c r="A15" s="10" t="n"/>
      <c r="B15" s="10" t="n"/>
      <c r="C15" s="10" t="n"/>
      <c r="D15" s="10" t="n"/>
      <c r="E15" s="10" t="n"/>
      <c r="F15" s="10" t="n"/>
      <c r="G15" s="10" t="n"/>
    </row>
    <row r="16">
      <c r="A16" s="10" t="n"/>
      <c r="B16" s="10" t="n"/>
      <c r="C16" s="10" t="n"/>
      <c r="D16" s="10" t="n"/>
      <c r="E16" s="10" t="n"/>
      <c r="F16" s="10" t="n"/>
      <c r="G16" s="10" t="n"/>
    </row>
    <row r="17">
      <c r="A17" s="10" t="n"/>
      <c r="B17" s="10" t="n"/>
      <c r="C17" s="10" t="n"/>
      <c r="D17" s="10" t="n"/>
      <c r="E17" s="10" t="n"/>
      <c r="F17" s="10" t="n"/>
      <c r="G17" s="10" t="n"/>
    </row>
    <row r="18">
      <c r="A18" s="10" t="n"/>
      <c r="B18" s="10" t="n"/>
      <c r="C18" s="10" t="n"/>
      <c r="D18" s="10" t="n"/>
      <c r="E18" s="10" t="n"/>
      <c r="F18" s="10" t="n"/>
      <c r="G18" s="10" t="n"/>
    </row>
    <row r="19">
      <c r="A19" s="10" t="n"/>
      <c r="B19" s="10" t="n"/>
      <c r="C19" s="10" t="n"/>
      <c r="D19" s="10" t="n"/>
      <c r="E19" s="10" t="n"/>
      <c r="F19" s="10" t="n"/>
      <c r="G19" s="10" t="n"/>
    </row>
    <row r="20"/>
    <row r="21">
      <c r="A21" s="33" t="inlineStr">
        <is>
          <t>TM Legends</t>
        </is>
      </c>
    </row>
    <row r="22">
      <c r="A22" s="11" t="inlineStr">
        <is>
          <t>TB</t>
        </is>
      </c>
      <c r="B22" s="10" t="inlineStr">
        <is>
          <t>Agreed to trial balance</t>
        </is>
      </c>
      <c r="C22" s="37" t="n"/>
      <c r="D22" s="38" t="n"/>
    </row>
    <row r="23">
      <c r="A23" s="11" t="inlineStr">
        <is>
          <t>GL</t>
        </is>
      </c>
      <c r="B23" s="10" t="inlineStr">
        <is>
          <t>Agreed to general ledger</t>
        </is>
      </c>
      <c r="C23" s="37" t="n"/>
      <c r="D23" s="38" t="n"/>
    </row>
    <row r="24">
      <c r="A24" s="11" t="inlineStr">
        <is>
          <t>CF</t>
        </is>
      </c>
      <c r="B24" s="10" t="inlineStr">
        <is>
          <t>Confirmed with third party</t>
        </is>
      </c>
      <c r="C24" s="37" t="n"/>
      <c r="D24" s="38" t="n"/>
    </row>
    <row r="25">
      <c r="A25" s="11" t="inlineStr">
        <is>
          <t>V</t>
        </is>
      </c>
      <c r="B25" s="10" t="inlineStr">
        <is>
          <t>Vouched to source document</t>
        </is>
      </c>
      <c r="C25" s="37" t="n"/>
      <c r="D25" s="38" t="n"/>
    </row>
    <row r="26">
      <c r="A26" s="11" t="inlineStr">
        <is>
          <t>SR</t>
        </is>
      </c>
      <c r="B26" s="10" t="inlineStr">
        <is>
          <t>Agreed to subsequent bank-cleared receipt</t>
        </is>
      </c>
      <c r="C26" s="37" t="n"/>
      <c r="D26" s="38" t="n"/>
    </row>
    <row r="27">
      <c r="A27" s="11" t="inlineStr">
        <is>
          <t>R</t>
        </is>
      </c>
      <c r="B27" s="10" t="inlineStr">
        <is>
          <t>Recalculated independently</t>
        </is>
      </c>
      <c r="C27" s="37" t="n"/>
      <c r="D27" s="38" t="n"/>
    </row>
    <row r="28">
      <c r="A28" s="11" t="inlineStr">
        <is>
          <t>F</t>
        </is>
      </c>
      <c r="B28" s="10" t="inlineStr">
        <is>
          <t>Footed / cross-cast</t>
        </is>
      </c>
      <c r="C28" s="37" t="n"/>
      <c r="D28" s="38" t="n"/>
    </row>
    <row r="29">
      <c r="A29" s="11" t="inlineStr">
        <is>
          <t>T</t>
        </is>
      </c>
      <c r="B29" s="10" t="inlineStr">
        <is>
          <t>Traced to downstream record</t>
        </is>
      </c>
      <c r="C29" s="37" t="n"/>
      <c r="D29" s="38" t="n"/>
    </row>
    <row r="30">
      <c r="A30" s="11" t="inlineStr">
        <is>
          <t>PBC</t>
        </is>
      </c>
      <c r="B30" s="10" t="inlineStr">
        <is>
          <t>Prepared by client</t>
        </is>
      </c>
      <c r="C30" s="37" t="n"/>
      <c r="D30" s="38" t="n"/>
    </row>
    <row r="31"/>
    <row r="32" ht="25.5" customHeight="1">
      <c r="A32" s="2" t="inlineStr">
        <is>
          <t>Before sign-off complete Library Procedure 1 (source completeness &amp; limitations).</t>
        </is>
      </c>
    </row>
  </sheetData>
  <mergeCells count="13">
    <mergeCell ref="A32:G32"/>
    <mergeCell ref="B28:D28"/>
    <mergeCell ref="B5:G5"/>
    <mergeCell ref="B23:D23"/>
    <mergeCell ref="B22:D22"/>
    <mergeCell ref="B26:D26"/>
    <mergeCell ref="B27:D27"/>
    <mergeCell ref="B4:G4"/>
    <mergeCell ref="B30:D30"/>
    <mergeCell ref="B29:D29"/>
    <mergeCell ref="B25:D25"/>
    <mergeCell ref="B24:D24"/>
    <mergeCell ref="B6:G6"/>
  </mergeCells>
  <pageMargins left="0.3" right="0.3" top="0.4" bottom="0.4" header="0.2" footer="0.2"/>
  <pageSetup orientation="portrait" paperSize="1" fitToHeight="1" fitToWidth="1" horizontalDpi="300" verticalDpi="300"/>
</worksheet>
</file>

<file path=xl/worksheets/sheet3.xml><?xml version="1.0" encoding="utf-8"?>
<worksheet xmlns="http://schemas.openxmlformats.org/spreadsheetml/2006/main">
  <sheetPr>
    <outlinePr summaryBelow="1" summaryRight="1"/>
    <pageSetUpPr fitToPage="1"/>
  </sheetPr>
  <dimension ref="A1:I34"/>
  <sheetViews>
    <sheetView showGridLines="0" zoomScale="85" zoomScaleNormal="100" workbookViewId="0">
      <selection activeCell="A1" sqref="A1:A1048576"/>
    </sheetView>
  </sheetViews>
  <sheetFormatPr baseColWidth="8" defaultColWidth="8.6328125" defaultRowHeight="14.5"/>
  <cols>
    <col width="22" customWidth="1" min="1" max="1"/>
    <col width="12" customWidth="1" min="2" max="2"/>
    <col width="26" customWidth="1" min="3" max="3"/>
    <col width="15" customWidth="1" min="4" max="5"/>
    <col width="14" customWidth="1" min="6" max="6"/>
    <col width="11" customWidth="1" min="7" max="7"/>
    <col width="26" customWidth="1" min="8" max="9"/>
  </cols>
  <sheetData>
    <row r="1" ht="17.5" customHeight="1">
      <c r="A1" s="5" t="inlineStr">
        <is>
          <t>AP Lead Sheet</t>
        </is>
      </c>
    </row>
    <row r="2">
      <c r="A2" s="6" t="inlineStr">
        <is>
          <t>Client / Entity</t>
        </is>
      </c>
      <c r="B2" s="7" t="inlineStr">
        <is>
          <t>[Client / Entity]</t>
        </is>
      </c>
      <c r="D2" s="6" t="inlineStr">
        <is>
          <t>Year-End</t>
        </is>
      </c>
      <c r="E2" s="7" t="inlineStr">
        <is>
          <t>[YYYY-MM-DD]</t>
        </is>
      </c>
      <c r="G2" s="6" t="inlineStr">
        <is>
          <t>Currency</t>
        </is>
      </c>
      <c r="H2" s="7" t="inlineStr">
        <is>
          <t>[CCY]</t>
        </is>
      </c>
    </row>
    <row r="3">
      <c r="A3" s="6" t="inlineStr">
        <is>
          <t>Performance Materiality</t>
        </is>
      </c>
      <c r="B3" s="7" t="inlineStr">
        <is>
          <t>[PM]</t>
        </is>
      </c>
      <c r="D3" s="6" t="inlineStr">
        <is>
          <t>Testing Threshold (SUM)</t>
        </is>
      </c>
      <c r="E3" s="7" t="inlineStr">
        <is>
          <t>[Threshold]</t>
        </is>
      </c>
    </row>
    <row r="4" ht="27.75" customHeight="1">
      <c r="A4" s="33" t="inlineStr">
        <is>
          <t>Purpose:</t>
        </is>
      </c>
      <c r="B4" s="4" t="inlineStr">
        <is>
          <t>Summarize the trade-payable population and tie CY/PY balances to the trial balance and general ledger.</t>
        </is>
      </c>
    </row>
    <row r="5" ht="42" customHeight="1">
      <c r="A5" s="33" t="inlineStr">
        <is>
          <t>Scope:</t>
        </is>
      </c>
      <c r="B5" s="4" t="inlineStr">
        <is>
          <t>Trade payables only (sign convention: positive payable magnitudes). Non-trade items miscoded into the AP aging (e.g. accrued payroll, customer deposits) are excluded and addressed separately.</t>
        </is>
      </c>
    </row>
    <row r="6" ht="15" customHeight="1">
      <c r="A6" s="33" t="inlineStr">
        <is>
          <t>Assertions:</t>
        </is>
      </c>
      <c r="B6" s="4" t="inlineStr">
        <is>
          <t>Completeness; Existence; Rights &amp; Obligations; Accuracy</t>
        </is>
      </c>
    </row>
    <row r="7" ht="30" customHeight="1">
      <c r="A7" s="9" t="inlineStr">
        <is>
          <t>Entity / Property</t>
        </is>
      </c>
      <c r="B7" s="9" t="inlineStr">
        <is>
          <t>GL Account</t>
        </is>
      </c>
      <c r="C7" s="9" t="inlineStr">
        <is>
          <t>Account Description</t>
        </is>
      </c>
      <c r="D7" s="9" t="inlineStr">
        <is>
          <t>CY TB Balance</t>
        </is>
      </c>
      <c r="E7" s="9" t="inlineStr">
        <is>
          <t>PY TB Balance</t>
        </is>
      </c>
      <c r="F7" s="9" t="inlineStr">
        <is>
          <t>Difference</t>
        </is>
      </c>
      <c r="G7" s="9" t="inlineStr">
        <is>
          <t>% Change</t>
        </is>
      </c>
      <c r="H7" s="9" t="inlineStr">
        <is>
          <t>Testing Disposition</t>
        </is>
      </c>
      <c r="I7" s="9" t="inlineStr">
        <is>
          <t>Source / Comments</t>
        </is>
      </c>
    </row>
    <row r="8">
      <c r="D8" s="12" t="inlineStr">
        <is>
          <t>TB</t>
        </is>
      </c>
      <c r="E8" s="12" t="inlineStr">
        <is>
          <t>PY</t>
        </is>
      </c>
      <c r="F8" s="12" t="inlineStr">
        <is>
          <t>R</t>
        </is>
      </c>
      <c r="G8" s="12" t="inlineStr">
        <is>
          <t>R</t>
        </is>
      </c>
    </row>
    <row r="9">
      <c r="A9" s="10" t="n"/>
      <c r="B9" s="10" t="n"/>
      <c r="C9" s="10" t="n"/>
      <c r="D9" s="13" t="n"/>
      <c r="E9" s="13" t="n"/>
      <c r="F9" s="13">
        <f>IF(AND(D9="",E9=""),"",D9-E9)</f>
        <v/>
      </c>
      <c r="G9" s="14">
        <f>IF(OR(E9="",E9=0),"",(D9-E9)/E9)</f>
        <v/>
      </c>
      <c r="H9" s="10" t="n"/>
      <c r="I9" s="10" t="n"/>
    </row>
    <row r="10">
      <c r="A10" s="10" t="n"/>
      <c r="B10" s="10" t="n"/>
      <c r="C10" s="10" t="n"/>
      <c r="D10" s="13" t="n"/>
      <c r="E10" s="13" t="n"/>
      <c r="F10" s="13">
        <f>IF(AND(D10="",E10=""),"",D10-E10)</f>
        <v/>
      </c>
      <c r="G10" s="14">
        <f>IF(OR(E10="",E10=0),"",(D10-E10)/E10)</f>
        <v/>
      </c>
      <c r="H10" s="10" t="n"/>
      <c r="I10" s="10" t="n"/>
    </row>
    <row r="11">
      <c r="A11" s="10" t="n"/>
      <c r="B11" s="10" t="n"/>
      <c r="C11" s="10" t="n"/>
      <c r="D11" s="13" t="n"/>
      <c r="E11" s="13" t="n"/>
      <c r="F11" s="13">
        <f>IF(AND(D11="",E11=""),"",D11-E11)</f>
        <v/>
      </c>
      <c r="G11" s="14">
        <f>IF(OR(E11="",E11=0),"",(D11-E11)/E11)</f>
        <v/>
      </c>
      <c r="H11" s="10" t="n"/>
      <c r="I11" s="10" t="n"/>
    </row>
    <row r="12">
      <c r="A12" s="10" t="n"/>
      <c r="B12" s="10" t="n"/>
      <c r="C12" s="10" t="n"/>
      <c r="D12" s="13" t="n"/>
      <c r="E12" s="13" t="n"/>
      <c r="F12" s="13">
        <f>IF(AND(D12="",E12=""),"",D12-E12)</f>
        <v/>
      </c>
      <c r="G12" s="14">
        <f>IF(OR(E12="",E12=0),"",(D12-E12)/E12)</f>
        <v/>
      </c>
      <c r="H12" s="10" t="n"/>
      <c r="I12" s="10" t="n"/>
    </row>
    <row r="13">
      <c r="A13" s="10" t="n"/>
      <c r="B13" s="10" t="n"/>
      <c r="C13" s="10" t="n"/>
      <c r="D13" s="13" t="n"/>
      <c r="E13" s="13" t="n"/>
      <c r="F13" s="13">
        <f>IF(AND(D13="",E13=""),"",D13-E13)</f>
        <v/>
      </c>
      <c r="G13" s="14">
        <f>IF(OR(E13="",E13=0),"",(D13-E13)/E13)</f>
        <v/>
      </c>
      <c r="H13" s="10" t="n"/>
      <c r="I13" s="10" t="n"/>
    </row>
    <row r="14">
      <c r="A14" s="10" t="n"/>
      <c r="B14" s="10" t="n"/>
      <c r="C14" s="10" t="n"/>
      <c r="D14" s="13" t="n"/>
      <c r="E14" s="13" t="n"/>
      <c r="F14" s="13">
        <f>IF(AND(D14="",E14=""),"",D14-E14)</f>
        <v/>
      </c>
      <c r="G14" s="14">
        <f>IF(OR(E14="",E14=0),"",(D14-E14)/E14)</f>
        <v/>
      </c>
      <c r="H14" s="10" t="n"/>
      <c r="I14" s="10" t="n"/>
    </row>
    <row r="15">
      <c r="A15" s="10" t="n"/>
      <c r="B15" s="10" t="n"/>
      <c r="C15" s="10" t="n"/>
      <c r="D15" s="13" t="n"/>
      <c r="E15" s="13" t="n"/>
      <c r="F15" s="13">
        <f>IF(AND(D15="",E15=""),"",D15-E15)</f>
        <v/>
      </c>
      <c r="G15" s="14">
        <f>IF(OR(E15="",E15=0),"",(D15-E15)/E15)</f>
        <v/>
      </c>
      <c r="H15" s="10" t="n"/>
      <c r="I15" s="10" t="n"/>
    </row>
    <row r="16">
      <c r="A16" s="10" t="n"/>
      <c r="B16" s="10" t="n"/>
      <c r="C16" s="10" t="n"/>
      <c r="D16" s="13" t="n"/>
      <c r="E16" s="13" t="n"/>
      <c r="F16" s="13">
        <f>IF(AND(D16="",E16=""),"",D16-E16)</f>
        <v/>
      </c>
      <c r="G16" s="14">
        <f>IF(OR(E16="",E16=0),"",(D16-E16)/E16)</f>
        <v/>
      </c>
      <c r="H16" s="10" t="n"/>
      <c r="I16" s="10" t="n"/>
    </row>
    <row r="17">
      <c r="A17" s="10" t="n"/>
      <c r="B17" s="10" t="n"/>
      <c r="C17" s="10" t="n"/>
      <c r="D17" s="13" t="n"/>
      <c r="E17" s="13" t="n"/>
      <c r="F17" s="13">
        <f>IF(AND(D17="",E17=""),"",D17-E17)</f>
        <v/>
      </c>
      <c r="G17" s="14">
        <f>IF(OR(E17="",E17=0),"",(D17-E17)/E17)</f>
        <v/>
      </c>
      <c r="H17" s="10" t="n"/>
      <c r="I17" s="10" t="n"/>
    </row>
    <row r="18">
      <c r="A18" s="10" t="n"/>
      <c r="B18" s="10" t="n"/>
      <c r="C18" s="10" t="n"/>
      <c r="D18" s="13" t="n"/>
      <c r="E18" s="13" t="n"/>
      <c r="F18" s="13">
        <f>IF(AND(D18="",E18=""),"",D18-E18)</f>
        <v/>
      </c>
      <c r="G18" s="14">
        <f>IF(OR(E18="",E18=0),"",(D18-E18)/E18)</f>
        <v/>
      </c>
      <c r="H18" s="10" t="n"/>
      <c r="I18" s="10" t="n"/>
    </row>
    <row r="19">
      <c r="A19" s="15" t="inlineStr">
        <is>
          <t>Total per lead sheet</t>
        </is>
      </c>
      <c r="B19" s="15" t="n"/>
      <c r="C19" s="15" t="n"/>
      <c r="D19" s="16">
        <f>SUM(D9:D18)</f>
        <v/>
      </c>
      <c r="E19" s="16">
        <f>SUM(E9:E18)</f>
        <v/>
      </c>
      <c r="F19" s="16">
        <f>SUM(F9:F18)</f>
        <v/>
      </c>
      <c r="G19" s="15" t="n"/>
      <c r="H19" s="15" t="n"/>
      <c r="I19" s="15" t="n"/>
    </row>
    <row r="20"/>
    <row r="21" ht="25.5" customHeight="1">
      <c r="A21" s="2" t="inlineStr">
        <is>
          <t>Sign convention: payables shown as positive magnitudes. Investigate any debit balances within AP for reclassification to other assets; confirm non-trade items are not commingled in the trade-AP aging.</t>
        </is>
      </c>
    </row>
    <row r="22"/>
    <row r="23">
      <c r="A23" s="33" t="inlineStr">
        <is>
          <t>TM Legends</t>
        </is>
      </c>
    </row>
    <row r="24">
      <c r="A24" s="11" t="inlineStr">
        <is>
          <t>TB</t>
        </is>
      </c>
      <c r="B24" s="10" t="inlineStr">
        <is>
          <t>Agreed to trial balance</t>
        </is>
      </c>
      <c r="C24" s="37" t="n"/>
      <c r="D24" s="38" t="n"/>
    </row>
    <row r="25">
      <c r="A25" s="11" t="inlineStr">
        <is>
          <t>GL</t>
        </is>
      </c>
      <c r="B25" s="10" t="inlineStr">
        <is>
          <t>Agreed to general ledger</t>
        </is>
      </c>
      <c r="C25" s="37" t="n"/>
      <c r="D25" s="38" t="n"/>
    </row>
    <row r="26">
      <c r="A26" s="11" t="inlineStr">
        <is>
          <t>CF</t>
        </is>
      </c>
      <c r="B26" s="10" t="inlineStr">
        <is>
          <t>Confirmed with third party</t>
        </is>
      </c>
      <c r="C26" s="37" t="n"/>
      <c r="D26" s="38" t="n"/>
    </row>
    <row r="27">
      <c r="A27" s="11" t="inlineStr">
        <is>
          <t>V</t>
        </is>
      </c>
      <c r="B27" s="10" t="inlineStr">
        <is>
          <t>Vouched to source document</t>
        </is>
      </c>
      <c r="C27" s="37" t="n"/>
      <c r="D27" s="38" t="n"/>
    </row>
    <row r="28">
      <c r="A28" s="11" t="inlineStr">
        <is>
          <t>SR</t>
        </is>
      </c>
      <c r="B28" s="10" t="inlineStr">
        <is>
          <t>Agreed to subsequent bank-cleared receipt</t>
        </is>
      </c>
      <c r="C28" s="37" t="n"/>
      <c r="D28" s="38" t="n"/>
    </row>
    <row r="29">
      <c r="A29" s="11" t="inlineStr">
        <is>
          <t>R</t>
        </is>
      </c>
      <c r="B29" s="10" t="inlineStr">
        <is>
          <t>Recalculated independently</t>
        </is>
      </c>
      <c r="C29" s="37" t="n"/>
      <c r="D29" s="38" t="n"/>
    </row>
    <row r="30">
      <c r="A30" s="11" t="inlineStr">
        <is>
          <t>F</t>
        </is>
      </c>
      <c r="B30" s="10" t="inlineStr">
        <is>
          <t>Footed / cross-cast</t>
        </is>
      </c>
      <c r="C30" s="37" t="n"/>
      <c r="D30" s="38" t="n"/>
    </row>
    <row r="31">
      <c r="A31" s="11" t="inlineStr">
        <is>
          <t>T</t>
        </is>
      </c>
      <c r="B31" s="10" t="inlineStr">
        <is>
          <t>Traced to downstream record</t>
        </is>
      </c>
      <c r="C31" s="37" t="n"/>
      <c r="D31" s="38" t="n"/>
    </row>
    <row r="32">
      <c r="A32" s="11" t="inlineStr">
        <is>
          <t>PBC</t>
        </is>
      </c>
      <c r="B32" s="10" t="inlineStr">
        <is>
          <t>Prepared by client</t>
        </is>
      </c>
      <c r="C32" s="37" t="n"/>
      <c r="D32" s="38" t="n"/>
    </row>
    <row r="33"/>
    <row r="34" ht="25.5" customHeight="1">
      <c r="A34" s="2" t="inlineStr">
        <is>
          <t>Before sign-off complete Library Procedures 2-4 (AP Lead Sheet).</t>
        </is>
      </c>
    </row>
  </sheetData>
  <mergeCells count="14">
    <mergeCell ref="B28:D28"/>
    <mergeCell ref="B31:D31"/>
    <mergeCell ref="B6:I6"/>
    <mergeCell ref="B32:D32"/>
    <mergeCell ref="B26:D26"/>
    <mergeCell ref="B27:D27"/>
    <mergeCell ref="B4:I4"/>
    <mergeCell ref="B5:I5"/>
    <mergeCell ref="B30:D30"/>
    <mergeCell ref="B29:D29"/>
    <mergeCell ref="B25:D25"/>
    <mergeCell ref="B24:D24"/>
    <mergeCell ref="A21:I21"/>
    <mergeCell ref="A34:I34"/>
  </mergeCells>
  <pageMargins left="0.3" right="0.3" top="0.4" bottom="0.4" header="0.2" footer="0.2"/>
  <pageSetup orientation="landscape" paperSize="1" fitToHeight="1" fitToWidth="1" horizontalDpi="300" verticalDpi="300"/>
</worksheet>
</file>

<file path=xl/worksheets/sheet4.xml><?xml version="1.0" encoding="utf-8"?>
<worksheet xmlns="http://schemas.openxmlformats.org/spreadsheetml/2006/main">
  <sheetPr>
    <outlinePr summaryBelow="1" summaryRight="1"/>
    <pageSetUpPr fitToPage="1"/>
  </sheetPr>
  <dimension ref="A1:H38"/>
  <sheetViews>
    <sheetView showGridLines="0" zoomScale="85" zoomScaleNormal="100" workbookViewId="0">
      <selection activeCell="B9" sqref="B9"/>
    </sheetView>
  </sheetViews>
  <sheetFormatPr baseColWidth="8" defaultColWidth="8.6328125" defaultRowHeight="14.5"/>
  <cols>
    <col width="34" customWidth="1" min="1" max="1"/>
    <col width="16" customWidth="1" min="2" max="4"/>
    <col width="26" customWidth="1" min="5" max="5"/>
    <col width="28" customWidth="1" min="6" max="6"/>
  </cols>
  <sheetData>
    <row r="1" ht="17.5" customHeight="1">
      <c r="A1" s="5" t="inlineStr">
        <is>
          <t>AP Reconciliation</t>
        </is>
      </c>
    </row>
    <row r="2">
      <c r="A2" s="6" t="inlineStr">
        <is>
          <t>Client / Entity</t>
        </is>
      </c>
      <c r="B2" s="7" t="inlineStr">
        <is>
          <t>[Client / Entity]</t>
        </is>
      </c>
      <c r="D2" s="6" t="inlineStr">
        <is>
          <t>Year-End</t>
        </is>
      </c>
      <c r="E2" s="7" t="inlineStr">
        <is>
          <t>[YYYY-MM-DD]</t>
        </is>
      </c>
      <c r="G2" s="6" t="inlineStr">
        <is>
          <t>Currency</t>
        </is>
      </c>
      <c r="H2" s="7" t="inlineStr">
        <is>
          <t>[CCY]</t>
        </is>
      </c>
    </row>
    <row r="3">
      <c r="A3" s="6" t="inlineStr">
        <is>
          <t>Performance Materiality</t>
        </is>
      </c>
      <c r="B3" s="7" t="inlineStr">
        <is>
          <t>[PM]</t>
        </is>
      </c>
      <c r="D3" s="6" t="inlineStr">
        <is>
          <t>Testing Threshold (SUM)</t>
        </is>
      </c>
      <c r="E3" s="7" t="inlineStr">
        <is>
          <t>[Threshold]</t>
        </is>
      </c>
    </row>
    <row r="4" ht="27.75" customHeight="1">
      <c r="A4" s="33" t="inlineStr">
        <is>
          <t>Purpose:</t>
        </is>
      </c>
      <c r="B4" s="4" t="inlineStr">
        <is>
          <t>Reconcile the AP sub-ledger / aging to the general ledger and trial balance, and reconcile major vendor statements to the AP sub-ledger.</t>
        </is>
      </c>
    </row>
    <row r="5" ht="15" customHeight="1">
      <c r="A5" s="33" t="inlineStr">
        <is>
          <t>Scope:</t>
        </is>
      </c>
      <c r="B5" s="4" t="inlineStr">
        <is>
          <t>AP sub-ledger / aging, GL detail, trial balance, and vendor statements for major vendors.</t>
        </is>
      </c>
    </row>
    <row r="6" ht="15" customHeight="1">
      <c r="A6" s="33" t="inlineStr">
        <is>
          <t>Assertions:</t>
        </is>
      </c>
      <c r="B6" s="4" t="inlineStr">
        <is>
          <t>Completeness; Existence; Accuracy</t>
        </is>
      </c>
    </row>
    <row r="7">
      <c r="A7" s="17" t="inlineStr">
        <is>
          <t>A. Sub-ledger to general ledger</t>
        </is>
      </c>
    </row>
    <row r="8">
      <c r="A8" s="10" t="inlineStr">
        <is>
          <t>AP per sub-ledger / aging</t>
        </is>
      </c>
      <c r="B8" s="13" t="n"/>
    </row>
    <row r="9">
      <c r="A9" s="10" t="inlineStr">
        <is>
          <t>Add/(less): unposted or in-transit invoices</t>
        </is>
      </c>
      <c r="B9" s="13" t="n"/>
    </row>
    <row r="10">
      <c r="A10" s="10" t="inlineStr">
        <is>
          <t>Add/(less): received-not-invoiced (RNI)</t>
        </is>
      </c>
      <c r="B10" s="13" t="n"/>
    </row>
    <row r="11">
      <c r="A11" s="10" t="inlineStr">
        <is>
          <t>Add/(less): other reconciling items</t>
        </is>
      </c>
      <c r="B11" s="13" t="n"/>
    </row>
    <row r="12">
      <c r="A12" s="18" t="inlineStr">
        <is>
          <t>AP per general ledger (computed)</t>
        </is>
      </c>
      <c r="B12" s="19">
        <f>B8+B9+B10+B11</f>
        <v/>
      </c>
    </row>
    <row r="13">
      <c r="A13" s="10" t="inlineStr">
        <is>
          <t>AP per trial balance</t>
        </is>
      </c>
      <c r="B13" s="13" t="n"/>
    </row>
    <row r="14">
      <c r="A14" s="18" t="inlineStr">
        <is>
          <t>Difference (should be 0)</t>
        </is>
      </c>
      <c r="B14" s="19">
        <f>B12-B13</f>
        <v/>
      </c>
    </row>
    <row r="15"/>
    <row r="16">
      <c r="A16" s="17" t="inlineStr">
        <is>
          <t>B. Vendor statement reconciliations (major vendors)</t>
        </is>
      </c>
    </row>
    <row r="17" ht="24" customHeight="1">
      <c r="A17" s="9" t="inlineStr">
        <is>
          <t>Vendor</t>
        </is>
      </c>
      <c r="B17" s="9" t="inlineStr">
        <is>
          <t>Per statement</t>
        </is>
      </c>
      <c r="C17" s="9" t="inlineStr">
        <is>
          <t>Per AP ledger</t>
        </is>
      </c>
      <c r="D17" s="9" t="inlineStr">
        <is>
          <t>Difference</t>
        </is>
      </c>
      <c r="E17" s="9" t="inlineStr">
        <is>
          <t>Reconciling items</t>
        </is>
      </c>
      <c r="F17" s="9" t="inlineStr">
        <is>
          <t>Resolution / comments</t>
        </is>
      </c>
    </row>
    <row r="18">
      <c r="A18" s="10" t="n"/>
      <c r="B18" s="13" t="n"/>
      <c r="C18" s="13" t="n"/>
      <c r="D18" s="13">
        <f>IF(AND(B18="",C18=""),"",B18-C18)</f>
        <v/>
      </c>
      <c r="E18" s="10" t="n"/>
      <c r="F18" s="10" t="n"/>
    </row>
    <row r="19">
      <c r="A19" s="10" t="n"/>
      <c r="B19" s="13" t="n"/>
      <c r="C19" s="13" t="n"/>
      <c r="D19" s="13">
        <f>IF(AND(B19="",C19=""),"",B19-C19)</f>
        <v/>
      </c>
      <c r="E19" s="10" t="n"/>
      <c r="F19" s="10" t="n"/>
    </row>
    <row r="20">
      <c r="A20" s="10" t="n"/>
      <c r="B20" s="13" t="n"/>
      <c r="C20" s="13" t="n"/>
      <c r="D20" s="13">
        <f>IF(AND(B20="",C20=""),"",B20-C20)</f>
        <v/>
      </c>
      <c r="E20" s="10" t="n"/>
      <c r="F20" s="10" t="n"/>
    </row>
    <row r="21">
      <c r="A21" s="10" t="n"/>
      <c r="B21" s="13" t="n"/>
      <c r="C21" s="13" t="n"/>
      <c r="D21" s="13">
        <f>IF(AND(B21="",C21=""),"",B21-C21)</f>
        <v/>
      </c>
      <c r="E21" s="10" t="n"/>
      <c r="F21" s="10" t="n"/>
    </row>
    <row r="22">
      <c r="A22" s="10" t="n"/>
      <c r="B22" s="13" t="n"/>
      <c r="C22" s="13" t="n"/>
      <c r="D22" s="13">
        <f>IF(AND(B22="",C22=""),"",B22-C22)</f>
        <v/>
      </c>
      <c r="E22" s="10" t="n"/>
      <c r="F22" s="10" t="n"/>
    </row>
    <row r="23">
      <c r="A23" s="10" t="n"/>
      <c r="B23" s="13" t="n"/>
      <c r="C23" s="13" t="n"/>
      <c r="D23" s="13">
        <f>IF(AND(B23="",C23=""),"",B23-C23)</f>
        <v/>
      </c>
      <c r="E23" s="10" t="n"/>
      <c r="F23" s="10" t="n"/>
    </row>
    <row r="24">
      <c r="A24" s="10" t="n"/>
      <c r="B24" s="13" t="n"/>
      <c r="C24" s="13" t="n"/>
      <c r="D24" s="13">
        <f>IF(AND(B24="",C24=""),"",B24-C24)</f>
        <v/>
      </c>
      <c r="E24" s="10" t="n"/>
      <c r="F24" s="10" t="n"/>
    </row>
    <row r="25">
      <c r="A25" s="10" t="n"/>
      <c r="B25" s="13" t="n"/>
      <c r="C25" s="13" t="n"/>
      <c r="D25" s="13">
        <f>IF(AND(B25="",C25=""),"",B25-C25)</f>
        <v/>
      </c>
      <c r="E25" s="10" t="n"/>
      <c r="F25" s="10" t="n"/>
    </row>
    <row r="26"/>
    <row r="27">
      <c r="A27" s="33" t="inlineStr">
        <is>
          <t>TM Legends</t>
        </is>
      </c>
    </row>
    <row r="28">
      <c r="A28" s="11" t="inlineStr">
        <is>
          <t>TB</t>
        </is>
      </c>
      <c r="B28" s="10" t="inlineStr">
        <is>
          <t>Agreed to trial balance</t>
        </is>
      </c>
      <c r="C28" s="37" t="n"/>
      <c r="D28" s="38" t="n"/>
    </row>
    <row r="29">
      <c r="A29" s="11" t="inlineStr">
        <is>
          <t>GL</t>
        </is>
      </c>
      <c r="B29" s="10" t="inlineStr">
        <is>
          <t>Agreed to general ledger</t>
        </is>
      </c>
      <c r="C29" s="37" t="n"/>
      <c r="D29" s="38" t="n"/>
    </row>
    <row r="30">
      <c r="A30" s="11" t="inlineStr">
        <is>
          <t>CF</t>
        </is>
      </c>
      <c r="B30" s="10" t="inlineStr">
        <is>
          <t>Confirmed with third party</t>
        </is>
      </c>
      <c r="C30" s="37" t="n"/>
      <c r="D30" s="38" t="n"/>
    </row>
    <row r="31">
      <c r="A31" s="11" t="inlineStr">
        <is>
          <t>V</t>
        </is>
      </c>
      <c r="B31" s="10" t="inlineStr">
        <is>
          <t>Vouched to source document</t>
        </is>
      </c>
      <c r="C31" s="37" t="n"/>
      <c r="D31" s="38" t="n"/>
    </row>
    <row r="32">
      <c r="A32" s="11" t="inlineStr">
        <is>
          <t>SR</t>
        </is>
      </c>
      <c r="B32" s="10" t="inlineStr">
        <is>
          <t>Agreed to subsequent bank-cleared receipt</t>
        </is>
      </c>
      <c r="C32" s="37" t="n"/>
      <c r="D32" s="38" t="n"/>
    </row>
    <row r="33">
      <c r="A33" s="11" t="inlineStr">
        <is>
          <t>R</t>
        </is>
      </c>
      <c r="B33" s="10" t="inlineStr">
        <is>
          <t>Recalculated independently</t>
        </is>
      </c>
      <c r="C33" s="37" t="n"/>
      <c r="D33" s="38" t="n"/>
    </row>
    <row r="34">
      <c r="A34" s="11" t="inlineStr">
        <is>
          <t>F</t>
        </is>
      </c>
      <c r="B34" s="10" t="inlineStr">
        <is>
          <t>Footed / cross-cast</t>
        </is>
      </c>
      <c r="C34" s="37" t="n"/>
      <c r="D34" s="38" t="n"/>
    </row>
    <row r="35">
      <c r="A35" s="11" t="inlineStr">
        <is>
          <t>T</t>
        </is>
      </c>
      <c r="B35" s="10" t="inlineStr">
        <is>
          <t>Traced to downstream record</t>
        </is>
      </c>
      <c r="C35" s="37" t="n"/>
      <c r="D35" s="38" t="n"/>
    </row>
    <row r="36">
      <c r="A36" s="11" t="inlineStr">
        <is>
          <t>PBC</t>
        </is>
      </c>
      <c r="B36" s="10" t="inlineStr">
        <is>
          <t>Prepared by client</t>
        </is>
      </c>
      <c r="C36" s="37" t="n"/>
      <c r="D36" s="38" t="n"/>
    </row>
    <row r="37"/>
    <row r="38" ht="25.5" customHeight="1">
      <c r="A38" s="2" t="inlineStr">
        <is>
          <t>Before sign-off complete Library Procedures 5-6 (sub-ledger-to-GL reconciliation and vendor statement reconciliations).</t>
        </is>
      </c>
    </row>
  </sheetData>
  <mergeCells count="13">
    <mergeCell ref="A38:F38"/>
    <mergeCell ref="B4:F4"/>
    <mergeCell ref="B28:D28"/>
    <mergeCell ref="B33:D33"/>
    <mergeCell ref="B36:D36"/>
    <mergeCell ref="B6:F6"/>
    <mergeCell ref="B31:D31"/>
    <mergeCell ref="B35:D35"/>
    <mergeCell ref="B32:D32"/>
    <mergeCell ref="B5:F5"/>
    <mergeCell ref="B30:D30"/>
    <mergeCell ref="B29:D29"/>
    <mergeCell ref="B34:D34"/>
  </mergeCells>
  <pageMargins left="0.3" right="0.3" top="0.4" bottom="0.4" header="0.2" footer="0.2"/>
  <pageSetup orientation="portrait" paperSize="1" fitToHeight="1" fitToWidth="1" horizontalDpi="300" verticalDpi="300"/>
</worksheet>
</file>

<file path=xl/worksheets/sheet5.xml><?xml version="1.0" encoding="utf-8"?>
<worksheet xmlns="http://schemas.openxmlformats.org/spreadsheetml/2006/main">
  <sheetPr>
    <outlinePr summaryBelow="1" summaryRight="1"/>
    <pageSetUpPr fitToPage="1"/>
  </sheetPr>
  <dimension ref="A1:H41"/>
  <sheetViews>
    <sheetView showGridLines="0" zoomScale="85" zoomScaleNormal="100" workbookViewId="0">
      <selection activeCell="A8" sqref="A8"/>
    </sheetView>
  </sheetViews>
  <sheetFormatPr baseColWidth="8" defaultColWidth="8.6328125" defaultRowHeight="14.5"/>
  <cols>
    <col width="42" customWidth="1" min="1" max="1"/>
    <col width="18" customWidth="1" min="2" max="2"/>
    <col width="14" customWidth="1" min="3" max="3"/>
  </cols>
  <sheetData>
    <row r="1" ht="17.5" customHeight="1">
      <c r="A1" s="5" t="inlineStr">
        <is>
          <t>DPO &amp; SURL Population</t>
        </is>
      </c>
    </row>
    <row r="2">
      <c r="A2" s="6" t="inlineStr">
        <is>
          <t>Client / Entity</t>
        </is>
      </c>
      <c r="B2" s="7" t="inlineStr">
        <is>
          <t>[Client / Entity]</t>
        </is>
      </c>
      <c r="D2" s="6" t="inlineStr">
        <is>
          <t>Year-End</t>
        </is>
      </c>
      <c r="E2" s="7" t="inlineStr">
        <is>
          <t>[YYYY-MM-DD]</t>
        </is>
      </c>
      <c r="G2" s="6" t="inlineStr">
        <is>
          <t>Currency</t>
        </is>
      </c>
      <c r="H2" s="7" t="inlineStr">
        <is>
          <t>[CCY]</t>
        </is>
      </c>
    </row>
    <row r="3">
      <c r="A3" s="6" t="inlineStr">
        <is>
          <t>Performance Materiality</t>
        </is>
      </c>
      <c r="B3" s="7" t="inlineStr">
        <is>
          <t>[PM]</t>
        </is>
      </c>
      <c r="D3" s="6" t="inlineStr">
        <is>
          <t>Testing Threshold (SUM)</t>
        </is>
      </c>
      <c r="E3" s="7" t="inlineStr">
        <is>
          <t>[Threshold]</t>
        </is>
      </c>
    </row>
    <row r="4">
      <c r="A4" s="6" t="n"/>
      <c r="B4" s="7" t="n"/>
      <c r="D4" s="6" t="n"/>
      <c r="E4" s="7" t="n"/>
    </row>
    <row r="5" ht="37" customHeight="1">
      <c r="A5" s="30" t="inlineStr">
        <is>
          <t>Purpose:</t>
        </is>
      </c>
      <c r="B5" s="31" t="inlineStr">
        <is>
          <t>Compute Days Payable Outstanding (DPO) and set the SURL look-forward period; quantify the subsequent-disbursement population that selections are drawn from.</t>
        </is>
      </c>
      <c r="C5" s="39" t="n"/>
      <c r="D5" s="39" t="n"/>
      <c r="E5" s="39" t="n"/>
      <c r="F5" s="40" t="n"/>
    </row>
    <row r="6" ht="33.5" customHeight="1">
      <c r="A6" s="30" t="inlineStr">
        <is>
          <t>Scope:</t>
        </is>
      </c>
      <c r="B6" s="31" t="inlineStr">
        <is>
          <t>Expenses paid through disbursements, period-end and prior-period AP/disbursement-related accruals, and the subsequent-disbursement population by type.</t>
        </is>
      </c>
      <c r="C6" s="39" t="n"/>
      <c r="D6" s="39" t="n"/>
      <c r="E6" s="39" t="n"/>
      <c r="F6" s="40" t="n"/>
    </row>
    <row r="7" ht="15" customHeight="1">
      <c r="A7" s="30" t="inlineStr">
        <is>
          <t>Assertions:</t>
        </is>
      </c>
      <c r="B7" s="31" t="inlineStr">
        <is>
          <t>Completeness; Cutoff</t>
        </is>
      </c>
      <c r="C7" s="39" t="n"/>
      <c r="D7" s="39" t="n"/>
      <c r="E7" s="39" t="n"/>
      <c r="F7" s="40" t="n"/>
    </row>
    <row r="8" ht="15" customHeight="1">
      <c r="A8" s="33" t="n"/>
      <c r="B8" s="34" t="n"/>
      <c r="C8" s="34" t="n"/>
      <c r="D8" s="34" t="n"/>
      <c r="E8" s="34" t="n"/>
      <c r="F8" s="34" t="n"/>
    </row>
    <row r="9">
      <c r="A9" s="17" t="inlineStr">
        <is>
          <t>A. Days Payable Outstanding (DPO) and SURL period</t>
        </is>
      </c>
    </row>
    <row r="10">
      <c r="A10" s="10" t="inlineStr">
        <is>
          <t>Expenses paid through disbursements (A)</t>
        </is>
      </c>
      <c r="B10" s="13" t="n"/>
    </row>
    <row r="11">
      <c r="A11" s="10" t="inlineStr">
        <is>
          <t>Period-end AP &amp; disbursement-related accruals (B)</t>
        </is>
      </c>
      <c r="B11" s="13" t="n"/>
    </row>
    <row r="12">
      <c r="A12" s="10" t="inlineStr">
        <is>
          <t>Prior-period AP &amp; disbursement-related accruals (B)</t>
        </is>
      </c>
      <c r="B12" s="13" t="n"/>
    </row>
    <row r="13">
      <c r="A13" s="18" t="inlineStr">
        <is>
          <t>Average AP</t>
        </is>
      </c>
      <c r="B13" s="19">
        <f>(B11+B12)/2</f>
        <v/>
      </c>
    </row>
    <row r="14">
      <c r="A14" s="10" t="inlineStr">
        <is>
          <t>AP turnover</t>
        </is>
      </c>
      <c r="B14" s="20">
        <f>IF(OR(B13="",B13=0),"",B10/B13)</f>
        <v/>
      </c>
    </row>
    <row r="15">
      <c r="A15" s="18" t="inlineStr">
        <is>
          <t>Days Payable Outstanding (DPO)</t>
        </is>
      </c>
      <c r="B15" s="21">
        <f>IF(OR(B14="",B14=0),"",365/B14)</f>
        <v/>
      </c>
    </row>
    <row r="16">
      <c r="A16" s="10" t="inlineStr">
        <is>
          <t>SURL start date (period-end + 1)</t>
        </is>
      </c>
      <c r="B16" s="22" t="n"/>
    </row>
    <row r="17">
      <c r="A17" s="18" t="inlineStr">
        <is>
          <t>SURL end date (= start + DPO)</t>
        </is>
      </c>
      <c r="B17" s="23">
        <f>IF(OR(B16="",B15=""),"",B16+B15)</f>
        <v/>
      </c>
    </row>
    <row r="18"/>
    <row r="19">
      <c r="A19" s="17" t="inlineStr">
        <is>
          <t>B. Subsequent-disbursement population</t>
        </is>
      </c>
    </row>
    <row r="20" ht="18" customHeight="1">
      <c r="A20" s="9" t="inlineStr">
        <is>
          <t>Disbursement type</t>
        </is>
      </c>
      <c r="B20" s="9" t="inlineStr">
        <is>
          <t>Amount</t>
        </is>
      </c>
      <c r="C20" s="9" t="n"/>
    </row>
    <row r="21">
      <c r="A21" s="10" t="inlineStr">
        <is>
          <t>Checks</t>
        </is>
      </c>
      <c r="B21" s="13" t="n"/>
      <c r="C21" s="10" t="n"/>
    </row>
    <row r="22">
      <c r="A22" s="10" t="inlineStr">
        <is>
          <t>ACH</t>
        </is>
      </c>
      <c r="B22" s="13" t="n"/>
      <c r="C22" s="10" t="n"/>
    </row>
    <row r="23">
      <c r="A23" s="10" t="inlineStr">
        <is>
          <t>Wires</t>
        </is>
      </c>
      <c r="B23" s="13" t="n"/>
      <c r="C23" s="10" t="n"/>
    </row>
    <row r="24">
      <c r="A24" s="10" t="inlineStr">
        <is>
          <t>Credit card</t>
        </is>
      </c>
      <c r="B24" s="13" t="n"/>
      <c r="C24" s="10" t="n"/>
    </row>
    <row r="25">
      <c r="A25" s="10" t="inlineStr">
        <is>
          <t>Other</t>
        </is>
      </c>
      <c r="B25" s="13" t="n"/>
      <c r="C25" s="10" t="n"/>
    </row>
    <row r="26">
      <c r="A26" s="15" t="inlineStr">
        <is>
          <t>Total disbursement population</t>
        </is>
      </c>
      <c r="B26" s="24">
        <f>SUM(B21:B25)</f>
        <v/>
      </c>
      <c r="C26" s="15" t="n"/>
    </row>
    <row r="27"/>
    <row r="28" ht="25.5" customHeight="1">
      <c r="A28" s="2" t="inlineStr">
        <is>
          <t>SURL selections are made from this disbursement population (above the testing threshold, through the SURL end date) OR directly from the bank statement. If selections are made from the bank statement, the completeness test on &lt;.5&gt; is NOT required.</t>
        </is>
      </c>
    </row>
    <row r="29"/>
    <row r="30">
      <c r="A30" s="33" t="inlineStr">
        <is>
          <t>TM Legends</t>
        </is>
      </c>
    </row>
    <row r="31">
      <c r="A31" s="11" t="inlineStr">
        <is>
          <t>TB</t>
        </is>
      </c>
      <c r="B31" s="10" t="inlineStr">
        <is>
          <t>Agreed to trial balance</t>
        </is>
      </c>
      <c r="C31" s="37" t="n"/>
      <c r="D31" s="38" t="n"/>
    </row>
    <row r="32">
      <c r="A32" s="11" t="inlineStr">
        <is>
          <t>GL</t>
        </is>
      </c>
      <c r="B32" s="10" t="inlineStr">
        <is>
          <t>Agreed to general ledger</t>
        </is>
      </c>
      <c r="C32" s="37" t="n"/>
      <c r="D32" s="38" t="n"/>
    </row>
    <row r="33">
      <c r="A33" s="11" t="inlineStr">
        <is>
          <t>CF</t>
        </is>
      </c>
      <c r="B33" s="10" t="inlineStr">
        <is>
          <t>Confirmed with third party</t>
        </is>
      </c>
      <c r="C33" s="37" t="n"/>
      <c r="D33" s="38" t="n"/>
    </row>
    <row r="34">
      <c r="A34" s="11" t="inlineStr">
        <is>
          <t>V</t>
        </is>
      </c>
      <c r="B34" s="10" t="inlineStr">
        <is>
          <t>Vouched to source document</t>
        </is>
      </c>
      <c r="C34" s="37" t="n"/>
      <c r="D34" s="38" t="n"/>
    </row>
    <row r="35">
      <c r="A35" s="11" t="inlineStr">
        <is>
          <t>SR</t>
        </is>
      </c>
      <c r="B35" s="10" t="inlineStr">
        <is>
          <t>Agreed to subsequent bank-cleared receipt</t>
        </is>
      </c>
      <c r="C35" s="37" t="n"/>
      <c r="D35" s="38" t="n"/>
    </row>
    <row r="36">
      <c r="A36" s="11" t="inlineStr">
        <is>
          <t>R</t>
        </is>
      </c>
      <c r="B36" s="10" t="inlineStr">
        <is>
          <t>Recalculated independently</t>
        </is>
      </c>
      <c r="C36" s="37" t="n"/>
      <c r="D36" s="38" t="n"/>
    </row>
    <row r="37">
      <c r="A37" s="11" t="inlineStr">
        <is>
          <t>F</t>
        </is>
      </c>
      <c r="B37" s="10" t="inlineStr">
        <is>
          <t>Footed / cross-cast</t>
        </is>
      </c>
      <c r="C37" s="37" t="n"/>
      <c r="D37" s="38" t="n"/>
    </row>
    <row r="38">
      <c r="A38" s="11" t="inlineStr">
        <is>
          <t>T</t>
        </is>
      </c>
      <c r="B38" s="10" t="inlineStr">
        <is>
          <t>Traced to downstream record</t>
        </is>
      </c>
      <c r="C38" s="37" t="n"/>
      <c r="D38" s="38" t="n"/>
    </row>
    <row r="39">
      <c r="A39" s="11" t="inlineStr">
        <is>
          <t>PBC</t>
        </is>
      </c>
      <c r="B39" s="10" t="inlineStr">
        <is>
          <t>Prepared by client</t>
        </is>
      </c>
      <c r="C39" s="37" t="n"/>
      <c r="D39" s="38" t="n"/>
    </row>
    <row r="40"/>
    <row r="41" ht="25.5" customHeight="1">
      <c r="A41" s="2" t="inlineStr">
        <is>
          <t>Before sign-off complete Library Procedures 7-8 (DPO-based period and population).</t>
        </is>
      </c>
    </row>
  </sheetData>
  <mergeCells count="14">
    <mergeCell ref="B33:D33"/>
    <mergeCell ref="A28:C28"/>
    <mergeCell ref="A41:C41"/>
    <mergeCell ref="B7:F7"/>
    <mergeCell ref="B37:D37"/>
    <mergeCell ref="B6:F6"/>
    <mergeCell ref="B36:D36"/>
    <mergeCell ref="B31:D31"/>
    <mergeCell ref="B32:D32"/>
    <mergeCell ref="B35:D35"/>
    <mergeCell ref="B5:F5"/>
    <mergeCell ref="B39:D39"/>
    <mergeCell ref="B38:D38"/>
    <mergeCell ref="B34:D34"/>
  </mergeCells>
  <pageMargins left="0.3" right="0.3" top="0.4" bottom="0.4" header="0.2" footer="0.2"/>
  <pageSetup orientation="portrait" paperSize="1" fitToHeight="1" fitToWidth="1" horizontalDpi="300" verticalDpi="300"/>
</worksheet>
</file>

<file path=xl/worksheets/sheet6.xml><?xml version="1.0" encoding="utf-8"?>
<worksheet xmlns="http://schemas.openxmlformats.org/spreadsheetml/2006/main">
  <sheetPr>
    <outlinePr summaryBelow="1" summaryRight="1"/>
    <pageSetUpPr fitToPage="1"/>
  </sheetPr>
  <dimension ref="A1:R40"/>
  <sheetViews>
    <sheetView showGridLines="0" zoomScale="85" zoomScaleNormal="100" workbookViewId="0">
      <pane xSplit="2" ySplit="8" topLeftCell="C9" activePane="bottomRight" state="frozen"/>
      <selection pane="topRight" activeCell="D1" sqref="D1"/>
      <selection pane="bottomLeft" activeCell="A9" sqref="A9"/>
      <selection pane="bottomRight" activeCell="A27" sqref="A27:R27"/>
    </sheetView>
  </sheetViews>
  <sheetFormatPr baseColWidth="8" defaultColWidth="8.6328125" defaultRowHeight="14.5"/>
  <cols>
    <col width="9" customWidth="1" min="1" max="1"/>
    <col width="16" customWidth="1" min="2" max="2"/>
    <col width="12" customWidth="1" min="3" max="3"/>
    <col width="22" customWidth="1" min="4" max="4"/>
    <col width="14" customWidth="1" min="5" max="5"/>
    <col width="12" customWidth="1" min="6" max="7"/>
    <col width="14" customWidth="1" min="8" max="8"/>
    <col width="22" customWidth="1" min="9" max="9"/>
    <col width="18" customWidth="1" min="10" max="10"/>
    <col width="13" customWidth="1" min="11" max="11"/>
    <col width="16" customWidth="1" min="12" max="14"/>
    <col width="20" customWidth="1" min="15" max="15"/>
    <col width="16" customWidth="1" min="16" max="17"/>
    <col width="24" customWidth="1" min="18" max="18"/>
  </cols>
  <sheetData>
    <row r="1" ht="17.5" customHeight="1">
      <c r="A1" s="5" t="inlineStr">
        <is>
          <t>Search for Unrecorded Liabilities — Subsequent Disbursements</t>
        </is>
      </c>
    </row>
    <row r="2">
      <c r="A2" s="6" t="inlineStr">
        <is>
          <t>Client / Entity</t>
        </is>
      </c>
      <c r="B2" s="7" t="inlineStr">
        <is>
          <t>[Client / Entity]</t>
        </is>
      </c>
      <c r="D2" s="6" t="inlineStr">
        <is>
          <t>Year-End</t>
        </is>
      </c>
      <c r="E2" s="7" t="inlineStr">
        <is>
          <t>[YYYY-MM-DD]</t>
        </is>
      </c>
      <c r="G2" s="6" t="inlineStr">
        <is>
          <t>Currency</t>
        </is>
      </c>
      <c r="H2" s="7" t="inlineStr">
        <is>
          <t>[CCY]</t>
        </is>
      </c>
    </row>
    <row r="3">
      <c r="A3" s="6" t="inlineStr">
        <is>
          <t>Performance Materiality</t>
        </is>
      </c>
      <c r="B3" s="7" t="inlineStr">
        <is>
          <t>[PM]</t>
        </is>
      </c>
      <c r="D3" s="6" t="inlineStr">
        <is>
          <t>Testing Threshold (SUM)</t>
        </is>
      </c>
      <c r="E3" s="7" t="inlineStr">
        <is>
          <t>[Threshold]</t>
        </is>
      </c>
    </row>
    <row r="4" ht="27.75" customHeight="1">
      <c r="A4" s="33" t="inlineStr">
        <is>
          <t>Purpose:</t>
        </is>
      </c>
      <c r="B4" s="4" t="inlineStr">
        <is>
          <t>Examine subsequent disbursements above the testing threshold through the SURL period; vouch to invoice, determine the goods/service period, and classify the cutoff outcome at period end.</t>
        </is>
      </c>
    </row>
    <row r="5" ht="27.75" customHeight="1">
      <c r="A5" s="33" t="inlineStr">
        <is>
          <t>Scope:</t>
        </is>
      </c>
      <c r="B5" s="4" t="inlineStr">
        <is>
          <t>Selections from the subsequent-disbursement population (&lt;.3&gt;) or bank statement, above the testing threshold, through the SURL end date.</t>
        </is>
      </c>
    </row>
    <row r="6" ht="15" customHeight="1">
      <c r="A6" s="33" t="inlineStr">
        <is>
          <t>Assertions:</t>
        </is>
      </c>
      <c r="B6" s="4" t="inlineStr">
        <is>
          <t>Completeness; Cutoff; Valuation &amp; Allocation</t>
        </is>
      </c>
    </row>
    <row r="7" ht="43.5" customHeight="1">
      <c r="A7" s="9" t="inlineStr">
        <is>
          <t>Sample #</t>
        </is>
      </c>
      <c r="B7" s="9" t="inlineStr">
        <is>
          <t>Payment ref #</t>
        </is>
      </c>
      <c r="C7" s="9" t="inlineStr">
        <is>
          <t>Payment date</t>
        </is>
      </c>
      <c r="D7" s="9" t="inlineStr">
        <is>
          <t>Vendor</t>
        </is>
      </c>
      <c r="E7" s="9" t="inlineStr">
        <is>
          <t>Payment amount</t>
        </is>
      </c>
      <c r="F7" s="9" t="inlineStr">
        <is>
          <t>Invoice #</t>
        </is>
      </c>
      <c r="G7" s="9" t="inlineStr">
        <is>
          <t>Invoice date</t>
        </is>
      </c>
      <c r="H7" s="9" t="inlineStr">
        <is>
          <t>Invoice amount</t>
        </is>
      </c>
      <c r="I7" s="9" t="inlineStr">
        <is>
          <t>Goods received / service period</t>
        </is>
      </c>
      <c r="J7" s="9" t="inlineStr">
        <is>
          <t>Relates to (pre-YE / post-YE)</t>
        </is>
      </c>
      <c r="K7" s="9" t="inlineStr">
        <is>
          <t>In YE AP? (Y/N)</t>
        </is>
      </c>
      <c r="L7" s="9" t="inlineStr">
        <is>
          <t>Properly included @ PE</t>
        </is>
      </c>
      <c r="M7" s="9" t="inlineStr">
        <is>
          <t>Properly excluded @ PE</t>
        </is>
      </c>
      <c r="N7" s="9" t="inlineStr">
        <is>
          <t>Improperly included @ PE</t>
        </is>
      </c>
      <c r="O7" s="9" t="inlineStr">
        <is>
          <t>Improperly excluded (unrecorded liab.)</t>
        </is>
      </c>
      <c r="P7" s="9" t="inlineStr">
        <is>
          <t>GL account</t>
        </is>
      </c>
      <c r="Q7" s="9" t="inlineStr">
        <is>
          <t>Tie-back / AP ref</t>
        </is>
      </c>
      <c r="R7" s="9" t="inlineStr">
        <is>
          <t>Notes</t>
        </is>
      </c>
    </row>
    <row r="8">
      <c r="E8" s="12" t="inlineStr">
        <is>
          <t>V</t>
        </is>
      </c>
      <c r="H8" s="12" t="inlineStr">
        <is>
          <t>V</t>
        </is>
      </c>
      <c r="O8" s="12" t="inlineStr">
        <is>
          <t>R</t>
        </is>
      </c>
    </row>
    <row r="9">
      <c r="A9" s="10" t="n"/>
      <c r="B9" s="10" t="n"/>
      <c r="C9" s="10" t="n"/>
      <c r="D9" s="10" t="n"/>
      <c r="E9" s="13" t="n"/>
      <c r="F9" s="10" t="n"/>
      <c r="G9" s="10" t="n"/>
      <c r="H9" s="13" t="n"/>
      <c r="I9" s="10" t="n"/>
      <c r="J9" s="10" t="n"/>
      <c r="K9" s="10" t="n"/>
      <c r="L9" s="13" t="n"/>
      <c r="M9" s="13" t="n"/>
      <c r="N9" s="13" t="n"/>
      <c r="O9" s="13" t="n"/>
      <c r="P9" s="10" t="n"/>
      <c r="Q9" s="10" t="n"/>
      <c r="R9" s="10" t="n"/>
    </row>
    <row r="10">
      <c r="A10" s="10" t="n"/>
      <c r="B10" s="10" t="n"/>
      <c r="C10" s="10" t="n"/>
      <c r="D10" s="10" t="n"/>
      <c r="E10" s="13" t="n"/>
      <c r="F10" s="10" t="n"/>
      <c r="G10" s="10" t="n"/>
      <c r="H10" s="13" t="n"/>
      <c r="I10" s="10" t="n"/>
      <c r="J10" s="10" t="n"/>
      <c r="K10" s="10" t="n"/>
      <c r="L10" s="13" t="n"/>
      <c r="M10" s="13" t="n"/>
      <c r="N10" s="13" t="n"/>
      <c r="O10" s="13" t="n"/>
      <c r="P10" s="10" t="n"/>
      <c r="Q10" s="10" t="n"/>
      <c r="R10" s="10" t="n"/>
    </row>
    <row r="11">
      <c r="A11" s="10" t="n"/>
      <c r="B11" s="10" t="n"/>
      <c r="C11" s="10" t="n"/>
      <c r="D11" s="10" t="n"/>
      <c r="E11" s="13" t="n"/>
      <c r="F11" s="10" t="n"/>
      <c r="G11" s="10" t="n"/>
      <c r="H11" s="13" t="n"/>
      <c r="I11" s="10" t="n"/>
      <c r="J11" s="10" t="n"/>
      <c r="K11" s="10" t="n"/>
      <c r="L11" s="13" t="n"/>
      <c r="M11" s="13" t="n"/>
      <c r="N11" s="13" t="n"/>
      <c r="O11" s="13" t="n"/>
      <c r="P11" s="10" t="n"/>
      <c r="Q11" s="10" t="n"/>
      <c r="R11" s="10" t="n"/>
    </row>
    <row r="12">
      <c r="A12" s="10" t="n"/>
      <c r="B12" s="10" t="n"/>
      <c r="C12" s="10" t="n"/>
      <c r="D12" s="10" t="n"/>
      <c r="E12" s="13" t="n"/>
      <c r="F12" s="10" t="n"/>
      <c r="G12" s="10" t="n"/>
      <c r="H12" s="13" t="n"/>
      <c r="I12" s="10" t="n"/>
      <c r="J12" s="10" t="n"/>
      <c r="K12" s="10" t="n"/>
      <c r="L12" s="13" t="n"/>
      <c r="M12" s="13" t="n"/>
      <c r="N12" s="13" t="n"/>
      <c r="O12" s="13" t="n"/>
      <c r="P12" s="10" t="n"/>
      <c r="Q12" s="10" t="n"/>
      <c r="R12" s="10" t="n"/>
    </row>
    <row r="13">
      <c r="A13" s="10" t="n"/>
      <c r="B13" s="10" t="n"/>
      <c r="C13" s="10" t="n"/>
      <c r="D13" s="10" t="n"/>
      <c r="E13" s="13" t="n"/>
      <c r="F13" s="10" t="n"/>
      <c r="G13" s="10" t="n"/>
      <c r="H13" s="13" t="n"/>
      <c r="I13" s="10" t="n"/>
      <c r="J13" s="10" t="n"/>
      <c r="K13" s="10" t="n"/>
      <c r="L13" s="13" t="n"/>
      <c r="M13" s="13" t="n"/>
      <c r="N13" s="13" t="n"/>
      <c r="O13" s="13" t="n"/>
      <c r="P13" s="10" t="n"/>
      <c r="Q13" s="10" t="n"/>
      <c r="R13" s="10" t="n"/>
    </row>
    <row r="14">
      <c r="A14" s="10" t="n"/>
      <c r="B14" s="10" t="n"/>
      <c r="C14" s="10" t="n"/>
      <c r="D14" s="10" t="n"/>
      <c r="E14" s="13" t="n"/>
      <c r="F14" s="10" t="n"/>
      <c r="G14" s="10" t="n"/>
      <c r="H14" s="13" t="n"/>
      <c r="I14" s="10" t="n"/>
      <c r="J14" s="10" t="n"/>
      <c r="K14" s="10" t="n"/>
      <c r="L14" s="13" t="n"/>
      <c r="M14" s="13" t="n"/>
      <c r="N14" s="13" t="n"/>
      <c r="O14" s="13" t="n"/>
      <c r="P14" s="10" t="n"/>
      <c r="Q14" s="10" t="n"/>
      <c r="R14" s="10" t="n"/>
    </row>
    <row r="15">
      <c r="A15" s="10" t="n"/>
      <c r="B15" s="10" t="n"/>
      <c r="C15" s="10" t="n"/>
      <c r="D15" s="10" t="n"/>
      <c r="E15" s="13" t="n"/>
      <c r="F15" s="10" t="n"/>
      <c r="G15" s="10" t="n"/>
      <c r="H15" s="13" t="n"/>
      <c r="I15" s="10" t="n"/>
      <c r="J15" s="10" t="n"/>
      <c r="K15" s="10" t="n"/>
      <c r="L15" s="13" t="n"/>
      <c r="M15" s="13" t="n"/>
      <c r="N15" s="13" t="n"/>
      <c r="O15" s="13" t="n"/>
      <c r="P15" s="10" t="n"/>
      <c r="Q15" s="10" t="n"/>
      <c r="R15" s="10" t="n"/>
    </row>
    <row r="16">
      <c r="A16" s="10" t="n"/>
      <c r="B16" s="10" t="n"/>
      <c r="C16" s="10" t="n"/>
      <c r="D16" s="10" t="n"/>
      <c r="E16" s="13" t="n"/>
      <c r="F16" s="10" t="n"/>
      <c r="G16" s="10" t="n"/>
      <c r="H16" s="13" t="n"/>
      <c r="I16" s="10" t="n"/>
      <c r="J16" s="10" t="n"/>
      <c r="K16" s="10" t="n"/>
      <c r="L16" s="13" t="n"/>
      <c r="M16" s="13" t="n"/>
      <c r="N16" s="13" t="n"/>
      <c r="O16" s="13" t="n"/>
      <c r="P16" s="10" t="n"/>
      <c r="Q16" s="10" t="n"/>
      <c r="R16" s="10" t="n"/>
    </row>
    <row r="17">
      <c r="A17" s="10" t="n"/>
      <c r="B17" s="10" t="n"/>
      <c r="C17" s="10" t="n"/>
      <c r="D17" s="10" t="n"/>
      <c r="E17" s="13" t="n"/>
      <c r="F17" s="10" t="n"/>
      <c r="G17" s="10" t="n"/>
      <c r="H17" s="13" t="n"/>
      <c r="I17" s="10" t="n"/>
      <c r="J17" s="10" t="n"/>
      <c r="K17" s="10" t="n"/>
      <c r="L17" s="13" t="n"/>
      <c r="M17" s="13" t="n"/>
      <c r="N17" s="13" t="n"/>
      <c r="O17" s="13" t="n"/>
      <c r="P17" s="10" t="n"/>
      <c r="Q17" s="10" t="n"/>
      <c r="R17" s="10" t="n"/>
    </row>
    <row r="18">
      <c r="A18" s="10" t="n"/>
      <c r="B18" s="10" t="n"/>
      <c r="C18" s="10" t="n"/>
      <c r="D18" s="10" t="n"/>
      <c r="E18" s="13" t="n"/>
      <c r="F18" s="10" t="n"/>
      <c r="G18" s="10" t="n"/>
      <c r="H18" s="13" t="n"/>
      <c r="I18" s="10" t="n"/>
      <c r="J18" s="10" t="n"/>
      <c r="K18" s="10" t="n"/>
      <c r="L18" s="13" t="n"/>
      <c r="M18" s="13" t="n"/>
      <c r="N18" s="13" t="n"/>
      <c r="O18" s="13" t="n"/>
      <c r="P18" s="10" t="n"/>
      <c r="Q18" s="10" t="n"/>
      <c r="R18" s="10" t="n"/>
    </row>
    <row r="19">
      <c r="A19" s="10" t="n"/>
      <c r="B19" s="10" t="n"/>
      <c r="C19" s="10" t="n"/>
      <c r="D19" s="10" t="n"/>
      <c r="E19" s="13" t="n"/>
      <c r="F19" s="10" t="n"/>
      <c r="G19" s="10" t="n"/>
      <c r="H19" s="13" t="n"/>
      <c r="I19" s="10" t="n"/>
      <c r="J19" s="10" t="n"/>
      <c r="K19" s="10" t="n"/>
      <c r="L19" s="13" t="n"/>
      <c r="M19" s="13" t="n"/>
      <c r="N19" s="13" t="n"/>
      <c r="O19" s="13" t="n"/>
      <c r="P19" s="10" t="n"/>
      <c r="Q19" s="10" t="n"/>
      <c r="R19" s="10" t="n"/>
    </row>
    <row r="20">
      <c r="A20" s="10" t="n"/>
      <c r="B20" s="10" t="n"/>
      <c r="C20" s="10" t="n"/>
      <c r="D20" s="10" t="n"/>
      <c r="E20" s="13" t="n"/>
      <c r="F20" s="10" t="n"/>
      <c r="G20" s="10" t="n"/>
      <c r="H20" s="13" t="n"/>
      <c r="I20" s="10" t="n"/>
      <c r="J20" s="10" t="n"/>
      <c r="K20" s="10" t="n"/>
      <c r="L20" s="13" t="n"/>
      <c r="M20" s="13" t="n"/>
      <c r="N20" s="13" t="n"/>
      <c r="O20" s="13" t="n"/>
      <c r="P20" s="10" t="n"/>
      <c r="Q20" s="10" t="n"/>
      <c r="R20" s="10" t="n"/>
    </row>
    <row r="21">
      <c r="A21" s="10" t="n"/>
      <c r="B21" s="10" t="n"/>
      <c r="C21" s="10" t="n"/>
      <c r="D21" s="10" t="n"/>
      <c r="E21" s="13" t="n"/>
      <c r="F21" s="10" t="n"/>
      <c r="G21" s="10" t="n"/>
      <c r="H21" s="13" t="n"/>
      <c r="I21" s="10" t="n"/>
      <c r="J21" s="10" t="n"/>
      <c r="K21" s="10" t="n"/>
      <c r="L21" s="13" t="n"/>
      <c r="M21" s="13" t="n"/>
      <c r="N21" s="13" t="n"/>
      <c r="O21" s="13" t="n"/>
      <c r="P21" s="10" t="n"/>
      <c r="Q21" s="10" t="n"/>
      <c r="R21" s="10" t="n"/>
    </row>
    <row r="22">
      <c r="A22" s="10" t="n"/>
      <c r="B22" s="10" t="n"/>
      <c r="C22" s="10" t="n"/>
      <c r="D22" s="10" t="n"/>
      <c r="E22" s="13" t="n"/>
      <c r="F22" s="10" t="n"/>
      <c r="G22" s="10" t="n"/>
      <c r="H22" s="13" t="n"/>
      <c r="I22" s="10" t="n"/>
      <c r="J22" s="10" t="n"/>
      <c r="K22" s="10" t="n"/>
      <c r="L22" s="13" t="n"/>
      <c r="M22" s="13" t="n"/>
      <c r="N22" s="13" t="n"/>
      <c r="O22" s="13" t="n"/>
      <c r="P22" s="10" t="n"/>
      <c r="Q22" s="10" t="n"/>
      <c r="R22" s="10" t="n"/>
    </row>
    <row r="23">
      <c r="A23" s="10" t="n"/>
      <c r="B23" s="10" t="n"/>
      <c r="C23" s="10" t="n"/>
      <c r="D23" s="10" t="n"/>
      <c r="E23" s="13" t="n"/>
      <c r="F23" s="10" t="n"/>
      <c r="G23" s="10" t="n"/>
      <c r="H23" s="13" t="n"/>
      <c r="I23" s="10" t="n"/>
      <c r="J23" s="10" t="n"/>
      <c r="K23" s="10" t="n"/>
      <c r="L23" s="13" t="n"/>
      <c r="M23" s="13" t="n"/>
      <c r="N23" s="13" t="n"/>
      <c r="O23" s="13" t="n"/>
      <c r="P23" s="10" t="n"/>
      <c r="Q23" s="10" t="n"/>
      <c r="R23" s="10" t="n"/>
    </row>
    <row r="24">
      <c r="A24" s="10" t="n"/>
      <c r="B24" s="10" t="n"/>
      <c r="C24" s="10" t="n"/>
      <c r="D24" s="10" t="n"/>
      <c r="E24" s="13" t="n"/>
      <c r="F24" s="10" t="n"/>
      <c r="G24" s="10" t="n"/>
      <c r="H24" s="13" t="n"/>
      <c r="I24" s="10" t="n"/>
      <c r="J24" s="10" t="n"/>
      <c r="K24" s="10" t="n"/>
      <c r="L24" s="13" t="n"/>
      <c r="M24" s="13" t="n"/>
      <c r="N24" s="13" t="n"/>
      <c r="O24" s="13" t="n"/>
      <c r="P24" s="10" t="n"/>
      <c r="Q24" s="10" t="n"/>
      <c r="R24" s="10" t="n"/>
    </row>
    <row r="25">
      <c r="A25" s="15" t="inlineStr">
        <is>
          <t>Total</t>
        </is>
      </c>
      <c r="B25" s="15" t="n"/>
      <c r="C25" s="15" t="n"/>
      <c r="D25" s="15" t="n"/>
      <c r="E25" s="16">
        <f>SUM(E9:E24)</f>
        <v/>
      </c>
      <c r="F25" s="15" t="n"/>
      <c r="G25" s="15" t="n"/>
      <c r="H25" s="15" t="n"/>
      <c r="I25" s="15" t="n"/>
      <c r="J25" s="15" t="n"/>
      <c r="K25" s="15" t="n"/>
      <c r="L25" s="16">
        <f>SUM(L9:L24)</f>
        <v/>
      </c>
      <c r="M25" s="16">
        <f>SUM(M9:M24)</f>
        <v/>
      </c>
      <c r="N25" s="16">
        <f>SUM(N9:N24)</f>
        <v/>
      </c>
      <c r="O25" s="16">
        <f>SUM(O9:O24)</f>
        <v/>
      </c>
      <c r="P25" s="15" t="n"/>
      <c r="Q25" s="15" t="n"/>
      <c r="R25" s="15" t="n"/>
    </row>
    <row r="26"/>
    <row r="27" ht="25.5" customHeight="1">
      <c r="A27" s="2" t="inlineStr">
        <is>
          <t>For each item determine the period the goods/services relate to: if PRE-year-end, the liability belongs in year-end AP (tie back to the AP listing; an 'improperly excluded' item is an unrecorded liability); if POST-year-end, confirm it is properly excluded from year-end AP. Payment amount should reconcile to the included/excluded classification columns.</t>
        </is>
      </c>
    </row>
    <row r="28"/>
    <row r="29">
      <c r="A29" s="33" t="inlineStr">
        <is>
          <t>TM Legends</t>
        </is>
      </c>
    </row>
    <row r="30">
      <c r="A30" s="11" t="inlineStr">
        <is>
          <t>TB</t>
        </is>
      </c>
      <c r="B30" s="10" t="inlineStr">
        <is>
          <t>Agreed to trial balance</t>
        </is>
      </c>
      <c r="C30" s="37" t="n"/>
      <c r="D30" s="38" t="n"/>
    </row>
    <row r="31">
      <c r="A31" s="11" t="inlineStr">
        <is>
          <t>GL</t>
        </is>
      </c>
      <c r="B31" s="10" t="inlineStr">
        <is>
          <t>Agreed to general ledger</t>
        </is>
      </c>
      <c r="C31" s="37" t="n"/>
      <c r="D31" s="38" t="n"/>
    </row>
    <row r="32">
      <c r="A32" s="11" t="inlineStr">
        <is>
          <t>CF</t>
        </is>
      </c>
      <c r="B32" s="10" t="inlineStr">
        <is>
          <t>Confirmed with third party</t>
        </is>
      </c>
      <c r="C32" s="37" t="n"/>
      <c r="D32" s="38" t="n"/>
    </row>
    <row r="33">
      <c r="A33" s="11" t="inlineStr">
        <is>
          <t>V</t>
        </is>
      </c>
      <c r="B33" s="10" t="inlineStr">
        <is>
          <t>Vouched to source document</t>
        </is>
      </c>
      <c r="C33" s="37" t="n"/>
      <c r="D33" s="38" t="n"/>
    </row>
    <row r="34">
      <c r="A34" s="11" t="inlineStr">
        <is>
          <t>SR</t>
        </is>
      </c>
      <c r="B34" s="10" t="inlineStr">
        <is>
          <t>Agreed to subsequent bank-cleared receipt</t>
        </is>
      </c>
      <c r="C34" s="37" t="n"/>
      <c r="D34" s="38" t="n"/>
    </row>
    <row r="35">
      <c r="A35" s="11" t="inlineStr">
        <is>
          <t>R</t>
        </is>
      </c>
      <c r="B35" s="10" t="inlineStr">
        <is>
          <t>Recalculated independently</t>
        </is>
      </c>
      <c r="C35" s="37" t="n"/>
      <c r="D35" s="38" t="n"/>
    </row>
    <row r="36">
      <c r="A36" s="11" t="inlineStr">
        <is>
          <t>F</t>
        </is>
      </c>
      <c r="B36" s="10" t="inlineStr">
        <is>
          <t>Footed / cross-cast</t>
        </is>
      </c>
      <c r="C36" s="37" t="n"/>
      <c r="D36" s="38" t="n"/>
    </row>
    <row r="37">
      <c r="A37" s="11" t="inlineStr">
        <is>
          <t>T</t>
        </is>
      </c>
      <c r="B37" s="10" t="inlineStr">
        <is>
          <t>Traced to downstream record</t>
        </is>
      </c>
      <c r="C37" s="37" t="n"/>
      <c r="D37" s="38" t="n"/>
    </row>
    <row r="38">
      <c r="A38" s="11" t="inlineStr">
        <is>
          <t>PBC</t>
        </is>
      </c>
      <c r="B38" s="10" t="inlineStr">
        <is>
          <t>Prepared by client</t>
        </is>
      </c>
      <c r="C38" s="37" t="n"/>
      <c r="D38" s="38" t="n"/>
    </row>
    <row r="39"/>
    <row r="40" ht="25.5" customHeight="1">
      <c r="A40" s="2" t="inlineStr">
        <is>
          <t>Before sign-off complete Library Procedures 9-10 (SURL examination and cutoff classification).</t>
        </is>
      </c>
    </row>
  </sheetData>
  <mergeCells count="14">
    <mergeCell ref="B33:D33"/>
    <mergeCell ref="B4:R4"/>
    <mergeCell ref="B36:D36"/>
    <mergeCell ref="B37:D37"/>
    <mergeCell ref="B31:D31"/>
    <mergeCell ref="B32:D32"/>
    <mergeCell ref="B35:D35"/>
    <mergeCell ref="B6:R6"/>
    <mergeCell ref="B30:D30"/>
    <mergeCell ref="A27:R27"/>
    <mergeCell ref="B38:D38"/>
    <mergeCell ref="B5:R5"/>
    <mergeCell ref="A40:R40"/>
    <mergeCell ref="B34:D34"/>
  </mergeCells>
  <pageMargins left="0.3" right="0.3" top="0.4" bottom="0.4" header="0.2" footer="0.2"/>
  <pageSetup orientation="landscape" paperSize="1" fitToHeight="1" fitToWidth="2" horizontalDpi="300" verticalDpi="300"/>
</worksheet>
</file>

<file path=xl/worksheets/sheet7.xml><?xml version="1.0" encoding="utf-8"?>
<worksheet xmlns="http://schemas.openxmlformats.org/spreadsheetml/2006/main">
  <sheetPr>
    <outlinePr summaryBelow="1" summaryRight="1"/>
    <pageSetUpPr fitToPage="1"/>
  </sheetPr>
  <dimension ref="A1:H35"/>
  <sheetViews>
    <sheetView showGridLines="0" zoomScale="85" zoomScaleNormal="100" workbookViewId="0">
      <selection activeCell="B6" sqref="B6:D6"/>
    </sheetView>
  </sheetViews>
  <sheetFormatPr baseColWidth="8" defaultColWidth="8.6328125" defaultRowHeight="14.5"/>
  <cols>
    <col width="40" customWidth="1" min="1" max="1"/>
    <col width="20" customWidth="1" min="2" max="2"/>
    <col width="18" customWidth="1" min="3" max="3"/>
    <col width="30" customWidth="1" min="4" max="4"/>
  </cols>
  <sheetData>
    <row r="1" ht="17.5" customHeight="1">
      <c r="A1" s="5" t="inlineStr">
        <is>
          <t>Completeness of Disbursements (conditional)</t>
        </is>
      </c>
    </row>
    <row r="2">
      <c r="A2" s="6" t="inlineStr">
        <is>
          <t>Client / Entity</t>
        </is>
      </c>
      <c r="B2" s="7" t="inlineStr">
        <is>
          <t>[Client / Entity]</t>
        </is>
      </c>
      <c r="D2" s="6" t="inlineStr">
        <is>
          <t>Year-End</t>
        </is>
      </c>
      <c r="E2" s="7" t="inlineStr">
        <is>
          <t>[YYYY-MM-DD]</t>
        </is>
      </c>
      <c r="G2" s="6" t="inlineStr">
        <is>
          <t>Currency</t>
        </is>
      </c>
      <c r="H2" s="7" t="inlineStr">
        <is>
          <t>[CCY]</t>
        </is>
      </c>
    </row>
    <row r="3">
      <c r="A3" s="6" t="inlineStr">
        <is>
          <t>Performance Materiality</t>
        </is>
      </c>
      <c r="B3" s="7" t="inlineStr">
        <is>
          <t>[PM]</t>
        </is>
      </c>
      <c r="D3" s="6" t="inlineStr">
        <is>
          <t>Testing Threshold (SUM)</t>
        </is>
      </c>
      <c r="E3" s="7" t="inlineStr">
        <is>
          <t>[Threshold]</t>
        </is>
      </c>
    </row>
    <row r="4" ht="42" customHeight="1">
      <c r="A4" s="30" t="inlineStr">
        <is>
          <t>Purpose:</t>
        </is>
      </c>
      <c r="B4" s="35" t="inlineStr">
        <is>
          <t>Test the completeness of the disbursement population from which SURL selections were made. Required ONLY if selections were drawn from the disbursement listing; NOT required if drawn from the bank statement.</t>
        </is>
      </c>
      <c r="C4" s="39" t="n"/>
      <c r="D4" s="40" t="n"/>
    </row>
    <row r="5" ht="21.5" customHeight="1">
      <c r="A5" s="30" t="inlineStr">
        <is>
          <t>Scope:</t>
        </is>
      </c>
      <c r="B5" s="35" t="inlineStr">
        <is>
          <t>The subsequent-disbursement listing and the corresponding subsequent-period bank statement.</t>
        </is>
      </c>
      <c r="C5" s="39" t="n"/>
      <c r="D5" s="40" t="n"/>
    </row>
    <row r="6" ht="15" customHeight="1">
      <c r="A6" s="30" t="inlineStr">
        <is>
          <t>Assertions:</t>
        </is>
      </c>
      <c r="B6" s="35" t="inlineStr">
        <is>
          <t>Completeness</t>
        </is>
      </c>
      <c r="C6" s="39" t="n"/>
      <c r="D6" s="40" t="n"/>
    </row>
    <row r="7">
      <c r="A7" s="30" t="inlineStr">
        <is>
          <t>SURL selection source</t>
        </is>
      </c>
      <c r="B7" s="36" t="inlineStr">
        <is>
          <t>[Disbursement listing / Bank statement]</t>
        </is>
      </c>
      <c r="C7" s="39" t="n"/>
      <c r="D7" s="40" t="n"/>
    </row>
    <row r="8" ht="25.5" customHeight="1">
      <c r="A8" s="2" t="inlineStr">
        <is>
          <t>If 'Bank statement' — completeness test below is NOT required (the bank statement is inherently complete). Document and skip.</t>
        </is>
      </c>
    </row>
    <row r="9"/>
    <row r="10">
      <c r="A10" s="17" t="inlineStr">
        <is>
          <t>A. Sequence check of payment / check document numbers</t>
        </is>
      </c>
    </row>
    <row r="11" ht="18" customHeight="1">
      <c r="A11" s="9" t="inlineStr">
        <is>
          <t>Item</t>
        </is>
      </c>
      <c r="B11" s="9" t="inlineStr">
        <is>
          <t>Result</t>
        </is>
      </c>
      <c r="C11" s="9" t="inlineStr">
        <is>
          <t>Reference</t>
        </is>
      </c>
      <c r="D11" s="9" t="inlineStr">
        <is>
          <t>Comments</t>
        </is>
      </c>
    </row>
    <row r="12">
      <c r="A12" s="10" t="inlineStr">
        <is>
          <t>First document number in sequence</t>
        </is>
      </c>
      <c r="B12" s="10" t="n"/>
      <c r="C12" s="10" t="n"/>
      <c r="D12" s="10" t="n"/>
    </row>
    <row r="13">
      <c r="A13" s="10" t="inlineStr">
        <is>
          <t>Last document number in sequence</t>
        </is>
      </c>
      <c r="B13" s="10" t="n"/>
      <c r="C13" s="10" t="n"/>
      <c r="D13" s="10" t="n"/>
    </row>
    <row r="14">
      <c r="A14" s="10" t="inlineStr">
        <is>
          <t>Missing / voided numbers (list)</t>
        </is>
      </c>
      <c r="B14" s="10" t="n"/>
      <c r="C14" s="10" t="n"/>
      <c r="D14" s="10" t="n"/>
    </row>
    <row r="15">
      <c r="A15" s="10" t="inlineStr">
        <is>
          <t>Gaps investigated &amp; explained (Y/N)</t>
        </is>
      </c>
      <c r="B15" s="10" t="n"/>
      <c r="C15" s="10" t="n"/>
      <c r="D15" s="10" t="n"/>
    </row>
    <row r="16"/>
    <row r="17">
      <c r="A17" s="17" t="inlineStr">
        <is>
          <t>B. Reconcile disbursement listing to subsequent-period bank statement</t>
        </is>
      </c>
    </row>
    <row r="18">
      <c r="A18" s="10" t="inlineStr">
        <is>
          <t>Total per disbursement listing</t>
        </is>
      </c>
      <c r="B18" s="13" t="n"/>
    </row>
    <row r="19">
      <c r="A19" s="10" t="inlineStr">
        <is>
          <t>Total per bank statement (subsequent period)</t>
        </is>
      </c>
      <c r="B19" s="13" t="n"/>
    </row>
    <row r="20">
      <c r="A20" s="18" t="inlineStr">
        <is>
          <t>Difference</t>
        </is>
      </c>
      <c r="B20" s="19">
        <f>IF(AND(B18="",B19=""),"",B18-B19)</f>
        <v/>
      </c>
    </row>
    <row r="21">
      <c r="A21" s="10" t="inlineStr">
        <is>
          <t>Reconciling items (describe)</t>
        </is>
      </c>
      <c r="B21" s="10" t="n"/>
      <c r="C21" s="37" t="n"/>
      <c r="D21" s="38" t="n"/>
    </row>
    <row r="22"/>
    <row r="23"/>
    <row r="24">
      <c r="A24" s="33" t="inlineStr">
        <is>
          <t>TM Legends</t>
        </is>
      </c>
    </row>
    <row r="25">
      <c r="A25" s="11" t="inlineStr">
        <is>
          <t>TB</t>
        </is>
      </c>
      <c r="B25" s="10" t="inlineStr">
        <is>
          <t>Agreed to trial balance</t>
        </is>
      </c>
      <c r="C25" s="37" t="n"/>
      <c r="D25" s="38" t="n"/>
    </row>
    <row r="26">
      <c r="A26" s="11" t="inlineStr">
        <is>
          <t>GL</t>
        </is>
      </c>
      <c r="B26" s="10" t="inlineStr">
        <is>
          <t>Agreed to general ledger</t>
        </is>
      </c>
      <c r="C26" s="37" t="n"/>
      <c r="D26" s="38" t="n"/>
    </row>
    <row r="27">
      <c r="A27" s="11" t="inlineStr">
        <is>
          <t>CF</t>
        </is>
      </c>
      <c r="B27" s="10" t="inlineStr">
        <is>
          <t>Confirmed with third party</t>
        </is>
      </c>
      <c r="C27" s="37" t="n"/>
      <c r="D27" s="38" t="n"/>
    </row>
    <row r="28">
      <c r="A28" s="11" t="inlineStr">
        <is>
          <t>V</t>
        </is>
      </c>
      <c r="B28" s="10" t="inlineStr">
        <is>
          <t>Vouched to source document</t>
        </is>
      </c>
      <c r="C28" s="37" t="n"/>
      <c r="D28" s="38" t="n"/>
    </row>
    <row r="29">
      <c r="A29" s="11" t="inlineStr">
        <is>
          <t>SR</t>
        </is>
      </c>
      <c r="B29" s="10" t="inlineStr">
        <is>
          <t>Agreed to subsequent bank-cleared receipt</t>
        </is>
      </c>
      <c r="C29" s="37" t="n"/>
      <c r="D29" s="38" t="n"/>
    </row>
    <row r="30">
      <c r="A30" s="11" t="inlineStr">
        <is>
          <t>R</t>
        </is>
      </c>
      <c r="B30" s="10" t="inlineStr">
        <is>
          <t>Recalculated independently</t>
        </is>
      </c>
      <c r="C30" s="37" t="n"/>
      <c r="D30" s="38" t="n"/>
    </row>
    <row r="31">
      <c r="A31" s="11" t="inlineStr">
        <is>
          <t>F</t>
        </is>
      </c>
      <c r="B31" s="10" t="inlineStr">
        <is>
          <t>Footed / cross-cast</t>
        </is>
      </c>
      <c r="C31" s="37" t="n"/>
      <c r="D31" s="38" t="n"/>
    </row>
    <row r="32">
      <c r="A32" s="11" t="inlineStr">
        <is>
          <t>T</t>
        </is>
      </c>
      <c r="B32" s="10" t="inlineStr">
        <is>
          <t>Traced to downstream record</t>
        </is>
      </c>
      <c r="C32" s="37" t="n"/>
      <c r="D32" s="38" t="n"/>
    </row>
    <row r="33">
      <c r="A33" s="11" t="inlineStr">
        <is>
          <t>PBC</t>
        </is>
      </c>
      <c r="B33" s="10" t="inlineStr">
        <is>
          <t>Prepared by client</t>
        </is>
      </c>
      <c r="C33" s="37" t="n"/>
      <c r="D33" s="38" t="n"/>
    </row>
    <row r="34"/>
    <row r="35" ht="25.5" customHeight="1">
      <c r="A35" s="2" t="inlineStr">
        <is>
          <t>Before sign-off complete Library Procedures 11-12 (completeness via sequence check / bank-statement reconciliation; document when not required).</t>
        </is>
      </c>
    </row>
  </sheetData>
  <mergeCells count="16">
    <mergeCell ref="B33:D33"/>
    <mergeCell ref="B28:D28"/>
    <mergeCell ref="B5:D5"/>
    <mergeCell ref="A8:D8"/>
    <mergeCell ref="B31:D31"/>
    <mergeCell ref="A35:D35"/>
    <mergeCell ref="B32:D32"/>
    <mergeCell ref="B4:D4"/>
    <mergeCell ref="B26:D26"/>
    <mergeCell ref="B27:D27"/>
    <mergeCell ref="B30:D30"/>
    <mergeCell ref="B21:D21"/>
    <mergeCell ref="B29:D29"/>
    <mergeCell ref="B7:D7"/>
    <mergeCell ref="B25:D25"/>
    <mergeCell ref="B6:D6"/>
  </mergeCells>
  <pageMargins left="0.3" right="0.3" top="0.4" bottom="0.4" header="0.2" footer="0.2"/>
  <pageSetup orientation="portrait" paperSize="1" fitToHeight="1" fitToWidth="1" horizontalDpi="300" verticalDpi="300"/>
</worksheet>
</file>

<file path=xl/worksheets/sheet8.xml><?xml version="1.0" encoding="utf-8"?>
<worksheet xmlns="http://schemas.openxmlformats.org/spreadsheetml/2006/main">
  <sheetPr>
    <outlinePr summaryBelow="1" summaryRight="1"/>
    <pageSetUpPr fitToPage="1"/>
  </sheetPr>
  <dimension ref="A1:J38"/>
  <sheetViews>
    <sheetView showGridLines="0" zoomScale="85" zoomScaleNormal="100" workbookViewId="0">
      <selection activeCell="A1" sqref="A1:A1048576"/>
    </sheetView>
  </sheetViews>
  <sheetFormatPr baseColWidth="8" defaultColWidth="8.6328125" defaultRowHeight="14.5"/>
  <cols>
    <col width="12" customWidth="1" min="1" max="1"/>
    <col width="24" customWidth="1" min="2" max="2"/>
    <col width="12" customWidth="1" min="3" max="3"/>
    <col width="14" customWidth="1" min="4" max="4"/>
    <col width="22" customWidth="1" min="5" max="5"/>
    <col width="16" customWidth="1" min="6" max="6"/>
    <col width="15" customWidth="1" min="7" max="7"/>
    <col width="18" customWidth="1" min="8" max="8"/>
    <col width="12" customWidth="1" min="9" max="9"/>
    <col width="26" customWidth="1" min="10" max="10"/>
  </cols>
  <sheetData>
    <row r="1" ht="17.5" customHeight="1">
      <c r="A1" s="5" t="inlineStr">
        <is>
          <t>Outstanding Checks → AP Tie-Back</t>
        </is>
      </c>
    </row>
    <row r="2">
      <c r="A2" s="6" t="inlineStr">
        <is>
          <t>Client / Entity</t>
        </is>
      </c>
      <c r="B2" s="7" t="inlineStr">
        <is>
          <t>[Client / Entity]</t>
        </is>
      </c>
      <c r="D2" s="6" t="inlineStr">
        <is>
          <t>Year-End</t>
        </is>
      </c>
      <c r="E2" s="7" t="inlineStr">
        <is>
          <t>[YYYY-MM-DD]</t>
        </is>
      </c>
      <c r="G2" s="6" t="inlineStr">
        <is>
          <t>Currency</t>
        </is>
      </c>
      <c r="H2" s="7" t="inlineStr">
        <is>
          <t>[CCY]</t>
        </is>
      </c>
    </row>
    <row r="3">
      <c r="A3" s="6" t="inlineStr">
        <is>
          <t>Performance Materiality</t>
        </is>
      </c>
      <c r="B3" s="7" t="inlineStr">
        <is>
          <t>[PM]</t>
        </is>
      </c>
      <c r="D3" s="6" t="inlineStr">
        <is>
          <t>Testing Threshold (SUM)</t>
        </is>
      </c>
      <c r="E3" s="7" t="inlineStr">
        <is>
          <t>[Threshold]</t>
        </is>
      </c>
    </row>
    <row r="4" ht="27.75" customHeight="1">
      <c r="A4" s="33" t="inlineStr">
        <is>
          <t>Purpose:</t>
        </is>
      </c>
      <c r="B4" s="4" t="inlineStr">
        <is>
          <t>Select outstanding checks issued on or before period-end that had not cleared the bank, and tie each back to the AP listing to confirm the related payable is appropriately recorded.</t>
        </is>
      </c>
    </row>
    <row r="5" ht="27.75" customHeight="1">
      <c r="A5" s="33" t="inlineStr">
        <is>
          <t>Scope:</t>
        </is>
      </c>
      <c r="B5" s="4" t="inlineStr">
        <is>
          <t>Year-end outstanding-check list (checks not yet reflected in the bank) and the AP sub-ledger / listing.</t>
        </is>
      </c>
    </row>
    <row r="6" ht="15" customHeight="1">
      <c r="A6" s="33" t="inlineStr">
        <is>
          <t>Assertions:</t>
        </is>
      </c>
      <c r="B6" s="4" t="inlineStr">
        <is>
          <t>Completeness; Existence</t>
        </is>
      </c>
    </row>
    <row r="7" ht="30" customHeight="1">
      <c r="A7" s="9" t="inlineStr">
        <is>
          <t>Check #</t>
        </is>
      </c>
      <c r="B7" s="9" t="inlineStr">
        <is>
          <t>Payee / Vendor</t>
        </is>
      </c>
      <c r="C7" s="9" t="inlineStr">
        <is>
          <t>Check date</t>
        </is>
      </c>
      <c r="D7" s="9" t="inlineStr">
        <is>
          <t>Amount</t>
        </is>
      </c>
      <c r="E7" s="9" t="inlineStr">
        <is>
          <t>Cleared per subsequent bank (date)</t>
        </is>
      </c>
      <c r="F7" s="9" t="inlineStr">
        <is>
          <t>Still outstanding (Y/N)</t>
        </is>
      </c>
      <c r="G7" s="9" t="inlineStr">
        <is>
          <t>Per AP listing (Y/N)</t>
        </is>
      </c>
      <c r="H7" s="9" t="inlineStr">
        <is>
          <t>AP / invoice ref</t>
        </is>
      </c>
      <c r="I7" s="9" t="inlineStr">
        <is>
          <t>Agreed (Y/N)</t>
        </is>
      </c>
      <c r="J7" s="9" t="inlineStr">
        <is>
          <t>Comments</t>
        </is>
      </c>
    </row>
    <row r="8">
      <c r="D8" s="12" t="inlineStr">
        <is>
          <t>V</t>
        </is>
      </c>
      <c r="E8" s="12" t="inlineStr">
        <is>
          <t>T</t>
        </is>
      </c>
      <c r="G8" s="12" t="inlineStr">
        <is>
          <t>T</t>
        </is>
      </c>
    </row>
    <row r="9">
      <c r="A9" s="10" t="n"/>
      <c r="B9" s="10" t="n"/>
      <c r="C9" s="10" t="n"/>
      <c r="D9" s="13" t="n"/>
      <c r="E9" s="10" t="n"/>
      <c r="F9" s="10" t="n"/>
      <c r="G9" s="10" t="n"/>
      <c r="H9" s="10" t="n"/>
      <c r="I9" s="10" t="n"/>
      <c r="J9" s="10" t="n"/>
    </row>
    <row r="10">
      <c r="A10" s="10" t="n"/>
      <c r="B10" s="10" t="n"/>
      <c r="C10" s="10" t="n"/>
      <c r="D10" s="13" t="n"/>
      <c r="E10" s="10" t="n"/>
      <c r="F10" s="10" t="n"/>
      <c r="G10" s="10" t="n"/>
      <c r="H10" s="10" t="n"/>
      <c r="I10" s="10" t="n"/>
      <c r="J10" s="10" t="n"/>
    </row>
    <row r="11">
      <c r="A11" s="10" t="n"/>
      <c r="B11" s="10" t="n"/>
      <c r="C11" s="10" t="n"/>
      <c r="D11" s="13" t="n"/>
      <c r="E11" s="10" t="n"/>
      <c r="F11" s="10" t="n"/>
      <c r="G11" s="10" t="n"/>
      <c r="H11" s="10" t="n"/>
      <c r="I11" s="10" t="n"/>
      <c r="J11" s="10" t="n"/>
    </row>
    <row r="12">
      <c r="A12" s="10" t="n"/>
      <c r="B12" s="10" t="n"/>
      <c r="C12" s="10" t="n"/>
      <c r="D12" s="13" t="n"/>
      <c r="E12" s="10" t="n"/>
      <c r="F12" s="10" t="n"/>
      <c r="G12" s="10" t="n"/>
      <c r="H12" s="10" t="n"/>
      <c r="I12" s="10" t="n"/>
      <c r="J12" s="10" t="n"/>
    </row>
    <row r="13">
      <c r="A13" s="10" t="n"/>
      <c r="B13" s="10" t="n"/>
      <c r="C13" s="10" t="n"/>
      <c r="D13" s="13" t="n"/>
      <c r="E13" s="10" t="n"/>
      <c r="F13" s="10" t="n"/>
      <c r="G13" s="10" t="n"/>
      <c r="H13" s="10" t="n"/>
      <c r="I13" s="10" t="n"/>
      <c r="J13" s="10" t="n"/>
    </row>
    <row r="14">
      <c r="A14" s="10" t="n"/>
      <c r="B14" s="10" t="n"/>
      <c r="C14" s="10" t="n"/>
      <c r="D14" s="13" t="n"/>
      <c r="E14" s="10" t="n"/>
      <c r="F14" s="10" t="n"/>
      <c r="G14" s="10" t="n"/>
      <c r="H14" s="10" t="n"/>
      <c r="I14" s="10" t="n"/>
      <c r="J14" s="10" t="n"/>
    </row>
    <row r="15">
      <c r="A15" s="10" t="n"/>
      <c r="B15" s="10" t="n"/>
      <c r="C15" s="10" t="n"/>
      <c r="D15" s="13" t="n"/>
      <c r="E15" s="10" t="n"/>
      <c r="F15" s="10" t="n"/>
      <c r="G15" s="10" t="n"/>
      <c r="H15" s="10" t="n"/>
      <c r="I15" s="10" t="n"/>
      <c r="J15" s="10" t="n"/>
    </row>
    <row r="16">
      <c r="A16" s="10" t="n"/>
      <c r="B16" s="10" t="n"/>
      <c r="C16" s="10" t="n"/>
      <c r="D16" s="13" t="n"/>
      <c r="E16" s="10" t="n"/>
      <c r="F16" s="10" t="n"/>
      <c r="G16" s="10" t="n"/>
      <c r="H16" s="10" t="n"/>
      <c r="I16" s="10" t="n"/>
      <c r="J16" s="10" t="n"/>
    </row>
    <row r="17">
      <c r="A17" s="10" t="n"/>
      <c r="B17" s="10" t="n"/>
      <c r="C17" s="10" t="n"/>
      <c r="D17" s="13" t="n"/>
      <c r="E17" s="10" t="n"/>
      <c r="F17" s="10" t="n"/>
      <c r="G17" s="10" t="n"/>
      <c r="H17" s="10" t="n"/>
      <c r="I17" s="10" t="n"/>
      <c r="J17" s="10" t="n"/>
    </row>
    <row r="18">
      <c r="A18" s="10" t="n"/>
      <c r="B18" s="10" t="n"/>
      <c r="C18" s="10" t="n"/>
      <c r="D18" s="13" t="n"/>
      <c r="E18" s="10" t="n"/>
      <c r="F18" s="10" t="n"/>
      <c r="G18" s="10" t="n"/>
      <c r="H18" s="10" t="n"/>
      <c r="I18" s="10" t="n"/>
      <c r="J18" s="10" t="n"/>
    </row>
    <row r="19">
      <c r="A19" s="10" t="n"/>
      <c r="B19" s="10" t="n"/>
      <c r="C19" s="10" t="n"/>
      <c r="D19" s="13" t="n"/>
      <c r="E19" s="10" t="n"/>
      <c r="F19" s="10" t="n"/>
      <c r="G19" s="10" t="n"/>
      <c r="H19" s="10" t="n"/>
      <c r="I19" s="10" t="n"/>
      <c r="J19" s="10" t="n"/>
    </row>
    <row r="20">
      <c r="A20" s="10" t="n"/>
      <c r="B20" s="10" t="n"/>
      <c r="C20" s="10" t="n"/>
      <c r="D20" s="13" t="n"/>
      <c r="E20" s="10" t="n"/>
      <c r="F20" s="10" t="n"/>
      <c r="G20" s="10" t="n"/>
      <c r="H20" s="10" t="n"/>
      <c r="I20" s="10" t="n"/>
      <c r="J20" s="10" t="n"/>
    </row>
    <row r="21">
      <c r="A21" s="10" t="n"/>
      <c r="B21" s="10" t="n"/>
      <c r="C21" s="10" t="n"/>
      <c r="D21" s="13" t="n"/>
      <c r="E21" s="10" t="n"/>
      <c r="F21" s="10" t="n"/>
      <c r="G21" s="10" t="n"/>
      <c r="H21" s="10" t="n"/>
      <c r="I21" s="10" t="n"/>
      <c r="J21" s="10" t="n"/>
    </row>
    <row r="22">
      <c r="A22" s="10" t="n"/>
      <c r="B22" s="10" t="n"/>
      <c r="C22" s="10" t="n"/>
      <c r="D22" s="13" t="n"/>
      <c r="E22" s="10" t="n"/>
      <c r="F22" s="10" t="n"/>
      <c r="G22" s="10" t="n"/>
      <c r="H22" s="10" t="n"/>
      <c r="I22" s="10" t="n"/>
      <c r="J22" s="10" t="n"/>
    </row>
    <row r="23">
      <c r="A23" s="15" t="inlineStr">
        <is>
          <t>Total</t>
        </is>
      </c>
      <c r="B23" s="15" t="n"/>
      <c r="C23" s="15" t="n"/>
      <c r="D23" s="16">
        <f>SUM(D9:D22)</f>
        <v/>
      </c>
      <c r="E23" s="15" t="n"/>
      <c r="F23" s="15" t="n"/>
      <c r="G23" s="15" t="n"/>
      <c r="H23" s="15" t="n"/>
      <c r="I23" s="15" t="n"/>
      <c r="J23" s="15" t="n"/>
    </row>
    <row r="24"/>
    <row r="25" ht="25.5" customHeight="1">
      <c r="A25" s="2" t="inlineStr">
        <is>
          <t>Outstanding checks reduce both cash and AP when issued; select uncleared checks and trace to the AP listing to confirm the payable was recorded/relieved appropriately and AP is neither over- nor under-stated.</t>
        </is>
      </c>
    </row>
    <row r="26"/>
    <row r="27">
      <c r="A27" s="33" t="inlineStr">
        <is>
          <t>TM Legends</t>
        </is>
      </c>
    </row>
    <row r="28">
      <c r="A28" s="11" t="inlineStr">
        <is>
          <t>TB</t>
        </is>
      </c>
      <c r="B28" s="10" t="inlineStr">
        <is>
          <t>Agreed to trial balance</t>
        </is>
      </c>
      <c r="C28" s="37" t="n"/>
      <c r="D28" s="38" t="n"/>
    </row>
    <row r="29">
      <c r="A29" s="11" t="inlineStr">
        <is>
          <t>GL</t>
        </is>
      </c>
      <c r="B29" s="10" t="inlineStr">
        <is>
          <t>Agreed to general ledger</t>
        </is>
      </c>
      <c r="C29" s="37" t="n"/>
      <c r="D29" s="38" t="n"/>
    </row>
    <row r="30">
      <c r="A30" s="11" t="inlineStr">
        <is>
          <t>CF</t>
        </is>
      </c>
      <c r="B30" s="10" t="inlineStr">
        <is>
          <t>Confirmed with third party</t>
        </is>
      </c>
      <c r="C30" s="37" t="n"/>
      <c r="D30" s="38" t="n"/>
    </row>
    <row r="31">
      <c r="A31" s="11" t="inlineStr">
        <is>
          <t>V</t>
        </is>
      </c>
      <c r="B31" s="10" t="inlineStr">
        <is>
          <t>Vouched to source document</t>
        </is>
      </c>
      <c r="C31" s="37" t="n"/>
      <c r="D31" s="38" t="n"/>
    </row>
    <row r="32">
      <c r="A32" s="11" t="inlineStr">
        <is>
          <t>SR</t>
        </is>
      </c>
      <c r="B32" s="10" t="inlineStr">
        <is>
          <t>Agreed to subsequent bank-cleared receipt</t>
        </is>
      </c>
      <c r="C32" s="37" t="n"/>
      <c r="D32" s="38" t="n"/>
    </row>
    <row r="33">
      <c r="A33" s="11" t="inlineStr">
        <is>
          <t>R</t>
        </is>
      </c>
      <c r="B33" s="10" t="inlineStr">
        <is>
          <t>Recalculated independently</t>
        </is>
      </c>
      <c r="C33" s="37" t="n"/>
      <c r="D33" s="38" t="n"/>
    </row>
    <row r="34">
      <c r="A34" s="11" t="inlineStr">
        <is>
          <t>F</t>
        </is>
      </c>
      <c r="B34" s="10" t="inlineStr">
        <is>
          <t>Footed / cross-cast</t>
        </is>
      </c>
      <c r="C34" s="37" t="n"/>
      <c r="D34" s="38" t="n"/>
    </row>
    <row r="35">
      <c r="A35" s="11" t="inlineStr">
        <is>
          <t>T</t>
        </is>
      </c>
      <c r="B35" s="10" t="inlineStr">
        <is>
          <t>Traced to downstream record</t>
        </is>
      </c>
      <c r="C35" s="37" t="n"/>
      <c r="D35" s="38" t="n"/>
    </row>
    <row r="36">
      <c r="A36" s="11" t="inlineStr">
        <is>
          <t>PBC</t>
        </is>
      </c>
      <c r="B36" s="10" t="inlineStr">
        <is>
          <t>Prepared by client</t>
        </is>
      </c>
      <c r="C36" s="37" t="n"/>
      <c r="D36" s="38" t="n"/>
    </row>
    <row r="37"/>
    <row r="38" ht="25.5" customHeight="1">
      <c r="A38" s="2" t="inlineStr">
        <is>
          <t>Before sign-off complete Library Procedure 13 (outstanding checks tie-back).</t>
        </is>
      </c>
    </row>
  </sheetData>
  <mergeCells count="14">
    <mergeCell ref="B33:D33"/>
    <mergeCell ref="B28:D28"/>
    <mergeCell ref="B36:D36"/>
    <mergeCell ref="B5:J5"/>
    <mergeCell ref="B31:D31"/>
    <mergeCell ref="B35:D35"/>
    <mergeCell ref="B32:D32"/>
    <mergeCell ref="B30:D30"/>
    <mergeCell ref="A38:J38"/>
    <mergeCell ref="B4:J4"/>
    <mergeCell ref="B29:D29"/>
    <mergeCell ref="A25:J25"/>
    <mergeCell ref="B6:J6"/>
    <mergeCell ref="B34:D34"/>
  </mergeCells>
  <pageMargins left="0.3" right="0.3" top="0.4" bottom="0.4" header="0.2" footer="0.2"/>
  <pageSetup orientation="landscape" paperSize="1" fitToHeight="1" fitToWidth="1" horizontalDpi="300" verticalDpi="300"/>
</worksheet>
</file>

<file path=xl/worksheets/sheet9.xml><?xml version="1.0" encoding="utf-8"?>
<worksheet xmlns="http://schemas.openxmlformats.org/spreadsheetml/2006/main">
  <sheetPr>
    <outlinePr summaryBelow="1" summaryRight="1"/>
    <pageSetUpPr fitToPage="1"/>
  </sheetPr>
  <dimension ref="A1:M38"/>
  <sheetViews>
    <sheetView showGridLines="0" zoomScale="85" zoomScaleNormal="100" workbookViewId="0">
      <selection activeCell="A1" sqref="A1:A1048576"/>
    </sheetView>
  </sheetViews>
  <sheetFormatPr baseColWidth="8" defaultColWidth="8.6328125" defaultRowHeight="14.5"/>
  <cols>
    <col width="9" customWidth="1" min="1" max="1"/>
    <col width="22" customWidth="1" min="2" max="2"/>
    <col width="13" customWidth="1" min="3" max="3"/>
    <col width="12" customWidth="1" min="4" max="4"/>
    <col width="13" customWidth="1" min="5" max="5"/>
    <col width="14" customWidth="1" min="6" max="6"/>
    <col width="24" customWidth="1" min="7" max="7"/>
    <col width="18" customWidth="1" min="8" max="8"/>
    <col width="16" customWidth="1" min="9" max="9"/>
    <col width="13" customWidth="1" min="10" max="10"/>
    <col width="16" customWidth="1" min="11" max="11"/>
    <col width="14" customWidth="1" min="12" max="12"/>
    <col width="28" customWidth="1" min="13" max="13"/>
  </cols>
  <sheetData>
    <row r="1" ht="17.5" customHeight="1">
      <c r="A1" s="5" t="inlineStr">
        <is>
          <t>Open / Unpaid Invoice &amp; Cutoff</t>
        </is>
      </c>
    </row>
    <row r="2">
      <c r="A2" s="6" t="inlineStr">
        <is>
          <t>Client / Entity</t>
        </is>
      </c>
      <c r="B2" s="7" t="inlineStr">
        <is>
          <t>[Client / Entity]</t>
        </is>
      </c>
      <c r="D2" s="6" t="inlineStr">
        <is>
          <t>Year-End</t>
        </is>
      </c>
      <c r="E2" s="7" t="inlineStr">
        <is>
          <t>[YYYY-MM-DD]</t>
        </is>
      </c>
      <c r="G2" s="6" t="inlineStr">
        <is>
          <t>Currency</t>
        </is>
      </c>
      <c r="H2" s="7" t="inlineStr">
        <is>
          <t>[CCY]</t>
        </is>
      </c>
    </row>
    <row r="3">
      <c r="A3" s="6" t="inlineStr">
        <is>
          <t>Performance Materiality</t>
        </is>
      </c>
      <c r="B3" s="7" t="inlineStr">
        <is>
          <t>[PM]</t>
        </is>
      </c>
      <c r="D3" s="6" t="inlineStr">
        <is>
          <t>Testing Threshold (SUM)</t>
        </is>
      </c>
      <c r="E3" s="7" t="inlineStr">
        <is>
          <t>[Threshold]</t>
        </is>
      </c>
    </row>
    <row r="4" ht="42" customHeight="1">
      <c r="A4" s="33" t="inlineStr">
        <is>
          <t>Purpose:</t>
        </is>
      </c>
      <c r="B4" s="4" t="inlineStr">
        <is>
          <t>Select unpaid / open invoices from the subsequent period; determine the goods/service period; if pre-year-end, tie back to year-end AP (an unrecorded liability if omitted); if post-year-end, confirm exclusion from year-end AP.</t>
        </is>
      </c>
    </row>
    <row r="5" ht="27.75" customHeight="1">
      <c r="A5" s="33" t="inlineStr">
        <is>
          <t>Scope:</t>
        </is>
      </c>
      <c r="B5" s="4" t="inlineStr">
        <is>
          <t>Subsequent-period open / unpaid invoice file and the received-not-invoiced (RNI) / unmatched-receiving report.</t>
        </is>
      </c>
    </row>
    <row r="6" ht="15" customHeight="1">
      <c r="A6" s="33" t="inlineStr">
        <is>
          <t>Assertions:</t>
        </is>
      </c>
      <c r="B6" s="4" t="inlineStr">
        <is>
          <t>Completeness; Existence; Cutoff</t>
        </is>
      </c>
    </row>
    <row r="7" ht="39.75" customHeight="1">
      <c r="A7" s="9" t="inlineStr">
        <is>
          <t>Sample #</t>
        </is>
      </c>
      <c r="B7" s="9" t="inlineStr">
        <is>
          <t>Vendor</t>
        </is>
      </c>
      <c r="C7" s="9" t="inlineStr">
        <is>
          <t>Invoice #</t>
        </is>
      </c>
      <c r="D7" s="9" t="inlineStr">
        <is>
          <t>Invoice date</t>
        </is>
      </c>
      <c r="E7" s="9" t="inlineStr">
        <is>
          <t>Due / aging date</t>
        </is>
      </c>
      <c r="F7" s="9" t="inlineStr">
        <is>
          <t>Invoice amount</t>
        </is>
      </c>
      <c r="G7" s="9" t="inlineStr">
        <is>
          <t>Goods received / service period</t>
        </is>
      </c>
      <c r="H7" s="9" t="inlineStr">
        <is>
          <t>Relates to (pre-YE / post-YE)</t>
        </is>
      </c>
      <c r="I7" s="9" t="inlineStr">
        <is>
          <t>Should be in YE AP? (Y/N)</t>
        </is>
      </c>
      <c r="J7" s="9" t="inlineStr">
        <is>
          <t>In YE AP? (Y/N)</t>
        </is>
      </c>
      <c r="K7" s="9" t="inlineStr">
        <is>
          <t>Tie-back / AP ref</t>
        </is>
      </c>
      <c r="L7" s="9" t="inlineStr">
        <is>
          <t>Exception amount</t>
        </is>
      </c>
      <c r="M7" s="9" t="inlineStr">
        <is>
          <t>Conclusion / Comments</t>
        </is>
      </c>
    </row>
    <row r="8">
      <c r="F8" s="12" t="inlineStr">
        <is>
          <t>V</t>
        </is>
      </c>
      <c r="L8" s="12" t="inlineStr">
        <is>
          <t>R</t>
        </is>
      </c>
    </row>
    <row r="9">
      <c r="A9" s="10" t="n"/>
      <c r="B9" s="10" t="n"/>
      <c r="C9" s="10" t="n"/>
      <c r="D9" s="10" t="n"/>
      <c r="E9" s="10" t="n"/>
      <c r="F9" s="13" t="n"/>
      <c r="G9" s="10" t="n"/>
      <c r="H9" s="10" t="n"/>
      <c r="I9" s="10" t="n"/>
      <c r="J9" s="10" t="n"/>
      <c r="K9" s="10" t="n"/>
      <c r="L9" s="13">
        <f>IF(OR(AND(I9="Y",J9="N"),AND(I9="N",J9="Y")),F9,0)</f>
        <v/>
      </c>
      <c r="M9" s="10" t="n"/>
    </row>
    <row r="10">
      <c r="A10" s="10" t="n"/>
      <c r="B10" s="10" t="n"/>
      <c r="C10" s="10" t="n"/>
      <c r="D10" s="10" t="n"/>
      <c r="E10" s="10" t="n"/>
      <c r="F10" s="13" t="n"/>
      <c r="G10" s="10" t="n"/>
      <c r="H10" s="10" t="n"/>
      <c r="I10" s="10" t="n"/>
      <c r="J10" s="10" t="n"/>
      <c r="K10" s="10" t="n"/>
      <c r="L10" s="13">
        <f>IF(OR(AND(I10="Y",J10="N"),AND(I10="N",J10="Y")),F10,0)</f>
        <v/>
      </c>
      <c r="M10" s="10" t="n"/>
    </row>
    <row r="11">
      <c r="A11" s="10" t="n"/>
      <c r="B11" s="10" t="n"/>
      <c r="C11" s="10" t="n"/>
      <c r="D11" s="10" t="n"/>
      <c r="E11" s="10" t="n"/>
      <c r="F11" s="13" t="n"/>
      <c r="G11" s="10" t="n"/>
      <c r="H11" s="10" t="n"/>
      <c r="I11" s="10" t="n"/>
      <c r="J11" s="10" t="n"/>
      <c r="K11" s="10" t="n"/>
      <c r="L11" s="13">
        <f>IF(OR(AND(I11="Y",J11="N"),AND(I11="N",J11="Y")),F11,0)</f>
        <v/>
      </c>
      <c r="M11" s="10" t="n"/>
    </row>
    <row r="12">
      <c r="A12" s="10" t="n"/>
      <c r="B12" s="10" t="n"/>
      <c r="C12" s="10" t="n"/>
      <c r="D12" s="10" t="n"/>
      <c r="E12" s="10" t="n"/>
      <c r="F12" s="13" t="n"/>
      <c r="G12" s="10" t="n"/>
      <c r="H12" s="10" t="n"/>
      <c r="I12" s="10" t="n"/>
      <c r="J12" s="10" t="n"/>
      <c r="K12" s="10" t="n"/>
      <c r="L12" s="13">
        <f>IF(OR(AND(I12="Y",J12="N"),AND(I12="N",J12="Y")),F12,0)</f>
        <v/>
      </c>
      <c r="M12" s="10" t="n"/>
    </row>
    <row r="13">
      <c r="A13" s="10" t="n"/>
      <c r="B13" s="10" t="n"/>
      <c r="C13" s="10" t="n"/>
      <c r="D13" s="10" t="n"/>
      <c r="E13" s="10" t="n"/>
      <c r="F13" s="13" t="n"/>
      <c r="G13" s="10" t="n"/>
      <c r="H13" s="10" t="n"/>
      <c r="I13" s="10" t="n"/>
      <c r="J13" s="10" t="n"/>
      <c r="K13" s="10" t="n"/>
      <c r="L13" s="13">
        <f>IF(OR(AND(I13="Y",J13="N"),AND(I13="N",J13="Y")),F13,0)</f>
        <v/>
      </c>
      <c r="M13" s="10" t="n"/>
    </row>
    <row r="14">
      <c r="A14" s="10" t="n"/>
      <c r="B14" s="10" t="n"/>
      <c r="C14" s="10" t="n"/>
      <c r="D14" s="10" t="n"/>
      <c r="E14" s="10" t="n"/>
      <c r="F14" s="13" t="n"/>
      <c r="G14" s="10" t="n"/>
      <c r="H14" s="10" t="n"/>
      <c r="I14" s="10" t="n"/>
      <c r="J14" s="10" t="n"/>
      <c r="K14" s="10" t="n"/>
      <c r="L14" s="13">
        <f>IF(OR(AND(I14="Y",J14="N"),AND(I14="N",J14="Y")),F14,0)</f>
        <v/>
      </c>
      <c r="M14" s="10" t="n"/>
    </row>
    <row r="15">
      <c r="A15" s="10" t="n"/>
      <c r="B15" s="10" t="n"/>
      <c r="C15" s="10" t="n"/>
      <c r="D15" s="10" t="n"/>
      <c r="E15" s="10" t="n"/>
      <c r="F15" s="13" t="n"/>
      <c r="G15" s="10" t="n"/>
      <c r="H15" s="10" t="n"/>
      <c r="I15" s="10" t="n"/>
      <c r="J15" s="10" t="n"/>
      <c r="K15" s="10" t="n"/>
      <c r="L15" s="13">
        <f>IF(OR(AND(I15="Y",J15="N"),AND(I15="N",J15="Y")),F15,0)</f>
        <v/>
      </c>
      <c r="M15" s="10" t="n"/>
    </row>
    <row r="16">
      <c r="A16" s="10" t="n"/>
      <c r="B16" s="10" t="n"/>
      <c r="C16" s="10" t="n"/>
      <c r="D16" s="10" t="n"/>
      <c r="E16" s="10" t="n"/>
      <c r="F16" s="13" t="n"/>
      <c r="G16" s="10" t="n"/>
      <c r="H16" s="10" t="n"/>
      <c r="I16" s="10" t="n"/>
      <c r="J16" s="10" t="n"/>
      <c r="K16" s="10" t="n"/>
      <c r="L16" s="13">
        <f>IF(OR(AND(I16="Y",J16="N"),AND(I16="N",J16="Y")),F16,0)</f>
        <v/>
      </c>
      <c r="M16" s="10" t="n"/>
    </row>
    <row r="17">
      <c r="A17" s="10" t="n"/>
      <c r="B17" s="10" t="n"/>
      <c r="C17" s="10" t="n"/>
      <c r="D17" s="10" t="n"/>
      <c r="E17" s="10" t="n"/>
      <c r="F17" s="13" t="n"/>
      <c r="G17" s="10" t="n"/>
      <c r="H17" s="10" t="n"/>
      <c r="I17" s="10" t="n"/>
      <c r="J17" s="10" t="n"/>
      <c r="K17" s="10" t="n"/>
      <c r="L17" s="13">
        <f>IF(OR(AND(I17="Y",J17="N"),AND(I17="N",J17="Y")),F17,0)</f>
        <v/>
      </c>
      <c r="M17" s="10" t="n"/>
    </row>
    <row r="18">
      <c r="A18" s="10" t="n"/>
      <c r="B18" s="10" t="n"/>
      <c r="C18" s="10" t="n"/>
      <c r="D18" s="10" t="n"/>
      <c r="E18" s="10" t="n"/>
      <c r="F18" s="13" t="n"/>
      <c r="G18" s="10" t="n"/>
      <c r="H18" s="10" t="n"/>
      <c r="I18" s="10" t="n"/>
      <c r="J18" s="10" t="n"/>
      <c r="K18" s="10" t="n"/>
      <c r="L18" s="13">
        <f>IF(OR(AND(I18="Y",J18="N"),AND(I18="N",J18="Y")),F18,0)</f>
        <v/>
      </c>
      <c r="M18" s="10" t="n"/>
    </row>
    <row r="19">
      <c r="A19" s="10" t="n"/>
      <c r="B19" s="10" t="n"/>
      <c r="C19" s="10" t="n"/>
      <c r="D19" s="10" t="n"/>
      <c r="E19" s="10" t="n"/>
      <c r="F19" s="13" t="n"/>
      <c r="G19" s="10" t="n"/>
      <c r="H19" s="10" t="n"/>
      <c r="I19" s="10" t="n"/>
      <c r="J19" s="10" t="n"/>
      <c r="K19" s="10" t="n"/>
      <c r="L19" s="13">
        <f>IF(OR(AND(I19="Y",J19="N"),AND(I19="N",J19="Y")),F19,0)</f>
        <v/>
      </c>
      <c r="M19" s="10" t="n"/>
    </row>
    <row r="20">
      <c r="A20" s="10" t="n"/>
      <c r="B20" s="10" t="n"/>
      <c r="C20" s="10" t="n"/>
      <c r="D20" s="10" t="n"/>
      <c r="E20" s="10" t="n"/>
      <c r="F20" s="13" t="n"/>
      <c r="G20" s="10" t="n"/>
      <c r="H20" s="10" t="n"/>
      <c r="I20" s="10" t="n"/>
      <c r="J20" s="10" t="n"/>
      <c r="K20" s="10" t="n"/>
      <c r="L20" s="13">
        <f>IF(OR(AND(I20="Y",J20="N"),AND(I20="N",J20="Y")),F20,0)</f>
        <v/>
      </c>
      <c r="M20" s="10" t="n"/>
    </row>
    <row r="21">
      <c r="A21" s="10" t="n"/>
      <c r="B21" s="10" t="n"/>
      <c r="C21" s="10" t="n"/>
      <c r="D21" s="10" t="n"/>
      <c r="E21" s="10" t="n"/>
      <c r="F21" s="13" t="n"/>
      <c r="G21" s="10" t="n"/>
      <c r="H21" s="10" t="n"/>
      <c r="I21" s="10" t="n"/>
      <c r="J21" s="10" t="n"/>
      <c r="K21" s="10" t="n"/>
      <c r="L21" s="13">
        <f>IF(OR(AND(I21="Y",J21="N"),AND(I21="N",J21="Y")),F21,0)</f>
        <v/>
      </c>
      <c r="M21" s="10" t="n"/>
    </row>
    <row r="22">
      <c r="A22" s="10" t="n"/>
      <c r="B22" s="10" t="n"/>
      <c r="C22" s="10" t="n"/>
      <c r="D22" s="10" t="n"/>
      <c r="E22" s="10" t="n"/>
      <c r="F22" s="13" t="n"/>
      <c r="G22" s="10" t="n"/>
      <c r="H22" s="10" t="n"/>
      <c r="I22" s="10" t="n"/>
      <c r="J22" s="10" t="n"/>
      <c r="K22" s="10" t="n"/>
      <c r="L22" s="13">
        <f>IF(OR(AND(I22="Y",J22="N"),AND(I22="N",J22="Y")),F22,0)</f>
        <v/>
      </c>
      <c r="M22" s="10" t="n"/>
    </row>
    <row r="23">
      <c r="A23" s="15" t="inlineStr">
        <is>
          <t>Total</t>
        </is>
      </c>
      <c r="B23" s="15" t="n"/>
      <c r="C23" s="15" t="n"/>
      <c r="D23" s="15" t="n"/>
      <c r="E23" s="15" t="n"/>
      <c r="F23" s="16">
        <f>SUM(F9:F22)</f>
        <v/>
      </c>
      <c r="G23" s="15" t="n"/>
      <c r="H23" s="15" t="n"/>
      <c r="I23" s="15" t="n"/>
      <c r="J23" s="15" t="n"/>
      <c r="K23" s="15" t="n"/>
      <c r="L23" s="16">
        <f>SUM(L9:L22)</f>
        <v/>
      </c>
      <c r="M23" s="15" t="n"/>
    </row>
    <row r="24"/>
    <row r="25" ht="25.5" customHeight="1">
      <c r="A25" s="2" t="inlineStr">
        <is>
          <t>Exception amount auto-flags a mismatch: an invoice that SHOULD be in year-end AP but is not (an unrecorded liability), or one that should NOT be but is. Also obtain the RNI / unmatched-receiving report to test completeness of accrued purchases.</t>
        </is>
      </c>
    </row>
    <row r="26"/>
    <row r="27">
      <c r="A27" s="33" t="inlineStr">
        <is>
          <t>TM Legends</t>
        </is>
      </c>
    </row>
    <row r="28">
      <c r="A28" s="11" t="inlineStr">
        <is>
          <t>TB</t>
        </is>
      </c>
      <c r="B28" s="10" t="inlineStr">
        <is>
          <t>Agreed to trial balance</t>
        </is>
      </c>
      <c r="C28" s="37" t="n"/>
      <c r="D28" s="38" t="n"/>
    </row>
    <row r="29">
      <c r="A29" s="11" t="inlineStr">
        <is>
          <t>GL</t>
        </is>
      </c>
      <c r="B29" s="10" t="inlineStr">
        <is>
          <t>Agreed to general ledger</t>
        </is>
      </c>
      <c r="C29" s="37" t="n"/>
      <c r="D29" s="38" t="n"/>
    </row>
    <row r="30">
      <c r="A30" s="11" t="inlineStr">
        <is>
          <t>CF</t>
        </is>
      </c>
      <c r="B30" s="10" t="inlineStr">
        <is>
          <t>Confirmed with third party</t>
        </is>
      </c>
      <c r="C30" s="37" t="n"/>
      <c r="D30" s="38" t="n"/>
    </row>
    <row r="31">
      <c r="A31" s="11" t="inlineStr">
        <is>
          <t>V</t>
        </is>
      </c>
      <c r="B31" s="10" t="inlineStr">
        <is>
          <t>Vouched to source document</t>
        </is>
      </c>
      <c r="C31" s="37" t="n"/>
      <c r="D31" s="38" t="n"/>
    </row>
    <row r="32">
      <c r="A32" s="11" t="inlineStr">
        <is>
          <t>SR</t>
        </is>
      </c>
      <c r="B32" s="10" t="inlineStr">
        <is>
          <t>Agreed to subsequent bank-cleared receipt</t>
        </is>
      </c>
      <c r="C32" s="37" t="n"/>
      <c r="D32" s="38" t="n"/>
    </row>
    <row r="33">
      <c r="A33" s="11" t="inlineStr">
        <is>
          <t>R</t>
        </is>
      </c>
      <c r="B33" s="10" t="inlineStr">
        <is>
          <t>Recalculated independently</t>
        </is>
      </c>
      <c r="C33" s="37" t="n"/>
      <c r="D33" s="38" t="n"/>
    </row>
    <row r="34">
      <c r="A34" s="11" t="inlineStr">
        <is>
          <t>F</t>
        </is>
      </c>
      <c r="B34" s="10" t="inlineStr">
        <is>
          <t>Footed / cross-cast</t>
        </is>
      </c>
      <c r="C34" s="37" t="n"/>
      <c r="D34" s="38" t="n"/>
    </row>
    <row r="35">
      <c r="A35" s="11" t="inlineStr">
        <is>
          <t>T</t>
        </is>
      </c>
      <c r="B35" s="10" t="inlineStr">
        <is>
          <t>Traced to downstream record</t>
        </is>
      </c>
      <c r="C35" s="37" t="n"/>
      <c r="D35" s="38" t="n"/>
    </row>
    <row r="36">
      <c r="A36" s="11" t="inlineStr">
        <is>
          <t>PBC</t>
        </is>
      </c>
      <c r="B36" s="10" t="inlineStr">
        <is>
          <t>Prepared by client</t>
        </is>
      </c>
      <c r="C36" s="37" t="n"/>
      <c r="D36" s="38" t="n"/>
    </row>
    <row r="37"/>
    <row r="38" ht="25.5" customHeight="1">
      <c r="A38" s="2" t="inlineStr">
        <is>
          <t>Before sign-off complete Library Procedures 14-15 (open-invoice cutoff and RNI completeness).</t>
        </is>
      </c>
    </row>
  </sheetData>
  <mergeCells count="14">
    <mergeCell ref="B33:D33"/>
    <mergeCell ref="B28:D28"/>
    <mergeCell ref="B6:M6"/>
    <mergeCell ref="A38:M38"/>
    <mergeCell ref="B36:D36"/>
    <mergeCell ref="B29:D29"/>
    <mergeCell ref="B31:D31"/>
    <mergeCell ref="B5:M5"/>
    <mergeCell ref="B35:D35"/>
    <mergeCell ref="B32:D32"/>
    <mergeCell ref="B30:D30"/>
    <mergeCell ref="A25:M25"/>
    <mergeCell ref="B4:M4"/>
    <mergeCell ref="B34:D34"/>
  </mergeCells>
  <pageMargins left="0.3" right="0.3" top="0.4" bottom="0.4" header="0.2" footer="0.2"/>
  <pageSetup orientation="landscape" paperSize="1" fitToHeight="1" fitToWidth="1" horizontalDpi="300" verticalDpi="300"/>
</worksheet>
</file>

<file path=xl/worksheets/sheet10.xml><?xml version="1.0" encoding="utf-8"?>
<worksheet xmlns="http://schemas.openxmlformats.org/spreadsheetml/2006/main">
  <sheetPr>
    <outlinePr summaryBelow="1" summaryRight="1"/>
    <pageSetUpPr fitToPage="1"/>
  </sheetPr>
  <dimension ref="A1:H35"/>
  <sheetViews>
    <sheetView showGridLines="0" zoomScale="85" zoomScaleNormal="100" workbookViewId="0">
      <selection activeCell="A1" sqref="A1:A1048576"/>
    </sheetView>
  </sheetViews>
  <sheetFormatPr baseColWidth="8" defaultColWidth="8.6328125" defaultRowHeight="14.5"/>
  <cols>
    <col width="36" customWidth="1" min="1" max="1"/>
    <col width="16" customWidth="1" min="2" max="3"/>
    <col width="14" customWidth="1" min="4" max="4"/>
    <col width="34" customWidth="1" min="5" max="5"/>
  </cols>
  <sheetData>
    <row r="1" ht="17.5" customHeight="1">
      <c r="A1" s="5" t="inlineStr">
        <is>
          <t>Ratios &amp; Disclosures</t>
        </is>
      </c>
    </row>
    <row r="2">
      <c r="A2" s="6" t="inlineStr">
        <is>
          <t>Client / Entity</t>
        </is>
      </c>
      <c r="B2" s="7" t="inlineStr">
        <is>
          <t>[Client / Entity]</t>
        </is>
      </c>
      <c r="D2" s="6" t="inlineStr">
        <is>
          <t>Year-End</t>
        </is>
      </c>
      <c r="E2" s="7" t="inlineStr">
        <is>
          <t>[YYYY-MM-DD]</t>
        </is>
      </c>
      <c r="G2" s="6" t="inlineStr">
        <is>
          <t>Currency</t>
        </is>
      </c>
      <c r="H2" s="7" t="inlineStr">
        <is>
          <t>[CCY]</t>
        </is>
      </c>
    </row>
    <row r="3">
      <c r="A3" s="6" t="inlineStr">
        <is>
          <t>Performance Materiality</t>
        </is>
      </c>
      <c r="B3" s="7" t="inlineStr">
        <is>
          <t>[PM]</t>
        </is>
      </c>
      <c r="D3" s="6" t="inlineStr">
        <is>
          <t>Testing Threshold (SUM)</t>
        </is>
      </c>
      <c r="E3" s="7" t="inlineStr">
        <is>
          <t>[Threshold]</t>
        </is>
      </c>
    </row>
    <row r="4" ht="15" customHeight="1">
      <c r="A4" s="33" t="inlineStr">
        <is>
          <t>Purpose:</t>
        </is>
      </c>
      <c r="B4" s="4" t="inlineStr">
        <is>
          <t>Compute AP analytics and evaluate presentation and disclosure matters.</t>
        </is>
      </c>
    </row>
    <row r="5" ht="15" customHeight="1">
      <c r="A5" s="33" t="inlineStr">
        <is>
          <t>Scope:</t>
        </is>
      </c>
      <c r="B5" s="4" t="inlineStr">
        <is>
          <t>Lead-sheet, reconciliation and SURL results; COGS / expenses and prior-year data for ratios.</t>
        </is>
      </c>
    </row>
    <row r="6" ht="15" customHeight="1">
      <c r="A6" s="33" t="inlineStr">
        <is>
          <t>Assertions:</t>
        </is>
      </c>
      <c r="B6" s="4" t="inlineStr">
        <is>
          <t>Presentation &amp; Disclosure; Classification</t>
        </is>
      </c>
    </row>
    <row r="7">
      <c r="A7" s="17" t="inlineStr">
        <is>
          <t>A. Analytics</t>
        </is>
      </c>
    </row>
    <row r="8" ht="18" customHeight="1">
      <c r="A8" s="9" t="inlineStr">
        <is>
          <t>Metric</t>
        </is>
      </c>
      <c r="B8" s="9" t="inlineStr">
        <is>
          <t>CY</t>
        </is>
      </c>
      <c r="C8" s="9" t="inlineStr">
        <is>
          <t>PY</t>
        </is>
      </c>
      <c r="D8" s="9" t="inlineStr">
        <is>
          <t>Change</t>
        </is>
      </c>
      <c r="E8" s="9" t="inlineStr">
        <is>
          <t>Note</t>
        </is>
      </c>
    </row>
    <row r="9">
      <c r="A9" s="10" t="inlineStr">
        <is>
          <t>Days payable outstanding (DPO)</t>
        </is>
      </c>
      <c r="B9" s="10" t="n"/>
      <c r="C9" s="10" t="n"/>
      <c r="D9" s="10">
        <f>IF(OR(B9="",C9=""),"",B9-C9)</f>
        <v/>
      </c>
      <c r="E9" s="10" t="n"/>
    </row>
    <row r="10">
      <c r="A10" s="10" t="inlineStr">
        <is>
          <t>AP turnover</t>
        </is>
      </c>
      <c r="B10" s="10" t="n"/>
      <c r="C10" s="10" t="n"/>
      <c r="D10" s="10">
        <f>IF(OR(B10="",C10=""),"",B10-C10)</f>
        <v/>
      </c>
      <c r="E10" s="10" t="n"/>
    </row>
    <row r="11">
      <c r="A11" s="10" t="inlineStr">
        <is>
          <t>AP as % of COGS / expenses</t>
        </is>
      </c>
      <c r="B11" s="10" t="n"/>
      <c r="C11" s="10" t="n"/>
      <c r="D11" s="10">
        <f>IF(OR(B11="",C11=""),"",B11-C11)</f>
        <v/>
      </c>
      <c r="E11" s="10" t="n"/>
    </row>
    <row r="12">
      <c r="A12" s="10" t="inlineStr">
        <is>
          <t>Trade AP balance</t>
        </is>
      </c>
      <c r="B12" s="10" t="n"/>
      <c r="C12" s="10" t="n"/>
      <c r="D12" s="10">
        <f>IF(OR(B12="",C12=""),"",B12-C12)</f>
        <v/>
      </c>
      <c r="E12" s="10" t="n"/>
    </row>
    <row r="13">
      <c r="A13" s="10" t="inlineStr">
        <is>
          <t>AP days vs supplier terms</t>
        </is>
      </c>
      <c r="B13" s="10" t="n"/>
      <c r="C13" s="10" t="n"/>
      <c r="D13" s="10">
        <f>IF(OR(B13="",C13=""),"",B13-C13)</f>
        <v/>
      </c>
      <c r="E13" s="10" t="n"/>
    </row>
    <row r="14"/>
    <row r="15">
      <c r="A15" s="17" t="inlineStr">
        <is>
          <t>B. Disclosure matters</t>
        </is>
      </c>
    </row>
    <row r="16" ht="18" customHeight="1">
      <c r="A16" s="9" t="inlineStr">
        <is>
          <t>Area</t>
        </is>
      </c>
      <c r="B16" s="9" t="inlineStr">
        <is>
          <t>Relevant? (Y/N)</t>
        </is>
      </c>
      <c r="C16" s="9" t="inlineStr">
        <is>
          <t>Support / source</t>
        </is>
      </c>
      <c r="D16" s="9" t="inlineStr">
        <is>
          <t>Conclusion</t>
        </is>
      </c>
      <c r="E16" s="9" t="inlineStr">
        <is>
          <t>Comments</t>
        </is>
      </c>
    </row>
    <row r="17">
      <c r="A17" s="10" t="inlineStr">
        <is>
          <t>Related-party / affiliate payables</t>
        </is>
      </c>
      <c r="B17" s="10" t="n"/>
      <c r="C17" s="10" t="n"/>
      <c r="D17" s="10" t="n"/>
      <c r="E17" s="10" t="n"/>
    </row>
    <row r="18">
      <c r="A18" s="10" t="inlineStr">
        <is>
          <t>Current vs noncurrent classification</t>
        </is>
      </c>
      <c r="B18" s="10" t="n"/>
      <c r="C18" s="10" t="n"/>
      <c r="D18" s="10" t="n"/>
      <c r="E18" s="10" t="n"/>
    </row>
    <row r="19">
      <c r="A19" s="10" t="inlineStr">
        <is>
          <t>Debit balances in AP reclassified to assets</t>
        </is>
      </c>
      <c r="B19" s="10" t="n"/>
      <c r="C19" s="10" t="n"/>
      <c r="D19" s="10" t="n"/>
      <c r="E19" s="10" t="n"/>
    </row>
    <row r="20">
      <c r="A20" s="10" t="inlineStr">
        <is>
          <t>Customer deposits / contract liabilities classification</t>
        </is>
      </c>
      <c r="B20" s="10" t="n"/>
      <c r="C20" s="10" t="n"/>
      <c r="D20" s="10" t="n"/>
      <c r="E20" s="10" t="n"/>
    </row>
    <row r="21">
      <c r="A21" s="10" t="inlineStr">
        <is>
          <t>Concentration of payables</t>
        </is>
      </c>
      <c r="B21" s="10" t="n"/>
      <c r="C21" s="10" t="n"/>
      <c r="D21" s="10" t="n"/>
      <c r="E21" s="10" t="n"/>
    </row>
    <row r="22">
      <c r="A22" s="10" t="inlineStr">
        <is>
          <t>Commitments / purchase obligations</t>
        </is>
      </c>
      <c r="B22" s="10" t="n"/>
      <c r="C22" s="10" t="n"/>
      <c r="D22" s="10" t="n"/>
      <c r="E22" s="10" t="n"/>
    </row>
    <row r="23"/>
    <row r="24">
      <c r="A24" s="33" t="inlineStr">
        <is>
          <t>TM Legends</t>
        </is>
      </c>
    </row>
    <row r="25">
      <c r="A25" s="11" t="inlineStr">
        <is>
          <t>TB</t>
        </is>
      </c>
      <c r="B25" s="10" t="inlineStr">
        <is>
          <t>Agreed to trial balance</t>
        </is>
      </c>
      <c r="C25" s="37" t="n"/>
      <c r="D25" s="38" t="n"/>
    </row>
    <row r="26">
      <c r="A26" s="11" t="inlineStr">
        <is>
          <t>GL</t>
        </is>
      </c>
      <c r="B26" s="10" t="inlineStr">
        <is>
          <t>Agreed to general ledger</t>
        </is>
      </c>
      <c r="C26" s="37" t="n"/>
      <c r="D26" s="38" t="n"/>
    </row>
    <row r="27">
      <c r="A27" s="11" t="inlineStr">
        <is>
          <t>CF</t>
        </is>
      </c>
      <c r="B27" s="10" t="inlineStr">
        <is>
          <t>Confirmed with third party</t>
        </is>
      </c>
      <c r="C27" s="37" t="n"/>
      <c r="D27" s="38" t="n"/>
    </row>
    <row r="28">
      <c r="A28" s="11" t="inlineStr">
        <is>
          <t>V</t>
        </is>
      </c>
      <c r="B28" s="10" t="inlineStr">
        <is>
          <t>Vouched to source document</t>
        </is>
      </c>
      <c r="C28" s="37" t="n"/>
      <c r="D28" s="38" t="n"/>
    </row>
    <row r="29">
      <c r="A29" s="11" t="inlineStr">
        <is>
          <t>SR</t>
        </is>
      </c>
      <c r="B29" s="10" t="inlineStr">
        <is>
          <t>Agreed to subsequent bank-cleared receipt</t>
        </is>
      </c>
      <c r="C29" s="37" t="n"/>
      <c r="D29" s="38" t="n"/>
    </row>
    <row r="30">
      <c r="A30" s="11" t="inlineStr">
        <is>
          <t>R</t>
        </is>
      </c>
      <c r="B30" s="10" t="inlineStr">
        <is>
          <t>Recalculated independently</t>
        </is>
      </c>
      <c r="C30" s="37" t="n"/>
      <c r="D30" s="38" t="n"/>
    </row>
    <row r="31">
      <c r="A31" s="11" t="inlineStr">
        <is>
          <t>F</t>
        </is>
      </c>
      <c r="B31" s="10" t="inlineStr">
        <is>
          <t>Footed / cross-cast</t>
        </is>
      </c>
      <c r="C31" s="37" t="n"/>
      <c r="D31" s="38" t="n"/>
    </row>
    <row r="32">
      <c r="A32" s="11" t="inlineStr">
        <is>
          <t>T</t>
        </is>
      </c>
      <c r="B32" s="10" t="inlineStr">
        <is>
          <t>Traced to downstream record</t>
        </is>
      </c>
      <c r="C32" s="37" t="n"/>
      <c r="D32" s="38" t="n"/>
    </row>
    <row r="33">
      <c r="A33" s="11" t="inlineStr">
        <is>
          <t>PBC</t>
        </is>
      </c>
      <c r="B33" s="10" t="inlineStr">
        <is>
          <t>Prepared by client</t>
        </is>
      </c>
      <c r="C33" s="37" t="n"/>
      <c r="D33" s="38" t="n"/>
    </row>
    <row r="34"/>
    <row r="35" ht="25.5" customHeight="1">
      <c r="A35" s="2" t="inlineStr">
        <is>
          <t>Before sign-off complete Library Procedures 16-18 (analytics, presentation &amp; disclosure, commitments/unrecorded obligations).</t>
        </is>
      </c>
    </row>
  </sheetData>
  <mergeCells count="13">
    <mergeCell ref="B33:D33"/>
    <mergeCell ref="B28:D28"/>
    <mergeCell ref="A35:E35"/>
    <mergeCell ref="B4:E4"/>
    <mergeCell ref="B31:D31"/>
    <mergeCell ref="B32:D32"/>
    <mergeCell ref="B6:E6"/>
    <mergeCell ref="B26:D26"/>
    <mergeCell ref="B27:D27"/>
    <mergeCell ref="B30:D30"/>
    <mergeCell ref="B5:E5"/>
    <mergeCell ref="B29:D29"/>
    <mergeCell ref="B25:D25"/>
  </mergeCells>
  <pageMargins left="0.3" right="0.3" top="0.4" bottom="0.4" header="0.2" footer="0.2"/>
  <pageSetup orientation="portrait" paperSize="1" fitToHeight="1" fitToWidth="1"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2026-06-30T16:13:14Z</dcterms:created>
  <dcterms:modified xmlns:dcterms="http://purl.org/dc/terms/" xmlns:xsi="http://www.w3.org/2001/XMLSchema-instance" xsi:type="dcterms:W3CDTF">2026-06-30T16:16:31Z</dcterms:modified>
  <cp:revision>0</cp:revision>
</cp:coreProperties>
</file>