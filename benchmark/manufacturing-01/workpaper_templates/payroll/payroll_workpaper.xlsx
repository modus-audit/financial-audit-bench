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Payroll Lead Sheet" sheetId="2" state="visible" r:id="rId2"/>
    <sheet xmlns:r="http://schemas.openxmlformats.org/officeDocument/2006/relationships" name="&lt;.2&gt; Payroll Register Testing" sheetId="3" state="visible" r:id="rId3"/>
    <sheet xmlns:r="http://schemas.openxmlformats.org/officeDocument/2006/relationships" name="&lt;.3&gt; Employee Detail Testing" sheetId="4" state="visible" r:id="rId4"/>
    <sheet xmlns:r="http://schemas.openxmlformats.org/officeDocument/2006/relationships" name="&lt;.4&gt; Payroll Accrual Recompute" sheetId="5" state="visible" r:id="rId5"/>
    <sheet xmlns:r="http://schemas.openxmlformats.org/officeDocument/2006/relationships" name="&lt;.5&gt; Payroll Analytics" sheetId="6" state="visible" r:id="rId6"/>
    <sheet xmlns:r="http://schemas.openxmlformats.org/officeDocument/2006/relationships" name="&lt;.6&gt; Payroll Allocation" sheetId="7" state="visible" r:id="rId7"/>
    <sheet xmlns:r="http://schemas.openxmlformats.org/officeDocument/2006/relationships" name="&lt;.7&gt; Disclosures" sheetId="8" state="visible" r:id="rId8"/>
  </sheets>
  <definedNames>
    <definedName name="_xlnm.Print_Area" localSheetId="0">'Library Procedures'!$A$1:$E$33</definedName>
    <definedName name="_xlnm.Print_Area" localSheetId="1">'&lt;.1&gt; Payroll Lead Sheet'!$A$1:$I$30</definedName>
    <definedName name="_xlnm.Print_Area" localSheetId="2">'&lt;.2&gt; Payroll Register Testing'!$A$1:$M$49</definedName>
    <definedName name="_xlnm.Print_Area" localSheetId="3">'&lt;.3&gt; Employee Detail Testing'!$A$1:$O$28</definedName>
    <definedName name="_xlnm.Print_Area" localSheetId="4">'&lt;.4&gt; Payroll Accrual Recompute'!$A$1:$J$37</definedName>
    <definedName name="_xlnm.Print_Area" localSheetId="5">'&lt;.5&gt; Payroll Analytics'!$A$1:$H$54</definedName>
    <definedName name="_xlnm.Print_Area" localSheetId="6">'&lt;.6&gt; Payroll Allocation'!$A$1:$I$41</definedName>
    <definedName name="_xlnm.Print_Area" localSheetId="7">'&lt;.7&gt; Disclosures'!$A$1:$H$20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color rgb="FF6E6E6E"/>
      <sz val="9"/>
    </font>
    <font>
      <name val="Georgia"/>
      <charset val="1"/>
      <color rgb="FF1A1A1A"/>
      <sz val="9"/>
    </font>
    <font>
      <name val="Georgia"/>
      <charset val="1"/>
      <b val="1"/>
      <color rgb="FFFFFFFF"/>
      <sz val="9"/>
    </font>
    <font>
      <name val="Georgia"/>
      <charset val="1"/>
      <color rgb="FF1A1A1A"/>
      <sz val="8.5"/>
    </font>
    <font>
      <name val="Georgia"/>
      <charset val="1"/>
      <b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9"/>
    </font>
  </fonts>
  <fills count="4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D9C4C4"/>
      </patternFill>
    </fill>
  </fills>
  <borders count="6">
    <border>
      <left/>
      <right/>
      <top/>
      <bottom/>
      <diagonal/>
    </border>
    <border>
      <left style="thin">
        <color rgb="FFD9C4C4"/>
      </left>
      <right style="thin">
        <color rgb="FFD9C4C4"/>
      </right>
      <top style="thin">
        <color rgb="FFD9C4C4"/>
      </top>
      <bottom style="thin">
        <color rgb="FFD9C4C4"/>
      </bottom>
      <diagonal/>
    </border>
    <border>
      <left/>
      <right/>
      <top style="thin">
        <color rgb="FFD9C4C4"/>
      </top>
      <bottom/>
      <diagonal/>
    </border>
    <border>
      <left/>
      <right style="thin">
        <color rgb="FFD9C4C4"/>
      </right>
      <top style="thin">
        <color rgb="FFD9C4C4"/>
      </top>
      <bottom/>
      <diagonal/>
    </border>
    <border>
      <left/>
      <right/>
      <top style="thin">
        <color rgb="FFD9C4C4"/>
      </top>
      <bottom style="thin">
        <color rgb="FFD9C4C4"/>
      </bottom>
      <diagonal/>
    </border>
    <border>
      <left/>
      <right style="thin">
        <color rgb="FFD9C4C4"/>
      </right>
      <top style="thin">
        <color rgb="FFD9C4C4"/>
      </top>
      <bottom style="thin">
        <color rgb="FFD9C4C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4" fontId="10" fillId="3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4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tabSelected="1" zoomScale="85" zoomScaleNormal="100" workbookViewId="0">
      <pane ySplit="5" topLeftCell="A6" activePane="bottomLeft" state="frozen"/>
      <selection pane="bottomLeft" activeCell="A11" sqref="A11"/>
    </sheetView>
  </sheetViews>
  <sheetFormatPr baseColWidth="8" defaultColWidth="8.6328125" defaultRowHeight="14.5"/>
  <cols>
    <col width="72" customWidth="1" min="1" max="1"/>
    <col width="28" customWidth="1" min="2" max="2"/>
    <col width="10" customWidth="1" min="3" max="3"/>
    <col width="14" customWidth="1" min="4" max="4"/>
    <col width="24" customWidth="1" min="5" max="5"/>
  </cols>
  <sheetData>
    <row r="1" ht="17.5" customHeight="1">
      <c r="A1" s="4" t="inlineStr">
        <is>
          <t>Payroll — Library of Audit Procedures</t>
        </is>
      </c>
    </row>
    <row r="2">
      <c r="A2" s="5" t="inlineStr">
        <is>
          <t>Tick each procedure when complete; enter the W/P reference, performed-by initials and status. Procedures apply per the payroll population established on the lead sheet.</t>
        </is>
      </c>
    </row>
    <row r="3">
      <c r="A3" s="26" t="inlineStr">
        <is>
          <t>Client / Entity: Whitmore Products Company      Prepared by: Audit Senior 8606 (assigned)      Reviewed by: Audit Manager A1DC (assigned)</t>
        </is>
      </c>
    </row>
    <row r="4"/>
    <row r="5">
      <c r="A5" s="7" t="inlineStr">
        <is>
          <t>Procedure</t>
        </is>
      </c>
      <c r="B5" s="7" t="inlineStr">
        <is>
          <t>Assertion(s)</t>
        </is>
      </c>
      <c r="C5" s="7" t="inlineStr">
        <is>
          <t>W/P Ref</t>
        </is>
      </c>
      <c r="D5" s="7" t="inlineStr">
        <is>
          <t>Performed by</t>
        </is>
      </c>
      <c r="E5" s="7" t="inlineStr">
        <is>
          <t>Status</t>
        </is>
      </c>
    </row>
    <row r="6" ht="15" customHeight="1">
      <c r="A6" s="3" t="inlineStr">
        <is>
          <t>Section &lt;.1&gt; — Payroll Lead Sheet</t>
        </is>
      </c>
      <c r="B6" s="27" t="n"/>
      <c r="C6" s="27" t="n"/>
      <c r="D6" s="27" t="n"/>
      <c r="E6" s="28" t="n"/>
    </row>
    <row r="7" ht="40.5" customHeight="1">
      <c r="A7" s="8" t="inlineStr">
        <is>
          <t>1. Obtain the payroll lead sheet and agree CY and PY payroll expense and accrued payroll/benefit balances to the trial balance and general ledger.</t>
        </is>
      </c>
      <c r="B7" s="8" t="inlineStr">
        <is>
          <t>Completeness; Existence</t>
        </is>
      </c>
      <c r="C7" s="9" t="inlineStr">
        <is>
          <t>&lt;.1&gt;</t>
        </is>
      </c>
      <c r="D7" s="8" t="n"/>
      <c r="E7" s="10" t="n"/>
    </row>
    <row r="8" ht="28.5" customHeight="1">
      <c r="A8" s="8" t="inlineStr">
        <is>
          <t>2. Foot the lead sheet and investigate CY-vs-PY movements against known headcount and pay-rate changes.</t>
        </is>
      </c>
      <c r="B8" s="8" t="inlineStr">
        <is>
          <t>Accuracy; Completeness</t>
        </is>
      </c>
      <c r="C8" s="9" t="inlineStr">
        <is>
          <t>&lt;.1&gt;</t>
        </is>
      </c>
      <c r="D8" s="8" t="n"/>
      <c r="E8" s="10" t="n"/>
    </row>
    <row r="9" ht="15" customHeight="1">
      <c r="A9" s="3" t="inlineStr">
        <is>
          <t>Section &lt;.2&gt; — Payroll Register Testing (period level)</t>
        </is>
      </c>
      <c r="B9" s="27" t="n"/>
      <c r="C9" s="27" t="n"/>
      <c r="D9" s="27" t="n"/>
      <c r="E9" s="28" t="n"/>
    </row>
    <row r="10" ht="40.5" customHeight="1">
      <c r="A10" s="8" t="inlineStr">
        <is>
          <t>3. Obtain payroll registers for all pay runs in the period and establish population completeness: expected number of runs per pay frequency versus registers obtained, including off-cycle and bonus runs.</t>
        </is>
      </c>
      <c r="B10" s="8" t="inlineStr">
        <is>
          <t>Completeness</t>
        </is>
      </c>
      <c r="C10" s="9" t="inlineStr">
        <is>
          <t>&lt;.2&gt;</t>
        </is>
      </c>
      <c r="D10" s="8" t="n"/>
      <c r="E10" s="10" t="n"/>
    </row>
    <row r="11" ht="40.5" customHeight="1">
      <c r="A11" s="8" t="inlineStr">
        <is>
          <t>4. For selected pay periods, test the mathematical accuracy of the register: foot gross wages, deductions and net pay, and recompute gross less deductions equals net.</t>
        </is>
      </c>
      <c r="B11" s="8" t="inlineStr">
        <is>
          <t>Accuracy</t>
        </is>
      </c>
      <c r="C11" s="9" t="inlineStr">
        <is>
          <t>&lt;.2&gt;</t>
        </is>
      </c>
      <c r="D11" s="8" t="n"/>
      <c r="E11" s="10" t="n"/>
    </row>
    <row r="12" ht="40.5" customHeight="1">
      <c r="A12" s="8" t="inlineStr">
        <is>
          <t>5. For the same periods, agree register gross wages to the general ledger posting, net pay to the bank statement / payroll funding drawdown, and employer taxes per the register to the GL and to the tax remittance.</t>
        </is>
      </c>
      <c r="B12" s="8" t="inlineStr">
        <is>
          <t>Occurrence; Accuracy; Completeness</t>
        </is>
      </c>
      <c r="C12" s="9" t="inlineStr">
        <is>
          <t>&lt;.2&gt;</t>
        </is>
      </c>
      <c r="D12" s="8" t="n"/>
      <c r="E12" s="10" t="n"/>
    </row>
    <row r="13" ht="15" customHeight="1">
      <c r="A13" s="3" t="inlineStr">
        <is>
          <t>Section &lt;.3&gt; — Employee Detail Testing</t>
        </is>
      </c>
      <c r="B13" s="27" t="n"/>
      <c r="C13" s="27" t="n"/>
      <c r="D13" s="27" t="n"/>
      <c r="E13" s="28" t="n"/>
    </row>
    <row r="14" ht="40.5" customHeight="1">
      <c r="A14" s="8" t="inlineStr">
        <is>
          <t>6. For selected employees, agree existence to the HR/personnel file and the pay rate to authorized documentation (offer letter, approved rate-change form).</t>
        </is>
      </c>
      <c r="B14" s="8" t="inlineStr">
        <is>
          <t>Occurrence; Accuracy</t>
        </is>
      </c>
      <c r="C14" s="9" t="inlineStr">
        <is>
          <t>&lt;.3&gt;</t>
        </is>
      </c>
      <c r="D14" s="8" t="n"/>
      <c r="E14" s="10" t="n"/>
    </row>
    <row r="15" ht="40.5" customHeight="1">
      <c r="A15" s="8" t="inlineStr">
        <is>
          <t>7. Recompute gross pay (hours x rate, or salary / pay periods), agree statutory deductions to supporting tables or the payroll system, and agree net pay to payment evidence.</t>
        </is>
      </c>
      <c r="B15" s="8" t="inlineStr">
        <is>
          <t>Accuracy; Valuation &amp; Allocation</t>
        </is>
      </c>
      <c r="C15" s="9" t="inlineStr">
        <is>
          <t>&lt;.3&gt;</t>
        </is>
      </c>
      <c r="D15" s="8" t="n"/>
      <c r="E15" s="10" t="n"/>
    </row>
    <row r="16" ht="40.5" customHeight="1">
      <c r="A16" s="8" t="inlineStr">
        <is>
          <t>8. For employees hired or terminated during the period, test the first / final pay computation and its timing against the hire or termination date.</t>
        </is>
      </c>
      <c r="B16" s="8" t="inlineStr">
        <is>
          <t>Occurrence; Cutoff</t>
        </is>
      </c>
      <c r="C16" s="9" t="inlineStr">
        <is>
          <t>&lt;.3&gt;</t>
        </is>
      </c>
      <c r="D16" s="8" t="n"/>
      <c r="E16" s="10" t="n"/>
    </row>
    <row r="17" ht="15" customHeight="1">
      <c r="A17" s="3" t="inlineStr">
        <is>
          <t>Section &lt;.4&gt; — Payroll Accrual Recompute</t>
        </is>
      </c>
      <c r="B17" s="27" t="n"/>
      <c r="C17" s="27" t="n"/>
      <c r="D17" s="27" t="n"/>
      <c r="E17" s="28" t="n"/>
    </row>
    <row r="18" ht="40.5" customHeight="1">
      <c r="A18" s="8" t="inlineStr">
        <is>
          <t>9. Recompute accrued payroll at period end (days accrued x daily gross payroll plus employer taxes) and other payroll accruals (PTO, bonus, commissions); agree each to the recorded accrual.</t>
        </is>
      </c>
      <c r="B18" s="8" t="inlineStr">
        <is>
          <t>Valuation &amp; Allocation; Completeness; Cutoff</t>
        </is>
      </c>
      <c r="C18" s="9" t="inlineStr">
        <is>
          <t>&lt;.4&gt;</t>
        </is>
      </c>
      <c r="D18" s="8" t="n"/>
      <c r="E18" s="10" t="n"/>
    </row>
    <row r="19" ht="28.5" customHeight="1">
      <c r="A19" s="8" t="inlineStr">
        <is>
          <t>10. Verify the accrual reverses in the subsequent period and agree the subsequent payroll payment to the bank.</t>
        </is>
      </c>
      <c r="B19" s="8" t="inlineStr">
        <is>
          <t>Cutoff; Existence</t>
        </is>
      </c>
      <c r="C19" s="9" t="inlineStr">
        <is>
          <t>&lt;.4&gt;</t>
        </is>
      </c>
      <c r="D19" s="8" t="n"/>
      <c r="E19" s="10" t="n"/>
    </row>
    <row r="20" ht="15" customHeight="1">
      <c r="A20" s="3" t="inlineStr">
        <is>
          <t>Section &lt;.5&gt; — Payroll Analytics</t>
        </is>
      </c>
      <c r="B20" s="27" t="n"/>
      <c r="C20" s="27" t="n"/>
      <c r="D20" s="27" t="n"/>
      <c r="E20" s="28" t="n"/>
    </row>
    <row r="21" ht="52.5" customHeight="1">
      <c r="A21" s="8" t="inlineStr">
        <is>
          <t>11. Develop an independent expectation of annual payroll expense (average headcount x average pay, adjusted for increments and one-off items), compare to the recorded amount, and investigate differences above the threshold.</t>
        </is>
      </c>
      <c r="B21" s="8" t="inlineStr">
        <is>
          <t>Completeness; Occurrence; Accuracy</t>
        </is>
      </c>
      <c r="C21" s="9" t="inlineStr">
        <is>
          <t>&lt;.5&gt;</t>
        </is>
      </c>
      <c r="D21" s="8" t="n"/>
      <c r="E21" s="10" t="n"/>
    </row>
    <row r="22" ht="28.5" customHeight="1">
      <c r="A22" s="8" t="inlineStr">
        <is>
          <t>12. Test employer payroll-tax reasonableness (statutory rates x taxable wages) and review the monthly payroll trend against headcount.</t>
        </is>
      </c>
      <c r="B22" s="8" t="inlineStr">
        <is>
          <t>Accuracy; Completeness</t>
        </is>
      </c>
      <c r="C22" s="9" t="inlineStr">
        <is>
          <t>&lt;.5&gt;</t>
        </is>
      </c>
      <c r="D22" s="8" t="n"/>
      <c r="E22" s="10" t="n"/>
    </row>
    <row r="23" ht="15" customHeight="1">
      <c r="A23" s="3" t="inlineStr">
        <is>
          <t>Section &lt;.6&gt; — Payroll Allocation</t>
        </is>
      </c>
      <c r="B23" s="27" t="n"/>
      <c r="C23" s="27" t="n"/>
      <c r="D23" s="27" t="n"/>
      <c r="E23" s="28" t="n"/>
    </row>
    <row r="24" ht="52.5" customHeight="1">
      <c r="A24" s="8" t="inlineStr">
        <is>
          <t>13. Test the allocation of payroll cost among direct labor, manufacturing overhead, SG&amp;A and capitalized labor: agree department coding to HR records and reperform the allocation for selected employees or departments.</t>
        </is>
      </c>
      <c r="B24" s="8" t="inlineStr">
        <is>
          <t>Classification; Accuracy</t>
        </is>
      </c>
      <c r="C24" s="9" t="inlineStr">
        <is>
          <t>&lt;.6&gt;</t>
        </is>
      </c>
      <c r="D24" s="8" t="n"/>
      <c r="E24" s="10" t="n"/>
    </row>
    <row r="25" ht="28.5" customHeight="1">
      <c r="A25" s="8" t="inlineStr">
        <is>
          <t>14. Evaluate capitalized labor (inventory / fixed assets) for consistency with the entity's costing methodology.</t>
        </is>
      </c>
      <c r="B25" s="8" t="inlineStr">
        <is>
          <t>Classification; Valuation &amp; Allocation</t>
        </is>
      </c>
      <c r="C25" s="9" t="inlineStr">
        <is>
          <t>&lt;.6&gt;</t>
        </is>
      </c>
      <c r="D25" s="8" t="n"/>
      <c r="E25" s="10" t="n"/>
    </row>
    <row r="26" ht="15" customHeight="1">
      <c r="A26" s="3" t="inlineStr">
        <is>
          <t>Section &lt;.7&gt; — Disclosures</t>
        </is>
      </c>
      <c r="B26" s="27" t="n"/>
      <c r="C26" s="27" t="n"/>
      <c r="D26" s="27" t="n"/>
      <c r="E26" s="28" t="n"/>
    </row>
    <row r="27" ht="40.5" customHeight="1">
      <c r="A27" s="8" t="inlineStr">
        <is>
          <t>15. Evaluate payroll-related presentation and disclosure: accrued payroll and benefits, officer / related-party compensation, benefit plans, and classification matters.</t>
        </is>
      </c>
      <c r="B27" s="8" t="inlineStr">
        <is>
          <t>Presentation &amp; Disclosure</t>
        </is>
      </c>
      <c r="C27" s="9" t="inlineStr">
        <is>
          <t>&lt;.7&gt;</t>
        </is>
      </c>
      <c r="D27" s="8" t="n"/>
      <c r="E27" s="10" t="n"/>
    </row>
    <row r="28" ht="15" customHeight="1">
      <c r="A28" s="3" t="inlineStr">
        <is>
          <t>Section R — Additional recommended procedures</t>
        </is>
      </c>
      <c r="B28" s="27" t="n"/>
      <c r="C28" s="27" t="n"/>
      <c r="D28" s="27" t="n"/>
      <c r="E28" s="28" t="n"/>
    </row>
    <row r="29" ht="28.5" customHeight="1">
      <c r="A29" s="8" t="inlineStr">
        <is>
          <t>16. Reconcile total wages per the general ledger to quarterly payroll tax filings (Forms 941 / W-3 or local equivalents).</t>
        </is>
      </c>
      <c r="B29" s="8" t="inlineStr">
        <is>
          <t>Completeness; Accuracy</t>
        </is>
      </c>
      <c r="C29" s="9" t="inlineStr">
        <is>
          <t>&lt;.2&gt;</t>
        </is>
      </c>
      <c r="D29" s="8" t="n"/>
      <c r="E29" s="10" t="inlineStr">
        <is>
          <t>RECOMMENDED — not yet performed</t>
        </is>
      </c>
    </row>
    <row r="30" ht="40.5" customHeight="1">
      <c r="A30" s="8" t="inlineStr">
        <is>
          <t>17. Perform ghost-employee procedures: match the register to the active HR master file; investigate duplicate bank accounts, addresses or IDs, and payments to terminated employees.</t>
        </is>
      </c>
      <c r="B30" s="8" t="inlineStr">
        <is>
          <t>Occurrence; Existence</t>
        </is>
      </c>
      <c r="C30" s="9" t="inlineStr">
        <is>
          <t>&lt;.3&gt;</t>
        </is>
      </c>
      <c r="D30" s="8" t="n"/>
      <c r="E30" s="10" t="inlineStr">
        <is>
          <t>RECOMMENDED — not yet performed</t>
        </is>
      </c>
    </row>
    <row r="31" ht="28.5" customHeight="1">
      <c r="A31" s="8" t="inlineStr">
        <is>
          <t>18. Where a payroll service organization is used, obtain and evaluate the SOC 1 report, including complementary user-entity controls.</t>
        </is>
      </c>
      <c r="B31" s="8" t="inlineStr">
        <is>
          <t>All</t>
        </is>
      </c>
      <c r="C31" s="9" t="inlineStr">
        <is>
          <t>&lt;.2&gt;/&lt;.3&gt;</t>
        </is>
      </c>
      <c r="D31" s="8" t="n"/>
      <c r="E31" s="10" t="inlineStr">
        <is>
          <t>RECOMMENDED — not yet performed</t>
        </is>
      </c>
    </row>
    <row r="32" ht="28.5" customHeight="1">
      <c r="A32" s="8" t="inlineStr">
        <is>
          <t>19. Test unclaimed wages and stale payroll checks for escheat / liability completeness.</t>
        </is>
      </c>
      <c r="B32" s="8" t="inlineStr">
        <is>
          <t>Completeness</t>
        </is>
      </c>
      <c r="C32" s="9" t="inlineStr">
        <is>
          <t>&lt;.4&gt;</t>
        </is>
      </c>
      <c r="D32" s="8" t="n"/>
      <c r="E32" s="10" t="inlineStr">
        <is>
          <t>RECOMMENDED — not yet performed</t>
        </is>
      </c>
    </row>
    <row r="33" ht="28.5" customHeight="1">
      <c r="A33" s="8" t="inlineStr">
        <is>
          <t>20. Review segregation of duties over payroll master-file changes, payroll processing and payment approval.</t>
        </is>
      </c>
      <c r="B33" s="8" t="inlineStr">
        <is>
          <t>Occurrence</t>
        </is>
      </c>
      <c r="C33" s="9" t="inlineStr">
        <is>
          <t>&lt;.2&gt;/&lt;.3&gt;</t>
        </is>
      </c>
      <c r="D33" s="8" t="n"/>
      <c r="E33" s="10" t="inlineStr">
        <is>
          <t>RECOMMENDED — not yet performed</t>
        </is>
      </c>
    </row>
  </sheetData>
  <mergeCells count="8">
    <mergeCell ref="A20:E20"/>
    <mergeCell ref="A26:E26"/>
    <mergeCell ref="A28:E28"/>
    <mergeCell ref="A23:E23"/>
    <mergeCell ref="A13:E13"/>
    <mergeCell ref="A6:E6"/>
    <mergeCell ref="A17:E17"/>
    <mergeCell ref="A9:E9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showGridLines="0" zoomScale="85" zoomScaleNormal="100" workbookViewId="0">
      <pane ySplit="8" topLeftCell="A9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11" customWidth="1" min="2" max="2"/>
    <col width="38" customWidth="1" min="3" max="3"/>
    <col width="14" customWidth="1" min="4" max="5"/>
    <col width="13" customWidth="1" min="6" max="6"/>
    <col width="11" customWidth="1" min="7" max="7"/>
    <col width="24" customWidth="1" min="8" max="8"/>
    <col width="9" customWidth="1" min="9" max="9"/>
  </cols>
  <sheetData>
    <row r="1" ht="17.5" customHeight="1">
      <c r="A1" s="4" t="inlineStr">
        <is>
          <t>Payroll Lead Sheet</t>
        </is>
      </c>
    </row>
    <row r="2">
      <c r="A2" s="11" t="inlineStr">
        <is>
          <t>Client / Entity</t>
        </is>
      </c>
      <c r="B2" s="12" t="inlineStr">
        <is>
          <t>[Client / Entity]</t>
        </is>
      </c>
      <c r="D2" s="11" t="inlineStr">
        <is>
          <t>Year-End</t>
        </is>
      </c>
      <c r="E2" s="12" t="inlineStr">
        <is>
          <t>[YYYY-MM-DD]</t>
        </is>
      </c>
      <c r="G2" s="11" t="inlineStr">
        <is>
          <t>Currency</t>
        </is>
      </c>
      <c r="H2" s="12" t="inlineStr">
        <is>
          <t>[CCY]</t>
        </is>
      </c>
    </row>
    <row r="3">
      <c r="A3" s="11" t="inlineStr">
        <is>
          <t>Performance Materiality</t>
        </is>
      </c>
      <c r="B3" s="12" t="inlineStr">
        <is>
          <t>[PM]</t>
        </is>
      </c>
      <c r="D3" s="11" t="n"/>
      <c r="E3" s="12" t="n"/>
    </row>
    <row r="4" ht="22.4" customHeight="1">
      <c r="A4" s="13" t="inlineStr">
        <is>
          <t>Purpose:</t>
        </is>
      </c>
      <c r="B4" s="8" t="inlineStr">
        <is>
          <t>Summarize payroll expense and accrued payroll/benefit accounts, tie CY/PY balances to the trial balance, and investigate movements against headcount and rate changes. Convention: expense accounts stated debit-positive; accrual accounts credit-positive.</t>
        </is>
      </c>
      <c r="C4" s="27" t="n"/>
      <c r="D4" s="27" t="n"/>
      <c r="E4" s="27" t="n"/>
      <c r="F4" s="27" t="n"/>
      <c r="G4" s="27" t="n"/>
      <c r="H4" s="27" t="n"/>
      <c r="I4" s="28" t="n"/>
    </row>
    <row r="5" ht="22.4" customHeight="1">
      <c r="A5" s="13" t="inlineStr">
        <is>
          <t>Scope:</t>
        </is>
      </c>
      <c r="B5" s="8" t="inlineStr">
        <is>
          <t>All payroll-related accounts: gross wages/salaries, employer taxes, benefits, bonus/commission, temp labor, capitalized-labor contra, accrued payroll &amp; benefits, accrued PTO.</t>
        </is>
      </c>
      <c r="C5" s="27" t="n"/>
      <c r="D5" s="27" t="n"/>
      <c r="E5" s="27" t="n"/>
      <c r="F5" s="27" t="n"/>
      <c r="G5" s="27" t="n"/>
      <c r="H5" s="27" t="n"/>
      <c r="I5" s="28" t="n"/>
    </row>
    <row r="6" ht="15" customHeight="1">
      <c r="A6" s="13" t="inlineStr">
        <is>
          <t>Assertions:</t>
        </is>
      </c>
      <c r="B6" s="8" t="inlineStr">
        <is>
          <t>Completeness; Existence; Valuation &amp; Allocation; Accuracy</t>
        </is>
      </c>
      <c r="C6" s="27" t="n"/>
      <c r="D6" s="27" t="n"/>
      <c r="E6" s="27" t="n"/>
      <c r="F6" s="27" t="n"/>
      <c r="G6" s="27" t="n"/>
      <c r="H6" s="27" t="n"/>
      <c r="I6" s="28" t="n"/>
    </row>
    <row r="7">
      <c r="A7" s="14" t="inlineStr">
        <is>
          <t>Entity / Property</t>
        </is>
      </c>
      <c r="B7" s="14" t="inlineStr">
        <is>
          <t>GL Account</t>
        </is>
      </c>
      <c r="C7" s="14" t="inlineStr">
        <is>
          <t>Account Description</t>
        </is>
      </c>
      <c r="D7" s="14" t="inlineStr">
        <is>
          <t>CY TB Balance</t>
        </is>
      </c>
      <c r="E7" s="14" t="inlineStr">
        <is>
          <t>PY TB Balance</t>
        </is>
      </c>
      <c r="F7" s="14" t="inlineStr">
        <is>
          <t>Difference</t>
        </is>
      </c>
      <c r="G7" s="14" t="inlineStr">
        <is>
          <t>% Change</t>
        </is>
      </c>
      <c r="H7" s="14" t="inlineStr">
        <is>
          <t>Testing Disposition</t>
        </is>
      </c>
      <c r="I7" s="14" t="inlineStr">
        <is>
          <t>W/P Ref</t>
        </is>
      </c>
    </row>
    <row r="8">
      <c r="D8" s="15" t="inlineStr">
        <is>
          <t>TB</t>
        </is>
      </c>
      <c r="E8" s="15" t="inlineStr">
        <is>
          <t>PY</t>
        </is>
      </c>
      <c r="F8" s="15" t="inlineStr">
        <is>
          <t>R</t>
        </is>
      </c>
      <c r="G8" s="15" t="inlineStr">
        <is>
          <t>R</t>
        </is>
      </c>
    </row>
    <row r="9">
      <c r="A9" s="8" t="n"/>
      <c r="B9" s="8" t="n"/>
      <c r="C9" s="8" t="n"/>
      <c r="D9" s="16" t="n"/>
      <c r="E9" s="16" t="n"/>
      <c r="F9" s="16">
        <f>IF(OR(D9="",E9=""),"",D9-E9)</f>
        <v/>
      </c>
      <c r="G9" s="17">
        <f>IFERROR(F9/ABS(E9),"")</f>
        <v/>
      </c>
      <c r="H9" s="8" t="n"/>
      <c r="I9" s="8" t="n"/>
    </row>
    <row r="10">
      <c r="A10" s="8" t="n"/>
      <c r="B10" s="8" t="n"/>
      <c r="C10" s="8" t="n"/>
      <c r="D10" s="16" t="n"/>
      <c r="E10" s="16" t="n"/>
      <c r="F10" s="16">
        <f>IF(OR(D10="",E10=""),"",D10-E10)</f>
        <v/>
      </c>
      <c r="G10" s="17">
        <f>IFERROR(F10/ABS(E10),"")</f>
        <v/>
      </c>
      <c r="H10" s="8" t="n"/>
      <c r="I10" s="8" t="n"/>
    </row>
    <row r="11">
      <c r="A11" s="8" t="n"/>
      <c r="B11" s="8" t="n"/>
      <c r="C11" s="8" t="n"/>
      <c r="D11" s="16" t="n"/>
      <c r="E11" s="16" t="n"/>
      <c r="F11" s="16">
        <f>IF(OR(D11="",E11=""),"",D11-E11)</f>
        <v/>
      </c>
      <c r="G11" s="17">
        <f>IFERROR(F11/ABS(E11),"")</f>
        <v/>
      </c>
      <c r="H11" s="8" t="n"/>
      <c r="I11" s="8" t="n"/>
    </row>
    <row r="12">
      <c r="A12" s="8" t="n"/>
      <c r="B12" s="8" t="n"/>
      <c r="C12" s="8" t="n"/>
      <c r="D12" s="16" t="n"/>
      <c r="E12" s="16" t="n"/>
      <c r="F12" s="16">
        <f>IF(OR(D12="",E12=""),"",D12-E12)</f>
        <v/>
      </c>
      <c r="G12" s="17">
        <f>IFERROR(F12/ABS(E12),"")</f>
        <v/>
      </c>
      <c r="H12" s="8" t="n"/>
      <c r="I12" s="8" t="n"/>
    </row>
    <row r="13">
      <c r="A13" s="8" t="n"/>
      <c r="B13" s="8" t="n"/>
      <c r="C13" s="8" t="n"/>
      <c r="D13" s="16" t="n"/>
      <c r="E13" s="16" t="n"/>
      <c r="F13" s="16">
        <f>IF(OR(D13="",E13=""),"",D13-E13)</f>
        <v/>
      </c>
      <c r="G13" s="17">
        <f>IFERROR(F13/ABS(E13),"")</f>
        <v/>
      </c>
      <c r="H13" s="8" t="n"/>
      <c r="I13" s="8" t="n"/>
    </row>
    <row r="14">
      <c r="A14" s="8" t="n"/>
      <c r="B14" s="8" t="n"/>
      <c r="C14" s="8" t="n"/>
      <c r="D14" s="16" t="n"/>
      <c r="E14" s="16" t="n"/>
      <c r="F14" s="16">
        <f>IF(OR(D14="",E14=""),"",D14-E14)</f>
        <v/>
      </c>
      <c r="G14" s="17">
        <f>IFERROR(F14/ABS(E14),"")</f>
        <v/>
      </c>
      <c r="H14" s="8" t="n"/>
      <c r="I14" s="8" t="n"/>
    </row>
    <row r="15">
      <c r="A15" s="8" t="n"/>
      <c r="B15" s="8" t="n"/>
      <c r="C15" s="8" t="n"/>
      <c r="D15" s="16" t="n"/>
      <c r="E15" s="16" t="n"/>
      <c r="F15" s="16">
        <f>IF(OR(D15="",E15=""),"",D15-E15)</f>
        <v/>
      </c>
      <c r="G15" s="17">
        <f>IFERROR(F15/ABS(E15),"")</f>
        <v/>
      </c>
      <c r="H15" s="8" t="n"/>
      <c r="I15" s="8" t="n"/>
    </row>
    <row r="16">
      <c r="A16" s="8" t="n"/>
      <c r="B16" s="8" t="n"/>
      <c r="C16" s="8" t="n"/>
      <c r="D16" s="16" t="n"/>
      <c r="E16" s="16" t="n"/>
      <c r="F16" s="16">
        <f>IF(OR(D16="",E16=""),"",D16-E16)</f>
        <v/>
      </c>
      <c r="G16" s="17">
        <f>IFERROR(F16/ABS(E16),"")</f>
        <v/>
      </c>
      <c r="H16" s="8" t="n"/>
      <c r="I16" s="8" t="n"/>
    </row>
    <row r="17">
      <c r="A17" s="8" t="n"/>
      <c r="B17" s="8" t="n"/>
      <c r="C17" s="8" t="n"/>
      <c r="D17" s="16" t="n"/>
      <c r="E17" s="16" t="n"/>
      <c r="F17" s="16">
        <f>IF(OR(D17="",E17=""),"",D17-E17)</f>
        <v/>
      </c>
      <c r="G17" s="17">
        <f>IFERROR(F17/ABS(E17),"")</f>
        <v/>
      </c>
      <c r="H17" s="8" t="n"/>
      <c r="I17" s="8" t="n"/>
    </row>
    <row r="18">
      <c r="A18" s="8" t="n"/>
      <c r="B18" s="8" t="n"/>
      <c r="C18" s="8" t="n"/>
      <c r="D18" s="16" t="n"/>
      <c r="E18" s="16" t="n"/>
      <c r="F18" s="16">
        <f>IF(OR(D18="",E18=""),"",D18-E18)</f>
        <v/>
      </c>
      <c r="G18" s="17">
        <f>IFERROR(F18/ABS(E18),"")</f>
        <v/>
      </c>
      <c r="H18" s="8" t="n"/>
      <c r="I18" s="8" t="n"/>
    </row>
    <row r="19">
      <c r="A19" s="8" t="n"/>
      <c r="B19" s="8" t="n"/>
      <c r="C19" s="8" t="n"/>
      <c r="D19" s="16" t="n"/>
      <c r="E19" s="16" t="n"/>
      <c r="F19" s="16">
        <f>IF(OR(D19="",E19=""),"",D19-E19)</f>
        <v/>
      </c>
      <c r="G19" s="17">
        <f>IFERROR(F19/ABS(E19),"")</f>
        <v/>
      </c>
      <c r="H19" s="8" t="n"/>
      <c r="I19" s="8" t="n"/>
    </row>
    <row r="20">
      <c r="A20" s="8" t="n"/>
      <c r="B20" s="8" t="n"/>
      <c r="C20" s="8" t="n"/>
      <c r="D20" s="16" t="n"/>
      <c r="E20" s="16" t="n"/>
      <c r="F20" s="16">
        <f>IF(OR(D20="",E20=""),"",D20-E20)</f>
        <v/>
      </c>
      <c r="G20" s="17">
        <f>IFERROR(F20/ABS(E20),"")</f>
        <v/>
      </c>
      <c r="H20" s="8" t="n"/>
      <c r="I20" s="8" t="n"/>
    </row>
    <row r="21" ht="26" customHeight="1">
      <c r="A21" s="18" t="inlineStr">
        <is>
          <t>Total payroll population</t>
        </is>
      </c>
      <c r="B21" s="18" t="n"/>
      <c r="C21" s="18" t="n"/>
      <c r="D21" s="19">
        <f>SUM(D9:D20)</f>
        <v/>
      </c>
      <c r="E21" s="19">
        <f>SUM(E9:E20)</f>
        <v/>
      </c>
      <c r="F21" s="19">
        <f>SUM(F9:F20)</f>
        <v/>
      </c>
      <c r="G21" s="18" t="n"/>
      <c r="H21" s="18" t="n"/>
      <c r="I21" s="18" t="n"/>
    </row>
    <row r="22">
      <c r="D22" s="15" t="inlineStr">
        <is>
          <t>F</t>
        </is>
      </c>
      <c r="E22" s="15" t="inlineStr">
        <is>
          <t>F</t>
        </is>
      </c>
    </row>
    <row r="23"/>
    <row r="24">
      <c r="A24" s="20" t="inlineStr">
        <is>
          <t>TM Legends</t>
        </is>
      </c>
    </row>
    <row r="25" ht="15" customHeight="1">
      <c r="A25" s="21" t="inlineStr">
        <is>
          <t>TB</t>
        </is>
      </c>
      <c r="B25" s="8" t="inlineStr">
        <is>
          <t>Agreed to trial balance</t>
        </is>
      </c>
      <c r="C25" s="27" t="n"/>
      <c r="D25" s="27" t="n"/>
      <c r="E25" s="27" t="n"/>
      <c r="F25" s="27" t="n"/>
      <c r="G25" s="27" t="n"/>
      <c r="H25" s="27" t="n"/>
      <c r="I25" s="28" t="n"/>
    </row>
    <row r="26" ht="15" customHeight="1">
      <c r="A26" s="21" t="inlineStr">
        <is>
          <t>PY</t>
        </is>
      </c>
      <c r="B26" s="8" t="inlineStr">
        <is>
          <t>Traced from PY FS/TB</t>
        </is>
      </c>
      <c r="C26" s="27" t="n"/>
      <c r="D26" s="27" t="n"/>
      <c r="E26" s="27" t="n"/>
      <c r="F26" s="27" t="n"/>
      <c r="G26" s="27" t="n"/>
      <c r="H26" s="27" t="n"/>
      <c r="I26" s="28" t="n"/>
    </row>
    <row r="27" ht="15" customHeight="1">
      <c r="A27" s="21" t="inlineStr">
        <is>
          <t>R</t>
        </is>
      </c>
      <c r="B27" s="8" t="inlineStr">
        <is>
          <t>Recalculated independently</t>
        </is>
      </c>
      <c r="C27" s="27" t="n"/>
      <c r="D27" s="27" t="n"/>
      <c r="E27" s="27" t="n"/>
      <c r="F27" s="27" t="n"/>
      <c r="G27" s="27" t="n"/>
      <c r="H27" s="27" t="n"/>
      <c r="I27" s="28" t="n"/>
    </row>
    <row r="28" ht="15" customHeight="1">
      <c r="A28" s="21" t="inlineStr">
        <is>
          <t>F</t>
        </is>
      </c>
      <c r="B28" s="8" t="inlineStr">
        <is>
          <t>Footed</t>
        </is>
      </c>
      <c r="C28" s="27" t="n"/>
      <c r="D28" s="27" t="n"/>
      <c r="E28" s="27" t="n"/>
      <c r="F28" s="27" t="n"/>
      <c r="G28" s="27" t="n"/>
      <c r="H28" s="27" t="n"/>
      <c r="I28" s="28" t="n"/>
    </row>
    <row r="29"/>
    <row r="30" ht="27.75" customHeight="1">
      <c r="A30" s="1" t="inlineStr">
        <is>
          <t>Before sign-off complete Library Procedures 1-2. The population listed here drives selections in &lt;.2&gt;-&lt;.6&gt;.</t>
        </is>
      </c>
    </row>
  </sheetData>
  <mergeCells count="8">
    <mergeCell ref="B25:I25"/>
    <mergeCell ref="B6:I6"/>
    <mergeCell ref="B28:I28"/>
    <mergeCell ref="B4:I4"/>
    <mergeCell ref="B5:I5"/>
    <mergeCell ref="B27:I27"/>
    <mergeCell ref="A30:I30"/>
    <mergeCell ref="B26:I26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showGridLines="0" zoomScale="85" zoomScaleNormal="100" workbookViewId="0">
      <pane ySplit="1" topLeftCell="A2" activePane="bottomLeft" state="frozen"/>
      <selection pane="bottomLeft" activeCell="C12" sqref="C12"/>
    </sheetView>
  </sheetViews>
  <sheetFormatPr baseColWidth="8" defaultColWidth="8.6328125" defaultRowHeight="14.5"/>
  <cols>
    <col width="21.90625" bestFit="1" customWidth="1" min="1" max="1"/>
    <col width="13" customWidth="1" min="2" max="2"/>
    <col width="16" customWidth="1" min="3" max="3"/>
    <col width="15" customWidth="1" min="4" max="5"/>
    <col width="14" customWidth="1" min="6" max="6"/>
    <col width="16" customWidth="1" min="7" max="7"/>
    <col width="13" customWidth="1" min="8" max="8"/>
    <col width="14" customWidth="1" min="9" max="10"/>
    <col width="15" customWidth="1" min="11" max="11"/>
    <col width="14" customWidth="1" min="12" max="12"/>
    <col width="22" customWidth="1" min="13" max="13"/>
  </cols>
  <sheetData>
    <row r="1" ht="17.5" customHeight="1">
      <c r="A1" s="4" t="inlineStr">
        <is>
          <t>Payroll Register Testing (Period Level)</t>
        </is>
      </c>
    </row>
    <row r="2">
      <c r="A2" s="11" t="inlineStr">
        <is>
          <t>Client / Entity</t>
        </is>
      </c>
      <c r="B2" s="12" t="inlineStr">
        <is>
          <t>[Client / Entity]</t>
        </is>
      </c>
      <c r="D2" s="11" t="inlineStr">
        <is>
          <t>Year-End</t>
        </is>
      </c>
      <c r="E2" s="12" t="inlineStr">
        <is>
          <t>[YYYY-MM-DD]</t>
        </is>
      </c>
      <c r="G2" s="11" t="inlineStr">
        <is>
          <t>Currency</t>
        </is>
      </c>
      <c r="H2" s="12" t="inlineStr">
        <is>
          <t>[CCY]</t>
        </is>
      </c>
    </row>
    <row r="3">
      <c r="A3" s="11" t="inlineStr">
        <is>
          <t>Performance Materiality</t>
        </is>
      </c>
      <c r="B3" s="12" t="inlineStr">
        <is>
          <t>[PM]</t>
        </is>
      </c>
      <c r="D3" s="11" t="n"/>
      <c r="E3" s="12" t="n"/>
    </row>
    <row r="4" ht="15" customHeight="1">
      <c r="A4" s="13" t="inlineStr">
        <is>
          <t>Purpose:</t>
        </is>
      </c>
      <c r="B4" s="8" t="inlineStr">
        <is>
          <t>Establish that the pay-run population is complete, the registers are mathematically accurate, and register totals agree to the general ledger and to the bank (net pay funding and tax remittances).</t>
        </is>
      </c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8" t="n"/>
    </row>
    <row r="5" ht="15" customHeight="1">
      <c r="A5" s="13" t="inlineStr">
        <is>
          <t>Scope:</t>
        </is>
      </c>
      <c r="B5" s="8" t="inlineStr">
        <is>
          <t>All payroll registers / pay runs for the period, including off-cycle and bonus runs.</t>
        </is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8" t="n"/>
    </row>
    <row r="6" ht="22.4" customHeight="1">
      <c r="A6" s="13" t="inlineStr">
        <is>
          <t>Assertions:</t>
        </is>
      </c>
      <c r="B6" s="8" t="inlineStr">
        <is>
          <t>Completeness; Occurrence; Accuracy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8" t="n"/>
    </row>
    <row r="7">
      <c r="A7" s="24" t="inlineStr">
        <is>
          <t>A. Pay-run population completeness (Library Procedure 3)</t>
        </is>
      </c>
    </row>
    <row r="8" ht="22" customHeight="1">
      <c r="A8" s="14" t="inlineStr">
        <is>
          <t>Pay Frequency</t>
        </is>
      </c>
      <c r="B8" s="14" t="inlineStr">
        <is>
          <t>Expected pay runs in period</t>
        </is>
      </c>
      <c r="C8" s="14" t="inlineStr">
        <is>
          <t>Registers obtained (count)</t>
        </is>
      </c>
      <c r="D8" s="14" t="inlineStr">
        <is>
          <t>Missing periods (refs)</t>
        </is>
      </c>
      <c r="E8" s="14" t="inlineStr">
        <is>
          <t>Population complete?</t>
        </is>
      </c>
      <c r="F8" s="14" t="inlineStr">
        <is>
          <t>Notes</t>
        </is>
      </c>
    </row>
    <row r="9">
      <c r="A9" s="8" t="inlineStr">
        <is>
          <t>Biweekly</t>
        </is>
      </c>
      <c r="B9" s="8" t="n"/>
      <c r="C9" s="8" t="n"/>
      <c r="D9" s="8" t="n"/>
      <c r="E9" s="9">
        <f>IF(OR(B9="",C9=""),"",IF(B9=C9,"Yes","No"))</f>
        <v/>
      </c>
      <c r="F9" s="8" t="n"/>
    </row>
    <row r="10" ht="23" customHeight="1">
      <c r="A10" s="8" t="inlineStr">
        <is>
          <t>Semimonthly</t>
        </is>
      </c>
      <c r="B10" s="8" t="n"/>
      <c r="C10" s="8" t="n"/>
      <c r="D10" s="8" t="n"/>
      <c r="E10" s="9">
        <f>IF(OR(B10="",C10=""),"",IF(B10=C10,"Yes","No"))</f>
        <v/>
      </c>
      <c r="F10" s="8" t="n"/>
    </row>
    <row r="11">
      <c r="A11" s="8" t="inlineStr">
        <is>
          <t>Monthly</t>
        </is>
      </c>
      <c r="B11" s="8" t="n"/>
      <c r="C11" s="8" t="n"/>
      <c r="D11" s="8" t="n"/>
      <c r="E11" s="9">
        <f>IF(OR(B11="",C11=""),"",IF(B11=C11,"Yes","No"))</f>
        <v/>
      </c>
      <c r="F11" s="8" t="n"/>
    </row>
    <row r="12" ht="23" customHeight="1">
      <c r="A12" s="8" t="inlineStr">
        <is>
          <t>Off-cycle / bonus runs</t>
        </is>
      </c>
      <c r="B12" s="8" t="n"/>
      <c r="C12" s="8" t="n"/>
      <c r="D12" s="8" t="n"/>
      <c r="E12" s="9">
        <f>IF(OR(B12="",C12=""),"",IF(B12=C12,"Yes","No"))</f>
        <v/>
      </c>
      <c r="F12" s="8" t="n"/>
    </row>
    <row r="13">
      <c r="A13" s="8" t="inlineStr">
        <is>
          <t>[Other]</t>
        </is>
      </c>
      <c r="B13" s="8" t="n"/>
      <c r="C13" s="8" t="n"/>
      <c r="D13" s="8" t="n"/>
      <c r="E13" s="9">
        <f>IF(OR(B13="",C13=""),"",IF(B13=C13,"Yes","No"))</f>
        <v/>
      </c>
      <c r="F13" s="8" t="n"/>
    </row>
    <row r="14"/>
    <row r="15">
      <c r="A15" s="24" t="inlineStr">
        <is>
          <t>B. Register math and agreement to GL and bank (Library Procedures 4-5)</t>
        </is>
      </c>
    </row>
    <row r="16" ht="33" customHeight="1">
      <c r="A16" s="14" t="inlineStr">
        <is>
          <t>Sample #</t>
        </is>
      </c>
      <c r="B16" s="14" t="inlineStr">
        <is>
          <t>Pay Period End</t>
        </is>
      </c>
      <c r="C16" s="14" t="inlineStr">
        <is>
          <t>Run / Payment Ref</t>
        </is>
      </c>
      <c r="D16" s="14" t="inlineStr">
        <is>
          <t>Gross Wages per Register</t>
        </is>
      </c>
      <c r="E16" s="14" t="inlineStr">
        <is>
          <t>Deductions per Register</t>
        </is>
      </c>
      <c r="F16" s="14" t="inlineStr">
        <is>
          <t>Net Pay per Register</t>
        </is>
      </c>
      <c r="G16" s="14" t="inlineStr">
        <is>
          <t>Recomputed Net (Gross − Deductions)</t>
        </is>
      </c>
      <c r="H16" s="14" t="inlineStr">
        <is>
          <t>Register math ties?</t>
        </is>
      </c>
      <c r="I16" s="14" t="inlineStr">
        <is>
          <t>Gross Wages per GL</t>
        </is>
      </c>
      <c r="J16" s="14" t="inlineStr">
        <is>
          <t>Difference (Register vs GL)</t>
        </is>
      </c>
      <c r="K16" s="14" t="inlineStr">
        <is>
          <t>Net Pay per Bank Statement</t>
        </is>
      </c>
      <c r="L16" s="14" t="inlineStr">
        <is>
          <t>Difference (Register vs Bank)</t>
        </is>
      </c>
      <c r="M16" s="14" t="inlineStr">
        <is>
          <t>Notes — exceptions only</t>
        </is>
      </c>
    </row>
    <row r="17">
      <c r="D17" s="15" t="inlineStr">
        <is>
          <t>PBC</t>
        </is>
      </c>
      <c r="E17" s="15" t="inlineStr">
        <is>
          <t>PBC</t>
        </is>
      </c>
      <c r="F17" s="15" t="inlineStr">
        <is>
          <t>PBC</t>
        </is>
      </c>
      <c r="I17" s="15" t="inlineStr">
        <is>
          <t>GL</t>
        </is>
      </c>
      <c r="K17" s="15" t="inlineStr">
        <is>
          <t>BS</t>
        </is>
      </c>
    </row>
    <row r="18">
      <c r="A18" s="9" t="n">
        <v>1</v>
      </c>
      <c r="B18" s="8" t="n"/>
      <c r="C18" s="8" t="n"/>
      <c r="D18" s="16" t="n"/>
      <c r="E18" s="16" t="n"/>
      <c r="F18" s="16" t="n"/>
      <c r="G18" s="16">
        <f>IF(OR(D18="",E18=""),"",D18-E18)</f>
        <v/>
      </c>
      <c r="H18" s="8">
        <f>IF(OR(F18="",G18=""),"",IF(ROUND(F18-G18,2)=0,"Yes","No"))</f>
        <v/>
      </c>
      <c r="I18" s="16" t="n"/>
      <c r="J18" s="16">
        <f>IF(OR(D18="",I18=""),"",D18-I18)</f>
        <v/>
      </c>
      <c r="K18" s="16" t="n"/>
      <c r="L18" s="16">
        <f>IF(OR(F18="",K18=""),"",F18-K18)</f>
        <v/>
      </c>
      <c r="M18" s="8" t="n"/>
    </row>
    <row r="19">
      <c r="A19" s="9" t="n">
        <v>2</v>
      </c>
      <c r="B19" s="8" t="n"/>
      <c r="C19" s="8" t="n"/>
      <c r="D19" s="16" t="n"/>
      <c r="E19" s="16" t="n"/>
      <c r="F19" s="16" t="n"/>
      <c r="G19" s="16">
        <f>IF(OR(D19="",E19=""),"",D19-E19)</f>
        <v/>
      </c>
      <c r="H19" s="8">
        <f>IF(OR(F19="",G19=""),"",IF(ROUND(F19-G19,2)=0,"Yes","No"))</f>
        <v/>
      </c>
      <c r="I19" s="16" t="n"/>
      <c r="J19" s="16">
        <f>IF(OR(D19="",I19=""),"",D19-I19)</f>
        <v/>
      </c>
      <c r="K19" s="16" t="n"/>
      <c r="L19" s="16">
        <f>IF(OR(F19="",K19=""),"",F19-K19)</f>
        <v/>
      </c>
      <c r="M19" s="8" t="n"/>
    </row>
    <row r="20">
      <c r="A20" s="9" t="n">
        <v>3</v>
      </c>
      <c r="B20" s="8" t="n"/>
      <c r="C20" s="8" t="n"/>
      <c r="D20" s="16" t="n"/>
      <c r="E20" s="16" t="n"/>
      <c r="F20" s="16" t="n"/>
      <c r="G20" s="16">
        <f>IF(OR(D20="",E20=""),"",D20-E20)</f>
        <v/>
      </c>
      <c r="H20" s="8">
        <f>IF(OR(F20="",G20=""),"",IF(ROUND(F20-G20,2)=0,"Yes","No"))</f>
        <v/>
      </c>
      <c r="I20" s="16" t="n"/>
      <c r="J20" s="16">
        <f>IF(OR(D20="",I20=""),"",D20-I20)</f>
        <v/>
      </c>
      <c r="K20" s="16" t="n"/>
      <c r="L20" s="16">
        <f>IF(OR(F20="",K20=""),"",F20-K20)</f>
        <v/>
      </c>
      <c r="M20" s="8" t="n"/>
    </row>
    <row r="21">
      <c r="A21" s="9" t="n">
        <v>4</v>
      </c>
      <c r="B21" s="8" t="n"/>
      <c r="C21" s="8" t="n"/>
      <c r="D21" s="16" t="n"/>
      <c r="E21" s="16" t="n"/>
      <c r="F21" s="16" t="n"/>
      <c r="G21" s="16">
        <f>IF(OR(D21="",E21=""),"",D21-E21)</f>
        <v/>
      </c>
      <c r="H21" s="8">
        <f>IF(OR(F21="",G21=""),"",IF(ROUND(F21-G21,2)=0,"Yes","No"))</f>
        <v/>
      </c>
      <c r="I21" s="16" t="n"/>
      <c r="J21" s="16">
        <f>IF(OR(D21="",I21=""),"",D21-I21)</f>
        <v/>
      </c>
      <c r="K21" s="16" t="n"/>
      <c r="L21" s="16">
        <f>IF(OR(F21="",K21=""),"",F21-K21)</f>
        <v/>
      </c>
      <c r="M21" s="8" t="n"/>
    </row>
    <row r="22">
      <c r="A22" s="9" t="n">
        <v>5</v>
      </c>
      <c r="B22" s="8" t="n"/>
      <c r="C22" s="8" t="n"/>
      <c r="D22" s="16" t="n"/>
      <c r="E22" s="16" t="n"/>
      <c r="F22" s="16" t="n"/>
      <c r="G22" s="16">
        <f>IF(OR(D22="",E22=""),"",D22-E22)</f>
        <v/>
      </c>
      <c r="H22" s="8">
        <f>IF(OR(F22="",G22=""),"",IF(ROUND(F22-G22,2)=0,"Yes","No"))</f>
        <v/>
      </c>
      <c r="I22" s="16" t="n"/>
      <c r="J22" s="16">
        <f>IF(OR(D22="",I22=""),"",D22-I22)</f>
        <v/>
      </c>
      <c r="K22" s="16" t="n"/>
      <c r="L22" s="16">
        <f>IF(OR(F22="",K22=""),"",F22-K22)</f>
        <v/>
      </c>
      <c r="M22" s="8" t="n"/>
    </row>
    <row r="23">
      <c r="A23" s="9" t="n">
        <v>6</v>
      </c>
      <c r="B23" s="8" t="n"/>
      <c r="C23" s="8" t="n"/>
      <c r="D23" s="16" t="n"/>
      <c r="E23" s="16" t="n"/>
      <c r="F23" s="16" t="n"/>
      <c r="G23" s="16">
        <f>IF(OR(D23="",E23=""),"",D23-E23)</f>
        <v/>
      </c>
      <c r="H23" s="8">
        <f>IF(OR(F23="",G23=""),"",IF(ROUND(F23-G23,2)=0,"Yes","No"))</f>
        <v/>
      </c>
      <c r="I23" s="16" t="n"/>
      <c r="J23" s="16">
        <f>IF(OR(D23="",I23=""),"",D23-I23)</f>
        <v/>
      </c>
      <c r="K23" s="16" t="n"/>
      <c r="L23" s="16">
        <f>IF(OR(F23="",K23=""),"",F23-K23)</f>
        <v/>
      </c>
      <c r="M23" s="8" t="n"/>
    </row>
    <row r="24">
      <c r="A24" s="9" t="n">
        <v>7</v>
      </c>
      <c r="B24" s="8" t="n"/>
      <c r="C24" s="8" t="n"/>
      <c r="D24" s="16" t="n"/>
      <c r="E24" s="16" t="n"/>
      <c r="F24" s="16" t="n"/>
      <c r="G24" s="16">
        <f>IF(OR(D24="",E24=""),"",D24-E24)</f>
        <v/>
      </c>
      <c r="H24" s="8">
        <f>IF(OR(F24="",G24=""),"",IF(ROUND(F24-G24,2)=0,"Yes","No"))</f>
        <v/>
      </c>
      <c r="I24" s="16" t="n"/>
      <c r="J24" s="16">
        <f>IF(OR(D24="",I24=""),"",D24-I24)</f>
        <v/>
      </c>
      <c r="K24" s="16" t="n"/>
      <c r="L24" s="16">
        <f>IF(OR(F24="",K24=""),"",F24-K24)</f>
        <v/>
      </c>
      <c r="M24" s="8" t="n"/>
    </row>
    <row r="25">
      <c r="A25" s="9" t="n">
        <v>8</v>
      </c>
      <c r="B25" s="8" t="n"/>
      <c r="C25" s="8" t="n"/>
      <c r="D25" s="16" t="n"/>
      <c r="E25" s="16" t="n"/>
      <c r="F25" s="16" t="n"/>
      <c r="G25" s="16">
        <f>IF(OR(D25="",E25=""),"",D25-E25)</f>
        <v/>
      </c>
      <c r="H25" s="8">
        <f>IF(OR(F25="",G25=""),"",IF(ROUND(F25-G25,2)=0,"Yes","No"))</f>
        <v/>
      </c>
      <c r="I25" s="16" t="n"/>
      <c r="J25" s="16">
        <f>IF(OR(D25="",I25=""),"",D25-I25)</f>
        <v/>
      </c>
      <c r="K25" s="16" t="n"/>
      <c r="L25" s="16">
        <f>IF(OR(F25="",K25=""),"",F25-K25)</f>
        <v/>
      </c>
      <c r="M25" s="8" t="n"/>
    </row>
    <row r="26">
      <c r="A26" s="9" t="n">
        <v>9</v>
      </c>
      <c r="B26" s="8" t="n"/>
      <c r="C26" s="8" t="n"/>
      <c r="D26" s="16" t="n"/>
      <c r="E26" s="16" t="n"/>
      <c r="F26" s="16" t="n"/>
      <c r="G26" s="16">
        <f>IF(OR(D26="",E26=""),"",D26-E26)</f>
        <v/>
      </c>
      <c r="H26" s="8">
        <f>IF(OR(F26="",G26=""),"",IF(ROUND(F26-G26,2)=0,"Yes","No"))</f>
        <v/>
      </c>
      <c r="I26" s="16" t="n"/>
      <c r="J26" s="16">
        <f>IF(OR(D26="",I26=""),"",D26-I26)</f>
        <v/>
      </c>
      <c r="K26" s="16" t="n"/>
      <c r="L26" s="16">
        <f>IF(OR(F26="",K26=""),"",F26-K26)</f>
        <v/>
      </c>
      <c r="M26" s="8" t="n"/>
    </row>
    <row r="27">
      <c r="A27" s="9" t="n">
        <v>10</v>
      </c>
      <c r="B27" s="8" t="n"/>
      <c r="C27" s="8" t="n"/>
      <c r="D27" s="16" t="n"/>
      <c r="E27" s="16" t="n"/>
      <c r="F27" s="16" t="n"/>
      <c r="G27" s="16">
        <f>IF(OR(D27="",E27=""),"",D27-E27)</f>
        <v/>
      </c>
      <c r="H27" s="8">
        <f>IF(OR(F27="",G27=""),"",IF(ROUND(F27-G27,2)=0,"Yes","No"))</f>
        <v/>
      </c>
      <c r="I27" s="16" t="n"/>
      <c r="J27" s="16">
        <f>IF(OR(D27="",I27=""),"",D27-I27)</f>
        <v/>
      </c>
      <c r="K27" s="16" t="n"/>
      <c r="L27" s="16">
        <f>IF(OR(F27="",K27=""),"",F27-K27)</f>
        <v/>
      </c>
      <c r="M27" s="8" t="n"/>
    </row>
    <row r="28">
      <c r="A28" s="18" t="inlineStr">
        <is>
          <t>Total(s)</t>
        </is>
      </c>
      <c r="B28" s="18" t="n"/>
      <c r="C28" s="18" t="n"/>
      <c r="D28" s="19">
        <f>SUM(D18:D27)</f>
        <v/>
      </c>
      <c r="E28" s="19">
        <f>SUM(E18:E27)</f>
        <v/>
      </c>
      <c r="F28" s="19">
        <f>SUM(F18:F27)</f>
        <v/>
      </c>
      <c r="G28" s="18" t="n"/>
      <c r="H28" s="18" t="n"/>
      <c r="I28" s="19">
        <f>SUM(I18:I27)</f>
        <v/>
      </c>
      <c r="J28" s="18" t="n"/>
      <c r="K28" s="19">
        <f>SUM(K18:K27)</f>
        <v/>
      </c>
      <c r="L28" s="18" t="n"/>
      <c r="M28" s="18" t="n"/>
    </row>
    <row r="29">
      <c r="D29" s="15" t="inlineStr">
        <is>
          <t>F</t>
        </is>
      </c>
      <c r="F29" s="15" t="inlineStr">
        <is>
          <t>F</t>
        </is>
      </c>
    </row>
    <row r="30"/>
    <row r="31" ht="104" customHeight="1">
      <c r="A31" s="20" t="inlineStr">
        <is>
          <t>C. Employer taxes and remittances (Library Procedure 5)</t>
        </is>
      </c>
    </row>
    <row r="32" ht="33" customHeight="1">
      <c r="A32" s="14" t="inlineStr">
        <is>
          <t>Pay Period End</t>
        </is>
      </c>
      <c r="B32" s="14" t="inlineStr">
        <is>
          <t>Employer Taxes per Register</t>
        </is>
      </c>
      <c r="C32" s="14" t="inlineStr">
        <is>
          <t>Employer Taxes per GL</t>
        </is>
      </c>
      <c r="D32" s="14" t="inlineStr">
        <is>
          <t>Difference</t>
        </is>
      </c>
      <c r="E32" s="14" t="inlineStr">
        <is>
          <t>Total Remittance per Bank / EFTPS</t>
        </is>
      </c>
      <c r="F32" s="14" t="inlineStr">
        <is>
          <t>Remittance Date</t>
        </is>
      </c>
      <c r="G32" s="14" t="inlineStr">
        <is>
          <t>Timely? (Y/N)</t>
        </is>
      </c>
      <c r="H32" s="14" t="inlineStr">
        <is>
          <t>Notes</t>
        </is>
      </c>
    </row>
    <row r="33">
      <c r="A33" s="8" t="n"/>
      <c r="B33" s="16" t="n"/>
      <c r="C33" s="16" t="n"/>
      <c r="D33" s="16">
        <f>IF(OR(B33="",C33=""),"",B33-C33)</f>
        <v/>
      </c>
      <c r="E33" s="16" t="n"/>
      <c r="F33" s="8" t="n"/>
      <c r="G33" s="8" t="n"/>
      <c r="H33" s="8" t="n"/>
    </row>
    <row r="34">
      <c r="A34" s="8" t="n"/>
      <c r="B34" s="16" t="n"/>
      <c r="C34" s="16" t="n"/>
      <c r="D34" s="16">
        <f>IF(OR(B34="",C34=""),"",B34-C34)</f>
        <v/>
      </c>
      <c r="E34" s="16" t="n"/>
      <c r="F34" s="8" t="n"/>
      <c r="G34" s="8" t="n"/>
      <c r="H34" s="8" t="n"/>
    </row>
    <row r="35">
      <c r="A35" s="8" t="n"/>
      <c r="B35" s="16" t="n"/>
      <c r="C35" s="16" t="n"/>
      <c r="D35" s="16">
        <f>IF(OR(B35="",C35=""),"",B35-C35)</f>
        <v/>
      </c>
      <c r="E35" s="16" t="n"/>
      <c r="F35" s="8" t="n"/>
      <c r="G35" s="8" t="n"/>
      <c r="H35" s="8" t="n"/>
    </row>
    <row r="36">
      <c r="A36" s="8" t="n"/>
      <c r="B36" s="16" t="n"/>
      <c r="C36" s="16" t="n"/>
      <c r="D36" s="16">
        <f>IF(OR(B36="",C36=""),"",B36-C36)</f>
        <v/>
      </c>
      <c r="E36" s="16" t="n"/>
      <c r="F36" s="8" t="n"/>
      <c r="G36" s="8" t="n"/>
      <c r="H36" s="8" t="n"/>
    </row>
    <row r="37">
      <c r="A37" s="8" t="n"/>
      <c r="B37" s="16" t="n"/>
      <c r="C37" s="16" t="n"/>
      <c r="D37" s="16">
        <f>IF(OR(B37="",C37=""),"",B37-C37)</f>
        <v/>
      </c>
      <c r="E37" s="16" t="n"/>
      <c r="F37" s="8" t="n"/>
      <c r="G37" s="8" t="n"/>
      <c r="H37" s="8" t="n"/>
    </row>
    <row r="38">
      <c r="A38" s="8" t="n"/>
      <c r="B38" s="16" t="n"/>
      <c r="C38" s="16" t="n"/>
      <c r="D38" s="16">
        <f>IF(OR(B38="",C38=""),"",B38-C38)</f>
        <v/>
      </c>
      <c r="E38" s="16" t="n"/>
      <c r="F38" s="8" t="n"/>
      <c r="G38" s="8" t="n"/>
      <c r="H38" s="8" t="n"/>
    </row>
    <row r="39">
      <c r="A39" s="18" t="inlineStr">
        <is>
          <t>Total(s)</t>
        </is>
      </c>
      <c r="B39" s="19">
        <f>SUM(B33:B38)</f>
        <v/>
      </c>
      <c r="C39" s="19">
        <f>SUM(C33:C38)</f>
        <v/>
      </c>
      <c r="D39" s="18" t="n"/>
      <c r="E39" s="19">
        <f>SUM(E33:E38)</f>
        <v/>
      </c>
      <c r="F39" s="18" t="n"/>
      <c r="G39" s="18" t="n"/>
      <c r="H39" s="18" t="n"/>
    </row>
    <row r="40"/>
    <row r="41" ht="26" customHeight="1">
      <c r="A41" s="20" t="inlineStr">
        <is>
          <t>TM Legends</t>
        </is>
      </c>
    </row>
    <row r="42" ht="15" customHeight="1">
      <c r="A42" s="21" t="inlineStr">
        <is>
          <t>F</t>
        </is>
      </c>
      <c r="B42" s="8" t="inlineStr">
        <is>
          <t>Footed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8" t="n"/>
    </row>
    <row r="43" ht="15" customHeight="1">
      <c r="A43" s="21" t="inlineStr">
        <is>
          <t>R</t>
        </is>
      </c>
      <c r="B43" s="8" t="inlineStr">
        <is>
          <t>Recalculated independently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8" t="n"/>
    </row>
    <row r="44" ht="15" customHeight="1">
      <c r="A44" s="21" t="inlineStr">
        <is>
          <t>GL</t>
        </is>
      </c>
      <c r="B44" s="8" t="inlineStr">
        <is>
          <t>Agreed to general ledger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8" t="n"/>
    </row>
    <row r="45" ht="15" customHeight="1">
      <c r="A45" s="21" t="inlineStr">
        <is>
          <t>BS</t>
        </is>
      </c>
      <c r="B45" s="8" t="inlineStr">
        <is>
          <t>Agreed to bank statement / funding drawdown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8" t="n"/>
    </row>
    <row r="46" ht="15" customHeight="1">
      <c r="A46" s="21" t="inlineStr">
        <is>
          <t>V</t>
        </is>
      </c>
      <c r="B46" s="8" t="inlineStr">
        <is>
          <t>Vouched to source document</t>
        </is>
      </c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8" t="n"/>
    </row>
    <row r="47" ht="15" customHeight="1">
      <c r="A47" s="21" t="inlineStr">
        <is>
          <t>PBC</t>
        </is>
      </c>
      <c r="B47" s="8" t="inlineStr">
        <is>
          <t>Prepared by client</t>
        </is>
      </c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8" t="n"/>
    </row>
    <row r="48"/>
    <row r="49" ht="39.75" customHeight="1">
      <c r="A49" s="1" t="inlineStr">
        <is>
          <t>Before sign-off complete Library Procedures 3-5. Select pay periods spread across the year (e.g., one per quarter including the final run) plus all off-cycle runs above the threshold; establish Block A population completeness BEFORE Block B selections. Remittance = employee withholdings + employer taxes; net pay + total remittance should reconcile the register to total cash out.</t>
        </is>
      </c>
    </row>
  </sheetData>
  <mergeCells count="10">
    <mergeCell ref="B6:M6"/>
    <mergeCell ref="B47:M47"/>
    <mergeCell ref="B42:M42"/>
    <mergeCell ref="B5:M5"/>
    <mergeCell ref="B45:M45"/>
    <mergeCell ref="B46:M46"/>
    <mergeCell ref="B44:M44"/>
    <mergeCell ref="A49:M49"/>
    <mergeCell ref="B4:M4"/>
    <mergeCell ref="B43:M43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showGridLines="0" zoomScale="85" zoomScaleNormal="100" workbookViewId="0">
      <pane ySplit="1" topLeftCell="A2" activePane="bottomLeft" state="frozen"/>
      <selection pane="bottomLeft" activeCell="A7" sqref="A7"/>
    </sheetView>
  </sheetViews>
  <sheetFormatPr baseColWidth="8" defaultColWidth="8.6328125" defaultRowHeight="14.5"/>
  <cols>
    <col width="21.90625" bestFit="1" customWidth="1" min="1" max="1"/>
    <col width="13" customWidth="1" min="2" max="2"/>
    <col width="12" customWidth="1" min="3" max="3"/>
    <col width="18" customWidth="1" min="4" max="5"/>
    <col width="14" customWidth="1" min="6" max="7"/>
    <col width="12" customWidth="1" min="8" max="8"/>
    <col width="13" customWidth="1" min="9" max="10"/>
    <col width="12" customWidth="1" min="11" max="11"/>
    <col width="13" customWidth="1" min="12" max="12"/>
    <col width="14" customWidth="1" min="13" max="13"/>
    <col width="20" customWidth="1" min="14" max="15"/>
  </cols>
  <sheetData>
    <row r="1" ht="17.5" customHeight="1">
      <c r="A1" s="4" t="inlineStr">
        <is>
          <t>Employee Detail Testing</t>
        </is>
      </c>
    </row>
    <row r="2">
      <c r="A2" s="11" t="inlineStr">
        <is>
          <t>Client / Entity</t>
        </is>
      </c>
      <c r="B2" s="12" t="inlineStr">
        <is>
          <t>[Client / Entity]</t>
        </is>
      </c>
      <c r="D2" s="11" t="inlineStr">
        <is>
          <t>Year-End</t>
        </is>
      </c>
      <c r="E2" s="12" t="inlineStr">
        <is>
          <t>[YYYY-MM-DD]</t>
        </is>
      </c>
      <c r="G2" s="11" t="inlineStr">
        <is>
          <t>Currency</t>
        </is>
      </c>
      <c r="H2" s="12" t="inlineStr">
        <is>
          <t>[CCY]</t>
        </is>
      </c>
    </row>
    <row r="3">
      <c r="A3" s="11" t="inlineStr">
        <is>
          <t>Performance Materiality</t>
        </is>
      </c>
      <c r="B3" s="12" t="inlineStr">
        <is>
          <t>[PM]</t>
        </is>
      </c>
      <c r="D3" s="11" t="n"/>
      <c r="E3" s="12" t="n"/>
    </row>
    <row r="4" ht="15" customHeight="1">
      <c r="A4" s="13" t="inlineStr">
        <is>
          <t>Purpose:</t>
        </is>
      </c>
      <c r="B4" s="8" t="inlineStr">
        <is>
          <t>Test that paid employees exist in the HR records, pay rates are authorized, gross pay recomputes, deductions are supported and net pay reached the employee.</t>
        </is>
      </c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8" t="n"/>
    </row>
    <row r="5" ht="15" customHeight="1">
      <c r="A5" s="13" t="inlineStr">
        <is>
          <t>Scope:</t>
        </is>
      </c>
      <c r="B5" s="8" t="inlineStr">
        <is>
          <t>Employees selected from the payroll registers tested at &lt;.2&gt;, including at least one hire and one termination occurring in the period where applicable.</t>
        </is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8" t="n"/>
    </row>
    <row r="6" ht="22.4" customHeight="1">
      <c r="A6" s="13" t="inlineStr">
        <is>
          <t>Assertions:</t>
        </is>
      </c>
      <c r="B6" s="8" t="inlineStr">
        <is>
          <t>Occurrence; Accuracy; Valuation &amp; Allocation; Cutoff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8" t="n"/>
    </row>
    <row r="7" ht="33" customHeight="1">
      <c r="A7" s="14" t="inlineStr">
        <is>
          <t>Sample #</t>
        </is>
      </c>
      <c r="B7" s="14" t="inlineStr">
        <is>
          <t>Pay Period End</t>
        </is>
      </c>
      <c r="C7" s="14" t="inlineStr">
        <is>
          <t>Employee ID</t>
        </is>
      </c>
      <c r="D7" s="14" t="inlineStr">
        <is>
          <t>Employee Name</t>
        </is>
      </c>
      <c r="E7" s="14" t="inlineStr">
        <is>
          <t>Department / Cost Center</t>
        </is>
      </c>
      <c r="F7" s="14" t="inlineStr">
        <is>
          <t>Pay Type (Salary / Hourly)</t>
        </is>
      </c>
      <c r="G7" s="14" t="inlineStr">
        <is>
          <t>Authorized Rate (per HR file)</t>
        </is>
      </c>
      <c r="H7" s="14" t="inlineStr">
        <is>
          <t>Hours / Pay Periods</t>
        </is>
      </c>
      <c r="I7" s="14" t="inlineStr">
        <is>
          <t>Recomputed Gross</t>
        </is>
      </c>
      <c r="J7" s="14" t="inlineStr">
        <is>
          <t>Gross per Register</t>
        </is>
      </c>
      <c r="K7" s="14" t="inlineStr">
        <is>
          <t>Difference</t>
        </is>
      </c>
      <c r="L7" s="14" t="inlineStr">
        <is>
          <t>Deductions agreed? (Y/N)</t>
        </is>
      </c>
      <c r="M7" s="14" t="inlineStr">
        <is>
          <t>Net pay agreed to payment? (Y/N)</t>
        </is>
      </c>
      <c r="N7" s="14" t="inlineStr">
        <is>
          <t>Hire / Term in period — first/final pay tested</t>
        </is>
      </c>
      <c r="O7" s="14" t="inlineStr">
        <is>
          <t>Notes — exceptions only</t>
        </is>
      </c>
    </row>
    <row r="8">
      <c r="G8" s="15" t="inlineStr">
        <is>
          <t>V</t>
        </is>
      </c>
      <c r="I8" s="15" t="inlineStr">
        <is>
          <t>R</t>
        </is>
      </c>
      <c r="J8" s="15" t="inlineStr">
        <is>
          <t>PBC</t>
        </is>
      </c>
    </row>
    <row r="9">
      <c r="A9" s="9" t="n">
        <v>1</v>
      </c>
      <c r="B9" s="8" t="n"/>
      <c r="C9" s="8" t="n"/>
      <c r="D9" s="8" t="n"/>
      <c r="E9" s="8" t="n"/>
      <c r="F9" s="8" t="n"/>
      <c r="G9" s="16" t="n"/>
      <c r="H9" s="8" t="n"/>
      <c r="I9" s="16">
        <f>IF(OR(G9="",H9=""),"",ROUND(G9*H9,2))</f>
        <v/>
      </c>
      <c r="J9" s="16" t="n"/>
      <c r="K9" s="16">
        <f>IF(OR(I9="",J9=""),"",J9-I9)</f>
        <v/>
      </c>
      <c r="L9" s="8" t="n"/>
      <c r="M9" s="8" t="n"/>
      <c r="N9" s="8" t="n"/>
      <c r="O9" s="8" t="n"/>
    </row>
    <row r="10">
      <c r="A10" s="9" t="n">
        <v>2</v>
      </c>
      <c r="B10" s="8" t="n"/>
      <c r="C10" s="8" t="n"/>
      <c r="D10" s="8" t="n"/>
      <c r="E10" s="8" t="n"/>
      <c r="F10" s="8" t="n"/>
      <c r="G10" s="16" t="n"/>
      <c r="H10" s="8" t="n"/>
      <c r="I10" s="16">
        <f>IF(OR(G10="",H10=""),"",ROUND(G10*H10,2))</f>
        <v/>
      </c>
      <c r="J10" s="16" t="n"/>
      <c r="K10" s="16">
        <f>IF(OR(I10="",J10=""),"",J10-I10)</f>
        <v/>
      </c>
      <c r="L10" s="8" t="n"/>
      <c r="M10" s="8" t="n"/>
      <c r="N10" s="8" t="n"/>
      <c r="O10" s="8" t="n"/>
    </row>
    <row r="11">
      <c r="A11" s="9" t="n">
        <v>3</v>
      </c>
      <c r="B11" s="8" t="n"/>
      <c r="C11" s="8" t="n"/>
      <c r="D11" s="8" t="n"/>
      <c r="E11" s="8" t="n"/>
      <c r="F11" s="8" t="n"/>
      <c r="G11" s="16" t="n"/>
      <c r="H11" s="8" t="n"/>
      <c r="I11" s="16">
        <f>IF(OR(G11="",H11=""),"",ROUND(G11*H11,2))</f>
        <v/>
      </c>
      <c r="J11" s="16" t="n"/>
      <c r="K11" s="16">
        <f>IF(OR(I11="",J11=""),"",J11-I11)</f>
        <v/>
      </c>
      <c r="L11" s="8" t="n"/>
      <c r="M11" s="8" t="n"/>
      <c r="N11" s="8" t="n"/>
      <c r="O11" s="8" t="n"/>
    </row>
    <row r="12">
      <c r="A12" s="9" t="n">
        <v>4</v>
      </c>
      <c r="B12" s="8" t="n"/>
      <c r="C12" s="8" t="n"/>
      <c r="D12" s="8" t="n"/>
      <c r="E12" s="8" t="n"/>
      <c r="F12" s="8" t="n"/>
      <c r="G12" s="16" t="n"/>
      <c r="H12" s="8" t="n"/>
      <c r="I12" s="16">
        <f>IF(OR(G12="",H12=""),"",ROUND(G12*H12,2))</f>
        <v/>
      </c>
      <c r="J12" s="16" t="n"/>
      <c r="K12" s="16">
        <f>IF(OR(I12="",J12=""),"",J12-I12)</f>
        <v/>
      </c>
      <c r="L12" s="8" t="n"/>
      <c r="M12" s="8" t="n"/>
      <c r="N12" s="8" t="n"/>
      <c r="O12" s="8" t="n"/>
    </row>
    <row r="13">
      <c r="A13" s="9" t="n">
        <v>5</v>
      </c>
      <c r="B13" s="8" t="n"/>
      <c r="C13" s="8" t="n"/>
      <c r="D13" s="8" t="n"/>
      <c r="E13" s="8" t="n"/>
      <c r="F13" s="8" t="n"/>
      <c r="G13" s="16" t="n"/>
      <c r="H13" s="8" t="n"/>
      <c r="I13" s="16">
        <f>IF(OR(G13="",H13=""),"",ROUND(G13*H13,2))</f>
        <v/>
      </c>
      <c r="J13" s="16" t="n"/>
      <c r="K13" s="16">
        <f>IF(OR(I13="",J13=""),"",J13-I13)</f>
        <v/>
      </c>
      <c r="L13" s="8" t="n"/>
      <c r="M13" s="8" t="n"/>
      <c r="N13" s="8" t="n"/>
      <c r="O13" s="8" t="n"/>
    </row>
    <row r="14">
      <c r="A14" s="9" t="n">
        <v>6</v>
      </c>
      <c r="B14" s="8" t="n"/>
      <c r="C14" s="8" t="n"/>
      <c r="D14" s="8" t="n"/>
      <c r="E14" s="8" t="n"/>
      <c r="F14" s="8" t="n"/>
      <c r="G14" s="16" t="n"/>
      <c r="H14" s="8" t="n"/>
      <c r="I14" s="16">
        <f>IF(OR(G14="",H14=""),"",ROUND(G14*H14,2))</f>
        <v/>
      </c>
      <c r="J14" s="16" t="n"/>
      <c r="K14" s="16">
        <f>IF(OR(I14="",J14=""),"",J14-I14)</f>
        <v/>
      </c>
      <c r="L14" s="8" t="n"/>
      <c r="M14" s="8" t="n"/>
      <c r="N14" s="8" t="n"/>
      <c r="O14" s="8" t="n"/>
    </row>
    <row r="15">
      <c r="A15" s="9" t="n">
        <v>7</v>
      </c>
      <c r="B15" s="8" t="n"/>
      <c r="C15" s="8" t="n"/>
      <c r="D15" s="8" t="n"/>
      <c r="E15" s="8" t="n"/>
      <c r="F15" s="8" t="n"/>
      <c r="G15" s="16" t="n"/>
      <c r="H15" s="8" t="n"/>
      <c r="I15" s="16">
        <f>IF(OR(G15="",H15=""),"",ROUND(G15*H15,2))</f>
        <v/>
      </c>
      <c r="J15" s="16" t="n"/>
      <c r="K15" s="16">
        <f>IF(OR(I15="",J15=""),"",J15-I15)</f>
        <v/>
      </c>
      <c r="L15" s="8" t="n"/>
      <c r="M15" s="8" t="n"/>
      <c r="N15" s="8" t="n"/>
      <c r="O15" s="8" t="n"/>
    </row>
    <row r="16">
      <c r="A16" s="9" t="n">
        <v>8</v>
      </c>
      <c r="B16" s="8" t="n"/>
      <c r="C16" s="8" t="n"/>
      <c r="D16" s="8" t="n"/>
      <c r="E16" s="8" t="n"/>
      <c r="F16" s="8" t="n"/>
      <c r="G16" s="16" t="n"/>
      <c r="H16" s="8" t="n"/>
      <c r="I16" s="16">
        <f>IF(OR(G16="",H16=""),"",ROUND(G16*H16,2))</f>
        <v/>
      </c>
      <c r="J16" s="16" t="n"/>
      <c r="K16" s="16">
        <f>IF(OR(I16="",J16=""),"",J16-I16)</f>
        <v/>
      </c>
      <c r="L16" s="8" t="n"/>
      <c r="M16" s="8" t="n"/>
      <c r="N16" s="8" t="n"/>
      <c r="O16" s="8" t="n"/>
    </row>
    <row r="17">
      <c r="A17" s="9" t="n">
        <v>9</v>
      </c>
      <c r="B17" s="8" t="n"/>
      <c r="C17" s="8" t="n"/>
      <c r="D17" s="8" t="n"/>
      <c r="E17" s="8" t="n"/>
      <c r="F17" s="8" t="n"/>
      <c r="G17" s="16" t="n"/>
      <c r="H17" s="8" t="n"/>
      <c r="I17" s="16">
        <f>IF(OR(G17="",H17=""),"",ROUND(G17*H17,2))</f>
        <v/>
      </c>
      <c r="J17" s="16" t="n"/>
      <c r="K17" s="16">
        <f>IF(OR(I17="",J17=""),"",J17-I17)</f>
        <v/>
      </c>
      <c r="L17" s="8" t="n"/>
      <c r="M17" s="8" t="n"/>
      <c r="N17" s="8" t="n"/>
      <c r="O17" s="8" t="n"/>
    </row>
    <row r="18">
      <c r="A18" s="9" t="n">
        <v>10</v>
      </c>
      <c r="B18" s="8" t="n"/>
      <c r="C18" s="8" t="n"/>
      <c r="D18" s="8" t="n"/>
      <c r="E18" s="8" t="n"/>
      <c r="F18" s="8" t="n"/>
      <c r="G18" s="16" t="n"/>
      <c r="H18" s="8" t="n"/>
      <c r="I18" s="16">
        <f>IF(OR(G18="",H18=""),"",ROUND(G18*H18,2))</f>
        <v/>
      </c>
      <c r="J18" s="16" t="n"/>
      <c r="K18" s="16">
        <f>IF(OR(I18="",J18=""),"",J18-I18)</f>
        <v/>
      </c>
      <c r="L18" s="8" t="n"/>
      <c r="M18" s="8" t="n"/>
      <c r="N18" s="8" t="n"/>
      <c r="O18" s="8" t="n"/>
    </row>
    <row r="19">
      <c r="A19" s="18" t="inlineStr">
        <is>
          <t>Total(s)</t>
        </is>
      </c>
      <c r="B19" s="18" t="n"/>
      <c r="C19" s="18" t="n"/>
      <c r="D19" s="18" t="n"/>
      <c r="E19" s="18" t="n"/>
      <c r="F19" s="18" t="n"/>
      <c r="G19" s="18" t="n"/>
      <c r="H19" s="18" t="n"/>
      <c r="I19" s="19">
        <f>SUM(I9:I18)</f>
        <v/>
      </c>
      <c r="J19" s="19">
        <f>SUM(J9:J18)</f>
        <v/>
      </c>
      <c r="K19" s="18" t="n"/>
      <c r="L19" s="18" t="n"/>
      <c r="M19" s="18" t="n"/>
      <c r="N19" s="18" t="n"/>
      <c r="O19" s="18" t="n"/>
    </row>
    <row r="20">
      <c r="I20" s="15" t="inlineStr">
        <is>
          <t>F</t>
        </is>
      </c>
      <c r="J20" s="15" t="inlineStr">
        <is>
          <t>F</t>
        </is>
      </c>
    </row>
    <row r="21"/>
    <row r="22" ht="26" customHeight="1">
      <c r="A22" s="20" t="inlineStr">
        <is>
          <t>TM Legends</t>
        </is>
      </c>
    </row>
    <row r="23" ht="15" customHeight="1">
      <c r="A23" s="21" t="inlineStr">
        <is>
          <t>V</t>
        </is>
      </c>
      <c r="B23" s="8" t="inlineStr">
        <is>
          <t>Vouched to HR / personnel file or authorized rate documentation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8" t="n"/>
    </row>
    <row r="24" ht="15" customHeight="1">
      <c r="A24" s="21" t="inlineStr">
        <is>
          <t>R</t>
        </is>
      </c>
      <c r="B24" s="8" t="inlineStr">
        <is>
          <t>Recalculated independently</t>
        </is>
      </c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8" t="n"/>
    </row>
    <row r="25" ht="15" customHeight="1">
      <c r="A25" s="21" t="inlineStr">
        <is>
          <t>PBC</t>
        </is>
      </c>
      <c r="B25" s="8" t="inlineStr">
        <is>
          <t>Prepared by client</t>
        </is>
      </c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8" t="n"/>
    </row>
    <row r="26" ht="15" customHeight="1">
      <c r="A26" s="21" t="inlineStr">
        <is>
          <t>F</t>
        </is>
      </c>
      <c r="B26" s="8" t="inlineStr">
        <is>
          <t>Footed</t>
        </is>
      </c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8" t="n"/>
    </row>
    <row r="27"/>
    <row r="28" ht="39.75" customHeight="1">
      <c r="A28" s="1" t="inlineStr">
        <is>
          <t>Before sign-off complete Library Procedures 6-8. For salaried employees, Recomputed Gross = rate per pay period x periods (enter periods = 1 for a single run); for hourly, rate x hours with overtime premium recomputed separately when significant. Cover each major department and pay type; include hires/terminations for first/final pay testing.</t>
        </is>
      </c>
    </row>
  </sheetData>
  <mergeCells count="8">
    <mergeCell ref="B26:O26"/>
    <mergeCell ref="B4:O4"/>
    <mergeCell ref="A28:O28"/>
    <mergeCell ref="B6:O6"/>
    <mergeCell ref="B24:O24"/>
    <mergeCell ref="B25:O25"/>
    <mergeCell ref="B5:O5"/>
    <mergeCell ref="B23:O23"/>
  </mergeCells>
  <pageMargins left="0.3" right="0.3" top="0.4" bottom="0.4" header="0.2" footer="0.2"/>
  <pageSetup orientation="landscape" paperSize="1" fitToHeight="1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zoomScale="85" zoomScaleNormal="100" workbookViewId="0">
      <pane ySplit="1" topLeftCell="A2" activePane="bottomLeft" state="frozen"/>
      <selection pane="bottomLeft" activeCell="A10" sqref="A10"/>
    </sheetView>
  </sheetViews>
  <sheetFormatPr baseColWidth="8" defaultColWidth="8.6328125" defaultRowHeight="14.5"/>
  <cols>
    <col width="22" customWidth="1" min="1" max="1"/>
    <col width="14" customWidth="1" min="2" max="3"/>
    <col width="11" customWidth="1" min="4" max="4"/>
    <col width="13" customWidth="1" min="5" max="6"/>
    <col width="14" customWidth="1" min="7" max="7"/>
    <col width="13" customWidth="1" min="8" max="8"/>
    <col width="12" customWidth="1" min="9" max="9"/>
    <col width="22" customWidth="1" min="10" max="10"/>
  </cols>
  <sheetData>
    <row r="1" ht="17.5" customHeight="1">
      <c r="A1" s="4" t="inlineStr">
        <is>
          <t>Payroll Accrual Recompute</t>
        </is>
      </c>
    </row>
    <row r="2">
      <c r="A2" s="11" t="inlineStr">
        <is>
          <t>Client / Entity</t>
        </is>
      </c>
      <c r="B2" s="12" t="inlineStr">
        <is>
          <t>[Client / Entity]</t>
        </is>
      </c>
      <c r="D2" s="11" t="inlineStr">
        <is>
          <t>Year-End</t>
        </is>
      </c>
      <c r="E2" s="12" t="inlineStr">
        <is>
          <t>[YYYY-MM-DD]</t>
        </is>
      </c>
      <c r="G2" s="11" t="inlineStr">
        <is>
          <t>Currency</t>
        </is>
      </c>
      <c r="H2" s="12" t="inlineStr">
        <is>
          <t>[CCY]</t>
        </is>
      </c>
    </row>
    <row r="3">
      <c r="A3" s="11" t="inlineStr">
        <is>
          <t>Performance Materiality</t>
        </is>
      </c>
      <c r="B3" s="12" t="inlineStr">
        <is>
          <t>[PM]</t>
        </is>
      </c>
      <c r="D3" s="11" t="inlineStr">
        <is>
          <t>Threshold — individually significant items</t>
        </is>
      </c>
      <c r="E3" s="12" t="inlineStr">
        <is>
          <t>[Amount]</t>
        </is>
      </c>
    </row>
    <row r="4" ht="22.4" customHeight="1">
      <c r="A4" s="13" t="inlineStr">
        <is>
          <t>Purpose:</t>
        </is>
      </c>
      <c r="B4" s="8" t="inlineStr">
        <is>
          <t>Recompute period-end payroll accruals from day counts and daily payroll, test other payroll accrual methods, and verify reversal and subsequent payment.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</row>
    <row r="5" ht="15" customHeight="1">
      <c r="A5" s="13" t="inlineStr">
        <is>
          <t>Scope:</t>
        </is>
      </c>
      <c r="B5" s="8" t="inlineStr">
        <is>
          <t>Accrued payroll and benefits at period end: accrued wages, employer taxes, PTO, bonus and commission accruals.</t>
        </is>
      </c>
      <c r="C5" s="27" t="n"/>
      <c r="D5" s="27" t="n"/>
      <c r="E5" s="27" t="n"/>
      <c r="F5" s="27" t="n"/>
      <c r="G5" s="27" t="n"/>
      <c r="H5" s="27" t="n"/>
      <c r="I5" s="27" t="n"/>
      <c r="J5" s="28" t="n"/>
    </row>
    <row r="6" ht="15" customHeight="1">
      <c r="A6" s="13" t="inlineStr">
        <is>
          <t>Assertions:</t>
        </is>
      </c>
      <c r="B6" s="8" t="inlineStr">
        <is>
          <t>Valuation &amp; Allocation; Completeness; Cutoff; Existence</t>
        </is>
      </c>
      <c r="C6" s="27" t="n"/>
      <c r="D6" s="27" t="n"/>
      <c r="E6" s="27" t="n"/>
      <c r="F6" s="27" t="n"/>
      <c r="G6" s="27" t="n"/>
      <c r="H6" s="27" t="n"/>
      <c r="I6" s="27" t="n"/>
      <c r="J6" s="28" t="n"/>
    </row>
    <row r="7" ht="15" customHeight="1">
      <c r="A7" s="25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</row>
    <row r="8">
      <c r="A8" s="24" t="inlineStr">
        <is>
          <t>A. Accrued wages and employer taxes (Library Procedure 9)</t>
        </is>
      </c>
    </row>
    <row r="9" ht="33" customHeight="1">
      <c r="A9" s="14" t="inlineStr">
        <is>
          <t>Accrual / GL Account</t>
        </is>
      </c>
      <c r="B9" s="14" t="inlineStr">
        <is>
          <t>Last Pay Period End</t>
        </is>
      </c>
      <c r="C9" s="14" t="inlineStr">
        <is>
          <t>Period End Date</t>
        </is>
      </c>
      <c r="D9" s="14" t="inlineStr">
        <is>
          <t>Days Accrued</t>
        </is>
      </c>
      <c r="E9" s="14" t="inlineStr">
        <is>
          <t>Daily Gross Payroll</t>
        </is>
      </c>
      <c r="F9" s="14" t="inlineStr">
        <is>
          <t>Daily Employer Taxes</t>
        </is>
      </c>
      <c r="G9" s="14" t="inlineStr">
        <is>
          <t>Recomputed Accrual</t>
        </is>
      </c>
      <c r="H9" s="14" t="inlineStr">
        <is>
          <t>Per GL</t>
        </is>
      </c>
      <c r="I9" s="14" t="inlineStr">
        <is>
          <t>Difference</t>
        </is>
      </c>
      <c r="J9" s="14" t="inlineStr">
        <is>
          <t>Notes — exceptions only</t>
        </is>
      </c>
    </row>
    <row r="10">
      <c r="G10" s="15" t="inlineStr">
        <is>
          <t>R</t>
        </is>
      </c>
      <c r="H10" s="15" t="inlineStr">
        <is>
          <t>GL</t>
        </is>
      </c>
    </row>
    <row r="11">
      <c r="A11" s="8" t="n"/>
      <c r="B11" s="8" t="n"/>
      <c r="C11" s="8" t="n"/>
      <c r="D11" s="8" t="n"/>
      <c r="E11" s="16" t="n"/>
      <c r="F11" s="16" t="n"/>
      <c r="G11" s="16">
        <f>IF(OR(D11="",E11=""),"",ROUND(D11*(E11+IF(F11="",0,F11)),2))</f>
        <v/>
      </c>
      <c r="H11" s="16" t="n"/>
      <c r="I11" s="16">
        <f>IF(OR(G11="",H11=""),"",H11-G11)</f>
        <v/>
      </c>
      <c r="J11" s="8" t="n"/>
    </row>
    <row r="12">
      <c r="A12" s="8" t="n"/>
      <c r="B12" s="8" t="n"/>
      <c r="C12" s="8" t="n"/>
      <c r="D12" s="8" t="n"/>
      <c r="E12" s="16" t="n"/>
      <c r="F12" s="16" t="n"/>
      <c r="G12" s="16">
        <f>IF(OR(D12="",E12=""),"",ROUND(D12*(E12+IF(F12="",0,F12)),2))</f>
        <v/>
      </c>
      <c r="H12" s="16" t="n"/>
      <c r="I12" s="16">
        <f>IF(OR(G12="",H12=""),"",H12-G12)</f>
        <v/>
      </c>
      <c r="J12" s="8" t="n"/>
    </row>
    <row r="13">
      <c r="A13" s="8" t="n"/>
      <c r="B13" s="8" t="n"/>
      <c r="C13" s="8" t="n"/>
      <c r="D13" s="8" t="n"/>
      <c r="E13" s="16" t="n"/>
      <c r="F13" s="16" t="n"/>
      <c r="G13" s="16">
        <f>IF(OR(D13="",E13=""),"",ROUND(D13*(E13+IF(F13="",0,F13)),2))</f>
        <v/>
      </c>
      <c r="H13" s="16" t="n"/>
      <c r="I13" s="16">
        <f>IF(OR(G13="",H13=""),"",H13-G13)</f>
        <v/>
      </c>
      <c r="J13" s="8" t="n"/>
    </row>
    <row r="14">
      <c r="A14" s="8" t="n"/>
      <c r="B14" s="8" t="n"/>
      <c r="C14" s="8" t="n"/>
      <c r="D14" s="8" t="n"/>
      <c r="E14" s="16" t="n"/>
      <c r="F14" s="16" t="n"/>
      <c r="G14" s="16">
        <f>IF(OR(D14="",E14=""),"",ROUND(D14*(E14+IF(F14="",0,F14)),2))</f>
        <v/>
      </c>
      <c r="H14" s="16" t="n"/>
      <c r="I14" s="16">
        <f>IF(OR(G14="",H14=""),"",H14-G14)</f>
        <v/>
      </c>
      <c r="J14" s="8" t="n"/>
    </row>
    <row r="15">
      <c r="A15" s="18" t="inlineStr">
        <is>
          <t>Total(s)</t>
        </is>
      </c>
      <c r="B15" s="18" t="n"/>
      <c r="C15" s="18" t="n"/>
      <c r="D15" s="18" t="n"/>
      <c r="E15" s="18" t="n"/>
      <c r="F15" s="18" t="n"/>
      <c r="G15" s="19">
        <f>SUM(G11:G14)</f>
        <v/>
      </c>
      <c r="H15" s="19">
        <f>SUM(H11:H14)</f>
        <v/>
      </c>
      <c r="I15" s="18" t="n"/>
      <c r="J15" s="18" t="n"/>
    </row>
    <row r="16"/>
    <row r="17">
      <c r="A17" s="24" t="inlineStr">
        <is>
          <t>B. Other payroll accruals — PTO / bonus / commissions (Library Procedure 9)</t>
        </is>
      </c>
    </row>
    <row r="18" ht="22" customHeight="1">
      <c r="A18" s="14" t="inlineStr">
        <is>
          <t>Accrual Type</t>
        </is>
      </c>
      <c r="B18" s="14" t="inlineStr">
        <is>
          <t>Basis / Method (describe)</t>
        </is>
      </c>
      <c r="C18" s="14" t="inlineStr">
        <is>
          <t>Recomputed Amount</t>
        </is>
      </c>
      <c r="D18" s="14" t="inlineStr">
        <is>
          <t>Per GL</t>
        </is>
      </c>
      <c r="E18" s="14" t="inlineStr">
        <is>
          <t>Difference</t>
        </is>
      </c>
      <c r="F18" s="14" t="inlineStr">
        <is>
          <t>Support Ref</t>
        </is>
      </c>
      <c r="G18" s="14" t="inlineStr">
        <is>
          <t>Notes — exceptions only</t>
        </is>
      </c>
    </row>
    <row r="19">
      <c r="A19" s="8" t="n"/>
      <c r="B19" s="8" t="n"/>
      <c r="C19" s="16" t="n"/>
      <c r="D19" s="16" t="n"/>
      <c r="E19" s="16">
        <f>IF(OR(C19="",D19=""),"",D19-C19)</f>
        <v/>
      </c>
      <c r="F19" s="8" t="n"/>
      <c r="G19" s="8" t="n"/>
    </row>
    <row r="20">
      <c r="A20" s="8" t="n"/>
      <c r="B20" s="8" t="n"/>
      <c r="C20" s="16" t="n"/>
      <c r="D20" s="16" t="n"/>
      <c r="E20" s="16">
        <f>IF(OR(C20="",D20=""),"",D20-C20)</f>
        <v/>
      </c>
      <c r="F20" s="8" t="n"/>
      <c r="G20" s="8" t="n"/>
    </row>
    <row r="21">
      <c r="A21" s="8" t="n"/>
      <c r="B21" s="8" t="n"/>
      <c r="C21" s="16" t="n"/>
      <c r="D21" s="16" t="n"/>
      <c r="E21" s="16">
        <f>IF(OR(C21="",D21=""),"",D21-C21)</f>
        <v/>
      </c>
      <c r="F21" s="8" t="n"/>
      <c r="G21" s="8" t="n"/>
    </row>
    <row r="22">
      <c r="A22" s="8" t="n"/>
      <c r="B22" s="8" t="n"/>
      <c r="C22" s="16" t="n"/>
      <c r="D22" s="16" t="n"/>
      <c r="E22" s="16">
        <f>IF(OR(C22="",D22=""),"",D22-C22)</f>
        <v/>
      </c>
      <c r="F22" s="8" t="n"/>
      <c r="G22" s="8" t="n"/>
    </row>
    <row r="23"/>
    <row r="24">
      <c r="A24" s="24" t="inlineStr">
        <is>
          <t>C. Subsequent reversal and payment (Library Procedure 10)</t>
        </is>
      </c>
    </row>
    <row r="25" ht="33" customHeight="1">
      <c r="A25" s="14" t="inlineStr">
        <is>
          <t>Accrual</t>
        </is>
      </c>
      <c r="B25" s="14" t="inlineStr">
        <is>
          <t>Reversal Date</t>
        </is>
      </c>
      <c r="C25" s="14" t="inlineStr">
        <is>
          <t>Reversal JE Ref</t>
        </is>
      </c>
      <c r="D25" s="14" t="inlineStr">
        <is>
          <t>Subsequent Payment Date</t>
        </is>
      </c>
      <c r="E25" s="14" t="inlineStr">
        <is>
          <t>Amount Paid</t>
        </is>
      </c>
      <c r="F25" s="14" t="inlineStr">
        <is>
          <t>Agreed to bank? (Y/N)</t>
        </is>
      </c>
      <c r="G25" s="14" t="inlineStr">
        <is>
          <t>Notes — exceptions only</t>
        </is>
      </c>
    </row>
    <row r="26">
      <c r="A26" s="8" t="n"/>
      <c r="B26" s="8" t="n"/>
      <c r="C26" s="8" t="n"/>
      <c r="D26" s="8" t="n"/>
      <c r="E26" s="16" t="n"/>
      <c r="F26" s="8" t="n"/>
      <c r="G26" s="8" t="n"/>
    </row>
    <row r="27">
      <c r="A27" s="8" t="n"/>
      <c r="B27" s="8" t="n"/>
      <c r="C27" s="8" t="n"/>
      <c r="D27" s="8" t="n"/>
      <c r="E27" s="16" t="n"/>
      <c r="F27" s="8" t="n"/>
      <c r="G27" s="8" t="n"/>
    </row>
    <row r="28">
      <c r="A28" s="8" t="n"/>
      <c r="B28" s="8" t="n"/>
      <c r="C28" s="8" t="n"/>
      <c r="D28" s="8" t="n"/>
      <c r="E28" s="16" t="n"/>
      <c r="F28" s="8" t="n"/>
      <c r="G28" s="8" t="n"/>
    </row>
    <row r="29"/>
    <row r="30">
      <c r="A30" s="20" t="inlineStr">
        <is>
          <t>TM Legends</t>
        </is>
      </c>
    </row>
    <row r="31" ht="15" customHeight="1">
      <c r="A31" s="21" t="inlineStr">
        <is>
          <t>R</t>
        </is>
      </c>
      <c r="B31" s="8" t="inlineStr">
        <is>
          <t>Recalculated independently</t>
        </is>
      </c>
      <c r="C31" s="27" t="n"/>
      <c r="D31" s="27" t="n"/>
      <c r="E31" s="27" t="n"/>
      <c r="F31" s="27" t="n"/>
      <c r="G31" s="27" t="n"/>
      <c r="H31" s="27" t="n"/>
      <c r="I31" s="27" t="n"/>
      <c r="J31" s="28" t="n"/>
    </row>
    <row r="32" ht="15" customHeight="1">
      <c r="A32" s="21" t="inlineStr">
        <is>
          <t>GL</t>
        </is>
      </c>
      <c r="B32" s="8" t="inlineStr">
        <is>
          <t>Agreed to general ledger</t>
        </is>
      </c>
      <c r="C32" s="27" t="n"/>
      <c r="D32" s="27" t="n"/>
      <c r="E32" s="27" t="n"/>
      <c r="F32" s="27" t="n"/>
      <c r="G32" s="27" t="n"/>
      <c r="H32" s="27" t="n"/>
      <c r="I32" s="27" t="n"/>
      <c r="J32" s="28" t="n"/>
    </row>
    <row r="33" ht="15" customHeight="1">
      <c r="A33" s="21" t="inlineStr">
        <is>
          <t>BS</t>
        </is>
      </c>
      <c r="B33" s="8" t="inlineStr">
        <is>
          <t>Agreed to bank statement</t>
        </is>
      </c>
      <c r="C33" s="27" t="n"/>
      <c r="D33" s="27" t="n"/>
      <c r="E33" s="27" t="n"/>
      <c r="F33" s="27" t="n"/>
      <c r="G33" s="27" t="n"/>
      <c r="H33" s="27" t="n"/>
      <c r="I33" s="27" t="n"/>
      <c r="J33" s="28" t="n"/>
    </row>
    <row r="34" ht="15" customHeight="1">
      <c r="A34" s="21" t="inlineStr">
        <is>
          <t>V</t>
        </is>
      </c>
      <c r="B34" s="8" t="inlineStr">
        <is>
          <t>Vouched to source document</t>
        </is>
      </c>
      <c r="C34" s="27" t="n"/>
      <c r="D34" s="27" t="n"/>
      <c r="E34" s="27" t="n"/>
      <c r="F34" s="27" t="n"/>
      <c r="G34" s="27" t="n"/>
      <c r="H34" s="27" t="n"/>
      <c r="I34" s="27" t="n"/>
      <c r="J34" s="28" t="n"/>
    </row>
    <row r="35" ht="15" customHeight="1">
      <c r="A35" s="21" t="inlineStr">
        <is>
          <t>F</t>
        </is>
      </c>
      <c r="B35" s="8" t="inlineStr">
        <is>
          <t>Footed</t>
        </is>
      </c>
      <c r="C35" s="27" t="n"/>
      <c r="D35" s="27" t="n"/>
      <c r="E35" s="27" t="n"/>
      <c r="F35" s="27" t="n"/>
      <c r="G35" s="27" t="n"/>
      <c r="H35" s="27" t="n"/>
      <c r="I35" s="27" t="n"/>
      <c r="J35" s="28" t="n"/>
    </row>
    <row r="36"/>
    <row r="37" ht="51.75" customHeight="1">
      <c r="A37" s="1" t="inlineStr">
        <is>
          <t>Before sign-off complete Library Procedures 9-10. Daily payroll = gross wages for the straddling pay period / working (or calendar) days in that period, consistent with the entity's accrual convention — state which. Days accrued = working days from the last pay period end through the balance-sheet date.</t>
        </is>
      </c>
    </row>
  </sheetData>
  <mergeCells count="9">
    <mergeCell ref="B33:J33"/>
    <mergeCell ref="A37:J37"/>
    <mergeCell ref="B5:J5"/>
    <mergeCell ref="B34:J34"/>
    <mergeCell ref="B32:J32"/>
    <mergeCell ref="B31:J31"/>
    <mergeCell ref="B35:J35"/>
    <mergeCell ref="B4:J4"/>
    <mergeCell ref="B6:J6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zoomScale="85" zoomScaleNormal="100" workbookViewId="0">
      <pane ySplit="1" topLeftCell="A2" activePane="bottomLeft" state="frozen"/>
      <selection pane="bottomLeft" activeCell="A3" sqref="A3"/>
    </sheetView>
  </sheetViews>
  <sheetFormatPr baseColWidth="8" defaultColWidth="8.6328125" defaultRowHeight="14.5"/>
  <cols>
    <col width="40" customWidth="1" min="1" max="1"/>
    <col width="16" customWidth="1" min="2" max="2"/>
    <col width="26" customWidth="1" min="3" max="3"/>
    <col width="13" customWidth="1" min="4" max="5"/>
    <col width="12" customWidth="1" min="6" max="6"/>
    <col width="14" customWidth="1" min="7" max="7"/>
  </cols>
  <sheetData>
    <row r="1" ht="17.5" customHeight="1">
      <c r="A1" s="4" t="inlineStr">
        <is>
          <t>Payroll Analytics</t>
        </is>
      </c>
    </row>
    <row r="2">
      <c r="A2" s="11" t="inlineStr">
        <is>
          <t>Client / Entity</t>
        </is>
      </c>
      <c r="B2" s="12" t="inlineStr">
        <is>
          <t>[Client / Entity]</t>
        </is>
      </c>
      <c r="D2" s="11" t="inlineStr">
        <is>
          <t>Year-End</t>
        </is>
      </c>
      <c r="E2" s="12" t="inlineStr">
        <is>
          <t>[YYYY-MM-DD]</t>
        </is>
      </c>
      <c r="G2" s="11" t="inlineStr">
        <is>
          <t>Currency</t>
        </is>
      </c>
      <c r="H2" s="12" t="inlineStr">
        <is>
          <t>[CCY]</t>
        </is>
      </c>
    </row>
    <row r="3">
      <c r="A3" s="11" t="inlineStr">
        <is>
          <t>Performance Materiality</t>
        </is>
      </c>
      <c r="B3" s="12" t="inlineStr">
        <is>
          <t>[PM]</t>
        </is>
      </c>
      <c r="D3" s="11" t="n"/>
      <c r="E3" s="12" t="n"/>
    </row>
    <row r="4" ht="22.4" customHeight="1">
      <c r="A4" s="13" t="inlineStr">
        <is>
          <t>Purpose:</t>
        </is>
      </c>
      <c r="B4" s="8" t="inlineStr">
        <is>
          <t>Develop an independent expectation of payroll expense from headcount and average pay, compare to the recorded amount, and investigate differences above the threshold before corroborating explanations.</t>
        </is>
      </c>
      <c r="C4" s="27" t="n"/>
      <c r="D4" s="27" t="n"/>
      <c r="E4" s="27" t="n"/>
      <c r="F4" s="27" t="n"/>
      <c r="G4" s="28" t="n"/>
    </row>
    <row r="5" ht="15" customHeight="1">
      <c r="A5" s="13" t="inlineStr">
        <is>
          <t>Scope:</t>
        </is>
      </c>
      <c r="B5" s="8" t="inlineStr">
        <is>
          <t>Total payroll expense per the lead sheet &lt;.1&gt;; employer payroll taxes; monthly trend.</t>
        </is>
      </c>
      <c r="C5" s="27" t="n"/>
      <c r="D5" s="27" t="n"/>
      <c r="E5" s="27" t="n"/>
      <c r="F5" s="27" t="n"/>
      <c r="G5" s="28" t="n"/>
    </row>
    <row r="6" ht="15" customHeight="1">
      <c r="A6" s="13" t="inlineStr">
        <is>
          <t>Assertions:</t>
        </is>
      </c>
      <c r="B6" s="8" t="inlineStr">
        <is>
          <t>Completeness; Occurrence; Accuracy</t>
        </is>
      </c>
      <c r="C6" s="27" t="n"/>
      <c r="D6" s="27" t="n"/>
      <c r="E6" s="27" t="n"/>
      <c r="F6" s="27" t="n"/>
      <c r="G6" s="28" t="n"/>
    </row>
    <row r="7" ht="15" customHeight="1">
      <c r="A7" s="25" t="n"/>
      <c r="B7" s="26" t="n"/>
      <c r="C7" s="26" t="n"/>
      <c r="D7" s="26" t="n"/>
      <c r="E7" s="26" t="n"/>
      <c r="F7" s="26" t="n"/>
      <c r="G7" s="26" t="n"/>
    </row>
    <row r="8">
      <c r="A8" s="24" t="inlineStr">
        <is>
          <t>A. Expectation model (Library Procedure 11)</t>
        </is>
      </c>
    </row>
    <row r="9">
      <c r="A9" s="14" t="inlineStr">
        <is>
          <t>Model Component</t>
        </is>
      </c>
      <c r="B9" s="14" t="inlineStr">
        <is>
          <t>Amount / Value</t>
        </is>
      </c>
      <c r="C9" s="14" t="inlineStr">
        <is>
          <t>TM / Source</t>
        </is>
      </c>
    </row>
    <row r="10">
      <c r="A10" s="8" t="inlineStr">
        <is>
          <t>Headcount at start of period</t>
        </is>
      </c>
      <c r="B10" s="16" t="n"/>
      <c r="C10" s="10" t="inlineStr">
        <is>
          <t>[payroll register month 1]</t>
        </is>
      </c>
    </row>
    <row r="11">
      <c r="A11" s="8" t="inlineStr">
        <is>
          <t>Net headcount change during period</t>
        </is>
      </c>
      <c r="B11" s="16" t="n"/>
      <c r="C11" s="10" t="inlineStr">
        <is>
          <t>[registers / HR listing]</t>
        </is>
      </c>
    </row>
    <row r="12">
      <c r="A12" s="8" t="inlineStr">
        <is>
          <t>Headcount at end of period</t>
        </is>
      </c>
      <c r="B12" s="16">
        <f>IF(OR(B10="",B11=""),"",B10+B11)</f>
        <v/>
      </c>
      <c r="C12" s="10" t="inlineStr">
        <is>
          <t>R</t>
        </is>
      </c>
    </row>
    <row r="13">
      <c r="A13" s="8" t="inlineStr">
        <is>
          <t>Average headcount</t>
        </is>
      </c>
      <c r="B13" s="16">
        <f>IF(OR(B10="",B12=""),"",(B10+B12)/2)</f>
        <v/>
      </c>
      <c r="C13" s="10" t="inlineStr">
        <is>
          <t>R</t>
        </is>
      </c>
    </row>
    <row r="14">
      <c r="A14" s="8" t="inlineStr">
        <is>
          <t>Average gross pay per head per month</t>
        </is>
      </c>
      <c r="B14" s="16" t="n"/>
      <c r="C14" s="10" t="inlineStr">
        <is>
          <t>[month-1 register / total]</t>
        </is>
      </c>
    </row>
    <row r="15">
      <c r="A15" s="8" t="inlineStr">
        <is>
          <t>Average increment %</t>
        </is>
      </c>
      <c r="B15" s="16" t="n"/>
      <c r="C15" s="10" t="inlineStr">
        <is>
          <t>[HR increment letter / policy]</t>
        </is>
      </c>
    </row>
    <row r="16">
      <c r="A16" s="8" t="inlineStr">
        <is>
          <t>Months at incremented rate</t>
        </is>
      </c>
      <c r="B16" s="16" t="n"/>
      <c r="C16" s="10" t="inlineStr">
        <is>
          <t>[effective month]</t>
        </is>
      </c>
    </row>
    <row r="17">
      <c r="A17" s="8" t="inlineStr">
        <is>
          <t>Expected payroll before adjustments</t>
        </is>
      </c>
      <c r="B17" s="16">
        <f>IF(OR(B13="",B14="",B16=""),"",ROUND(B13*B14*(12-B16)+B13*B14*(1+IF(B15="",0,B15))*B16,2))</f>
        <v/>
      </c>
      <c r="C17" s="10" t="inlineStr">
        <is>
          <t>R</t>
        </is>
      </c>
    </row>
    <row r="18">
      <c r="A18" s="8" t="inlineStr">
        <is>
          <t>One-off adjustments (severance, bonus, other) +/-</t>
        </is>
      </c>
      <c r="B18" s="16" t="n"/>
      <c r="C18" s="10" t="inlineStr">
        <is>
          <t>[support ref]</t>
        </is>
      </c>
    </row>
    <row r="19">
      <c r="A19" s="8" t="inlineStr">
        <is>
          <t>Total expected payroll expense</t>
        </is>
      </c>
      <c r="B19" s="16">
        <f>IF(B17="","",B17+IF(B18="",0,B18))</f>
        <v/>
      </c>
      <c r="C19" s="10" t="inlineStr">
        <is>
          <t>R</t>
        </is>
      </c>
    </row>
    <row r="20">
      <c r="A20" s="8" t="inlineStr">
        <is>
          <t>Payroll expense per GL / lead sheet &lt;.1&gt;</t>
        </is>
      </c>
      <c r="B20" s="16" t="n"/>
      <c r="C20" s="10" t="inlineStr">
        <is>
          <t>TB</t>
        </is>
      </c>
    </row>
    <row r="21">
      <c r="A21" s="8" t="inlineStr">
        <is>
          <t>Difference</t>
        </is>
      </c>
      <c r="B21" s="16">
        <f>IF(OR(B19="",B20=""),"",B20-B19)</f>
        <v/>
      </c>
      <c r="C21" s="10" t="inlineStr">
        <is>
          <t>R</t>
        </is>
      </c>
    </row>
    <row r="22">
      <c r="A22" s="8" t="inlineStr">
        <is>
          <t>Threshold for investigation</t>
        </is>
      </c>
      <c r="B22" s="16" t="n"/>
      <c r="C22" s="10" t="inlineStr">
        <is>
          <t>[input]</t>
        </is>
      </c>
    </row>
    <row r="23">
      <c r="A23" s="8" t="inlineStr">
        <is>
          <t>Difference within threshold?</t>
        </is>
      </c>
      <c r="B23" s="16">
        <f>IF(OR(B21="",B22=""),"",IF(ABS(B21)&lt;=B22,"Yes","No"))</f>
        <v/>
      </c>
      <c r="C23" s="10" t="inlineStr">
        <is>
          <t>R</t>
        </is>
      </c>
    </row>
    <row r="24"/>
    <row r="25">
      <c r="A25" s="24" t="inlineStr">
        <is>
          <t>B. Employer payroll-tax reasonableness (Library Procedure 12)</t>
        </is>
      </c>
    </row>
    <row r="26" ht="22" customHeight="1">
      <c r="A26" s="14" t="inlineStr">
        <is>
          <t>Tax Type</t>
        </is>
      </c>
      <c r="B26" s="14" t="inlineStr">
        <is>
          <t>Taxable Wage Base</t>
        </is>
      </c>
      <c r="C26" s="14" t="inlineStr">
        <is>
          <t>Statutory Rate %</t>
        </is>
      </c>
      <c r="D26" s="14" t="inlineStr">
        <is>
          <t>Expected Tax</t>
        </is>
      </c>
      <c r="E26" s="14" t="inlineStr">
        <is>
          <t>Per GL</t>
        </is>
      </c>
      <c r="F26" s="14" t="inlineStr">
        <is>
          <t>Difference</t>
        </is>
      </c>
      <c r="G26" s="14" t="inlineStr">
        <is>
          <t>Within threshold?</t>
        </is>
      </c>
    </row>
    <row r="27">
      <c r="A27" s="8" t="n"/>
      <c r="B27" s="16" t="n"/>
      <c r="C27" s="8" t="n"/>
      <c r="D27" s="16">
        <f>IF(OR(B27="",C27=""),"",ROUND(B27*C27,2))</f>
        <v/>
      </c>
      <c r="E27" s="16" t="n"/>
      <c r="F27" s="16">
        <f>IF(OR(D27="",E27=""),"",E27-D27)</f>
        <v/>
      </c>
      <c r="G27" s="8">
        <f>IF(F27="","",IF(ABS(F27)&lt;=IF(ISNUMBER($E$3),$E$3,0),"Yes","No"))</f>
        <v/>
      </c>
    </row>
    <row r="28">
      <c r="A28" s="8" t="n"/>
      <c r="B28" s="16" t="n"/>
      <c r="C28" s="8" t="n"/>
      <c r="D28" s="16">
        <f>IF(OR(B28="",C28=""),"",ROUND(B28*C28,2))</f>
        <v/>
      </c>
      <c r="E28" s="16" t="n"/>
      <c r="F28" s="16">
        <f>IF(OR(D28="",E28=""),"",E28-D28)</f>
        <v/>
      </c>
      <c r="G28" s="8">
        <f>IF(F28="","",IF(ABS(F28)&lt;=IF(ISNUMBER($E$3),$E$3,0),"Yes","No"))</f>
        <v/>
      </c>
    </row>
    <row r="29">
      <c r="A29" s="8" t="n"/>
      <c r="B29" s="16" t="n"/>
      <c r="C29" s="8" t="n"/>
      <c r="D29" s="16">
        <f>IF(OR(B29="",C29=""),"",ROUND(B29*C29,2))</f>
        <v/>
      </c>
      <c r="E29" s="16" t="n"/>
      <c r="F29" s="16">
        <f>IF(OR(D29="",E29=""),"",E29-D29)</f>
        <v/>
      </c>
      <c r="G29" s="8">
        <f>IF(F29="","",IF(ABS(F29)&lt;=IF(ISNUMBER($E$3),$E$3,0),"Yes","No"))</f>
        <v/>
      </c>
    </row>
    <row r="30">
      <c r="A30" s="8" t="n"/>
      <c r="B30" s="16" t="n"/>
      <c r="C30" s="8" t="n"/>
      <c r="D30" s="16">
        <f>IF(OR(B30="",C30=""),"",ROUND(B30*C30,2))</f>
        <v/>
      </c>
      <c r="E30" s="16" t="n"/>
      <c r="F30" s="16">
        <f>IF(OR(D30="",E30=""),"",E30-D30)</f>
        <v/>
      </c>
      <c r="G30" s="8">
        <f>IF(F30="","",IF(ABS(F30)&lt;=IF(ISNUMBER($E$3),$E$3,0),"Yes","No"))</f>
        <v/>
      </c>
    </row>
    <row r="31"/>
    <row r="32">
      <c r="A32" s="20" t="inlineStr">
        <is>
          <t>C. Monthly trend (Library Procedure 12)</t>
        </is>
      </c>
    </row>
    <row r="33" ht="22" customHeight="1">
      <c r="A33" s="14" t="inlineStr">
        <is>
          <t>Month</t>
        </is>
      </c>
      <c r="B33" s="14" t="inlineStr">
        <is>
          <t>Gross Payroll per GL</t>
        </is>
      </c>
      <c r="C33" s="14" t="inlineStr">
        <is>
          <t>Headcount</t>
        </is>
      </c>
      <c r="D33" s="14" t="inlineStr">
        <is>
          <t>Cost per Head</t>
        </is>
      </c>
      <c r="E33" s="14" t="inlineStr">
        <is>
          <t>Notes</t>
        </is>
      </c>
    </row>
    <row r="34">
      <c r="A34" s="8" t="n"/>
      <c r="B34" s="16" t="n"/>
      <c r="C34" s="8" t="n"/>
      <c r="D34" s="16">
        <f>IF(OR(B34="",C34="",C34=0),"",ROUND(B34/C34,2))</f>
        <v/>
      </c>
      <c r="E34" s="8" t="n"/>
    </row>
    <row r="35">
      <c r="A35" s="8" t="n"/>
      <c r="B35" s="16" t="n"/>
      <c r="C35" s="8" t="n"/>
      <c r="D35" s="16">
        <f>IF(OR(B35="",C35="",C35=0),"",ROUND(B35/C35,2))</f>
        <v/>
      </c>
      <c r="E35" s="8" t="n"/>
    </row>
    <row r="36">
      <c r="A36" s="8" t="n"/>
      <c r="B36" s="16" t="n"/>
      <c r="C36" s="8" t="n"/>
      <c r="D36" s="16">
        <f>IF(OR(B36="",C36="",C36=0),"",ROUND(B36/C36,2))</f>
        <v/>
      </c>
      <c r="E36" s="8" t="n"/>
    </row>
    <row r="37">
      <c r="A37" s="8" t="n"/>
      <c r="B37" s="16" t="n"/>
      <c r="C37" s="8" t="n"/>
      <c r="D37" s="16">
        <f>IF(OR(B37="",C37="",C37=0),"",ROUND(B37/C37,2))</f>
        <v/>
      </c>
      <c r="E37" s="8" t="n"/>
    </row>
    <row r="38">
      <c r="A38" s="8" t="n"/>
      <c r="B38" s="16" t="n"/>
      <c r="C38" s="8" t="n"/>
      <c r="D38" s="16">
        <f>IF(OR(B38="",C38="",C38=0),"",ROUND(B38/C38,2))</f>
        <v/>
      </c>
      <c r="E38" s="8" t="n"/>
    </row>
    <row r="39">
      <c r="A39" s="8" t="n"/>
      <c r="B39" s="16" t="n"/>
      <c r="C39" s="8" t="n"/>
      <c r="D39" s="16">
        <f>IF(OR(B39="",C39="",C39=0),"",ROUND(B39/C39,2))</f>
        <v/>
      </c>
      <c r="E39" s="8" t="n"/>
    </row>
    <row r="40">
      <c r="A40" s="8" t="n"/>
      <c r="B40" s="16" t="n"/>
      <c r="C40" s="8" t="n"/>
      <c r="D40" s="16">
        <f>IF(OR(B40="",C40="",C40=0),"",ROUND(B40/C40,2))</f>
        <v/>
      </c>
      <c r="E40" s="8" t="n"/>
    </row>
    <row r="41">
      <c r="A41" s="8" t="n"/>
      <c r="B41" s="16" t="n"/>
      <c r="C41" s="8" t="n"/>
      <c r="D41" s="16">
        <f>IF(OR(B41="",C41="",C41=0),"",ROUND(B41/C41,2))</f>
        <v/>
      </c>
      <c r="E41" s="8" t="n"/>
    </row>
    <row r="42">
      <c r="A42" s="8" t="n"/>
      <c r="B42" s="16" t="n"/>
      <c r="C42" s="8" t="n"/>
      <c r="D42" s="16">
        <f>IF(OR(B42="",C42="",C42=0),"",ROUND(B42/C42,2))</f>
        <v/>
      </c>
      <c r="E42" s="8" t="n"/>
    </row>
    <row r="43">
      <c r="A43" s="8" t="n"/>
      <c r="B43" s="16" t="n"/>
      <c r="C43" s="8" t="n"/>
      <c r="D43" s="16">
        <f>IF(OR(B43="",C43="",C43=0),"",ROUND(B43/C43,2))</f>
        <v/>
      </c>
      <c r="E43" s="8" t="n"/>
    </row>
    <row r="44">
      <c r="A44" s="8" t="n"/>
      <c r="B44" s="16" t="n"/>
      <c r="C44" s="8" t="n"/>
      <c r="D44" s="16">
        <f>IF(OR(B44="",C44="",C44=0),"",ROUND(B44/C44,2))</f>
        <v/>
      </c>
      <c r="E44" s="8" t="n"/>
    </row>
    <row r="45">
      <c r="A45" s="8" t="n"/>
      <c r="B45" s="16" t="n"/>
      <c r="C45" s="8" t="n"/>
      <c r="D45" s="16">
        <f>IF(OR(B45="",C45="",C45=0),"",ROUND(B45/C45,2))</f>
        <v/>
      </c>
      <c r="E45" s="8" t="n"/>
    </row>
    <row r="46">
      <c r="A46" s="18" t="inlineStr">
        <is>
          <t>Total</t>
        </is>
      </c>
      <c r="B46" s="19">
        <f>SUM(B34:B45)</f>
        <v/>
      </c>
      <c r="C46" s="18" t="n"/>
      <c r="D46" s="18" t="n"/>
      <c r="E46" s="18" t="n"/>
    </row>
    <row r="47"/>
    <row r="48">
      <c r="A48" s="20" t="inlineStr">
        <is>
          <t>TM Legends</t>
        </is>
      </c>
    </row>
    <row r="49" ht="15" customHeight="1">
      <c r="A49" s="21" t="inlineStr">
        <is>
          <t>R</t>
        </is>
      </c>
      <c r="B49" s="8" t="inlineStr">
        <is>
          <t>Recalculated independently</t>
        </is>
      </c>
      <c r="C49" s="27" t="n"/>
      <c r="D49" s="27" t="n"/>
      <c r="E49" s="27" t="n"/>
      <c r="F49" s="27" t="n"/>
      <c r="G49" s="28" t="n"/>
    </row>
    <row r="50" ht="15" customHeight="1">
      <c r="A50" s="21" t="inlineStr">
        <is>
          <t>TB</t>
        </is>
      </c>
      <c r="B50" s="8" t="inlineStr">
        <is>
          <t>Agreed to trial balance / lead sheet</t>
        </is>
      </c>
      <c r="C50" s="27" t="n"/>
      <c r="D50" s="27" t="n"/>
      <c r="E50" s="27" t="n"/>
      <c r="F50" s="27" t="n"/>
      <c r="G50" s="28" t="n"/>
    </row>
    <row r="51" ht="15" customHeight="1">
      <c r="A51" s="21" t="inlineStr">
        <is>
          <t>A</t>
        </is>
      </c>
      <c r="B51" s="8" t="inlineStr">
        <is>
          <t>Agreed to payroll register / HR listing</t>
        </is>
      </c>
      <c r="C51" s="27" t="n"/>
      <c r="D51" s="27" t="n"/>
      <c r="E51" s="27" t="n"/>
      <c r="F51" s="27" t="n"/>
      <c r="G51" s="28" t="n"/>
    </row>
    <row r="52" ht="15" customHeight="1">
      <c r="A52" s="21" t="inlineStr">
        <is>
          <t>F</t>
        </is>
      </c>
      <c r="B52" s="8" t="inlineStr">
        <is>
          <t>Footed</t>
        </is>
      </c>
      <c r="C52" s="27" t="n"/>
      <c r="D52" s="27" t="n"/>
      <c r="E52" s="27" t="n"/>
      <c r="F52" s="27" t="n"/>
      <c r="G52" s="28" t="n"/>
    </row>
    <row r="53"/>
    <row r="54" ht="39.75" customHeight="1">
      <c r="A54" s="1" t="inlineStr">
        <is>
          <t>Before sign-off complete Library Procedures 11-12. Set the threshold before comparing; differences above it must be investigated with corroborated explanations, not inquiry alone.</t>
        </is>
      </c>
    </row>
  </sheetData>
  <mergeCells count="8">
    <mergeCell ref="B51:G51"/>
    <mergeCell ref="B5:G5"/>
    <mergeCell ref="B49:G49"/>
    <mergeCell ref="B4:G4"/>
    <mergeCell ref="A54:G54"/>
    <mergeCell ref="B50:G50"/>
    <mergeCell ref="B52:G52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zoomScale="85" zoomScaleNormal="100" workbookViewId="0">
      <pane ySplit="1" topLeftCell="A2" activePane="bottomLeft" state="frozen"/>
      <selection pane="bottomLeft" activeCell="D3" sqref="D3:E3"/>
    </sheetView>
  </sheetViews>
  <sheetFormatPr baseColWidth="8" defaultColWidth="8.6328125" defaultRowHeight="14.5"/>
  <cols>
    <col width="13.1796875" customWidth="1" min="1" max="1"/>
    <col width="24" customWidth="1" min="2" max="2"/>
    <col width="14.6328125" customWidth="1" min="3" max="3"/>
    <col width="24" customWidth="1" min="4" max="4"/>
    <col width="28" customWidth="1" min="5" max="5"/>
    <col width="14" customWidth="1" min="6" max="6"/>
    <col width="16" customWidth="1" min="7" max="8"/>
    <col width="22" customWidth="1" min="9" max="9"/>
  </cols>
  <sheetData>
    <row r="1" ht="17.5" customHeight="1">
      <c r="A1" s="4" t="inlineStr">
        <is>
          <t>Payroll Allocation &amp; Classification</t>
        </is>
      </c>
    </row>
    <row r="2">
      <c r="A2" s="11" t="inlineStr">
        <is>
          <t>Client / Entity</t>
        </is>
      </c>
      <c r="B2" s="12" t="inlineStr">
        <is>
          <t>[Client / Entity]</t>
        </is>
      </c>
      <c r="D2" s="11" t="inlineStr">
        <is>
          <t>Year-End</t>
        </is>
      </c>
      <c r="E2" s="12" t="inlineStr">
        <is>
          <t>[YYYY-MM-DD]</t>
        </is>
      </c>
      <c r="G2" s="11" t="inlineStr">
        <is>
          <t>Currency</t>
        </is>
      </c>
      <c r="H2" s="12" t="inlineStr">
        <is>
          <t>[CCY]</t>
        </is>
      </c>
    </row>
    <row r="3">
      <c r="A3" s="11" t="inlineStr">
        <is>
          <t>Performance Materiality</t>
        </is>
      </c>
      <c r="B3" s="12" t="inlineStr">
        <is>
          <t>[PM]</t>
        </is>
      </c>
      <c r="D3" s="11" t="n"/>
      <c r="E3" s="12" t="n"/>
    </row>
    <row r="4" ht="15" customHeight="1">
      <c r="A4" s="13" t="inlineStr">
        <is>
          <t>Purpose:</t>
        </is>
      </c>
      <c r="B4" s="8" t="inlineStr">
        <is>
          <t>Test that employees are coded to the correct department per HR records and that the payroll allocation used for costing and classification reperforms.</t>
        </is>
      </c>
      <c r="C4" s="27" t="n"/>
      <c r="D4" s="27" t="n"/>
      <c r="E4" s="27" t="n"/>
      <c r="F4" s="27" t="n"/>
      <c r="G4" s="27" t="n"/>
      <c r="H4" s="27" t="n"/>
      <c r="I4" s="28" t="n"/>
    </row>
    <row r="5" ht="15" customHeight="1">
      <c r="A5" s="13" t="inlineStr">
        <is>
          <t>Scope:</t>
        </is>
      </c>
      <c r="B5" s="8" t="inlineStr">
        <is>
          <t>Allocation of total payroll cost among direct labor, manufacturing overhead, SG&amp;A and capitalized labor (inventory / fixed assets).</t>
        </is>
      </c>
      <c r="C5" s="27" t="n"/>
      <c r="D5" s="27" t="n"/>
      <c r="E5" s="27" t="n"/>
      <c r="F5" s="27" t="n"/>
      <c r="G5" s="27" t="n"/>
      <c r="H5" s="27" t="n"/>
      <c r="I5" s="28" t="n"/>
    </row>
    <row r="6" ht="15" customHeight="1">
      <c r="A6" s="13" t="inlineStr">
        <is>
          <t>Assertions:</t>
        </is>
      </c>
      <c r="B6" s="8" t="inlineStr">
        <is>
          <t>Classification; Accuracy; Valuation &amp; Allocation</t>
        </is>
      </c>
      <c r="C6" s="27" t="n"/>
      <c r="D6" s="27" t="n"/>
      <c r="E6" s="27" t="n"/>
      <c r="F6" s="27" t="n"/>
      <c r="G6" s="27" t="n"/>
      <c r="H6" s="27" t="n"/>
      <c r="I6" s="28" t="n"/>
    </row>
    <row r="7" ht="15" customHeight="1">
      <c r="A7" s="25" t="n"/>
      <c r="B7" s="26" t="n"/>
      <c r="C7" s="26" t="n"/>
      <c r="D7" s="26" t="n"/>
      <c r="E7" s="26" t="n"/>
      <c r="F7" s="26" t="n"/>
      <c r="G7" s="26" t="n"/>
      <c r="H7" s="26" t="n"/>
      <c r="I7" s="26" t="n"/>
    </row>
    <row r="8">
      <c r="A8" s="24" t="inlineStr">
        <is>
          <t>A. Employee / department coding selections (Library Procedure 13)</t>
        </is>
      </c>
    </row>
    <row r="9" ht="33" customHeight="1">
      <c r="A9" s="14" t="inlineStr">
        <is>
          <t>Sample #</t>
        </is>
      </c>
      <c r="B9" s="14" t="inlineStr">
        <is>
          <t>Employee / Department</t>
        </is>
      </c>
      <c r="C9" s="14" t="inlineStr">
        <is>
          <t>Home Dept Code</t>
        </is>
      </c>
      <c r="D9" s="14" t="inlineStr">
        <is>
          <t>Department Description</t>
        </is>
      </c>
      <c r="E9" s="14" t="inlineStr">
        <is>
          <t>Classification (Direct Labor / Mfg OH / SG&amp;A / Capitalized)</t>
        </is>
      </c>
      <c r="F9" s="14" t="inlineStr">
        <is>
          <t>Amount</t>
        </is>
      </c>
      <c r="G9" s="14" t="inlineStr">
        <is>
          <t>Coding agreed to HR records? (Y/N)</t>
        </is>
      </c>
      <c r="H9" s="14" t="inlineStr">
        <is>
          <t>Allocation reperformed and ties? (Y/N)</t>
        </is>
      </c>
      <c r="I9" s="14" t="inlineStr">
        <is>
          <t>Notes — exceptions only</t>
        </is>
      </c>
    </row>
    <row r="10">
      <c r="F10" s="15" t="inlineStr">
        <is>
          <t>PBC</t>
        </is>
      </c>
      <c r="G10" s="15" t="inlineStr">
        <is>
          <t>V</t>
        </is>
      </c>
      <c r="H10" s="15" t="inlineStr">
        <is>
          <t>R</t>
        </is>
      </c>
    </row>
    <row r="11">
      <c r="A11" s="9" t="n">
        <v>1</v>
      </c>
      <c r="B11" s="8" t="n"/>
      <c r="C11" s="8" t="n"/>
      <c r="D11" s="8" t="n"/>
      <c r="E11" s="8" t="n"/>
      <c r="F11" s="16" t="n"/>
      <c r="G11" s="8" t="n"/>
      <c r="H11" s="8" t="n"/>
      <c r="I11" s="8" t="n"/>
    </row>
    <row r="12">
      <c r="A12" s="9" t="n">
        <v>2</v>
      </c>
      <c r="B12" s="8" t="n"/>
      <c r="C12" s="8" t="n"/>
      <c r="D12" s="8" t="n"/>
      <c r="E12" s="8" t="n"/>
      <c r="F12" s="16" t="n"/>
      <c r="G12" s="8" t="n"/>
      <c r="H12" s="8" t="n"/>
      <c r="I12" s="8" t="n"/>
    </row>
    <row r="13">
      <c r="A13" s="9" t="n">
        <v>3</v>
      </c>
      <c r="B13" s="8" t="n"/>
      <c r="C13" s="8" t="n"/>
      <c r="D13" s="8" t="n"/>
      <c r="E13" s="8" t="n"/>
      <c r="F13" s="16" t="n"/>
      <c r="G13" s="8" t="n"/>
      <c r="H13" s="8" t="n"/>
      <c r="I13" s="8" t="n"/>
    </row>
    <row r="14">
      <c r="A14" s="9" t="n">
        <v>4</v>
      </c>
      <c r="B14" s="8" t="n"/>
      <c r="C14" s="8" t="n"/>
      <c r="D14" s="8" t="n"/>
      <c r="E14" s="8" t="n"/>
      <c r="F14" s="16" t="n"/>
      <c r="G14" s="8" t="n"/>
      <c r="H14" s="8" t="n"/>
      <c r="I14" s="8" t="n"/>
    </row>
    <row r="15">
      <c r="A15" s="9" t="n">
        <v>5</v>
      </c>
      <c r="B15" s="8" t="n"/>
      <c r="C15" s="8" t="n"/>
      <c r="D15" s="8" t="n"/>
      <c r="E15" s="8" t="n"/>
      <c r="F15" s="16" t="n"/>
      <c r="G15" s="8" t="n"/>
      <c r="H15" s="8" t="n"/>
      <c r="I15" s="8" t="n"/>
    </row>
    <row r="16">
      <c r="A16" s="9" t="n">
        <v>6</v>
      </c>
      <c r="B16" s="8" t="n"/>
      <c r="C16" s="8" t="n"/>
      <c r="D16" s="8" t="n"/>
      <c r="E16" s="8" t="n"/>
      <c r="F16" s="16" t="n"/>
      <c r="G16" s="8" t="n"/>
      <c r="H16" s="8" t="n"/>
      <c r="I16" s="8" t="n"/>
    </row>
    <row r="17">
      <c r="A17" s="9" t="n">
        <v>7</v>
      </c>
      <c r="B17" s="8" t="n"/>
      <c r="C17" s="8" t="n"/>
      <c r="D17" s="8" t="n"/>
      <c r="E17" s="8" t="n"/>
      <c r="F17" s="16" t="n"/>
      <c r="G17" s="8" t="n"/>
      <c r="H17" s="8" t="n"/>
      <c r="I17" s="8" t="n"/>
    </row>
    <row r="18">
      <c r="A18" s="9" t="n">
        <v>8</v>
      </c>
      <c r="B18" s="8" t="n"/>
      <c r="C18" s="8" t="n"/>
      <c r="D18" s="8" t="n"/>
      <c r="E18" s="8" t="n"/>
      <c r="F18" s="16" t="n"/>
      <c r="G18" s="8" t="n"/>
      <c r="H18" s="8" t="n"/>
      <c r="I18" s="8" t="n"/>
    </row>
    <row r="19">
      <c r="A19" s="9" t="n">
        <v>9</v>
      </c>
      <c r="B19" s="8" t="n"/>
      <c r="C19" s="8" t="n"/>
      <c r="D19" s="8" t="n"/>
      <c r="E19" s="8" t="n"/>
      <c r="F19" s="16" t="n"/>
      <c r="G19" s="8" t="n"/>
      <c r="H19" s="8" t="n"/>
      <c r="I19" s="8" t="n"/>
    </row>
    <row r="20">
      <c r="A20" s="9" t="n">
        <v>10</v>
      </c>
      <c r="B20" s="8" t="n"/>
      <c r="C20" s="8" t="n"/>
      <c r="D20" s="8" t="n"/>
      <c r="E20" s="8" t="n"/>
      <c r="F20" s="16" t="n"/>
      <c r="G20" s="8" t="n"/>
      <c r="H20" s="8" t="n"/>
      <c r="I20" s="8" t="n"/>
    </row>
    <row r="21">
      <c r="A21" s="18" t="inlineStr">
        <is>
          <t>Total</t>
        </is>
      </c>
      <c r="B21" s="18" t="n"/>
      <c r="C21" s="18" t="n"/>
      <c r="D21" s="18" t="n"/>
      <c r="E21" s="18" t="n"/>
      <c r="F21" s="19">
        <f>SUM(F11:F20)</f>
        <v/>
      </c>
      <c r="G21" s="18" t="n"/>
      <c r="H21" s="18" t="n"/>
      <c r="I21" s="18" t="n"/>
    </row>
    <row r="22"/>
    <row r="23">
      <c r="A23" s="24" t="inlineStr">
        <is>
          <t>B. Classification summary and reperformance (Library Procedures 13-14)</t>
        </is>
      </c>
    </row>
    <row r="24" ht="33" customHeight="1">
      <c r="A24" s="14" t="inlineStr">
        <is>
          <t>Classification</t>
        </is>
      </c>
      <c r="B24" s="14" t="inlineStr">
        <is>
          <t>Per Client Allocation</t>
        </is>
      </c>
      <c r="C24" s="14" t="inlineStr">
        <is>
          <t>Per Reperformance</t>
        </is>
      </c>
      <c r="D24" s="14" t="inlineStr">
        <is>
          <t>Difference</t>
        </is>
      </c>
      <c r="E24" s="14" t="inlineStr">
        <is>
          <t>Notes</t>
        </is>
      </c>
    </row>
    <row r="25" ht="23" customHeight="1">
      <c r="A25" s="8" t="inlineStr">
        <is>
          <t>Direct labor (COGS)</t>
        </is>
      </c>
      <c r="B25" s="16" t="n"/>
      <c r="C25" s="16" t="n"/>
      <c r="D25" s="16">
        <f>IF(OR(B25="",C25=""),"",B25-C25)</f>
        <v/>
      </c>
      <c r="E25" s="8" t="n"/>
    </row>
    <row r="26" ht="23" customHeight="1">
      <c r="A26" s="8" t="inlineStr">
        <is>
          <t>Manufacturing overhead</t>
        </is>
      </c>
      <c r="B26" s="16" t="n"/>
      <c r="C26" s="16" t="n"/>
      <c r="D26" s="16">
        <f>IF(OR(B26="",C26=""),"",B26-C26)</f>
        <v/>
      </c>
      <c r="E26" s="8" t="n"/>
    </row>
    <row r="27" ht="34.5" customHeight="1">
      <c r="A27" s="8" t="inlineStr">
        <is>
          <t>SG&amp;A / operating expense</t>
        </is>
      </c>
      <c r="B27" s="16" t="n"/>
      <c r="C27" s="16" t="n"/>
      <c r="D27" s="16">
        <f>IF(OR(B27="",C27=""),"",B27-C27)</f>
        <v/>
      </c>
      <c r="E27" s="8" t="n"/>
    </row>
    <row r="28" ht="34.5" customHeight="1">
      <c r="A28" s="8" t="inlineStr">
        <is>
          <t>Capitalized labor — inventory</t>
        </is>
      </c>
      <c r="B28" s="16" t="n"/>
      <c r="C28" s="16" t="n"/>
      <c r="D28" s="16">
        <f>IF(OR(B28="",C28=""),"",B28-C28)</f>
        <v/>
      </c>
      <c r="E28" s="8" t="n"/>
    </row>
    <row r="29" ht="34.5" customHeight="1">
      <c r="A29" s="8" t="inlineStr">
        <is>
          <t>Capitalized labor — fixed assets</t>
        </is>
      </c>
      <c r="B29" s="16" t="n"/>
      <c r="C29" s="16" t="n"/>
      <c r="D29" s="16">
        <f>IF(OR(B29="",C29=""),"",B29-C29)</f>
        <v/>
      </c>
      <c r="E29" s="8" t="n"/>
    </row>
    <row r="30" ht="26" customHeight="1">
      <c r="A30" s="18" t="inlineStr">
        <is>
          <t>Total allocated</t>
        </is>
      </c>
      <c r="B30" s="19">
        <f>SUM(B25:B29)</f>
        <v/>
      </c>
      <c r="C30" s="19">
        <f>SUM(C25:C29)</f>
        <v/>
      </c>
      <c r="D30" s="19">
        <f>SUM(D25:D29)</f>
        <v/>
      </c>
      <c r="E30" s="18" t="n"/>
    </row>
    <row r="31" ht="34.5" customHeight="1">
      <c r="A31" s="8" t="inlineStr">
        <is>
          <t>Total payroll per GL / lead sheet &lt;.1&gt;</t>
        </is>
      </c>
      <c r="B31" s="16" t="n"/>
    </row>
    <row r="32" ht="34.5" customHeight="1">
      <c r="A32" s="22" t="inlineStr">
        <is>
          <t>Difference (should be 0)</t>
        </is>
      </c>
      <c r="B32" s="23">
        <f>IF(B31="","",B30-B31)</f>
        <v/>
      </c>
    </row>
    <row r="33"/>
    <row r="34" ht="26" customHeight="1">
      <c r="A34" s="20" t="inlineStr">
        <is>
          <t>TM Legends</t>
        </is>
      </c>
    </row>
    <row r="35" ht="15" customHeight="1">
      <c r="A35" s="21" t="inlineStr">
        <is>
          <t>V</t>
        </is>
      </c>
      <c r="B35" s="8" t="inlineStr">
        <is>
          <t>Vouched to HR master file / org chart</t>
        </is>
      </c>
      <c r="C35" s="27" t="n"/>
      <c r="D35" s="27" t="n"/>
      <c r="E35" s="27" t="n"/>
      <c r="F35" s="27" t="n"/>
      <c r="G35" s="27" t="n"/>
      <c r="H35" s="27" t="n"/>
      <c r="I35" s="28" t="n"/>
    </row>
    <row r="36" ht="15" customHeight="1">
      <c r="A36" s="21" t="inlineStr">
        <is>
          <t>R</t>
        </is>
      </c>
      <c r="B36" s="8" t="inlineStr">
        <is>
          <t>Reperformed allocation calculation</t>
        </is>
      </c>
      <c r="C36" s="27" t="n"/>
      <c r="D36" s="27" t="n"/>
      <c r="E36" s="27" t="n"/>
      <c r="F36" s="27" t="n"/>
      <c r="G36" s="27" t="n"/>
      <c r="H36" s="27" t="n"/>
      <c r="I36" s="28" t="n"/>
    </row>
    <row r="37" ht="15" customHeight="1">
      <c r="A37" s="21" t="inlineStr">
        <is>
          <t>GL</t>
        </is>
      </c>
      <c r="B37" s="8" t="inlineStr">
        <is>
          <t>Agreed to general ledger</t>
        </is>
      </c>
      <c r="C37" s="27" t="n"/>
      <c r="D37" s="27" t="n"/>
      <c r="E37" s="27" t="n"/>
      <c r="F37" s="27" t="n"/>
      <c r="G37" s="27" t="n"/>
      <c r="H37" s="27" t="n"/>
      <c r="I37" s="28" t="n"/>
    </row>
    <row r="38" ht="15" customHeight="1">
      <c r="A38" s="21" t="inlineStr">
        <is>
          <t>PBC</t>
        </is>
      </c>
      <c r="B38" s="8" t="inlineStr">
        <is>
          <t>Prepared by client</t>
        </is>
      </c>
      <c r="C38" s="27" t="n"/>
      <c r="D38" s="27" t="n"/>
      <c r="E38" s="27" t="n"/>
      <c r="F38" s="27" t="n"/>
      <c r="G38" s="27" t="n"/>
      <c r="H38" s="27" t="n"/>
      <c r="I38" s="28" t="n"/>
    </row>
    <row r="39" ht="15" customHeight="1">
      <c r="A39" s="21" t="inlineStr">
        <is>
          <t>F</t>
        </is>
      </c>
      <c r="B39" s="8" t="inlineStr">
        <is>
          <t>Footed</t>
        </is>
      </c>
      <c r="C39" s="27" t="n"/>
      <c r="D39" s="27" t="n"/>
      <c r="E39" s="27" t="n"/>
      <c r="F39" s="27" t="n"/>
      <c r="G39" s="27" t="n"/>
      <c r="H39" s="27" t="n"/>
      <c r="I39" s="28" t="n"/>
    </row>
    <row r="40"/>
    <row r="41" ht="39.75" customHeight="1">
      <c r="A41" s="1" t="inlineStr">
        <is>
          <t>Before sign-off complete Library Procedures 13-14. Capitalized labor must follow the entity's costing methodology (standard cost / normal capacity); evaluate consistency with the inventory workpapers. Cover each classification bucket in the Block A selections.</t>
        </is>
      </c>
    </row>
  </sheetData>
  <mergeCells count="9">
    <mergeCell ref="A41:I41"/>
    <mergeCell ref="B39:I39"/>
    <mergeCell ref="B6:I6"/>
    <mergeCell ref="B38:I38"/>
    <mergeCell ref="B5:I5"/>
    <mergeCell ref="B37:I37"/>
    <mergeCell ref="B36:I36"/>
    <mergeCell ref="B35:I35"/>
    <mergeCell ref="B4:I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85" zoomScaleNormal="100" workbookViewId="0">
      <selection activeCell="A1" sqref="A1"/>
    </sheetView>
  </sheetViews>
  <sheetFormatPr baseColWidth="8" defaultColWidth="8.6328125" defaultRowHeight="14.5"/>
  <cols>
    <col width="44" customWidth="1" min="1" max="1"/>
    <col width="10" customWidth="1" min="2" max="2"/>
    <col width="18" customWidth="1" min="3" max="3"/>
    <col width="28" customWidth="1" min="4" max="4"/>
    <col width="38" customWidth="1" min="5" max="5"/>
  </cols>
  <sheetData>
    <row r="1" ht="17.5" customHeight="1">
      <c r="A1" s="4" t="inlineStr">
        <is>
          <t>Disclosures and Conclusion</t>
        </is>
      </c>
    </row>
    <row r="2">
      <c r="A2" s="11" t="inlineStr">
        <is>
          <t>Client / Entity</t>
        </is>
      </c>
      <c r="B2" s="12" t="inlineStr">
        <is>
          <t>[Client / Entity]</t>
        </is>
      </c>
      <c r="D2" s="11" t="inlineStr">
        <is>
          <t>Year-End</t>
        </is>
      </c>
      <c r="E2" s="12" t="inlineStr">
        <is>
          <t>[YYYY-MM-DD]</t>
        </is>
      </c>
      <c r="G2" s="11" t="inlineStr">
        <is>
          <t>Currency</t>
        </is>
      </c>
      <c r="H2" s="12" t="inlineStr">
        <is>
          <t>[CCY]</t>
        </is>
      </c>
    </row>
    <row r="3">
      <c r="A3" s="11" t="inlineStr">
        <is>
          <t>Performance Materiality</t>
        </is>
      </c>
      <c r="B3" s="12" t="inlineStr">
        <is>
          <t>[PM]</t>
        </is>
      </c>
    </row>
    <row r="4" ht="15" customHeight="1">
      <c r="A4" s="13" t="inlineStr">
        <is>
          <t>Purpose:</t>
        </is>
      </c>
      <c r="B4" s="8" t="inlineStr">
        <is>
          <t>Summarize review-ready payroll conclusions and disclosure considerations.</t>
        </is>
      </c>
      <c r="C4" s="27" t="n"/>
      <c r="D4" s="27" t="n"/>
      <c r="E4" s="28" t="n"/>
    </row>
    <row r="5" ht="15" customHeight="1">
      <c r="A5" s="13" t="inlineStr">
        <is>
          <t>Scope:</t>
        </is>
      </c>
      <c r="B5" s="8" t="inlineStr">
        <is>
          <t>Payroll presentation, disclosure, classification and workpaper conclusion.</t>
        </is>
      </c>
      <c r="C5" s="27" t="n"/>
      <c r="D5" s="27" t="n"/>
      <c r="E5" s="28" t="n"/>
    </row>
    <row r="6" ht="15" customHeight="1">
      <c r="A6" s="13" t="inlineStr">
        <is>
          <t>Assertions:</t>
        </is>
      </c>
      <c r="B6" s="8" t="inlineStr">
        <is>
          <t>Presentation &amp; Disclosure; Classification</t>
        </is>
      </c>
      <c r="C6" s="27" t="n"/>
      <c r="D6" s="27" t="n"/>
      <c r="E6" s="28" t="n"/>
    </row>
    <row r="7" ht="22" customHeight="1">
      <c r="A7" s="14" t="inlineStr">
        <is>
          <t>Area</t>
        </is>
      </c>
      <c r="B7" s="14" t="inlineStr">
        <is>
          <t>Relevant?</t>
        </is>
      </c>
      <c r="C7" s="14" t="inlineStr">
        <is>
          <t>Support / Source Ref</t>
        </is>
      </c>
      <c r="D7" s="14" t="inlineStr">
        <is>
          <t>Conclusion</t>
        </is>
      </c>
      <c r="E7" s="14" t="inlineStr">
        <is>
          <t>Comments / Disclosure or Classification Impact</t>
        </is>
      </c>
    </row>
    <row r="8" ht="24" customHeight="1">
      <c r="A8" s="8" t="inlineStr">
        <is>
          <t>Accrued payroll and benefits presentation (current classification)</t>
        </is>
      </c>
      <c r="B8" s="8" t="n"/>
      <c r="C8" s="8" t="n"/>
      <c r="D8" s="8" t="n"/>
      <c r="E8" s="8" t="n"/>
    </row>
    <row r="9" ht="24" customHeight="1">
      <c r="A9" s="8" t="inlineStr">
        <is>
          <t>Officer and related-party compensation</t>
        </is>
      </c>
      <c r="B9" s="8" t="n"/>
      <c r="C9" s="8" t="n"/>
      <c r="D9" s="8" t="n"/>
      <c r="E9" s="8" t="n"/>
    </row>
    <row r="10" ht="24" customHeight="1">
      <c r="A10" s="8" t="inlineStr">
        <is>
          <t>Pension / 401(k) / defined-contribution plan disclosures</t>
        </is>
      </c>
      <c r="B10" s="8" t="n"/>
      <c r="C10" s="8" t="n"/>
      <c r="D10" s="8" t="n"/>
      <c r="E10" s="8" t="n"/>
    </row>
    <row r="11" ht="24" customHeight="1">
      <c r="A11" s="8" t="inlineStr">
        <is>
          <t>Bonus, severance and termination benefit arrangements</t>
        </is>
      </c>
      <c r="B11" s="8" t="n"/>
      <c r="C11" s="8" t="n"/>
      <c r="D11" s="8" t="n"/>
      <c r="E11" s="8" t="n"/>
    </row>
    <row r="12" ht="24" customHeight="1">
      <c r="A12" s="8" t="inlineStr">
        <is>
          <t>Payroll tax filings, contingencies or penalties</t>
        </is>
      </c>
      <c r="B12" s="8" t="n"/>
      <c r="C12" s="8" t="n"/>
      <c r="D12" s="8" t="n"/>
      <c r="E12" s="8" t="n"/>
    </row>
    <row r="13" ht="24" customHeight="1">
      <c r="A13" s="8" t="inlineStr">
        <is>
          <t>Stock-based or other incentive compensation</t>
        </is>
      </c>
      <c r="B13" s="8" t="n"/>
      <c r="C13" s="8" t="n"/>
      <c r="D13" s="8" t="n"/>
      <c r="E13" s="8" t="n"/>
    </row>
    <row r="14" ht="24" customHeight="1">
      <c r="A14" s="8" t="inlineStr">
        <is>
          <t>Capitalized labor consistency (inventory / fixed assets)</t>
        </is>
      </c>
      <c r="B14" s="8" t="n"/>
      <c r="C14" s="8" t="n"/>
      <c r="D14" s="8" t="n"/>
      <c r="E14" s="8" t="n"/>
    </row>
    <row r="15" ht="24" customHeight="1">
      <c r="A15" s="8" t="inlineStr">
        <is>
          <t>Workforce concentration, union agreements, multi-employer plans</t>
        </is>
      </c>
      <c r="B15" s="8" t="n"/>
      <c r="C15" s="8" t="n"/>
      <c r="D15" s="8" t="n"/>
      <c r="E15" s="8" t="n"/>
    </row>
    <row r="16" ht="24" customHeight="1">
      <c r="A16" s="8" t="inlineStr">
        <is>
          <t>Proposed adjustments or unrecorded payroll liabilities</t>
        </is>
      </c>
      <c r="B16" s="8" t="n"/>
      <c r="C16" s="8" t="n"/>
      <c r="D16" s="8" t="n"/>
      <c r="E16" s="8" t="n"/>
    </row>
    <row r="17" ht="24" customHeight="1">
      <c r="A17" s="8" t="inlineStr">
        <is>
          <t>Unresolved missing support or scope limitations</t>
        </is>
      </c>
      <c r="B17" s="8" t="n"/>
      <c r="C17" s="8" t="n"/>
      <c r="D17" s="8" t="n"/>
      <c r="E17" s="8" t="n"/>
    </row>
    <row r="18" ht="24" customHeight="1">
      <c r="A18" s="8" t="inlineStr">
        <is>
          <t>Final payroll conclusion</t>
        </is>
      </c>
      <c r="B18" s="8" t="n"/>
      <c r="C18" s="8" t="n"/>
      <c r="D18" s="8" t="n"/>
      <c r="E18" s="8" t="n"/>
    </row>
    <row r="19"/>
    <row r="20">
      <c r="A20" s="5" t="inlineStr">
        <is>
          <t>Before sign-off complete Library Procedure 15.</t>
        </is>
      </c>
    </row>
  </sheetData>
  <mergeCells count="3">
    <mergeCell ref="B6:E6"/>
    <mergeCell ref="B5:E5"/>
    <mergeCell ref="B4:E4"/>
  </mergeCells>
  <pageMargins left="0.3" right="0.3" top="0.4" bottom="0.4" header="0.2" footer="0.2"/>
  <pageSetup orientation="portrait" paperSize="1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2026-07-22T09:05:39Z</dcterms:created>
  <dcterms:modified xmlns:dcterms="http://purl.org/dc/terms/" xmlns:xsi="http://www.w3.org/2001/XMLSchema-instance" xsi:type="dcterms:W3CDTF">2026-07-22T09:43:10Z</dcterms:modified>
  <cp:revision>0</cp:revision>
</cp:coreProperties>
</file>