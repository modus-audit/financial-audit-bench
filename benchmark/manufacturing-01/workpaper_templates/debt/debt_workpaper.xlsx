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Debt Lead &amp; Rollforward" sheetId="3" state="visible" r:id="rId3"/>
    <sheet xmlns:r="http://schemas.openxmlformats.org/officeDocument/2006/relationships" name="&lt;.2&gt; Lender Confirmation" sheetId="4" state="visible" r:id="rId4"/>
    <sheet xmlns:r="http://schemas.openxmlformats.org/officeDocument/2006/relationships" name="&lt;.3&gt; Interest &amp; Accrued" sheetId="5" state="visible" r:id="rId5"/>
    <sheet xmlns:r="http://schemas.openxmlformats.org/officeDocument/2006/relationships" name="&lt;.4&gt; Maturities &amp; Class." sheetId="6" state="visible" r:id="rId6"/>
    <sheet xmlns:r="http://schemas.openxmlformats.org/officeDocument/2006/relationships" name="&lt;.5&gt; Agreements &amp; Additions" sheetId="7" state="visible" r:id="rId7"/>
    <sheet xmlns:r="http://schemas.openxmlformats.org/officeDocument/2006/relationships" name="&lt;.6&gt; Debt Issuance Costs" sheetId="8" state="visible" r:id="rId8"/>
    <sheet xmlns:r="http://schemas.openxmlformats.org/officeDocument/2006/relationships" name="&lt;.7&gt; Modification &amp; Extinguish" sheetId="9" state="visible" r:id="rId9"/>
    <sheet xmlns:r="http://schemas.openxmlformats.org/officeDocument/2006/relationships" name="&lt;.8&gt; Covenants" sheetId="10" state="visible" r:id="rId10"/>
    <sheet xmlns:r="http://schemas.openxmlformats.org/officeDocument/2006/relationships" name="&lt;.9&gt; Disclosures &amp; Analytics" sheetId="11" state="visible" r:id="rId11"/>
  </sheets>
  <definedNames>
    <definedName name="_xlnm.Print_Area" localSheetId="0">'Library Procedures'!$A$1:$F$47</definedName>
    <definedName name="_xlnm.Print_Area" localSheetId="1">'&lt;.0&gt; Source Index'!$A$1:$H$32</definedName>
    <definedName name="_xlnm.Print_Area" localSheetId="2">'&lt;.1&gt; Debt Lead &amp; Rollforward'!$A$1:$O$32</definedName>
    <definedName name="_xlnm.Print_Area" localSheetId="3">'&lt;.2&gt; Lender Confirmation'!$A$1:$P$32</definedName>
    <definedName name="_xlnm.Print_Area" localSheetId="4">'&lt;.3&gt; Interest &amp; Accrued'!$A$1:$I$50</definedName>
    <definedName name="_xlnm.Print_Area" localSheetId="5">'&lt;.4&gt; Maturities &amp; Class.'!$A$1:$I$42</definedName>
    <definedName name="_xlnm.Print_Area" localSheetId="6">'&lt;.5&gt; Agreements &amp; Additions'!$A$1:$L$52</definedName>
    <definedName name="_xlnm.Print_Area" localSheetId="7">'&lt;.6&gt; Debt Issuance Costs'!$A$1:$H$74</definedName>
    <definedName name="_xlnm.Print_Area" localSheetId="8">'&lt;.7&gt; Modification &amp; Extinguish'!$A$1:$I$43</definedName>
    <definedName name="_xlnm.Print_Area" localSheetId="9">'&lt;.8&gt; Covenants'!$A$1:$L$29</definedName>
    <definedName name="_xlnm.Print_Area" localSheetId="10">'&lt;.9&gt; Disclosures &amp; Analytics'!$A$1:$H$39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00"/>
  </numFmts>
  <fonts count="1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164" fontId="3" fillId="0" borderId="1" pivotButton="0" quotePrefix="0" xfId="0"/>
    <xf numFmtId="0" fontId="2" fillId="0" borderId="1" pivotButton="0" quotePrefix="0" xfId="0"/>
    <xf numFmtId="4" fontId="2" fillId="3" borderId="1" pivotButton="0" quotePrefix="0" xfId="0"/>
    <xf numFmtId="0" fontId="2" fillId="3" borderId="1" pivotButton="0" quotePrefix="0" xfId="0"/>
    <xf numFmtId="165" fontId="3" fillId="0" borderId="1" pivotButton="0" quotePrefix="0" xfId="0"/>
    <xf numFmtId="10" fontId="3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2" fontId="3" fillId="0" borderId="1" pivotButton="0" quotePrefix="0" xfId="0"/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4" fontId="3" fillId="0" borderId="4" pivotButton="0" quotePrefix="0" xfId="0"/>
    <xf numFmtId="0" fontId="2" fillId="0" borderId="5" pivotButton="0" quotePrefix="0" xfId="0"/>
    <xf numFmtId="0" fontId="2" fillId="0" borderId="3" pivotButton="0" quotePrefix="0" xfId="0"/>
    <xf numFmtId="0" fontId="3" fillId="0" borderId="2" pivotButton="0" quotePrefix="0" xfId="0"/>
    <xf numFmtId="0" fontId="2" fillId="0" borderId="6" pivotButton="0" quotePrefix="0" xfId="0"/>
    <xf numFmtId="0" fontId="9" fillId="3" borderId="1" applyAlignment="1" pivotButton="0" quotePrefix="0" xfId="0">
      <alignment wrapText="1"/>
    </xf>
    <xf numFmtId="0" fontId="11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7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0" fillId="0" borderId="10" pivotButton="0" quotePrefix="0" xfId="0"/>
    <xf numFmtId="0" fontId="0" fillId="0" borderId="4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"/>
  <sheetViews>
    <sheetView showGridLines="0" tabSelected="1" zoomScale="85" zoomScaleNormal="100" workbookViewId="0">
      <selection activeCell="B34" sqref="B34"/>
    </sheetView>
  </sheetViews>
  <sheetFormatPr baseColWidth="8" defaultColWidth="8.6328125" defaultRowHeight="14.5"/>
  <cols>
    <col width="8.54296875" customWidth="1" style="41" min="1" max="1"/>
    <col width="104" customWidth="1" style="41" min="2" max="2"/>
    <col width="30" customWidth="1" style="41" min="3" max="3"/>
    <col width="13" customWidth="1" style="41" min="4" max="4"/>
    <col width="15" customWidth="1" style="41" min="5" max="5"/>
    <col width="12" customWidth="1" style="41" min="6" max="6"/>
  </cols>
  <sheetData>
    <row r="1" ht="17.5" customHeight="1" s="41">
      <c r="A1" s="4" t="inlineStr">
        <is>
          <t>Debt — Library of Audit Procedures</t>
        </is>
      </c>
    </row>
    <row r="2">
      <c r="A2" s="6" t="inlineStr">
        <is>
          <t>Client / Entity: Whitmore Products Company</t>
        </is>
      </c>
    </row>
    <row r="3">
      <c r="A3" s="6" t="inlineStr">
        <is>
          <t>Prepared by: Audit Senior 8606 (assigned)      Reviewed by: Audit Manager A1DC (assigned)</t>
        </is>
      </c>
    </row>
    <row r="4" ht="25.5" customHeight="1" s="41">
      <c r="A4" s="44" t="inlineStr">
        <is>
          <t>Tick each procedure when complete; enter the W/P reference, performed-by initials and date. Work through ALL applicable procedures before concluding on debt.</t>
        </is>
      </c>
    </row>
    <row r="5"/>
    <row r="6" ht="19.5" customHeight="1" s="41">
      <c r="A6" s="23" t="inlineStr">
        <is>
          <t>Done</t>
        </is>
      </c>
      <c r="B6" s="24" t="inlineStr">
        <is>
          <t>Procedure</t>
        </is>
      </c>
      <c r="C6" s="24" t="inlineStr">
        <is>
          <t>Assertion(s)</t>
        </is>
      </c>
      <c r="D6" s="23" t="inlineStr">
        <is>
          <t>W/P Ref</t>
        </is>
      </c>
      <c r="E6" s="23" t="inlineStr">
        <is>
          <t>Performed by</t>
        </is>
      </c>
      <c r="F6" s="23" t="inlineStr">
        <is>
          <t>Date</t>
        </is>
      </c>
    </row>
    <row r="7">
      <c r="A7" s="35" t="inlineStr">
        <is>
          <t>&lt;.0&gt; Source Index</t>
        </is>
      </c>
      <c r="B7" s="50" t="n"/>
      <c r="C7" s="50" t="n"/>
      <c r="D7" s="50" t="n"/>
      <c r="E7" s="50" t="n"/>
      <c r="F7" s="51" t="n"/>
    </row>
    <row r="8" ht="39" customHeight="1" s="41">
      <c r="A8" s="37" t="n"/>
      <c r="B8" s="40" t="inlineStr">
        <is>
          <t>1. Obtain and index all debt PBC sources (facility listing, executed agreements &amp; amendments, lender statements / confirmations, amortization &amp; maturity schedules, covenant certificates &amp; calculations, closing / fee statements, board minutes); document limitations.</t>
        </is>
      </c>
      <c r="C8" s="40" t="inlineStr">
        <is>
          <t>Completeness</t>
        </is>
      </c>
      <c r="D8" s="25" t="inlineStr">
        <is>
          <t>&lt;.0&gt;</t>
        </is>
      </c>
      <c r="E8" s="37" t="n"/>
      <c r="F8" s="37" t="n"/>
    </row>
    <row r="9">
      <c r="A9" s="35" t="inlineStr">
        <is>
          <t>&lt;.1&gt; Debt Lead &amp; Rollforward</t>
        </is>
      </c>
      <c r="B9" s="50" t="n"/>
      <c r="C9" s="50" t="n"/>
      <c r="D9" s="50" t="n"/>
      <c r="E9" s="50" t="n"/>
      <c r="F9" s="51" t="n"/>
    </row>
    <row r="10" ht="25.5" customHeight="1" s="41">
      <c r="A10" s="37" t="n"/>
      <c r="B10" s="40" t="inlineStr">
        <is>
          <t>2. Build the debt population from the loan listing, agree ending principal to the trial balance, and bridge the opening balance to the prior-year TB closing balance.</t>
        </is>
      </c>
      <c r="C10" s="40" t="inlineStr">
        <is>
          <t>Completeness; Existence</t>
        </is>
      </c>
      <c r="D10" s="25" t="inlineStr">
        <is>
          <t>&lt;.1&gt;</t>
        </is>
      </c>
      <c r="E10" s="37" t="n"/>
      <c r="F10" s="37" t="n"/>
    </row>
    <row r="11" ht="25.5" customHeight="1" s="41">
      <c r="A11" s="37" t="n"/>
      <c r="B11" s="40" t="inlineStr">
        <is>
          <t>3. Roll each facility forward — beginning + borrowings − repayments = ending — and agree activity to &lt;.5&gt; additions and payment support.</t>
        </is>
      </c>
      <c r="C11" s="40" t="inlineStr">
        <is>
          <t>Completeness; Accuracy</t>
        </is>
      </c>
      <c r="D11" s="25" t="inlineStr">
        <is>
          <t>&lt;.1&gt;</t>
        </is>
      </c>
      <c r="E11" s="37" t="n"/>
      <c r="F11" s="37" t="n"/>
    </row>
    <row r="12" ht="25.5" customHeight="1" s="41">
      <c r="A12" s="37" t="n"/>
      <c r="B12" s="40" t="inlineStr">
        <is>
          <t>4. Inspect the agreements for collateral and liens and cross-reference pledged assets to the related asset workpapers; derive the net carrying value (principal less unamortized issuance costs).</t>
        </is>
      </c>
      <c r="C12" s="40" t="inlineStr">
        <is>
          <t>Rights &amp; Obligations; Valuation</t>
        </is>
      </c>
      <c r="D12" s="25" t="inlineStr">
        <is>
          <t>&lt;.1&gt;</t>
        </is>
      </c>
      <c r="E12" s="37" t="n"/>
      <c r="F12" s="37" t="n"/>
    </row>
    <row r="13">
      <c r="A13" s="35" t="inlineStr">
        <is>
          <t>&lt;.2&gt; Lender Confirmation</t>
        </is>
      </c>
      <c r="B13" s="50" t="n"/>
      <c r="C13" s="50" t="n"/>
      <c r="D13" s="50" t="n"/>
      <c r="E13" s="50" t="n"/>
      <c r="F13" s="51" t="n"/>
    </row>
    <row r="14" ht="39" customHeight="1" s="41">
      <c r="A14" s="37" t="n"/>
      <c r="B14" s="40" t="inlineStr">
        <is>
          <t>5. Confirm each facility directly with the lender — principal, rate, maturity, collateral / guarantees and undrawn availability — controlling the process (sent directly, returned directly, dates and method logged).</t>
        </is>
      </c>
      <c r="C14" s="40" t="inlineStr">
        <is>
          <t>Existence; Rights &amp; Obligations; Completeness</t>
        </is>
      </c>
      <c r="D14" s="25" t="inlineStr">
        <is>
          <t>&lt;.2&gt;</t>
        </is>
      </c>
      <c r="E14" s="37" t="n"/>
      <c r="F14" s="37" t="n"/>
    </row>
    <row r="15" ht="25.5" customHeight="1" s="41">
      <c r="A15" s="37" t="n"/>
      <c r="B15" s="40" t="inlineStr">
        <is>
          <t>6. Test the authenticity of electronic confirmation responses (domain check, independent call-back) and perform alternative procedures (lender statements, agreements, subsequent payments) for non-replies.</t>
        </is>
      </c>
      <c r="C15" s="40" t="inlineStr">
        <is>
          <t>Existence</t>
        </is>
      </c>
      <c r="D15" s="25" t="inlineStr">
        <is>
          <t>&lt;.2&gt;</t>
        </is>
      </c>
      <c r="E15" s="37" t="n"/>
      <c r="F15" s="37" t="n"/>
    </row>
    <row r="16">
      <c r="A16" s="35" t="inlineStr">
        <is>
          <t>&lt;.3&gt; Interest &amp; Accrued</t>
        </is>
      </c>
      <c r="B16" s="50" t="n"/>
      <c r="C16" s="50" t="n"/>
      <c r="D16" s="50" t="n"/>
      <c r="E16" s="50" t="n"/>
      <c r="F16" s="51" t="n"/>
    </row>
    <row r="17" ht="39" customHeight="1" s="41">
      <c r="A17" s="37" t="n"/>
      <c r="B17" s="40" t="inlineStr">
        <is>
          <t>7. Independently recompute interest expense by facility, stating the basis used (period-end principal, average balance, or the amortization schedule), and corroborate rates and payments to lender statements.</t>
        </is>
      </c>
      <c r="C17" s="40" t="inlineStr">
        <is>
          <t>Accuracy</t>
        </is>
      </c>
      <c r="D17" s="25" t="inlineStr">
        <is>
          <t>&lt;.3&gt;</t>
        </is>
      </c>
      <c r="E17" s="37" t="n"/>
      <c r="F17" s="37" t="n"/>
    </row>
    <row r="18" ht="25.5" customHeight="1" s="41">
      <c r="A18" s="37" t="n"/>
      <c r="B18" s="40" t="inlineStr">
        <is>
          <t>8. Develop an average-balance substantive-analytic expectation, define a threshold for a significant difference, and investigate differences from the recorded amount.</t>
        </is>
      </c>
      <c r="C18" s="40" t="inlineStr">
        <is>
          <t>Accuracy; Completeness</t>
        </is>
      </c>
      <c r="D18" s="25" t="inlineStr">
        <is>
          <t>&lt;.3&gt;</t>
        </is>
      </c>
      <c r="E18" s="37" t="n"/>
      <c r="F18" s="37" t="n"/>
    </row>
    <row r="19" ht="25.5" customHeight="1" s="41">
      <c r="A19" s="37" t="n"/>
      <c r="B19" s="40" t="inlineStr">
        <is>
          <t>9. Recompute accrued interest at period end (principal × rate × days since last payment) and agree to the books.</t>
        </is>
      </c>
      <c r="C19" s="40" t="inlineStr">
        <is>
          <t>Accuracy; Cutoff</t>
        </is>
      </c>
      <c r="D19" s="25" t="inlineStr">
        <is>
          <t>&lt;.3&gt;</t>
        </is>
      </c>
      <c r="E19" s="37" t="n"/>
      <c r="F19" s="37" t="n"/>
    </row>
    <row r="20">
      <c r="A20" s="35" t="inlineStr">
        <is>
          <t>&lt;.4&gt; Maturities &amp; Classification</t>
        </is>
      </c>
      <c r="B20" s="50" t="n"/>
      <c r="C20" s="50" t="n"/>
      <c r="D20" s="50" t="n"/>
      <c r="E20" s="50" t="n"/>
      <c r="F20" s="51" t="n"/>
    </row>
    <row r="21" ht="25.5" customHeight="1" s="41">
      <c r="A21" s="37" t="n"/>
      <c r="B21" s="40" t="inlineStr">
        <is>
          <t>10. Obtain the full annual maturity ladder (years 1-5 and thereafter), foot it, and agree the total to recorded principal.</t>
        </is>
      </c>
      <c r="C21" s="40" t="inlineStr">
        <is>
          <t>Presentation &amp; Disclosure</t>
        </is>
      </c>
      <c r="D21" s="25" t="inlineStr">
        <is>
          <t>&lt;.4&gt;</t>
        </is>
      </c>
      <c r="E21" s="37" t="n"/>
      <c r="F21" s="37" t="n"/>
    </row>
    <row r="22" ht="39" customHeight="1" s="41">
      <c r="A22" s="37" t="n"/>
      <c r="B22" s="40" t="inlineStr">
        <is>
          <t>11. Reconcile the current / long-term split to the trial balance with a difference check; obtain management's classification basis and resolve differences, considering covenant violations and post-period refinancing (ASC 470-10).</t>
        </is>
      </c>
      <c r="C22" s="40" t="inlineStr">
        <is>
          <t>Classification; Presentation &amp; Disclosure</t>
        </is>
      </c>
      <c r="D22" s="25" t="inlineStr">
        <is>
          <t>&lt;.4&gt;</t>
        </is>
      </c>
      <c r="E22" s="37" t="n"/>
      <c r="F22" s="37" t="n"/>
    </row>
    <row r="23">
      <c r="A23" s="35" t="inlineStr">
        <is>
          <t>&lt;.5&gt; Agreements &amp; Additions</t>
        </is>
      </c>
      <c r="B23" s="50" t="n"/>
      <c r="C23" s="50" t="n"/>
      <c r="D23" s="50" t="n"/>
      <c r="E23" s="50" t="n"/>
      <c r="F23" s="51" t="n"/>
    </row>
    <row r="24" ht="39" customHeight="1" s="41">
      <c r="A24" s="37" t="n"/>
      <c r="B24" s="40" t="inlineStr">
        <is>
          <t>12. Obtain and read every executed loan / credit agreement and amendment; abstract the key terms (amount, rate, maturity, payment terms, collateral, guarantees, covenants, reporting, cross-default, prepayment).</t>
        </is>
      </c>
      <c r="C24" s="40" t="inlineStr">
        <is>
          <t>Rights &amp; Obligations; Completeness</t>
        </is>
      </c>
      <c r="D24" s="25" t="inlineStr">
        <is>
          <t>&lt;.5&gt;</t>
        </is>
      </c>
      <c r="E24" s="37" t="n"/>
      <c r="F24" s="37" t="n"/>
    </row>
    <row r="25" ht="25.5" customHeight="1" s="41">
      <c r="A25" s="37" t="n"/>
      <c r="B25" s="40" t="inlineStr">
        <is>
          <t>13. Test compliance with the agreement terms beyond financial covenants — payment terms, restrictions / negative covenants and reporting requirements — against evidence.</t>
        </is>
      </c>
      <c r="C25" s="40" t="inlineStr">
        <is>
          <t>Presentation &amp; Disclosure; Rights &amp; Obligations</t>
        </is>
      </c>
      <c r="D25" s="25" t="inlineStr">
        <is>
          <t>&lt;.5&gt;</t>
        </is>
      </c>
      <c r="E25" s="37" t="n"/>
      <c r="F25" s="37" t="n"/>
    </row>
    <row r="26" ht="25.5" customHeight="1" s="41">
      <c r="A26" s="37" t="n"/>
      <c r="B26" s="40" t="inlineStr">
        <is>
          <t>14. Test additions (new borrowings / draws) — authorization (board minutes / agreement), trace proceeds to the bank, reconcile fees withheld from proceeds, and tie the total to the rollforward.</t>
        </is>
      </c>
      <c r="C26" s="40" t="inlineStr">
        <is>
          <t>Existence; Accuracy; Completeness</t>
        </is>
      </c>
      <c r="D26" s="25" t="inlineStr">
        <is>
          <t>&lt;.5&gt;/&lt;.1&gt;</t>
        </is>
      </c>
      <c r="E26" s="37" t="n"/>
      <c r="F26" s="37" t="n"/>
    </row>
    <row r="27">
      <c r="A27" s="35" t="inlineStr">
        <is>
          <t>&lt;.6&gt; Debt Issuance Costs (Deferred Charges)</t>
        </is>
      </c>
      <c r="B27" s="50" t="n"/>
      <c r="C27" s="50" t="n"/>
      <c r="D27" s="50" t="n"/>
      <c r="E27" s="50" t="n"/>
      <c r="F27" s="51" t="n"/>
    </row>
    <row r="28" ht="39" customHeight="1" s="41">
      <c r="A28" s="37" t="n"/>
      <c r="B28" s="40" t="inlineStr">
        <is>
          <t>15. Obtain a detailed listing of issuance costs (OID, lender fees, third-party costs), assess completeness against costs that typically give rise to deferred charges, and vouch significant fees to closing / fee statements.</t>
        </is>
      </c>
      <c r="C28" s="40" t="inlineStr">
        <is>
          <t>Completeness; Existence; Accuracy</t>
        </is>
      </c>
      <c r="D28" s="25" t="inlineStr">
        <is>
          <t>&lt;.6&gt;</t>
        </is>
      </c>
      <c r="E28" s="37" t="n"/>
      <c r="F28" s="37" t="n"/>
    </row>
    <row r="29" ht="25.5" customHeight="1" s="41">
      <c r="A29" s="37" t="n"/>
      <c r="B29" s="40" t="inlineStr">
        <is>
          <t>16. Test the allocation of costs across facilities (specific identification or % of facility capacity) and recompute the allocation.</t>
        </is>
      </c>
      <c r="C29" s="40" t="inlineStr">
        <is>
          <t>Valuation &amp; Allocation; Accuracy</t>
        </is>
      </c>
      <c r="D29" s="25" t="inlineStr">
        <is>
          <t>&lt;.6&gt;</t>
        </is>
      </c>
      <c r="E29" s="37" t="n"/>
      <c r="F29" s="37" t="n"/>
    </row>
    <row r="30" ht="39" customHeight="1" s="41">
      <c r="A30" s="37" t="n"/>
      <c r="B30" s="40" t="inlineStr">
        <is>
          <t>17. Evaluate presentation: costs of recognized term debt as a direct deduction from the liability (ASC 835-30-45-1A); line-of-credit / revolver costs may be presented as an asset amortized ratably over the facility term regardless of draws (ASU 2015-15).</t>
        </is>
      </c>
      <c r="C30" s="40" t="inlineStr">
        <is>
          <t>Classification; Presentation &amp; Disclosure</t>
        </is>
      </c>
      <c r="D30" s="25" t="inlineStr">
        <is>
          <t>&lt;.6&gt;</t>
        </is>
      </c>
      <c r="E30" s="37" t="n"/>
      <c r="F30" s="37" t="n"/>
    </row>
    <row r="31" ht="39" customHeight="1" s="41">
      <c r="A31" s="37" t="n"/>
      <c r="B31" s="40" t="inlineStr">
        <is>
          <t>18. Recompute amortization — effective-interest method for term debt (EIR discounting contractual cash flows to the initial net carrying amount) and straight-line over the facility term for LOC-presented costs — and agree to recorded amortization within interest expense.</t>
        </is>
      </c>
      <c r="C31" s="40" t="inlineStr">
        <is>
          <t>Valuation &amp; Allocation; Accuracy</t>
        </is>
      </c>
      <c r="D31" s="25" t="inlineStr">
        <is>
          <t>&lt;.6&gt;</t>
        </is>
      </c>
      <c r="E31" s="37" t="n"/>
      <c r="F31" s="37" t="n"/>
    </row>
    <row r="32" ht="39" customHeight="1" s="41">
      <c r="A32" s="37" t="n"/>
      <c r="B32" s="40" t="inlineStr">
        <is>
          <t>19. Roll the unamortized balance forward (opening + additions − amortization − extinguishment write-offs = closing), split it between contra-debt and asset presentation, and bridge to the net carrying value on &lt;.1&gt;.</t>
        </is>
      </c>
      <c r="C32" s="40" t="inlineStr">
        <is>
          <t>Valuation &amp; Allocation; Completeness</t>
        </is>
      </c>
      <c r="D32" s="25" t="inlineStr">
        <is>
          <t>&lt;.6&gt;/&lt;.1&gt;</t>
        </is>
      </c>
      <c r="E32" s="37" t="n"/>
      <c r="F32" s="37" t="n"/>
    </row>
    <row r="33">
      <c r="A33" s="35" t="inlineStr">
        <is>
          <t>&lt;.7&gt; Modification &amp; Extinguishment (ASC 470-50)</t>
        </is>
      </c>
      <c r="B33" s="50" t="n"/>
      <c r="C33" s="50" t="n"/>
      <c r="D33" s="50" t="n"/>
      <c r="E33" s="50" t="n"/>
      <c r="F33" s="51" t="n"/>
    </row>
    <row r="34" ht="25.5" customHeight="1" s="41">
      <c r="A34" s="37" t="n"/>
      <c r="B34" s="40" t="inlineStr">
        <is>
          <t>20. Identify all amendments, refinancings, payoffs and exchanges in the period from board minutes, lender confirmations, agreements and inquiry.</t>
        </is>
      </c>
      <c r="C34" s="40" t="inlineStr">
        <is>
          <t>Completeness</t>
        </is>
      </c>
      <c r="D34" s="25" t="inlineStr">
        <is>
          <t>&lt;.7&gt;</t>
        </is>
      </c>
      <c r="E34" s="37" t="n"/>
      <c r="F34" s="37" t="n"/>
    </row>
    <row r="35" ht="39" customHeight="1" s="41">
      <c r="A35" s="37" t="n"/>
      <c r="B35" s="40" t="inlineStr">
        <is>
          <t>21. Perform the 10% cash-flow test per facility — compare the present value of cash flows under the new terms (including lender fees) to the remaining cash flows of the original debt at the original effective rate — and conclude modification (≤10%) vs extinguishment (&gt;10%).</t>
        </is>
      </c>
      <c r="C35" s="40" t="inlineStr">
        <is>
          <t>Accuracy; Valuation</t>
        </is>
      </c>
      <c r="D35" s="25" t="inlineStr">
        <is>
          <t>&lt;.7&gt;</t>
        </is>
      </c>
      <c r="E35" s="37" t="n"/>
      <c r="F35" s="37" t="n"/>
    </row>
    <row r="36" ht="51.75" customHeight="1" s="41">
      <c r="A36" s="37" t="n"/>
      <c r="B36" s="40" t="inlineStr">
        <is>
          <t>22. Apply the accounting consequence: modification — capitalize lender fees over the modified term and expense third-party costs (ASC 470-50-40-17(b)/40-18(b)); extinguishment — recognize gain/loss (reacquisition price vs net carrying amount incl. unamortized costs) and capitalize new-debt third-party costs (40-17(a)/40-18(a)).</t>
        </is>
      </c>
      <c r="C36" s="40" t="inlineStr">
        <is>
          <t>Accuracy; Presentation &amp; Disclosure</t>
        </is>
      </c>
      <c r="D36" s="25" t="inlineStr">
        <is>
          <t>&lt;.7&gt;/&lt;.6&gt;</t>
        </is>
      </c>
      <c r="E36" s="37" t="n"/>
      <c r="F36" s="37" t="n"/>
    </row>
    <row r="37">
      <c r="A37" s="35" t="inlineStr">
        <is>
          <t>&lt;.8&gt; Covenants</t>
        </is>
      </c>
      <c r="B37" s="50" t="n"/>
      <c r="C37" s="50" t="n"/>
      <c r="D37" s="50" t="n"/>
      <c r="E37" s="50" t="n"/>
      <c r="F37" s="51" t="n"/>
    </row>
    <row r="38" ht="25.5" customHeight="1" s="41">
      <c r="A38" s="37" t="n"/>
      <c r="B38" s="40" t="inlineStr">
        <is>
          <t>23. Independently recompute each financial covenant from the agreement's DEFINED terms (numerator / denominator components mapped to the definitions) and evaluate compliance and headroom.</t>
        </is>
      </c>
      <c r="C38" s="40" t="inlineStr">
        <is>
          <t>Accuracy; Presentation &amp; Disclosure</t>
        </is>
      </c>
      <c r="D38" s="25" t="inlineStr">
        <is>
          <t>&lt;.8&gt;</t>
        </is>
      </c>
      <c r="E38" s="37" t="n"/>
      <c r="F38" s="37" t="n"/>
    </row>
    <row r="39" ht="39" customHeight="1" s="41">
      <c r="A39" s="37" t="n"/>
      <c r="B39" s="40" t="inlineStr">
        <is>
          <t>24. Obtain the covenant compliance certificate and lender acknowledgment; where violated, obtain the waiver and assess the classification impact (current unless waived for at least 12 months — ASC 470-10-45); update &lt;.4&gt;.</t>
        </is>
      </c>
      <c r="C39" s="40" t="inlineStr">
        <is>
          <t>Presentation &amp; Disclosure; Classification</t>
        </is>
      </c>
      <c r="D39" s="25" t="inlineStr">
        <is>
          <t>&lt;.8&gt;/&lt;.4&gt;</t>
        </is>
      </c>
      <c r="E39" s="37" t="n"/>
      <c r="F39" s="37" t="n"/>
    </row>
    <row r="40">
      <c r="A40" s="35" t="inlineStr">
        <is>
          <t>&lt;.9&gt; Disclosures &amp; Analytics</t>
        </is>
      </c>
      <c r="B40" s="50" t="n"/>
      <c r="C40" s="50" t="n"/>
      <c r="D40" s="50" t="n"/>
      <c r="E40" s="50" t="n"/>
      <c r="F40" s="51" t="n"/>
    </row>
    <row r="41" ht="39" customHeight="1" s="41">
      <c r="A41" s="37" t="n"/>
      <c r="B41" s="40" t="inlineStr">
        <is>
          <t>25. Evaluate debt presentation and disclosure — terms, rates and maturities by facility, five-year maturity table, collateral / guarantees, issuance-cost presentation policy, unused availability, covenant violations / waivers, subsequent refinancing, fair value, related-party debt.</t>
        </is>
      </c>
      <c r="C41" s="40" t="inlineStr">
        <is>
          <t>Presentation &amp; Disclosure</t>
        </is>
      </c>
      <c r="D41" s="25" t="inlineStr">
        <is>
          <t>&lt;.9&gt;</t>
        </is>
      </c>
      <c r="E41" s="37" t="n"/>
      <c r="F41" s="37" t="n"/>
    </row>
    <row r="42" ht="25.5" customHeight="1" s="41">
      <c r="A42" s="37" t="n"/>
      <c r="B42" s="40" t="inlineStr">
        <is>
          <t>26. Perform debt analytics (gross vs net carrying value, weighted-average rate, interest coverage, unused availability) and investigate unusual movements.</t>
        </is>
      </c>
      <c r="C42" s="40" t="inlineStr">
        <is>
          <t>Valuation &amp; Allocation</t>
        </is>
      </c>
      <c r="D42" s="25" t="inlineStr">
        <is>
          <t>&lt;.9&gt;</t>
        </is>
      </c>
      <c r="E42" s="37" t="n"/>
      <c r="F42" s="37" t="n"/>
    </row>
    <row r="43">
      <c r="A43" s="35" t="inlineStr">
        <is>
          <t>Documentation &amp; Review</t>
        </is>
      </c>
      <c r="B43" s="50" t="n"/>
      <c r="C43" s="50" t="n"/>
      <c r="D43" s="50" t="n"/>
      <c r="E43" s="50" t="n"/>
      <c r="F43" s="51" t="n"/>
    </row>
    <row r="44" ht="15" customHeight="1" s="41">
      <c r="A44" s="37" t="n"/>
      <c r="B44" s="40" t="inlineStr">
        <is>
          <t>27. Cross-reference each procedure to its workpaper tab and link it to the relevant assertion(s).</t>
        </is>
      </c>
      <c r="C44" s="40" t="inlineStr">
        <is>
          <t>Overall</t>
        </is>
      </c>
      <c r="D44" s="25" t="inlineStr">
        <is>
          <t>&lt;.0&gt;-&lt;.9&gt;</t>
        </is>
      </c>
      <c r="E44" s="37" t="n"/>
      <c r="F44" s="37" t="n"/>
    </row>
    <row r="45" ht="25.5" customHeight="1" s="41">
      <c r="A45" s="37" t="n"/>
      <c r="B45" s="40" t="inlineStr">
        <is>
          <t>28. Verify rollforward, maturity, issuance-cost and covenant tie-out formulas foot correctly and the workbook source trail is complete.</t>
        </is>
      </c>
      <c r="C45" s="40" t="inlineStr">
        <is>
          <t>Accuracy; Completeness</t>
        </is>
      </c>
      <c r="D45" s="25" t="inlineStr">
        <is>
          <t>&lt;.1&gt;/&lt;.4&gt;/&lt;.6&gt;</t>
        </is>
      </c>
      <c r="E45" s="37" t="n"/>
      <c r="F45" s="37" t="n"/>
    </row>
    <row r="46">
      <c r="A46" s="35" t="inlineStr">
        <is>
          <t>Conclusion</t>
        </is>
      </c>
      <c r="B46" s="50" t="n"/>
      <c r="C46" s="50" t="n"/>
      <c r="D46" s="50" t="n"/>
      <c r="E46" s="50" t="n"/>
      <c r="F46" s="51" t="n"/>
    </row>
    <row r="47" ht="25.5" customHeight="1" s="41">
      <c r="A47" s="37" t="n"/>
      <c r="B47" s="40" t="inlineStr">
        <is>
          <t>29. All planned debt audit procedures above were performed; results support the recorded principal, net carrying value, interest, classification and related disclosures, subject to documented open items.</t>
        </is>
      </c>
      <c r="C47" s="40" t="inlineStr">
        <is>
          <t>Overall</t>
        </is>
      </c>
      <c r="D47" s="25" t="inlineStr">
        <is>
          <t>&lt;.0&gt;-&lt;.9&gt;</t>
        </is>
      </c>
      <c r="E47" s="37" t="n"/>
      <c r="F47" s="37" t="n"/>
    </row>
  </sheetData>
  <mergeCells count="13">
    <mergeCell ref="A16:F16"/>
    <mergeCell ref="A33:F33"/>
    <mergeCell ref="A46:F46"/>
    <mergeCell ref="A13:F13"/>
    <mergeCell ref="A23:F23"/>
    <mergeCell ref="A9:F9"/>
    <mergeCell ref="A27:F27"/>
    <mergeCell ref="A37:F37"/>
    <mergeCell ref="A40:F40"/>
    <mergeCell ref="A4:F4"/>
    <mergeCell ref="A20:F20"/>
    <mergeCell ref="A7:F7"/>
    <mergeCell ref="A43:F43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zoomScale="85" zoomScaleNormal="100" workbookViewId="0">
      <selection activeCell="A4" sqref="A4:G6"/>
    </sheetView>
  </sheetViews>
  <sheetFormatPr baseColWidth="8" defaultColWidth="8.6328125" defaultRowHeight="14.5"/>
  <cols>
    <col width="12.7265625" bestFit="1" customWidth="1" style="41" min="1" max="1"/>
    <col width="38" customWidth="1" style="41" min="2" max="2"/>
    <col width="20" customWidth="1" style="41" min="3" max="3"/>
    <col width="14" customWidth="1" style="41" min="4" max="4"/>
    <col width="12" customWidth="1" style="41" min="5" max="5"/>
    <col width="24" customWidth="1" style="41" min="6" max="6"/>
    <col width="34" customWidth="1" style="41" min="7" max="7"/>
  </cols>
  <sheetData>
    <row r="1" ht="17.5" customHeight="1" s="41">
      <c r="A1" s="4" t="inlineStr">
        <is>
          <t>Source Index</t>
        </is>
      </c>
    </row>
    <row r="2">
      <c r="A2" s="5" t="inlineStr">
        <is>
          <t>Client / Entity</t>
        </is>
      </c>
      <c r="B2" s="6" t="inlineStr">
        <is>
          <t>[Client / Entity]</t>
        </is>
      </c>
      <c r="D2" s="5" t="inlineStr">
        <is>
          <t>Year-End</t>
        </is>
      </c>
      <c r="E2" s="6" t="inlineStr">
        <is>
          <t>[YYYY-MM-DD]</t>
        </is>
      </c>
      <c r="G2" s="5" t="inlineStr">
        <is>
          <t>Currency</t>
        </is>
      </c>
      <c r="H2" s="6" t="inlineStr">
        <is>
          <t>[CCY]</t>
        </is>
      </c>
    </row>
    <row r="3">
      <c r="A3" s="5" t="inlineStr">
        <is>
          <t>Performance Materiality</t>
        </is>
      </c>
      <c r="B3" s="6" t="inlineStr">
        <is>
          <t>[PM]</t>
        </is>
      </c>
      <c r="D3" s="5" t="inlineStr">
        <is>
          <t>Testing Threshold (SUM)</t>
        </is>
      </c>
      <c r="E3" s="6" t="inlineStr">
        <is>
          <t>[Threshold]</t>
        </is>
      </c>
    </row>
    <row r="4">
      <c r="A4" s="28" t="inlineStr">
        <is>
          <t>Purpose:</t>
        </is>
      </c>
      <c r="B4" s="38" t="inlineStr">
        <is>
          <t>Map every debt PBC source and its limitations so the evidence trail is complete and traceable.</t>
        </is>
      </c>
      <c r="C4" s="52" t="n"/>
      <c r="D4" s="52" t="n"/>
      <c r="E4" s="52" t="n"/>
      <c r="F4" s="52" t="n"/>
      <c r="G4" s="53" t="n"/>
    </row>
    <row r="5" ht="21.5" customHeight="1" s="41">
      <c r="A5" s="28" t="inlineStr">
        <is>
          <t>Scope:</t>
        </is>
      </c>
      <c r="B5" s="38" t="inlineStr">
        <is>
          <t>Loan/facility listing, executed agreements &amp; amendments, lender statements/confirmations, amortization &amp; maturity schedules, covenant certificates &amp; calculations, fee/closing statements, board minutes.</t>
        </is>
      </c>
      <c r="C5" s="52" t="n"/>
      <c r="D5" s="52" t="n"/>
      <c r="E5" s="52" t="n"/>
      <c r="F5" s="52" t="n"/>
      <c r="G5" s="53" t="n"/>
    </row>
    <row r="6">
      <c r="A6" s="28" t="inlineStr">
        <is>
          <t>Assertions:</t>
        </is>
      </c>
      <c r="B6" s="38" t="inlineStr">
        <is>
          <t>Completeness</t>
        </is>
      </c>
      <c r="C6" s="52" t="n"/>
      <c r="D6" s="52" t="n"/>
      <c r="E6" s="52" t="n"/>
      <c r="F6" s="52" t="n"/>
      <c r="G6" s="53" t="n"/>
    </row>
    <row r="7" ht="30" customHeight="1" s="41">
      <c r="A7" s="27" t="inlineStr">
        <is>
          <t>Ref</t>
        </is>
      </c>
      <c r="B7" s="27" t="inlineStr">
        <is>
          <t>Source document / PBC</t>
        </is>
      </c>
      <c r="C7" s="27" t="inlineStr">
        <is>
          <t>Provided by</t>
        </is>
      </c>
      <c r="D7" s="27" t="inlineStr">
        <is>
          <t>Date received</t>
        </is>
      </c>
      <c r="E7" s="27" t="inlineStr">
        <is>
          <t>Format</t>
        </is>
      </c>
      <c r="F7" s="27" t="inlineStr">
        <is>
          <t>Used in tab(s)</t>
        </is>
      </c>
      <c r="G7" s="27" t="inlineStr">
        <is>
          <t>Limitations / notes</t>
        </is>
      </c>
    </row>
    <row r="8">
      <c r="A8" s="37" t="n"/>
      <c r="B8" s="37" t="n"/>
      <c r="C8" s="37" t="n"/>
      <c r="D8" s="37" t="n"/>
      <c r="E8" s="37" t="n"/>
      <c r="F8" s="37" t="n"/>
      <c r="G8" s="37" t="n"/>
    </row>
    <row r="9">
      <c r="A9" s="37" t="n"/>
      <c r="B9" s="37" t="n"/>
      <c r="C9" s="37" t="n"/>
      <c r="D9" s="37" t="n"/>
      <c r="E9" s="37" t="n"/>
      <c r="F9" s="37" t="n"/>
      <c r="G9" s="37" t="n"/>
    </row>
    <row r="10">
      <c r="A10" s="37" t="n"/>
      <c r="B10" s="37" t="n"/>
      <c r="C10" s="37" t="n"/>
      <c r="D10" s="37" t="n"/>
      <c r="E10" s="37" t="n"/>
      <c r="F10" s="37" t="n"/>
      <c r="G10" s="37" t="n"/>
    </row>
    <row r="11">
      <c r="A11" s="37" t="n"/>
      <c r="B11" s="37" t="n"/>
      <c r="C11" s="37" t="n"/>
      <c r="D11" s="37" t="n"/>
      <c r="E11" s="37" t="n"/>
      <c r="F11" s="37" t="n"/>
      <c r="G11" s="37" t="n"/>
    </row>
    <row r="12">
      <c r="A12" s="37" t="n"/>
      <c r="B12" s="37" t="n"/>
      <c r="C12" s="37" t="n"/>
      <c r="D12" s="37" t="n"/>
      <c r="E12" s="37" t="n"/>
      <c r="F12" s="37" t="n"/>
      <c r="G12" s="37" t="n"/>
    </row>
    <row r="13">
      <c r="A13" s="37" t="n"/>
      <c r="B13" s="37" t="n"/>
      <c r="C13" s="37" t="n"/>
      <c r="D13" s="37" t="n"/>
      <c r="E13" s="37" t="n"/>
      <c r="F13" s="37" t="n"/>
      <c r="G13" s="37" t="n"/>
    </row>
    <row r="14">
      <c r="A14" s="37" t="n"/>
      <c r="B14" s="37" t="n"/>
      <c r="C14" s="37" t="n"/>
      <c r="D14" s="37" t="n"/>
      <c r="E14" s="37" t="n"/>
      <c r="F14" s="37" t="n"/>
      <c r="G14" s="37" t="n"/>
    </row>
    <row r="15">
      <c r="A15" s="37" t="n"/>
      <c r="B15" s="37" t="n"/>
      <c r="C15" s="37" t="n"/>
      <c r="D15" s="37" t="n"/>
      <c r="E15" s="37" t="n"/>
      <c r="F15" s="37" t="n"/>
      <c r="G15" s="37" t="n"/>
    </row>
    <row r="16">
      <c r="A16" s="37" t="n"/>
      <c r="B16" s="37" t="n"/>
      <c r="C16" s="37" t="n"/>
      <c r="D16" s="37" t="n"/>
      <c r="E16" s="37" t="n"/>
      <c r="F16" s="37" t="n"/>
      <c r="G16" s="37" t="n"/>
    </row>
    <row r="17">
      <c r="A17" s="37" t="n"/>
      <c r="B17" s="37" t="n"/>
      <c r="C17" s="37" t="n"/>
      <c r="D17" s="37" t="n"/>
      <c r="E17" s="37" t="n"/>
      <c r="F17" s="37" t="n"/>
      <c r="G17" s="37" t="n"/>
    </row>
    <row r="18">
      <c r="A18" s="37" t="n"/>
      <c r="B18" s="37" t="n"/>
      <c r="C18" s="37" t="n"/>
      <c r="D18" s="37" t="n"/>
      <c r="E18" s="37" t="n"/>
      <c r="F18" s="37" t="n"/>
      <c r="G18" s="37" t="n"/>
    </row>
    <row r="19">
      <c r="A19" s="37" t="n"/>
      <c r="B19" s="37" t="n"/>
      <c r="C19" s="37" t="n"/>
      <c r="D19" s="37" t="n"/>
      <c r="E19" s="37" t="n"/>
      <c r="F19" s="37" t="n"/>
      <c r="G19" s="37" t="n"/>
    </row>
    <row r="20"/>
    <row r="21">
      <c r="A21" s="7" t="inlineStr">
        <is>
          <t>TM Legends</t>
        </is>
      </c>
    </row>
    <row r="22">
      <c r="A22" s="9" t="inlineStr">
        <is>
          <t>TB</t>
        </is>
      </c>
      <c r="B22" s="37" t="inlineStr">
        <is>
          <t>Agreed to trial balance</t>
        </is>
      </c>
      <c r="C22" s="50" t="n"/>
      <c r="D22" s="51" t="n"/>
    </row>
    <row r="23">
      <c r="A23" s="9" t="inlineStr">
        <is>
          <t>GL</t>
        </is>
      </c>
      <c r="B23" s="37" t="inlineStr">
        <is>
          <t>Agreed to general ledger</t>
        </is>
      </c>
      <c r="C23" s="50" t="n"/>
      <c r="D23" s="51" t="n"/>
    </row>
    <row r="24">
      <c r="A24" s="9" t="inlineStr">
        <is>
          <t>CF</t>
        </is>
      </c>
      <c r="B24" s="37" t="inlineStr">
        <is>
          <t>Confirmed with third party</t>
        </is>
      </c>
      <c r="C24" s="50" t="n"/>
      <c r="D24" s="51" t="n"/>
    </row>
    <row r="25">
      <c r="A25" s="9" t="inlineStr">
        <is>
          <t>V</t>
        </is>
      </c>
      <c r="B25" s="37" t="inlineStr">
        <is>
          <t>Vouched to source document</t>
        </is>
      </c>
      <c r="C25" s="50" t="n"/>
      <c r="D25" s="51" t="n"/>
    </row>
    <row r="26">
      <c r="A26" s="9" t="inlineStr">
        <is>
          <t>SR</t>
        </is>
      </c>
      <c r="B26" s="37" t="inlineStr">
        <is>
          <t>Agreed to subsequent bank-cleared receipt</t>
        </is>
      </c>
      <c r="C26" s="50" t="n"/>
      <c r="D26" s="51" t="n"/>
    </row>
    <row r="27">
      <c r="A27" s="9" t="inlineStr">
        <is>
          <t>R</t>
        </is>
      </c>
      <c r="B27" s="37" t="inlineStr">
        <is>
          <t>Recalculated independently</t>
        </is>
      </c>
      <c r="C27" s="50" t="n"/>
      <c r="D27" s="51" t="n"/>
    </row>
    <row r="28">
      <c r="A28" s="9" t="inlineStr">
        <is>
          <t>F</t>
        </is>
      </c>
      <c r="B28" s="37" t="inlineStr">
        <is>
          <t>Footed / cross-cast</t>
        </is>
      </c>
      <c r="C28" s="50" t="n"/>
      <c r="D28" s="51" t="n"/>
    </row>
    <row r="29">
      <c r="A29" s="9" t="inlineStr">
        <is>
          <t>T</t>
        </is>
      </c>
      <c r="B29" s="37" t="inlineStr">
        <is>
          <t>Traced to downstream record</t>
        </is>
      </c>
      <c r="C29" s="50" t="n"/>
      <c r="D29" s="51" t="n"/>
    </row>
    <row r="30">
      <c r="A30" s="9" t="inlineStr">
        <is>
          <t>PBC</t>
        </is>
      </c>
      <c r="B30" s="37" t="inlineStr">
        <is>
          <t>Prepared by client</t>
        </is>
      </c>
      <c r="C30" s="50" t="n"/>
      <c r="D30" s="51" t="n"/>
    </row>
    <row r="31"/>
    <row r="32" ht="27.75" customHeight="1" s="41">
      <c r="A32" s="44" t="inlineStr">
        <is>
          <t>Before sign-off complete Library Procedure 1 (source completeness &amp; limitations).</t>
        </is>
      </c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32"/>
  <sheetViews>
    <sheetView showGridLines="0" zoomScale="85" zoomScaleNormal="100" workbookViewId="0">
      <selection activeCell="A6" sqref="A6"/>
    </sheetView>
  </sheetViews>
  <sheetFormatPr baseColWidth="8" defaultColWidth="8.6328125" defaultRowHeight="14.5"/>
  <cols>
    <col width="22" customWidth="1" style="41" min="1" max="1"/>
    <col width="18" customWidth="1" style="41" min="2" max="2"/>
    <col width="16" customWidth="1" style="41" min="3" max="3"/>
    <col width="11" customWidth="1" style="41" min="4" max="4"/>
    <col width="13" customWidth="1" style="41" min="5" max="5"/>
    <col width="16" customWidth="1" style="41" min="6" max="6"/>
    <col width="15" customWidth="1" style="41" min="7" max="7"/>
    <col width="14" customWidth="1" style="41" min="8" max="8"/>
    <col width="15" customWidth="1" style="41" min="9" max="9"/>
    <col width="14" customWidth="1" style="41" min="10" max="10"/>
    <col width="11" customWidth="1" style="41" min="11" max="11"/>
    <col width="10.54296875" customWidth="1" style="41" min="12" max="12"/>
    <col width="15" customWidth="1" style="41" min="13" max="13"/>
    <col width="20" customWidth="1" style="41" min="14" max="14"/>
    <col width="22" customWidth="1" style="41" min="15" max="15"/>
  </cols>
  <sheetData>
    <row r="1" ht="17.5" customHeight="1" s="41">
      <c r="A1" s="4" t="inlineStr">
        <is>
          <t>Debt Lead &amp; Rollforward</t>
        </is>
      </c>
    </row>
    <row r="2">
      <c r="A2" s="5" t="inlineStr">
        <is>
          <t>Client / Entity</t>
        </is>
      </c>
      <c r="B2" s="6" t="inlineStr">
        <is>
          <t>[Client / Entity]</t>
        </is>
      </c>
      <c r="D2" s="5" t="inlineStr">
        <is>
          <t>Year-End</t>
        </is>
      </c>
      <c r="E2" s="6" t="inlineStr">
        <is>
          <t>[YYYY-MM-DD]</t>
        </is>
      </c>
      <c r="G2" s="5" t="inlineStr">
        <is>
          <t>Currency</t>
        </is>
      </c>
      <c r="H2" s="6" t="inlineStr">
        <is>
          <t>[CCY]</t>
        </is>
      </c>
    </row>
    <row r="3">
      <c r="A3" s="5" t="inlineStr">
        <is>
          <t>Performance Materiality</t>
        </is>
      </c>
      <c r="B3" s="6" t="inlineStr">
        <is>
          <t>[PM]</t>
        </is>
      </c>
      <c r="D3" s="5" t="inlineStr">
        <is>
          <t>Testing Threshold (SUM)</t>
        </is>
      </c>
      <c r="E3" s="6" t="inlineStr">
        <is>
          <t>[Threshold]</t>
        </is>
      </c>
    </row>
    <row r="4">
      <c r="A4" s="28" t="inlineStr">
        <is>
          <t>Purpose:</t>
        </is>
      </c>
      <c r="B4" s="38" t="inlineStr">
        <is>
          <t>Build the debt population, roll each facility forward (beginning + borrowings − repayments = ending), tie to the trial balance, bridge the opening balance to the prior-year TB, and derive the net carrying value.</t>
        </is>
      </c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3" t="n"/>
    </row>
    <row r="5">
      <c r="A5" s="28" t="inlineStr">
        <is>
          <t>Scope:</t>
        </is>
      </c>
      <c r="B5" s="38" t="inlineStr">
        <is>
          <t>Every facility: term loans, delayed-draw term loans, revolving lines (drawn or undrawn), related-party and subordinated debt.</t>
        </is>
      </c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3" t="n"/>
    </row>
    <row r="6">
      <c r="A6" s="28" t="inlineStr">
        <is>
          <t>Assertions:</t>
        </is>
      </c>
      <c r="B6" s="38" t="inlineStr">
        <is>
          <t>Completeness; Existence; Rights &amp; Obligations; Accuracy; Valuation</t>
        </is>
      </c>
      <c r="C6" s="52" t="n"/>
      <c r="D6" s="52" t="n"/>
      <c r="E6" s="52" t="n"/>
      <c r="F6" s="52" t="n"/>
      <c r="G6" s="52" t="n"/>
      <c r="H6" s="52" t="n"/>
      <c r="I6" s="52" t="n"/>
      <c r="J6" s="52" t="n"/>
      <c r="K6" s="52" t="n"/>
      <c r="L6" s="52" t="n"/>
      <c r="M6" s="52" t="n"/>
      <c r="N6" s="52" t="n"/>
      <c r="O6" s="53" t="n"/>
    </row>
    <row r="7" ht="39.75" customHeight="1" s="41">
      <c r="A7" s="27" t="inlineStr">
        <is>
          <t>Facility / Loan</t>
        </is>
      </c>
      <c r="B7" s="27" t="inlineStr">
        <is>
          <t>Lender</t>
        </is>
      </c>
      <c r="C7" s="27" t="inlineStr">
        <is>
          <t>Type (term / LOC / DDTL)</t>
        </is>
      </c>
      <c r="D7" s="27" t="inlineStr">
        <is>
          <t>Stated rate</t>
        </is>
      </c>
      <c r="E7" s="27" t="inlineStr">
        <is>
          <t>Maturity date</t>
        </is>
      </c>
      <c r="F7" s="27" t="inlineStr">
        <is>
          <t>Beg principal (= PY TB)</t>
        </is>
      </c>
      <c r="G7" s="27" t="inlineStr">
        <is>
          <t>Borrowings / draws</t>
        </is>
      </c>
      <c r="H7" s="27" t="inlineStr">
        <is>
          <t>Repayments</t>
        </is>
      </c>
      <c r="I7" s="27" t="inlineStr">
        <is>
          <t>Ending principal</t>
        </is>
      </c>
      <c r="J7" s="27" t="inlineStr">
        <is>
          <t>Per TB / GL</t>
        </is>
      </c>
      <c r="K7" s="27" t="inlineStr">
        <is>
          <t>Diff</t>
        </is>
      </c>
      <c r="L7" s="27" t="inlineStr">
        <is>
          <t>Unamortized issuance costs (&lt;.5&gt;)</t>
        </is>
      </c>
      <c r="M7" s="27" t="inlineStr">
        <is>
          <t>Net carrying value</t>
        </is>
      </c>
      <c r="N7" s="27" t="inlineStr">
        <is>
          <t>Collateral / liens</t>
        </is>
      </c>
      <c r="O7" s="27" t="inlineStr">
        <is>
          <t>Comments</t>
        </is>
      </c>
    </row>
    <row r="8">
      <c r="F8" s="10" t="inlineStr">
        <is>
          <t>PY</t>
        </is>
      </c>
      <c r="I8" s="10" t="inlineStr">
        <is>
          <t>F</t>
        </is>
      </c>
      <c r="J8" s="10" t="inlineStr">
        <is>
          <t>TB</t>
        </is>
      </c>
      <c r="L8" s="10" t="inlineStr">
        <is>
          <t>T</t>
        </is>
      </c>
    </row>
    <row r="9">
      <c r="A9" s="37" t="n"/>
      <c r="B9" s="37" t="n"/>
      <c r="C9" s="37" t="n"/>
      <c r="D9" s="37" t="n"/>
      <c r="E9" s="37" t="n"/>
      <c r="F9" s="11" t="n"/>
      <c r="G9" s="11" t="n"/>
      <c r="H9" s="11" t="n"/>
      <c r="I9" s="11">
        <f>IF(COUNT(F9:H9)=0,"",F9+G9-H9)</f>
        <v/>
      </c>
      <c r="J9" s="11" t="n"/>
      <c r="K9" s="11">
        <f>IF(AND(I9="",J9=""),"",I9-J9)</f>
        <v/>
      </c>
      <c r="L9" s="11" t="n"/>
      <c r="M9" s="11">
        <f>IF(I9="","",I9-L9)</f>
        <v/>
      </c>
      <c r="N9" s="37" t="n"/>
      <c r="O9" s="37" t="n"/>
    </row>
    <row r="10">
      <c r="A10" s="37" t="n"/>
      <c r="B10" s="37" t="n"/>
      <c r="C10" s="37" t="n"/>
      <c r="D10" s="37" t="n"/>
      <c r="E10" s="37" t="n"/>
      <c r="F10" s="11" t="n"/>
      <c r="G10" s="11" t="n"/>
      <c r="H10" s="11" t="n"/>
      <c r="I10" s="11">
        <f>IF(COUNT(F10:H10)=0,"",F10+G10-H10)</f>
        <v/>
      </c>
      <c r="J10" s="11" t="n"/>
      <c r="K10" s="11">
        <f>IF(AND(I10="",J10=""),"",I10-J10)</f>
        <v/>
      </c>
      <c r="L10" s="11" t="n"/>
      <c r="M10" s="11">
        <f>IF(I10="","",I10-L10)</f>
        <v/>
      </c>
      <c r="N10" s="37" t="n"/>
      <c r="O10" s="37" t="n"/>
    </row>
    <row r="11">
      <c r="A11" s="37" t="n"/>
      <c r="B11" s="37" t="n"/>
      <c r="C11" s="37" t="n"/>
      <c r="D11" s="37" t="n"/>
      <c r="E11" s="37" t="n"/>
      <c r="F11" s="11" t="n"/>
      <c r="G11" s="11" t="n"/>
      <c r="H11" s="11" t="n"/>
      <c r="I11" s="11">
        <f>IF(COUNT(F11:H11)=0,"",F11+G11-H11)</f>
        <v/>
      </c>
      <c r="J11" s="11" t="n"/>
      <c r="K11" s="11">
        <f>IF(AND(I11="",J11=""),"",I11-J11)</f>
        <v/>
      </c>
      <c r="L11" s="11" t="n"/>
      <c r="M11" s="11">
        <f>IF(I11="","",I11-L11)</f>
        <v/>
      </c>
      <c r="N11" s="37" t="n"/>
      <c r="O11" s="37" t="n"/>
    </row>
    <row r="12">
      <c r="A12" s="37" t="n"/>
      <c r="B12" s="37" t="n"/>
      <c r="C12" s="37" t="n"/>
      <c r="D12" s="37" t="n"/>
      <c r="E12" s="37" t="n"/>
      <c r="F12" s="11" t="n"/>
      <c r="G12" s="11" t="n"/>
      <c r="H12" s="11" t="n"/>
      <c r="I12" s="11">
        <f>IF(COUNT(F12:H12)=0,"",F12+G12-H12)</f>
        <v/>
      </c>
      <c r="J12" s="11" t="n"/>
      <c r="K12" s="11">
        <f>IF(AND(I12="",J12=""),"",I12-J12)</f>
        <v/>
      </c>
      <c r="L12" s="11" t="n"/>
      <c r="M12" s="11">
        <f>IF(I12="","",I12-L12)</f>
        <v/>
      </c>
      <c r="N12" s="37" t="n"/>
      <c r="O12" s="37" t="n"/>
    </row>
    <row r="13">
      <c r="A13" s="37" t="n"/>
      <c r="B13" s="37" t="n"/>
      <c r="C13" s="37" t="n"/>
      <c r="D13" s="37" t="n"/>
      <c r="E13" s="37" t="n"/>
      <c r="F13" s="11" t="n"/>
      <c r="G13" s="11" t="n"/>
      <c r="H13" s="11" t="n"/>
      <c r="I13" s="11">
        <f>IF(COUNT(F13:H13)=0,"",F13+G13-H13)</f>
        <v/>
      </c>
      <c r="J13" s="11" t="n"/>
      <c r="K13" s="11">
        <f>IF(AND(I13="",J13=""),"",I13-J13)</f>
        <v/>
      </c>
      <c r="L13" s="11" t="n"/>
      <c r="M13" s="11">
        <f>IF(I13="","",I13-L13)</f>
        <v/>
      </c>
      <c r="N13" s="37" t="n"/>
      <c r="O13" s="37" t="n"/>
    </row>
    <row r="14">
      <c r="A14" s="37" t="n"/>
      <c r="B14" s="37" t="n"/>
      <c r="C14" s="37" t="n"/>
      <c r="D14" s="37" t="n"/>
      <c r="E14" s="37" t="n"/>
      <c r="F14" s="11" t="n"/>
      <c r="G14" s="11" t="n"/>
      <c r="H14" s="11" t="n"/>
      <c r="I14" s="11">
        <f>IF(COUNT(F14:H14)=0,"",F14+G14-H14)</f>
        <v/>
      </c>
      <c r="J14" s="11" t="n"/>
      <c r="K14" s="11">
        <f>IF(AND(I14="",J14=""),"",I14-J14)</f>
        <v/>
      </c>
      <c r="L14" s="11" t="n"/>
      <c r="M14" s="11">
        <f>IF(I14="","",I14-L14)</f>
        <v/>
      </c>
      <c r="N14" s="37" t="n"/>
      <c r="O14" s="37" t="n"/>
    </row>
    <row r="15">
      <c r="A15" s="37" t="n"/>
      <c r="B15" s="37" t="n"/>
      <c r="C15" s="37" t="n"/>
      <c r="D15" s="37" t="n"/>
      <c r="E15" s="37" t="n"/>
      <c r="F15" s="11" t="n"/>
      <c r="G15" s="11" t="n"/>
      <c r="H15" s="11" t="n"/>
      <c r="I15" s="11">
        <f>IF(COUNT(F15:H15)=0,"",F15+G15-H15)</f>
        <v/>
      </c>
      <c r="J15" s="11" t="n"/>
      <c r="K15" s="11">
        <f>IF(AND(I15="",J15=""),"",I15-J15)</f>
        <v/>
      </c>
      <c r="L15" s="11" t="n"/>
      <c r="M15" s="11">
        <f>IF(I15="","",I15-L15)</f>
        <v/>
      </c>
      <c r="N15" s="37" t="n"/>
      <c r="O15" s="37" t="n"/>
    </row>
    <row r="16">
      <c r="A16" s="37" t="n"/>
      <c r="B16" s="37" t="n"/>
      <c r="C16" s="37" t="n"/>
      <c r="D16" s="37" t="n"/>
      <c r="E16" s="37" t="n"/>
      <c r="F16" s="11" t="n"/>
      <c r="G16" s="11" t="n"/>
      <c r="H16" s="11" t="n"/>
      <c r="I16" s="11">
        <f>IF(COUNT(F16:H16)=0,"",F16+G16-H16)</f>
        <v/>
      </c>
      <c r="J16" s="11" t="n"/>
      <c r="K16" s="11">
        <f>IF(AND(I16="",J16=""),"",I16-J16)</f>
        <v/>
      </c>
      <c r="L16" s="11" t="n"/>
      <c r="M16" s="11">
        <f>IF(I16="","",I16-L16)</f>
        <v/>
      </c>
      <c r="N16" s="37" t="n"/>
      <c r="O16" s="37" t="n"/>
    </row>
    <row r="17">
      <c r="A17" s="12" t="inlineStr">
        <is>
          <t>Total</t>
        </is>
      </c>
      <c r="B17" s="12" t="n"/>
      <c r="C17" s="12" t="n"/>
      <c r="D17" s="12" t="n"/>
      <c r="E17" s="12" t="n"/>
      <c r="F17" s="13">
        <f>SUM(F9:F16)</f>
        <v/>
      </c>
      <c r="G17" s="13">
        <f>SUM(G9:G16)</f>
        <v/>
      </c>
      <c r="H17" s="13">
        <f>SUM(H9:H16)</f>
        <v/>
      </c>
      <c r="I17" s="13">
        <f>SUM(I9:I16)</f>
        <v/>
      </c>
      <c r="J17" s="13">
        <f>SUM(J9:J16)</f>
        <v/>
      </c>
      <c r="K17" s="13">
        <f>SUM(K9:K16)</f>
        <v/>
      </c>
      <c r="L17" s="13">
        <f>SUM(L9:L16)</f>
        <v/>
      </c>
      <c r="M17" s="13">
        <f>SUM(M9:M16)</f>
        <v/>
      </c>
      <c r="N17" s="12" t="n"/>
      <c r="O17" s="12" t="n"/>
    </row>
    <row r="18"/>
    <row r="19" ht="27.75" customHeight="1" s="41">
      <c r="A19" s="44" t="inlineStr">
        <is>
          <t>Beginning principal must tie to the prior-year TB closing balance (bridge any difference). Ending principal ties to the TB and to the lender confirmation (&lt;.2&gt;); unamortized issuance costs flow from &lt;.5&gt;; net carrying value is the presented debt amount (ASC 835-30-45-1A).</t>
        </is>
      </c>
    </row>
    <row r="20"/>
    <row r="21">
      <c r="A21" s="7" t="inlineStr">
        <is>
          <t>TM Legends</t>
        </is>
      </c>
    </row>
    <row r="22">
      <c r="A22" s="9" t="inlineStr">
        <is>
          <t>TB</t>
        </is>
      </c>
      <c r="B22" s="37" t="inlineStr">
        <is>
          <t>Agreed to trial balance</t>
        </is>
      </c>
      <c r="C22" s="50" t="n"/>
      <c r="D22" s="51" t="n"/>
    </row>
    <row r="23">
      <c r="A23" s="9" t="inlineStr">
        <is>
          <t>GL</t>
        </is>
      </c>
      <c r="B23" s="37" t="inlineStr">
        <is>
          <t>Agreed to general ledger</t>
        </is>
      </c>
      <c r="C23" s="50" t="n"/>
      <c r="D23" s="51" t="n"/>
    </row>
    <row r="24">
      <c r="A24" s="9" t="inlineStr">
        <is>
          <t>CF</t>
        </is>
      </c>
      <c r="B24" s="37" t="inlineStr">
        <is>
          <t>Confirmed with third party</t>
        </is>
      </c>
      <c r="C24" s="50" t="n"/>
      <c r="D24" s="51" t="n"/>
    </row>
    <row r="25">
      <c r="A25" s="9" t="inlineStr">
        <is>
          <t>V</t>
        </is>
      </c>
      <c r="B25" s="37" t="inlineStr">
        <is>
          <t>Vouched to source document</t>
        </is>
      </c>
      <c r="C25" s="50" t="n"/>
      <c r="D25" s="51" t="n"/>
    </row>
    <row r="26">
      <c r="A26" s="9" t="inlineStr">
        <is>
          <t>SR</t>
        </is>
      </c>
      <c r="B26" s="37" t="inlineStr">
        <is>
          <t>Agreed to subsequent bank-cleared receipt</t>
        </is>
      </c>
      <c r="C26" s="50" t="n"/>
      <c r="D26" s="51" t="n"/>
    </row>
    <row r="27">
      <c r="A27" s="9" t="inlineStr">
        <is>
          <t>R</t>
        </is>
      </c>
      <c r="B27" s="37" t="inlineStr">
        <is>
          <t>Recalculated independently</t>
        </is>
      </c>
      <c r="C27" s="50" t="n"/>
      <c r="D27" s="51" t="n"/>
    </row>
    <row r="28">
      <c r="A28" s="9" t="inlineStr">
        <is>
          <t>F</t>
        </is>
      </c>
      <c r="B28" s="37" t="inlineStr">
        <is>
          <t>Footed / cross-cast</t>
        </is>
      </c>
      <c r="C28" s="50" t="n"/>
      <c r="D28" s="51" t="n"/>
    </row>
    <row r="29">
      <c r="A29" s="9" t="inlineStr">
        <is>
          <t>T</t>
        </is>
      </c>
      <c r="B29" s="37" t="inlineStr">
        <is>
          <t>Traced to downstream record</t>
        </is>
      </c>
      <c r="C29" s="50" t="n"/>
      <c r="D29" s="51" t="n"/>
    </row>
    <row r="30">
      <c r="A30" s="9" t="inlineStr">
        <is>
          <t>PBC</t>
        </is>
      </c>
      <c r="B30" s="37" t="inlineStr">
        <is>
          <t>Prepared by client</t>
        </is>
      </c>
      <c r="C30" s="50" t="n"/>
      <c r="D30" s="51" t="n"/>
    </row>
    <row r="31"/>
    <row r="32" ht="27.75" customHeight="1" s="41">
      <c r="A32" s="44" t="inlineStr">
        <is>
          <t>Before sign-off complete Library Procedures 2-4 (population &amp; PY bridge, rollforward, agreements / collateral / liens).</t>
        </is>
      </c>
    </row>
  </sheetData>
  <mergeCells count="14">
    <mergeCell ref="B28:D28"/>
    <mergeCell ref="B4:O4"/>
    <mergeCell ref="B23:D23"/>
    <mergeCell ref="B22:D22"/>
    <mergeCell ref="B6:O6"/>
    <mergeCell ref="A19:O19"/>
    <mergeCell ref="B26:D26"/>
    <mergeCell ref="B27:D27"/>
    <mergeCell ref="A32:O32"/>
    <mergeCell ref="B5:O5"/>
    <mergeCell ref="B30:D30"/>
    <mergeCell ref="B29:D29"/>
    <mergeCell ref="B25:D25"/>
    <mergeCell ref="B24:D24"/>
  </mergeCells>
  <pageMargins left="0.3" right="0.3" top="0.4" bottom="0.4" header="0.2" footer="0.2"/>
  <pageSetup orientation="landscape" paperSize="1" fitToHeight="1" fitToWidth="2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2"/>
  <sheetViews>
    <sheetView showGridLines="0" zoomScale="85" zoomScaleNormal="100" workbookViewId="0">
      <selection activeCell="A3" sqref="A3"/>
    </sheetView>
  </sheetViews>
  <sheetFormatPr baseColWidth="8" defaultColWidth="8.6328125" defaultRowHeight="14.5"/>
  <cols>
    <col width="21.90625" bestFit="1" customWidth="1" style="41" min="1" max="1"/>
    <col width="18" customWidth="1" style="41" min="2" max="2"/>
    <col width="14" customWidth="1" style="41" min="3" max="3"/>
    <col width="16" customWidth="1" style="41" min="4" max="4"/>
    <col width="11" customWidth="1" style="41" min="5" max="5"/>
    <col width="12" customWidth="1" style="41" min="6" max="6"/>
    <col width="13" customWidth="1" style="41" min="7" max="7"/>
    <col width="10" customWidth="1" style="41" min="8" max="9"/>
    <col width="12" customWidth="1" style="41" min="10" max="10"/>
    <col width="13" customWidth="1" style="41" min="11" max="11"/>
    <col width="12" customWidth="1" style="41" min="12" max="12"/>
    <col width="10" customWidth="1" style="41" min="13" max="13"/>
    <col width="12" customWidth="1" style="41" min="14" max="14"/>
    <col width="22" customWidth="1" style="41" min="15" max="15"/>
    <col width="24" customWidth="1" style="41" min="16" max="16"/>
  </cols>
  <sheetData>
    <row r="1" ht="17.5" customHeight="1" s="41">
      <c r="A1" s="4" t="inlineStr">
        <is>
          <t>Lender Confirmation</t>
        </is>
      </c>
    </row>
    <row r="2">
      <c r="A2" s="5" t="inlineStr">
        <is>
          <t>Client / Entity</t>
        </is>
      </c>
      <c r="B2" s="6" t="inlineStr">
        <is>
          <t>[Client / Entity]</t>
        </is>
      </c>
      <c r="D2" s="5" t="inlineStr">
        <is>
          <t>Year-End</t>
        </is>
      </c>
      <c r="E2" s="6" t="inlineStr">
        <is>
          <t>[YYYY-MM-DD]</t>
        </is>
      </c>
      <c r="G2" s="5" t="inlineStr">
        <is>
          <t>Currency</t>
        </is>
      </c>
      <c r="H2" s="6" t="inlineStr">
        <is>
          <t>[CCY]</t>
        </is>
      </c>
    </row>
    <row r="3">
      <c r="A3" s="5" t="inlineStr">
        <is>
          <t>Performance Materiality</t>
        </is>
      </c>
      <c r="B3" s="6" t="inlineStr">
        <is>
          <t>[PM]</t>
        </is>
      </c>
      <c r="D3" s="5" t="inlineStr">
        <is>
          <t>Testing Threshold (SUM)</t>
        </is>
      </c>
      <c r="E3" s="6" t="inlineStr">
        <is>
          <t>[Threshold]</t>
        </is>
      </c>
    </row>
    <row r="4" ht="27.75" customHeight="1" s="41">
      <c r="A4" s="28" t="inlineStr">
        <is>
          <t>Purpose:</t>
        </is>
      </c>
      <c r="B4" s="38" t="inlineStr">
        <is>
          <t>Confirm each facility directly with the lender — principal, rate, maturity, collateral/guarantees and undrawn availability — controlling the process and testing authenticity of responses.</t>
        </is>
      </c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3" t="n"/>
    </row>
    <row r="5" ht="15" customHeight="1" s="41">
      <c r="A5" s="28" t="inlineStr">
        <is>
          <t>Scope:</t>
        </is>
      </c>
      <c r="B5" s="38" t="inlineStr">
        <is>
          <t>All facilities, including undrawn lines (confirm availability and any amounts drawn).</t>
        </is>
      </c>
      <c r="C5" s="52" t="n"/>
      <c r="D5" s="52" t="n"/>
      <c r="E5" s="52" t="n"/>
      <c r="F5" s="52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3" t="n"/>
    </row>
    <row r="6" ht="15" customHeight="1" s="41">
      <c r="A6" s="28" t="inlineStr">
        <is>
          <t>Assertions:</t>
        </is>
      </c>
      <c r="B6" s="38" t="inlineStr">
        <is>
          <t>Existence; Rights &amp; Obligations; Completeness; Valuation</t>
        </is>
      </c>
      <c r="C6" s="52" t="n"/>
      <c r="D6" s="52" t="n"/>
      <c r="E6" s="52" t="n"/>
      <c r="F6" s="52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3" t="n"/>
    </row>
    <row r="7" ht="43.5" customHeight="1" s="41">
      <c r="A7" s="27" t="inlineStr">
        <is>
          <t>Facility / Loan</t>
        </is>
      </c>
      <c r="B7" s="27" t="inlineStr">
        <is>
          <t>Lender</t>
        </is>
      </c>
      <c r="C7" s="27" t="inlineStr">
        <is>
          <t>Balance per GL</t>
        </is>
      </c>
      <c r="D7" s="27" t="inlineStr">
        <is>
          <t>Principal per confirmation</t>
        </is>
      </c>
      <c r="E7" s="27" t="inlineStr">
        <is>
          <t>Diff</t>
        </is>
      </c>
      <c r="F7" s="27" t="inlineStr">
        <is>
          <t>Rate confirmed</t>
        </is>
      </c>
      <c r="G7" s="27" t="inlineStr">
        <is>
          <t>Maturity confirmed</t>
        </is>
      </c>
      <c r="H7" s="27" t="inlineStr">
        <is>
          <t>Collateral / guarantees confirmed</t>
        </is>
      </c>
      <c r="I7" s="27" t="inlineStr">
        <is>
          <t>Undrawn availability confirmed</t>
        </is>
      </c>
      <c r="J7" s="27" t="inlineStr">
        <is>
          <t>Date sent</t>
        </is>
      </c>
      <c r="K7" s="27" t="inlineStr">
        <is>
          <t>Follow-up date(s)</t>
        </is>
      </c>
      <c r="L7" s="27" t="inlineStr">
        <is>
          <t>Response received (Y/N)</t>
        </is>
      </c>
      <c r="M7" s="27" t="inlineStr">
        <is>
          <t>Method (email / physical / Confirmation.com)</t>
        </is>
      </c>
      <c r="N7" s="27" t="inlineStr">
        <is>
          <t>Authenticity tested (Y/N)</t>
        </is>
      </c>
      <c r="O7" s="27" t="inlineStr">
        <is>
          <t>Alternative procedures (if no reply)</t>
        </is>
      </c>
      <c r="P7" s="27" t="inlineStr">
        <is>
          <t>Conclusion / Comments</t>
        </is>
      </c>
    </row>
    <row r="8">
      <c r="C8" s="10" t="inlineStr">
        <is>
          <t>TB</t>
        </is>
      </c>
      <c r="D8" s="10" t="inlineStr">
        <is>
          <t>CF</t>
        </is>
      </c>
      <c r="E8" s="10" t="inlineStr">
        <is>
          <t>R</t>
        </is>
      </c>
    </row>
    <row r="9">
      <c r="A9" s="37" t="n"/>
      <c r="B9" s="37" t="n"/>
      <c r="C9" s="11" t="n"/>
      <c r="D9" s="11" t="n"/>
      <c r="E9" s="11">
        <f>IF(AND(C9="",D9=""),"",C9-D9)</f>
        <v/>
      </c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</row>
    <row r="10">
      <c r="A10" s="37" t="n"/>
      <c r="B10" s="37" t="n"/>
      <c r="C10" s="11" t="n"/>
      <c r="D10" s="11" t="n"/>
      <c r="E10" s="11">
        <f>IF(AND(C10="",D10=""),"",C10-D10)</f>
        <v/>
      </c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  <c r="O10" s="37" t="n"/>
      <c r="P10" s="37" t="n"/>
    </row>
    <row r="11">
      <c r="A11" s="37" t="n"/>
      <c r="B11" s="37" t="n"/>
      <c r="C11" s="11" t="n"/>
      <c r="D11" s="11" t="n"/>
      <c r="E11" s="11">
        <f>IF(AND(C11="",D11=""),"",C11-D11)</f>
        <v/>
      </c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</row>
    <row r="12">
      <c r="A12" s="37" t="n"/>
      <c r="B12" s="37" t="n"/>
      <c r="C12" s="11" t="n"/>
      <c r="D12" s="11" t="n"/>
      <c r="E12" s="11">
        <f>IF(AND(C12="",D12=""),"",C12-D12)</f>
        <v/>
      </c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  <c r="O12" s="37" t="n"/>
      <c r="P12" s="37" t="n"/>
    </row>
    <row r="13">
      <c r="A13" s="37" t="n"/>
      <c r="B13" s="37" t="n"/>
      <c r="C13" s="11" t="n"/>
      <c r="D13" s="11" t="n"/>
      <c r="E13" s="11">
        <f>IF(AND(C13="",D13=""),"",C13-D13)</f>
        <v/>
      </c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</row>
    <row r="14">
      <c r="A14" s="37" t="n"/>
      <c r="B14" s="37" t="n"/>
      <c r="C14" s="11" t="n"/>
      <c r="D14" s="11" t="n"/>
      <c r="E14" s="11">
        <f>IF(AND(C14="",D14=""),"",C14-D14)</f>
        <v/>
      </c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  <c r="O14" s="37" t="n"/>
      <c r="P14" s="37" t="n"/>
    </row>
    <row r="15">
      <c r="A15" s="37" t="n"/>
      <c r="B15" s="37" t="n"/>
      <c r="C15" s="11" t="n"/>
      <c r="D15" s="11" t="n"/>
      <c r="E15" s="11">
        <f>IF(AND(C15="",D15=""),"",C15-D15)</f>
        <v/>
      </c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</row>
    <row r="16">
      <c r="A16" s="37" t="n"/>
      <c r="B16" s="37" t="n"/>
      <c r="C16" s="11" t="n"/>
      <c r="D16" s="11" t="n"/>
      <c r="E16" s="11">
        <f>IF(AND(C16="",D16=""),"",C16-D16)</f>
        <v/>
      </c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</row>
    <row r="17">
      <c r="A17" s="12" t="inlineStr">
        <is>
          <t>Total</t>
        </is>
      </c>
      <c r="B17" s="12" t="n"/>
      <c r="C17" s="13">
        <f>SUM(C9:C16)</f>
        <v/>
      </c>
      <c r="D17" s="13">
        <f>SUM(D9:D16)</f>
        <v/>
      </c>
      <c r="E17" s="13">
        <f>SUM(E9:E16)</f>
        <v/>
      </c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</row>
    <row r="18"/>
    <row r="19" ht="27.75" customHeight="1" s="41">
      <c r="A19" s="44" t="inlineStr">
        <is>
          <t>Send directly to the lender and require direct return; log dates, follow-ups and method; for email responses verify the sender domain and perform an independent call-back; perform alternative procedures (lender statements, agreements, subsequent payments) for non-replies.</t>
        </is>
      </c>
    </row>
    <row r="20"/>
    <row r="21">
      <c r="A21" s="7" t="inlineStr">
        <is>
          <t>TM Legends</t>
        </is>
      </c>
    </row>
    <row r="22">
      <c r="A22" s="9" t="inlineStr">
        <is>
          <t>TB</t>
        </is>
      </c>
      <c r="B22" s="37" t="inlineStr">
        <is>
          <t>Agreed to trial balance</t>
        </is>
      </c>
      <c r="C22" s="50" t="n"/>
      <c r="D22" s="51" t="n"/>
    </row>
    <row r="23">
      <c r="A23" s="9" t="inlineStr">
        <is>
          <t>GL</t>
        </is>
      </c>
      <c r="B23" s="37" t="inlineStr">
        <is>
          <t>Agreed to general ledger</t>
        </is>
      </c>
      <c r="C23" s="50" t="n"/>
      <c r="D23" s="51" t="n"/>
    </row>
    <row r="24">
      <c r="A24" s="9" t="inlineStr">
        <is>
          <t>CF</t>
        </is>
      </c>
      <c r="B24" s="37" t="inlineStr">
        <is>
          <t>Confirmed with third party</t>
        </is>
      </c>
      <c r="C24" s="50" t="n"/>
      <c r="D24" s="51" t="n"/>
    </row>
    <row r="25">
      <c r="A25" s="9" t="inlineStr">
        <is>
          <t>V</t>
        </is>
      </c>
      <c r="B25" s="37" t="inlineStr">
        <is>
          <t>Vouched to source document</t>
        </is>
      </c>
      <c r="C25" s="50" t="n"/>
      <c r="D25" s="51" t="n"/>
    </row>
    <row r="26">
      <c r="A26" s="9" t="inlineStr">
        <is>
          <t>SR</t>
        </is>
      </c>
      <c r="B26" s="37" t="inlineStr">
        <is>
          <t>Agreed to subsequent bank-cleared receipt</t>
        </is>
      </c>
      <c r="C26" s="50" t="n"/>
      <c r="D26" s="51" t="n"/>
    </row>
    <row r="27">
      <c r="A27" s="9" t="inlineStr">
        <is>
          <t>R</t>
        </is>
      </c>
      <c r="B27" s="37" t="inlineStr">
        <is>
          <t>Recalculated independently</t>
        </is>
      </c>
      <c r="C27" s="50" t="n"/>
      <c r="D27" s="51" t="n"/>
    </row>
    <row r="28">
      <c r="A28" s="9" t="inlineStr">
        <is>
          <t>F</t>
        </is>
      </c>
      <c r="B28" s="37" t="inlineStr">
        <is>
          <t>Footed / cross-cast</t>
        </is>
      </c>
      <c r="C28" s="50" t="n"/>
      <c r="D28" s="51" t="n"/>
    </row>
    <row r="29">
      <c r="A29" s="9" t="inlineStr">
        <is>
          <t>T</t>
        </is>
      </c>
      <c r="B29" s="37" t="inlineStr">
        <is>
          <t>Traced to downstream record</t>
        </is>
      </c>
      <c r="C29" s="50" t="n"/>
      <c r="D29" s="51" t="n"/>
    </row>
    <row r="30">
      <c r="A30" s="9" t="inlineStr">
        <is>
          <t>PBC</t>
        </is>
      </c>
      <c r="B30" s="37" t="inlineStr">
        <is>
          <t>Prepared by client</t>
        </is>
      </c>
      <c r="C30" s="50" t="n"/>
      <c r="D30" s="51" t="n"/>
    </row>
    <row r="31"/>
    <row r="32" ht="27.75" customHeight="1" s="41">
      <c r="A32" s="44" t="inlineStr">
        <is>
          <t>Before sign-off complete Library Procedures 5-6 (confirmation control; authenticity &amp; alternatives).</t>
        </is>
      </c>
    </row>
  </sheetData>
  <mergeCells count="14">
    <mergeCell ref="B28:D28"/>
    <mergeCell ref="B6:P6"/>
    <mergeCell ref="A32:P32"/>
    <mergeCell ref="B23:D23"/>
    <mergeCell ref="B22:D22"/>
    <mergeCell ref="B5:P5"/>
    <mergeCell ref="B26:D26"/>
    <mergeCell ref="B27:D27"/>
    <mergeCell ref="B30:D30"/>
    <mergeCell ref="B4:P4"/>
    <mergeCell ref="B29:D29"/>
    <mergeCell ref="B25:D25"/>
    <mergeCell ref="B24:D24"/>
    <mergeCell ref="A19:P19"/>
  </mergeCells>
  <pageMargins left="0.3" right="0.3" top="0.4" bottom="0.4" header="0.2" footer="0.2"/>
  <pageSetup orientation="landscape" paperSize="1" fitToHeight="1" fitToWidth="2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zoomScale="85" zoomScaleNormal="100" workbookViewId="0">
      <selection activeCell="A22" sqref="A22"/>
    </sheetView>
  </sheetViews>
  <sheetFormatPr baseColWidth="8" defaultColWidth="8.6328125" defaultRowHeight="14.5"/>
  <cols>
    <col width="32.81640625" bestFit="1" customWidth="1" style="41" min="1" max="1"/>
    <col width="15" customWidth="1" style="41" min="2" max="3"/>
    <col width="12" customWidth="1" style="41" min="4" max="4"/>
    <col width="11" customWidth="1" style="41" min="5" max="5"/>
    <col width="15" customWidth="1" style="41" min="6" max="7"/>
    <col width="13" customWidth="1" style="41" min="8" max="8"/>
    <col width="26" customWidth="1" style="41" min="9" max="9"/>
  </cols>
  <sheetData>
    <row r="1" ht="17.5" customHeight="1" s="41">
      <c r="A1" s="4" t="inlineStr">
        <is>
          <t>Interest Expense &amp; Accrued Interest</t>
        </is>
      </c>
    </row>
    <row r="2">
      <c r="A2" s="5" t="inlineStr">
        <is>
          <t>Client / Entity</t>
        </is>
      </c>
      <c r="B2" s="6" t="inlineStr">
        <is>
          <t>[Client / Entity]</t>
        </is>
      </c>
      <c r="D2" s="5" t="inlineStr">
        <is>
          <t>Year-End</t>
        </is>
      </c>
      <c r="E2" s="6" t="inlineStr">
        <is>
          <t>[YYYY-MM-DD]</t>
        </is>
      </c>
      <c r="G2" s="5" t="inlineStr">
        <is>
          <t>Currency</t>
        </is>
      </c>
      <c r="H2" s="6" t="inlineStr">
        <is>
          <t>[CCY]</t>
        </is>
      </c>
    </row>
    <row r="3">
      <c r="A3" s="5" t="inlineStr">
        <is>
          <t>Performance Materiality</t>
        </is>
      </c>
      <c r="B3" s="6" t="inlineStr">
        <is>
          <t>[PM]</t>
        </is>
      </c>
      <c r="D3" s="5" t="inlineStr">
        <is>
          <t>Testing Threshold (SUM)</t>
        </is>
      </c>
      <c r="E3" s="6" t="inlineStr">
        <is>
          <t>[Threshold]</t>
        </is>
      </c>
    </row>
    <row r="4" ht="42" customHeight="1" s="41">
      <c r="A4" s="28" t="inlineStr">
        <is>
          <t>Purpose:</t>
        </is>
      </c>
      <c r="B4" s="38" t="inlineStr">
        <is>
          <t>Independently recompute interest by facility on a stated basis, build an average-balance expectation, define a threshold, and investigate differences; recompute accrued interest at period end.</t>
        </is>
      </c>
      <c r="C4" s="52" t="n"/>
      <c r="D4" s="52" t="n"/>
      <c r="E4" s="52" t="n"/>
      <c r="F4" s="52" t="n"/>
      <c r="G4" s="52" t="n"/>
      <c r="H4" s="52" t="n"/>
      <c r="I4" s="53" t="n"/>
    </row>
    <row r="5" ht="27.75" customHeight="1" s="41">
      <c r="A5" s="28" t="inlineStr">
        <is>
          <t>Scope:</t>
        </is>
      </c>
      <c r="B5" s="38" t="inlineStr">
        <is>
          <t>Interest expense and accrued interest for every facility; basis selector: period-end principal, average balance, or the amortization schedule.</t>
        </is>
      </c>
      <c r="C5" s="52" t="n"/>
      <c r="D5" s="52" t="n"/>
      <c r="E5" s="52" t="n"/>
      <c r="F5" s="52" t="n"/>
      <c r="G5" s="52" t="n"/>
      <c r="H5" s="52" t="n"/>
      <c r="I5" s="53" t="n"/>
    </row>
    <row r="6" ht="15" customHeight="1" s="41">
      <c r="A6" s="28" t="inlineStr">
        <is>
          <t>Assertions:</t>
        </is>
      </c>
      <c r="B6" s="38" t="inlineStr">
        <is>
          <t>Accuracy; Completeness; Cutoff</t>
        </is>
      </c>
      <c r="C6" s="52" t="n"/>
      <c r="D6" s="52" t="n"/>
      <c r="E6" s="52" t="n"/>
      <c r="F6" s="52" t="n"/>
      <c r="G6" s="52" t="n"/>
      <c r="H6" s="52" t="n"/>
      <c r="I6" s="53" t="n"/>
    </row>
    <row r="7">
      <c r="A7" s="14" t="inlineStr">
        <is>
          <t>A. Interest recompute by facility</t>
        </is>
      </c>
    </row>
    <row r="8" ht="31.5" customHeight="1" s="41">
      <c r="A8" s="42" t="inlineStr">
        <is>
          <t>Facility / Loan</t>
        </is>
      </c>
      <c r="B8" s="42" t="inlineStr">
        <is>
          <t>Basis (period-end / average / schedule)</t>
        </is>
      </c>
      <c r="C8" s="42" t="inlineStr">
        <is>
          <t>Principal / avg balance</t>
        </is>
      </c>
      <c r="D8" s="42" t="inlineStr">
        <is>
          <t>Stated rate</t>
        </is>
      </c>
      <c r="E8" s="42" t="inlineStr">
        <is>
          <t>Days / fraction</t>
        </is>
      </c>
      <c r="F8" s="42" t="inlineStr">
        <is>
          <t>Recomputed interest</t>
        </is>
      </c>
      <c r="G8" s="42" t="inlineStr">
        <is>
          <t>Recorded interest</t>
        </is>
      </c>
      <c r="H8" s="42" t="inlineStr">
        <is>
          <t>Difference</t>
        </is>
      </c>
      <c r="I8" s="42" t="inlineStr">
        <is>
          <t>Comments</t>
        </is>
      </c>
    </row>
    <row r="9">
      <c r="F9" s="10" t="inlineStr">
        <is>
          <t>R</t>
        </is>
      </c>
      <c r="G9" s="10" t="inlineStr">
        <is>
          <t>TB</t>
        </is>
      </c>
    </row>
    <row r="10">
      <c r="A10" s="37" t="n"/>
      <c r="B10" s="37" t="n"/>
      <c r="C10" s="11" t="n"/>
      <c r="D10" s="15" t="n"/>
      <c r="E10" s="37" t="n"/>
      <c r="F10" s="11">
        <f>IF(OR(C10="",D10=""),"",C10*D10*IF(E10="",1,E10))</f>
        <v/>
      </c>
      <c r="G10" s="11" t="n"/>
      <c r="H10" s="11">
        <f>IF(OR(F10="",G10=""),"",G10-F10)</f>
        <v/>
      </c>
      <c r="I10" s="37" t="n"/>
    </row>
    <row r="11">
      <c r="A11" s="37" t="n"/>
      <c r="B11" s="37" t="n"/>
      <c r="C11" s="11" t="n"/>
      <c r="D11" s="15" t="n"/>
      <c r="E11" s="37" t="n"/>
      <c r="F11" s="11">
        <f>IF(OR(C11="",D11=""),"",C11*D11*IF(E11="",1,E11))</f>
        <v/>
      </c>
      <c r="G11" s="11" t="n"/>
      <c r="H11" s="11">
        <f>IF(OR(F11="",G11=""),"",G11-F11)</f>
        <v/>
      </c>
      <c r="I11" s="37" t="n"/>
    </row>
    <row r="12">
      <c r="A12" s="37" t="n"/>
      <c r="B12" s="37" t="n"/>
      <c r="C12" s="11" t="n"/>
      <c r="D12" s="15" t="n"/>
      <c r="E12" s="37" t="n"/>
      <c r="F12" s="11">
        <f>IF(OR(C12="",D12=""),"",C12*D12*IF(E12="",1,E12))</f>
        <v/>
      </c>
      <c r="G12" s="11" t="n"/>
      <c r="H12" s="11">
        <f>IF(OR(F12="",G12=""),"",G12-F12)</f>
        <v/>
      </c>
      <c r="I12" s="37" t="n"/>
    </row>
    <row r="13">
      <c r="A13" s="37" t="n"/>
      <c r="B13" s="37" t="n"/>
      <c r="C13" s="11" t="n"/>
      <c r="D13" s="15" t="n"/>
      <c r="E13" s="37" t="n"/>
      <c r="F13" s="11">
        <f>IF(OR(C13="",D13=""),"",C13*D13*IF(E13="",1,E13))</f>
        <v/>
      </c>
      <c r="G13" s="11" t="n"/>
      <c r="H13" s="11">
        <f>IF(OR(F13="",G13=""),"",G13-F13)</f>
        <v/>
      </c>
      <c r="I13" s="37" t="n"/>
    </row>
    <row r="14">
      <c r="A14" s="37" t="n"/>
      <c r="B14" s="37" t="n"/>
      <c r="C14" s="11" t="n"/>
      <c r="D14" s="15" t="n"/>
      <c r="E14" s="37" t="n"/>
      <c r="F14" s="11">
        <f>IF(OR(C14="",D14=""),"",C14*D14*IF(E14="",1,E14))</f>
        <v/>
      </c>
      <c r="G14" s="11" t="n"/>
      <c r="H14" s="11">
        <f>IF(OR(F14="",G14=""),"",G14-F14)</f>
        <v/>
      </c>
      <c r="I14" s="37" t="n"/>
    </row>
    <row r="15">
      <c r="A15" s="37" t="n"/>
      <c r="B15" s="37" t="n"/>
      <c r="C15" s="11" t="n"/>
      <c r="D15" s="15" t="n"/>
      <c r="E15" s="37" t="n"/>
      <c r="F15" s="11">
        <f>IF(OR(C15="",D15=""),"",C15*D15*IF(E15="",1,E15))</f>
        <v/>
      </c>
      <c r="G15" s="11" t="n"/>
      <c r="H15" s="11">
        <f>IF(OR(F15="",G15=""),"",G15-F15)</f>
        <v/>
      </c>
      <c r="I15" s="37" t="n"/>
    </row>
    <row r="16">
      <c r="A16" s="37" t="n"/>
      <c r="B16" s="37" t="n"/>
      <c r="C16" s="11" t="n"/>
      <c r="D16" s="15" t="n"/>
      <c r="E16" s="37" t="n"/>
      <c r="F16" s="11">
        <f>IF(OR(C16="",D16=""),"",C16*D16*IF(E16="",1,E16))</f>
        <v/>
      </c>
      <c r="G16" s="11" t="n"/>
      <c r="H16" s="11">
        <f>IF(OR(F16="",G16=""),"",G16-F16)</f>
        <v/>
      </c>
      <c r="I16" s="37" t="n"/>
    </row>
    <row r="17">
      <c r="A17" s="37" t="n"/>
      <c r="B17" s="37" t="n"/>
      <c r="C17" s="11" t="n"/>
      <c r="D17" s="15" t="n"/>
      <c r="E17" s="37" t="n"/>
      <c r="F17" s="11">
        <f>IF(OR(C17="",D17=""),"",C17*D17*IF(E17="",1,E17))</f>
        <v/>
      </c>
      <c r="G17" s="11" t="n"/>
      <c r="H17" s="11">
        <f>IF(OR(F17="",G17=""),"",G17-F17)</f>
        <v/>
      </c>
      <c r="I17" s="37" t="n"/>
    </row>
    <row r="18">
      <c r="A18" s="12" t="inlineStr">
        <is>
          <t>Total</t>
        </is>
      </c>
      <c r="B18" s="12" t="n"/>
      <c r="C18" s="12" t="n"/>
      <c r="D18" s="12" t="n"/>
      <c r="E18" s="12" t="n"/>
      <c r="F18" s="13">
        <f>SUM(F10:F17)</f>
        <v/>
      </c>
      <c r="G18" s="13">
        <f>SUM(G10:G17)</f>
        <v/>
      </c>
      <c r="H18" s="13">
        <f>SUM(H10:H17)</f>
        <v/>
      </c>
      <c r="I18" s="12" t="n"/>
    </row>
    <row r="19"/>
    <row r="20">
      <c r="A20" s="14" t="inlineStr">
        <is>
          <t>B. Substantive-analytic expectation (average balance)</t>
        </is>
      </c>
    </row>
    <row r="21"/>
    <row r="22">
      <c r="A22" s="37" t="inlineStr">
        <is>
          <t>Average outstanding principal (all facilities)</t>
        </is>
      </c>
      <c r="B22" s="11" t="n"/>
    </row>
    <row r="23">
      <c r="A23" s="37" t="inlineStr">
        <is>
          <t>Weighted-average stated rate</t>
        </is>
      </c>
      <c r="B23" s="15" t="n"/>
    </row>
    <row r="24">
      <c r="A24" s="30" t="inlineStr">
        <is>
          <t>Independent expectation (avg × rate)</t>
        </is>
      </c>
      <c r="B24" s="17">
        <f>B22*B23</f>
        <v/>
      </c>
    </row>
    <row r="25">
      <c r="A25" s="32" t="inlineStr">
        <is>
          <t>Recorded interest expense (TB)</t>
        </is>
      </c>
      <c r="B25" s="29" t="n"/>
    </row>
    <row r="26">
      <c r="A26" s="33" t="inlineStr">
        <is>
          <t>Difference</t>
        </is>
      </c>
      <c r="B26" s="17">
        <f>B25-B24</f>
        <v/>
      </c>
    </row>
    <row r="27">
      <c r="A27" s="32" t="inlineStr">
        <is>
          <t>Threshold (significant difference)</t>
        </is>
      </c>
      <c r="B27" s="29" t="n"/>
    </row>
    <row r="28">
      <c r="A28" s="31" t="inlineStr">
        <is>
          <t>Within threshold? (Y/N)</t>
        </is>
      </c>
      <c r="B28" s="18">
        <f>IF(OR(B26="",B27=""),"",IF(ABS(B26)&lt;=B27,"Y","N"))</f>
        <v/>
      </c>
    </row>
    <row r="29"/>
    <row r="30">
      <c r="A30" s="14" t="inlineStr">
        <is>
          <t>C. Accrued interest at period end</t>
        </is>
      </c>
    </row>
    <row r="31" ht="25.5" customHeight="1" s="41">
      <c r="A31" s="42" t="inlineStr">
        <is>
          <t>Facility / Loan</t>
        </is>
      </c>
      <c r="B31" s="42" t="inlineStr">
        <is>
          <t>Last payment date</t>
        </is>
      </c>
      <c r="C31" s="42" t="inlineStr">
        <is>
          <t>Days accrued</t>
        </is>
      </c>
      <c r="D31" s="42" t="inlineStr">
        <is>
          <t>Principal</t>
        </is>
      </c>
      <c r="E31" s="42" t="inlineStr">
        <is>
          <t>Rate</t>
        </is>
      </c>
      <c r="F31" s="42" t="inlineStr">
        <is>
          <t>Recomputed accrual</t>
        </is>
      </c>
      <c r="G31" s="42" t="inlineStr">
        <is>
          <t>Per books</t>
        </is>
      </c>
      <c r="H31" s="42" t="inlineStr">
        <is>
          <t>Difference</t>
        </is>
      </c>
      <c r="I31" s="42" t="n"/>
    </row>
    <row r="32">
      <c r="A32" s="37" t="n"/>
      <c r="B32" s="37" t="n"/>
      <c r="C32" s="37" t="n"/>
      <c r="D32" s="11" t="n"/>
      <c r="E32" s="15" t="n"/>
      <c r="F32" s="11">
        <f>IF(OR(D32="",E32="",C32=""),"",D32*E32*C32/365)</f>
        <v/>
      </c>
      <c r="G32" s="11" t="n"/>
      <c r="H32" s="11">
        <f>IF(AND(F32="",G32=""),"",G32-F32)</f>
        <v/>
      </c>
      <c r="I32" s="37" t="n"/>
    </row>
    <row r="33">
      <c r="A33" s="37" t="n"/>
      <c r="B33" s="37" t="n"/>
      <c r="C33" s="37" t="n"/>
      <c r="D33" s="11" t="n"/>
      <c r="E33" s="15" t="n"/>
      <c r="F33" s="11">
        <f>IF(OR(D33="",E33="",C33=""),"",D33*E33*C33/365)</f>
        <v/>
      </c>
      <c r="G33" s="11" t="n"/>
      <c r="H33" s="11">
        <f>IF(AND(F33="",G33=""),"",G33-F33)</f>
        <v/>
      </c>
      <c r="I33" s="37" t="n"/>
    </row>
    <row r="34">
      <c r="A34" s="37" t="n"/>
      <c r="B34" s="37" t="n"/>
      <c r="C34" s="37" t="n"/>
      <c r="D34" s="11" t="n"/>
      <c r="E34" s="15" t="n"/>
      <c r="F34" s="11">
        <f>IF(OR(D34="",E34="",C34=""),"",D34*E34*C34/365)</f>
        <v/>
      </c>
      <c r="G34" s="11" t="n"/>
      <c r="H34" s="11">
        <f>IF(AND(F34="",G34=""),"",G34-F34)</f>
        <v/>
      </c>
      <c r="I34" s="37" t="n"/>
    </row>
    <row r="35">
      <c r="A35" s="37" t="n"/>
      <c r="B35" s="37" t="n"/>
      <c r="C35" s="37" t="n"/>
      <c r="D35" s="11" t="n"/>
      <c r="E35" s="15" t="n"/>
      <c r="F35" s="11">
        <f>IF(OR(D35="",E35="",C35=""),"",D35*E35*C35/365)</f>
        <v/>
      </c>
      <c r="G35" s="11" t="n"/>
      <c r="H35" s="11">
        <f>IF(AND(F35="",G35=""),"",G35-F35)</f>
        <v/>
      </c>
      <c r="I35" s="37" t="n"/>
    </row>
    <row r="36">
      <c r="A36" s="37" t="n"/>
      <c r="B36" s="37" t="n"/>
      <c r="C36" s="37" t="n"/>
      <c r="D36" s="11" t="n"/>
      <c r="E36" s="15" t="n"/>
      <c r="F36" s="11">
        <f>IF(OR(D36="",E36="",C36=""),"",D36*E36*C36/365)</f>
        <v/>
      </c>
      <c r="G36" s="11" t="n"/>
      <c r="H36" s="11">
        <f>IF(AND(F36="",G36=""),"",G36-F36)</f>
        <v/>
      </c>
      <c r="I36" s="37" t="n"/>
    </row>
    <row r="37"/>
    <row r="38"/>
    <row r="39">
      <c r="A39" s="7" t="inlineStr">
        <is>
          <t>TM Legends</t>
        </is>
      </c>
    </row>
    <row r="40">
      <c r="A40" s="9" t="inlineStr">
        <is>
          <t>TB</t>
        </is>
      </c>
      <c r="B40" s="37" t="inlineStr">
        <is>
          <t>Agreed to trial balance</t>
        </is>
      </c>
      <c r="C40" s="50" t="n"/>
      <c r="D40" s="51" t="n"/>
    </row>
    <row r="41">
      <c r="A41" s="9" t="inlineStr">
        <is>
          <t>GL</t>
        </is>
      </c>
      <c r="B41" s="37" t="inlineStr">
        <is>
          <t>Agreed to general ledger</t>
        </is>
      </c>
      <c r="C41" s="50" t="n"/>
      <c r="D41" s="51" t="n"/>
    </row>
    <row r="42">
      <c r="A42" s="9" t="inlineStr">
        <is>
          <t>CF</t>
        </is>
      </c>
      <c r="B42" s="37" t="inlineStr">
        <is>
          <t>Confirmed with third party</t>
        </is>
      </c>
      <c r="C42" s="50" t="n"/>
      <c r="D42" s="51" t="n"/>
    </row>
    <row r="43">
      <c r="A43" s="9" t="inlineStr">
        <is>
          <t>V</t>
        </is>
      </c>
      <c r="B43" s="37" t="inlineStr">
        <is>
          <t>Vouched to source document</t>
        </is>
      </c>
      <c r="C43" s="50" t="n"/>
      <c r="D43" s="51" t="n"/>
    </row>
    <row r="44">
      <c r="A44" s="9" t="inlineStr">
        <is>
          <t>SR</t>
        </is>
      </c>
      <c r="B44" s="37" t="inlineStr">
        <is>
          <t>Agreed to subsequent bank-cleared receipt</t>
        </is>
      </c>
      <c r="C44" s="50" t="n"/>
      <c r="D44" s="51" t="n"/>
    </row>
    <row r="45">
      <c r="A45" s="9" t="inlineStr">
        <is>
          <t>R</t>
        </is>
      </c>
      <c r="B45" s="37" t="inlineStr">
        <is>
          <t>Recalculated independently</t>
        </is>
      </c>
      <c r="C45" s="50" t="n"/>
      <c r="D45" s="51" t="n"/>
    </row>
    <row r="46">
      <c r="A46" s="9" t="inlineStr">
        <is>
          <t>F</t>
        </is>
      </c>
      <c r="B46" s="37" t="inlineStr">
        <is>
          <t>Footed / cross-cast</t>
        </is>
      </c>
      <c r="C46" s="50" t="n"/>
      <c r="D46" s="51" t="n"/>
    </row>
    <row r="47">
      <c r="A47" s="9" t="inlineStr">
        <is>
          <t>T</t>
        </is>
      </c>
      <c r="B47" s="37" t="inlineStr">
        <is>
          <t>Traced to downstream record</t>
        </is>
      </c>
      <c r="C47" s="50" t="n"/>
      <c r="D47" s="51" t="n"/>
    </row>
    <row r="48">
      <c r="A48" s="9" t="inlineStr">
        <is>
          <t>PBC</t>
        </is>
      </c>
      <c r="B48" s="37" t="inlineStr">
        <is>
          <t>Prepared by client</t>
        </is>
      </c>
      <c r="C48" s="50" t="n"/>
      <c r="D48" s="51" t="n"/>
    </row>
    <row r="49"/>
    <row r="50" ht="27.75" customHeight="1" s="41">
      <c r="A50" s="44" t="inlineStr">
        <is>
          <t>Before sign-off complete Library Procedures 7-9 (per-facility recompute with basis stated; average-balance expectation vs threshold; accrued interest). Corroborate rates and payments to lender statements.</t>
        </is>
      </c>
    </row>
  </sheetData>
  <mergeCells count="13">
    <mergeCell ref="B42:D42"/>
    <mergeCell ref="B45:D45"/>
    <mergeCell ref="B46:D46"/>
    <mergeCell ref="B6:I6"/>
    <mergeCell ref="B41:D41"/>
    <mergeCell ref="B40:D40"/>
    <mergeCell ref="B4:I4"/>
    <mergeCell ref="B5:I5"/>
    <mergeCell ref="B44:D44"/>
    <mergeCell ref="B43:D43"/>
    <mergeCell ref="A50:I50"/>
    <mergeCell ref="B47:D47"/>
    <mergeCell ref="B48:D48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42"/>
  <sheetViews>
    <sheetView showGridLines="0" zoomScale="85" zoomScaleNormal="100" workbookViewId="0">
      <selection activeCell="A21" sqref="A21"/>
    </sheetView>
  </sheetViews>
  <sheetFormatPr baseColWidth="8" defaultColWidth="8.6328125" defaultRowHeight="14.5"/>
  <cols>
    <col width="36.6328125" bestFit="1" customWidth="1" style="41" min="1" max="1"/>
    <col width="15" customWidth="1" style="41" min="2" max="7"/>
    <col width="16" customWidth="1" style="41" min="8" max="8"/>
    <col width="24" customWidth="1" style="41" min="9" max="9"/>
  </cols>
  <sheetData>
    <row r="1" ht="17.5" customHeight="1" s="41">
      <c r="A1" s="4" t="inlineStr">
        <is>
          <t>Maturities &amp; Classification</t>
        </is>
      </c>
    </row>
    <row r="2">
      <c r="A2" s="5" t="inlineStr">
        <is>
          <t>Client / Entity</t>
        </is>
      </c>
      <c r="B2" s="6" t="inlineStr">
        <is>
          <t>[Client / Entity]</t>
        </is>
      </c>
      <c r="D2" s="5" t="inlineStr">
        <is>
          <t>Year-End</t>
        </is>
      </c>
      <c r="E2" s="6" t="inlineStr">
        <is>
          <t>[YYYY-MM-DD]</t>
        </is>
      </c>
      <c r="G2" s="5" t="inlineStr">
        <is>
          <t>Currency</t>
        </is>
      </c>
      <c r="H2" s="6" t="inlineStr">
        <is>
          <t>[CCY]</t>
        </is>
      </c>
    </row>
    <row r="3">
      <c r="A3" s="5" t="inlineStr">
        <is>
          <t>Performance Materiality</t>
        </is>
      </c>
      <c r="B3" s="6" t="inlineStr">
        <is>
          <t>[PM]</t>
        </is>
      </c>
      <c r="D3" s="5" t="inlineStr">
        <is>
          <t>Testing Threshold (SUM)</t>
        </is>
      </c>
      <c r="E3" s="6" t="inlineStr">
        <is>
          <t>[Threshold]</t>
        </is>
      </c>
    </row>
    <row r="4" ht="42" customHeight="1" s="41">
      <c r="A4" s="28" t="inlineStr">
        <is>
          <t>Purpose:</t>
        </is>
      </c>
      <c r="B4" s="38" t="inlineStr">
        <is>
          <t>Build the full annual maturity ladder (years 1-5 and thereafter), agree the total to recorded principal, and reconcile the current / long-term split to the trial balance with a difference check.</t>
        </is>
      </c>
      <c r="C4" s="52" t="n"/>
      <c r="D4" s="52" t="n"/>
      <c r="E4" s="52" t="n"/>
      <c r="F4" s="52" t="n"/>
      <c r="G4" s="52" t="n"/>
      <c r="H4" s="52" t="n"/>
      <c r="I4" s="53" t="n"/>
    </row>
    <row r="5" ht="27.75" customHeight="1" s="41">
      <c r="A5" s="28" t="inlineStr">
        <is>
          <t>Scope:</t>
        </is>
      </c>
      <c r="B5" s="38" t="inlineStr">
        <is>
          <t>Contractual principal maturities per the amortization schedule for every facility; classification per ASC 470 (incl. covenant-violation and refinancing effects).</t>
        </is>
      </c>
      <c r="C5" s="52" t="n"/>
      <c r="D5" s="52" t="n"/>
      <c r="E5" s="52" t="n"/>
      <c r="F5" s="52" t="n"/>
      <c r="G5" s="52" t="n"/>
      <c r="H5" s="52" t="n"/>
      <c r="I5" s="53" t="n"/>
    </row>
    <row r="6" ht="15" customHeight="1" s="41">
      <c r="A6" s="28" t="inlineStr">
        <is>
          <t>Assertions:</t>
        </is>
      </c>
      <c r="B6" s="38" t="inlineStr">
        <is>
          <t>Presentation &amp; Disclosure; Classification</t>
        </is>
      </c>
      <c r="C6" s="52" t="n"/>
      <c r="D6" s="52" t="n"/>
      <c r="E6" s="52" t="n"/>
      <c r="F6" s="52" t="n"/>
      <c r="G6" s="52" t="n"/>
      <c r="H6" s="52" t="n"/>
      <c r="I6" s="53" t="n"/>
    </row>
    <row r="7">
      <c r="A7" s="14" t="inlineStr">
        <is>
          <t>A. Annual maturity ladder</t>
        </is>
      </c>
    </row>
    <row r="8" ht="24" customHeight="1" s="41">
      <c r="A8" s="42" t="inlineStr">
        <is>
          <t>Facility / Loan</t>
        </is>
      </c>
      <c r="B8" s="42" t="inlineStr">
        <is>
          <t>Year 1</t>
        </is>
      </c>
      <c r="C8" s="42" t="inlineStr">
        <is>
          <t>Year 2</t>
        </is>
      </c>
      <c r="D8" s="42" t="inlineStr">
        <is>
          <t>Year 3</t>
        </is>
      </c>
      <c r="E8" s="42" t="inlineStr">
        <is>
          <t>Year 4</t>
        </is>
      </c>
      <c r="F8" s="42" t="inlineStr">
        <is>
          <t>Year 5</t>
        </is>
      </c>
      <c r="G8" s="42" t="inlineStr">
        <is>
          <t>Thereafter</t>
        </is>
      </c>
      <c r="H8" s="42" t="inlineStr">
        <is>
          <t>Total (= principal)</t>
        </is>
      </c>
      <c r="I8" s="42" t="inlineStr">
        <is>
          <t>Comments</t>
        </is>
      </c>
    </row>
    <row r="9">
      <c r="B9" s="10" t="inlineStr">
        <is>
          <t>V</t>
        </is>
      </c>
      <c r="H9" s="10" t="inlineStr">
        <is>
          <t>F</t>
        </is>
      </c>
    </row>
    <row r="10">
      <c r="A10" s="37" t="n"/>
      <c r="B10" s="11" t="n"/>
      <c r="C10" s="11" t="n"/>
      <c r="D10" s="11" t="n"/>
      <c r="E10" s="11" t="n"/>
      <c r="F10" s="11" t="n"/>
      <c r="G10" s="11" t="n"/>
      <c r="H10" s="11">
        <f>IF(COUNT(B10:G10)=0,"",SUM(B10:G10))</f>
        <v/>
      </c>
      <c r="I10" s="37" t="n"/>
    </row>
    <row r="11">
      <c r="A11" s="37" t="n"/>
      <c r="B11" s="11" t="n"/>
      <c r="C11" s="11" t="n"/>
      <c r="D11" s="11" t="n"/>
      <c r="E11" s="11" t="n"/>
      <c r="F11" s="11" t="n"/>
      <c r="G11" s="11" t="n"/>
      <c r="H11" s="11">
        <f>IF(COUNT(B11:G11)=0,"",SUM(B11:G11))</f>
        <v/>
      </c>
      <c r="I11" s="37" t="n"/>
    </row>
    <row r="12">
      <c r="A12" s="37" t="n"/>
      <c r="B12" s="11" t="n"/>
      <c r="C12" s="11" t="n"/>
      <c r="D12" s="11" t="n"/>
      <c r="E12" s="11" t="n"/>
      <c r="F12" s="11" t="n"/>
      <c r="G12" s="11" t="n"/>
      <c r="H12" s="11">
        <f>IF(COUNT(B12:G12)=0,"",SUM(B12:G12))</f>
        <v/>
      </c>
      <c r="I12" s="37" t="n"/>
    </row>
    <row r="13">
      <c r="A13" s="37" t="n"/>
      <c r="B13" s="11" t="n"/>
      <c r="C13" s="11" t="n"/>
      <c r="D13" s="11" t="n"/>
      <c r="E13" s="11" t="n"/>
      <c r="F13" s="11" t="n"/>
      <c r="G13" s="11" t="n"/>
      <c r="H13" s="11">
        <f>IF(COUNT(B13:G13)=0,"",SUM(B13:G13))</f>
        <v/>
      </c>
      <c r="I13" s="37" t="n"/>
    </row>
    <row r="14">
      <c r="A14" s="37" t="n"/>
      <c r="B14" s="11" t="n"/>
      <c r="C14" s="11" t="n"/>
      <c r="D14" s="11" t="n"/>
      <c r="E14" s="11" t="n"/>
      <c r="F14" s="11" t="n"/>
      <c r="G14" s="11" t="n"/>
      <c r="H14" s="11">
        <f>IF(COUNT(B14:G14)=0,"",SUM(B14:G14))</f>
        <v/>
      </c>
      <c r="I14" s="37" t="n"/>
    </row>
    <row r="15">
      <c r="A15" s="37" t="n"/>
      <c r="B15" s="11" t="n"/>
      <c r="C15" s="11" t="n"/>
      <c r="D15" s="11" t="n"/>
      <c r="E15" s="11" t="n"/>
      <c r="F15" s="11" t="n"/>
      <c r="G15" s="11" t="n"/>
      <c r="H15" s="11">
        <f>IF(COUNT(B15:G15)=0,"",SUM(B15:G15))</f>
        <v/>
      </c>
      <c r="I15" s="37" t="n"/>
    </row>
    <row r="16">
      <c r="A16" s="37" t="n"/>
      <c r="B16" s="11" t="n"/>
      <c r="C16" s="11" t="n"/>
      <c r="D16" s="11" t="n"/>
      <c r="E16" s="11" t="n"/>
      <c r="F16" s="11" t="n"/>
      <c r="G16" s="11" t="n"/>
      <c r="H16" s="11">
        <f>IF(COUNT(B16:G16)=0,"",SUM(B16:G16))</f>
        <v/>
      </c>
      <c r="I16" s="37" t="n"/>
    </row>
    <row r="17">
      <c r="A17" s="12" t="inlineStr">
        <is>
          <t>Total</t>
        </is>
      </c>
      <c r="B17" s="13">
        <f>SUM(B10:B16)</f>
        <v/>
      </c>
      <c r="C17" s="13">
        <f>SUM(C10:C16)</f>
        <v/>
      </c>
      <c r="D17" s="13">
        <f>SUM(D10:D16)</f>
        <v/>
      </c>
      <c r="E17" s="13">
        <f>SUM(E10:E16)</f>
        <v/>
      </c>
      <c r="F17" s="13">
        <f>SUM(F10:F16)</f>
        <v/>
      </c>
      <c r="G17" s="13">
        <f>SUM(G10:G16)</f>
        <v/>
      </c>
      <c r="H17" s="13">
        <f>SUM(H10:H16)</f>
        <v/>
      </c>
      <c r="I17" s="12" t="n"/>
    </row>
    <row r="18"/>
    <row r="19">
      <c r="A19" s="14" t="inlineStr">
        <is>
          <t>B. Current / long-term reconciliation</t>
        </is>
      </c>
    </row>
    <row r="20"/>
    <row r="21">
      <c r="A21" s="37" t="inlineStr">
        <is>
          <t>Current portion per maturity ladder (Year 1)</t>
        </is>
      </c>
      <c r="B21" s="11">
        <f>B17</f>
        <v/>
      </c>
    </row>
    <row r="22">
      <c r="A22" s="37" t="inlineStr">
        <is>
          <t>Current portion per trial balance</t>
        </is>
      </c>
      <c r="B22" s="11" t="n"/>
    </row>
    <row r="23">
      <c r="A23" s="16" t="inlineStr">
        <is>
          <t>Difference — current (should be 0)</t>
        </is>
      </c>
      <c r="B23" s="17">
        <f>B21-B22</f>
        <v/>
      </c>
    </row>
    <row r="24">
      <c r="A24" s="37" t="inlineStr">
        <is>
          <t>Long-term per ladder (Years 2+ &amp; thereafter)</t>
        </is>
      </c>
      <c r="B24" s="11">
        <f>SUM(C17:G17)</f>
        <v/>
      </c>
    </row>
    <row r="25">
      <c r="A25" s="37" t="inlineStr">
        <is>
          <t>Long-term per trial balance</t>
        </is>
      </c>
      <c r="B25" s="11" t="n"/>
    </row>
    <row r="26">
      <c r="A26" s="16" t="inlineStr">
        <is>
          <t>Difference — long-term (should be 0)</t>
        </is>
      </c>
      <c r="B26" s="17">
        <f>B24-B25</f>
        <v/>
      </c>
    </row>
    <row r="27">
      <c r="A27" s="37" t="inlineStr">
        <is>
          <t>Management's classification basis (describe)</t>
        </is>
      </c>
      <c r="B27" s="37" t="n"/>
      <c r="C27" s="50" t="n"/>
      <c r="D27" s="50" t="n"/>
      <c r="E27" s="50" t="n"/>
      <c r="F27" s="50" t="n"/>
      <c r="G27" s="50" t="n"/>
      <c r="H27" s="50" t="n"/>
      <c r="I27" s="51" t="n"/>
    </row>
    <row r="28"/>
    <row r="29" ht="27.75" customHeight="1" s="41">
      <c r="A29" s="44" t="inlineStr">
        <is>
          <t>Where the TB split differs from the contractual ladder, obtain management's classification basis and resolve. Consider reclassification to current for covenant violations without a 12-month waiver, and the effect of refinancing after period end (ASC 470-10).</t>
        </is>
      </c>
    </row>
    <row r="30"/>
    <row r="31">
      <c r="A31" s="7" t="inlineStr">
        <is>
          <t>TM Legends</t>
        </is>
      </c>
    </row>
    <row r="32">
      <c r="A32" s="9" t="inlineStr">
        <is>
          <t>TB</t>
        </is>
      </c>
      <c r="B32" s="37" t="inlineStr">
        <is>
          <t>Agreed to trial balance</t>
        </is>
      </c>
      <c r="C32" s="50" t="n"/>
      <c r="D32" s="51" t="n"/>
    </row>
    <row r="33">
      <c r="A33" s="9" t="inlineStr">
        <is>
          <t>GL</t>
        </is>
      </c>
      <c r="B33" s="37" t="inlineStr">
        <is>
          <t>Agreed to general ledger</t>
        </is>
      </c>
      <c r="C33" s="50" t="n"/>
      <c r="D33" s="51" t="n"/>
    </row>
    <row r="34">
      <c r="A34" s="9" t="inlineStr">
        <is>
          <t>CF</t>
        </is>
      </c>
      <c r="B34" s="37" t="inlineStr">
        <is>
          <t>Confirmed with third party</t>
        </is>
      </c>
      <c r="C34" s="50" t="n"/>
      <c r="D34" s="51" t="n"/>
    </row>
    <row r="35">
      <c r="A35" s="9" t="inlineStr">
        <is>
          <t>V</t>
        </is>
      </c>
      <c r="B35" s="37" t="inlineStr">
        <is>
          <t>Vouched to source document</t>
        </is>
      </c>
      <c r="C35" s="50" t="n"/>
      <c r="D35" s="51" t="n"/>
    </row>
    <row r="36">
      <c r="A36" s="9" t="inlineStr">
        <is>
          <t>SR</t>
        </is>
      </c>
      <c r="B36" s="37" t="inlineStr">
        <is>
          <t>Agreed to subsequent bank-cleared receipt</t>
        </is>
      </c>
      <c r="C36" s="50" t="n"/>
      <c r="D36" s="51" t="n"/>
    </row>
    <row r="37">
      <c r="A37" s="9" t="inlineStr">
        <is>
          <t>R</t>
        </is>
      </c>
      <c r="B37" s="37" t="inlineStr">
        <is>
          <t>Recalculated independently</t>
        </is>
      </c>
      <c r="C37" s="50" t="n"/>
      <c r="D37" s="51" t="n"/>
    </row>
    <row r="38">
      <c r="A38" s="9" t="inlineStr">
        <is>
          <t>F</t>
        </is>
      </c>
      <c r="B38" s="37" t="inlineStr">
        <is>
          <t>Footed / cross-cast</t>
        </is>
      </c>
      <c r="C38" s="50" t="n"/>
      <c r="D38" s="51" t="n"/>
    </row>
    <row r="39">
      <c r="A39" s="9" t="inlineStr">
        <is>
          <t>T</t>
        </is>
      </c>
      <c r="B39" s="37" t="inlineStr">
        <is>
          <t>Traced to downstream record</t>
        </is>
      </c>
      <c r="C39" s="50" t="n"/>
      <c r="D39" s="51" t="n"/>
    </row>
    <row r="40">
      <c r="A40" s="9" t="inlineStr">
        <is>
          <t>PBC</t>
        </is>
      </c>
      <c r="B40" s="37" t="inlineStr">
        <is>
          <t>Prepared by client</t>
        </is>
      </c>
      <c r="C40" s="50" t="n"/>
      <c r="D40" s="51" t="n"/>
    </row>
    <row r="41"/>
    <row r="42" ht="27.75" customHeight="1" s="41">
      <c r="A42" s="44" t="inlineStr">
        <is>
          <t>Before sign-off complete Library Procedures 10-11 (maturity ladder tie; current/LT reconciliation &amp; classification basis).</t>
        </is>
      </c>
    </row>
  </sheetData>
  <mergeCells count="15">
    <mergeCell ref="A29:I29"/>
    <mergeCell ref="B33:D33"/>
    <mergeCell ref="B36:D36"/>
    <mergeCell ref="B37:D37"/>
    <mergeCell ref="A42:I42"/>
    <mergeCell ref="B6:I6"/>
    <mergeCell ref="B32:D32"/>
    <mergeCell ref="B35:D35"/>
    <mergeCell ref="B40:D40"/>
    <mergeCell ref="B5:I5"/>
    <mergeCell ref="B27:I27"/>
    <mergeCell ref="B39:D39"/>
    <mergeCell ref="B38:D38"/>
    <mergeCell ref="B4:I4"/>
    <mergeCell ref="B34:D3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zoomScale="85" zoomScaleNormal="100" workbookViewId="0">
      <selection activeCell="A19" sqref="A19:XFD19"/>
    </sheetView>
  </sheetViews>
  <sheetFormatPr baseColWidth="8" defaultColWidth="8.6328125" defaultRowHeight="14.5"/>
  <cols>
    <col width="33" customWidth="1" style="41" min="1" max="1"/>
    <col width="13.90625" bestFit="1" customWidth="1" style="41" min="2" max="2"/>
    <col width="14" customWidth="1" style="41" min="3" max="3"/>
    <col width="22.453125" bestFit="1" customWidth="1" style="41" min="4" max="4"/>
    <col width="13" customWidth="1" style="41" min="5" max="5"/>
    <col width="18" customWidth="1" style="41" min="6" max="7"/>
    <col width="20" customWidth="1" style="41" min="8" max="9"/>
    <col width="18" customWidth="1" style="41" min="10" max="10"/>
    <col width="16" customWidth="1" style="41" min="11" max="11"/>
    <col width="24" customWidth="1" style="41" min="12" max="12"/>
  </cols>
  <sheetData>
    <row r="1" ht="17.5" customHeight="1" s="41">
      <c r="A1" s="4" t="inlineStr">
        <is>
          <t>Debt Agreements &amp; Additions</t>
        </is>
      </c>
    </row>
    <row r="2">
      <c r="A2" s="5" t="inlineStr">
        <is>
          <t>Client / Entity</t>
        </is>
      </c>
      <c r="B2" s="6" t="inlineStr">
        <is>
          <t>[Client / Entity]</t>
        </is>
      </c>
      <c r="D2" s="5" t="inlineStr">
        <is>
          <t>Year-End</t>
        </is>
      </c>
      <c r="E2" s="6" t="inlineStr">
        <is>
          <t>[YYYY-MM-DD]</t>
        </is>
      </c>
      <c r="G2" s="5" t="inlineStr">
        <is>
          <t>Currency</t>
        </is>
      </c>
      <c r="H2" s="6" t="inlineStr">
        <is>
          <t>[CCY]</t>
        </is>
      </c>
    </row>
    <row r="3">
      <c r="A3" s="5" t="inlineStr">
        <is>
          <t>Performance Materiality</t>
        </is>
      </c>
      <c r="B3" s="6" t="inlineStr">
        <is>
          <t>[PM]</t>
        </is>
      </c>
      <c r="D3" s="5" t="inlineStr">
        <is>
          <t>Testing Threshold (SUM)</t>
        </is>
      </c>
      <c r="E3" s="6" t="inlineStr">
        <is>
          <t>[Threshold]</t>
        </is>
      </c>
    </row>
    <row r="4" ht="27.75" customHeight="1" s="41">
      <c r="A4" s="7" t="inlineStr">
        <is>
          <t>Purpose:</t>
        </is>
      </c>
      <c r="B4" s="39" t="inlineStr">
        <is>
          <t>Read the executed agreements and amendments, abstract the key terms, test compliance with those terms, and test additions (new borrowings / draws) to authorization and bank proceeds.</t>
        </is>
      </c>
    </row>
    <row r="5" ht="15" customHeight="1" s="41">
      <c r="A5" s="7" t="inlineStr">
        <is>
          <t>Scope:</t>
        </is>
      </c>
      <c r="B5" s="39" t="inlineStr">
        <is>
          <t>Every executed loan / credit agreement and amendment; all current-year borrowings and draws.</t>
        </is>
      </c>
    </row>
    <row r="6" ht="15" customHeight="1" s="41">
      <c r="A6" s="7" t="inlineStr">
        <is>
          <t>Assertions:</t>
        </is>
      </c>
      <c r="B6" s="39" t="inlineStr">
        <is>
          <t>Rights &amp; Obligations; Completeness; Accuracy; Presentation &amp; Disclosure</t>
        </is>
      </c>
    </row>
    <row r="7">
      <c r="A7" s="14" t="inlineStr">
        <is>
          <t>A. Agreement understanding — key terms abstract</t>
        </is>
      </c>
    </row>
    <row r="8" ht="39.75" customHeight="1" s="41">
      <c r="A8" s="42" t="inlineStr">
        <is>
          <t>Facility / Agreement</t>
        </is>
      </c>
      <c r="B8" s="42" t="inlineStr">
        <is>
          <t>Agreement date</t>
        </is>
      </c>
      <c r="C8" s="42" t="inlineStr">
        <is>
          <t>Amendments (dates)</t>
        </is>
      </c>
      <c r="D8" s="42" t="inlineStr">
        <is>
          <t>Facility amount</t>
        </is>
      </c>
      <c r="E8" s="42" t="inlineStr">
        <is>
          <t>Rate &amp; basis</t>
        </is>
      </c>
      <c r="F8" s="42" t="inlineStr">
        <is>
          <t>Maturity &amp; payment terms</t>
        </is>
      </c>
      <c r="G8" s="42" t="inlineStr">
        <is>
          <t>Collateral / security</t>
        </is>
      </c>
      <c r="H8" s="42" t="inlineStr">
        <is>
          <t>Guarantees</t>
        </is>
      </c>
      <c r="I8" s="42" t="inlineStr">
        <is>
          <t>Financial covenants (list)</t>
        </is>
      </c>
      <c r="J8" s="42" t="inlineStr">
        <is>
          <t>Restrictive / negative covenants</t>
        </is>
      </c>
      <c r="K8" s="42" t="inlineStr">
        <is>
          <t>Reporting requirements</t>
        </is>
      </c>
      <c r="L8" s="42" t="inlineStr">
        <is>
          <t>Cross-default / prepayment / other</t>
        </is>
      </c>
    </row>
    <row r="9">
      <c r="A9" s="10" t="inlineStr">
        <is>
          <t>V</t>
        </is>
      </c>
    </row>
    <row r="10">
      <c r="A10" s="37" t="n"/>
      <c r="B10" s="37" t="n"/>
      <c r="C10" s="37" t="n"/>
      <c r="D10" s="11" t="n"/>
      <c r="E10" s="37" t="n"/>
      <c r="F10" s="37" t="n"/>
      <c r="G10" s="37" t="n"/>
      <c r="H10" s="37" t="n"/>
      <c r="I10" s="37" t="n"/>
      <c r="J10" s="37" t="n"/>
      <c r="K10" s="37" t="n"/>
      <c r="L10" s="37" t="n"/>
    </row>
    <row r="11">
      <c r="A11" s="37" t="n"/>
      <c r="B11" s="37" t="n"/>
      <c r="C11" s="37" t="n"/>
      <c r="D11" s="11" t="n"/>
      <c r="E11" s="37" t="n"/>
      <c r="F11" s="37" t="n"/>
      <c r="G11" s="37" t="n"/>
      <c r="H11" s="37" t="n"/>
      <c r="I11" s="37" t="n"/>
      <c r="J11" s="37" t="n"/>
      <c r="K11" s="37" t="n"/>
      <c r="L11" s="37" t="n"/>
    </row>
    <row r="12">
      <c r="A12" s="37" t="n"/>
      <c r="B12" s="37" t="n"/>
      <c r="C12" s="37" t="n"/>
      <c r="D12" s="11" t="n"/>
      <c r="E12" s="37" t="n"/>
      <c r="F12" s="37" t="n"/>
      <c r="G12" s="37" t="n"/>
      <c r="H12" s="37" t="n"/>
      <c r="I12" s="37" t="n"/>
      <c r="J12" s="37" t="n"/>
      <c r="K12" s="37" t="n"/>
      <c r="L12" s="37" t="n"/>
    </row>
    <row r="13">
      <c r="A13" s="37" t="n"/>
      <c r="B13" s="37" t="n"/>
      <c r="C13" s="37" t="n"/>
      <c r="D13" s="11" t="n"/>
      <c r="E13" s="37" t="n"/>
      <c r="F13" s="37" t="n"/>
      <c r="G13" s="37" t="n"/>
      <c r="H13" s="37" t="n"/>
      <c r="I13" s="37" t="n"/>
      <c r="J13" s="37" t="n"/>
      <c r="K13" s="37" t="n"/>
      <c r="L13" s="37" t="n"/>
    </row>
    <row r="14">
      <c r="A14" s="37" t="n"/>
      <c r="B14" s="37" t="n"/>
      <c r="C14" s="37" t="n"/>
      <c r="D14" s="11" t="n"/>
      <c r="E14" s="37" t="n"/>
      <c r="F14" s="37" t="n"/>
      <c r="G14" s="37" t="n"/>
      <c r="H14" s="37" t="n"/>
      <c r="I14" s="37" t="n"/>
      <c r="J14" s="37" t="n"/>
      <c r="K14" s="37" t="n"/>
      <c r="L14" s="37" t="n"/>
    </row>
    <row r="15">
      <c r="A15" s="37" t="n"/>
      <c r="B15" s="37" t="n"/>
      <c r="C15" s="37" t="n"/>
      <c r="D15" s="11" t="n"/>
      <c r="E15" s="37" t="n"/>
      <c r="F15" s="37" t="n"/>
      <c r="G15" s="37" t="n"/>
      <c r="H15" s="37" t="n"/>
      <c r="I15" s="37" t="n"/>
      <c r="J15" s="37" t="n"/>
      <c r="K15" s="37" t="n"/>
      <c r="L15" s="37" t="n"/>
    </row>
    <row r="16">
      <c r="A16" s="44" t="inlineStr">
        <is>
          <t>Agreements are read in full; terms above are agreed to the executed document (not summaries).</t>
        </is>
      </c>
    </row>
    <row r="17"/>
    <row r="18">
      <c r="A18" s="14" t="inlineStr">
        <is>
          <t>B. Compliance with agreement terms</t>
        </is>
      </c>
    </row>
    <row r="19" ht="33" customHeight="1" s="41">
      <c r="A19" s="42" t="inlineStr">
        <is>
          <t>Facility</t>
        </is>
      </c>
      <c r="B19" s="42" t="inlineStr">
        <is>
          <t>Term / requirement</t>
        </is>
      </c>
      <c r="C19" s="42" t="inlineStr">
        <is>
          <t>Requirement detail (per agreement)</t>
        </is>
      </c>
      <c r="D19" s="42" t="inlineStr">
        <is>
          <t>Evidence examined</t>
        </is>
      </c>
      <c r="E19" s="42" t="inlineStr">
        <is>
          <t>Complied? (Y/N)</t>
        </is>
      </c>
      <c r="F19" s="42" t="inlineStr">
        <is>
          <t>Exception / follow-up</t>
        </is>
      </c>
    </row>
    <row r="20">
      <c r="A20" s="37" t="n"/>
      <c r="B20" s="37" t="n"/>
      <c r="C20" s="37" t="n"/>
      <c r="D20" s="37" t="n"/>
      <c r="E20" s="37" t="n"/>
      <c r="F20" s="37" t="n"/>
    </row>
    <row r="21">
      <c r="A21" s="37" t="n"/>
      <c r="B21" s="37" t="n"/>
      <c r="C21" s="37" t="n"/>
      <c r="D21" s="37" t="n"/>
      <c r="E21" s="37" t="n"/>
      <c r="F21" s="37" t="n"/>
    </row>
    <row r="22">
      <c r="A22" s="37" t="n"/>
      <c r="B22" s="37" t="n"/>
      <c r="C22" s="37" t="n"/>
      <c r="D22" s="37" t="n"/>
      <c r="E22" s="37" t="n"/>
      <c r="F22" s="37" t="n"/>
    </row>
    <row r="23">
      <c r="A23" s="37" t="n"/>
      <c r="B23" s="37" t="n"/>
      <c r="C23" s="37" t="n"/>
      <c r="D23" s="37" t="n"/>
      <c r="E23" s="37" t="n"/>
      <c r="F23" s="37" t="n"/>
    </row>
    <row r="24">
      <c r="A24" s="37" t="n"/>
      <c r="B24" s="37" t="n"/>
      <c r="C24" s="37" t="n"/>
      <c r="D24" s="37" t="n"/>
      <c r="E24" s="37" t="n"/>
      <c r="F24" s="37" t="n"/>
    </row>
    <row r="25">
      <c r="A25" s="37" t="n"/>
      <c r="B25" s="37" t="n"/>
      <c r="C25" s="37" t="n"/>
      <c r="D25" s="37" t="n"/>
      <c r="E25" s="37" t="n"/>
      <c r="F25" s="37" t="n"/>
    </row>
    <row r="26">
      <c r="A26" s="37" t="n"/>
      <c r="B26" s="37" t="n"/>
      <c r="C26" s="37" t="n"/>
      <c r="D26" s="37" t="n"/>
      <c r="E26" s="37" t="n"/>
      <c r="F26" s="37" t="n"/>
    </row>
    <row r="27"/>
    <row r="28">
      <c r="A28" s="14" t="inlineStr">
        <is>
          <t>C. Additions — new borrowings / draws testing</t>
        </is>
      </c>
    </row>
    <row r="29" ht="31.5" customHeight="1" s="41">
      <c r="A29" s="42" t="inlineStr">
        <is>
          <t>Facility</t>
        </is>
      </c>
      <c r="B29" s="42" t="inlineStr">
        <is>
          <t>Draw / borrowing date</t>
        </is>
      </c>
      <c r="C29" s="42" t="inlineStr">
        <is>
          <t>Amount</t>
        </is>
      </c>
      <c r="D29" s="42" t="inlineStr">
        <is>
          <t>Authorized (board / per agreement) (Y/N)</t>
        </is>
      </c>
      <c r="E29" s="42" t="inlineStr">
        <is>
          <t>Agreement / amendment ref</t>
        </is>
      </c>
      <c r="F29" s="42" t="inlineStr">
        <is>
          <t>Proceeds traced to bank (Y/N)</t>
        </is>
      </c>
      <c r="G29" s="42" t="inlineStr">
        <is>
          <t>Fees withheld from proceeds</t>
        </is>
      </c>
      <c r="H29" s="42" t="inlineStr">
        <is>
          <t>Net proceeds received</t>
        </is>
      </c>
      <c r="I29" s="42" t="inlineStr">
        <is>
          <t>Recorded correctly (Y/N)</t>
        </is>
      </c>
      <c r="J29" s="42" t="inlineStr">
        <is>
          <t>Comments</t>
        </is>
      </c>
    </row>
    <row r="30">
      <c r="C30" s="10" t="inlineStr">
        <is>
          <t>T</t>
        </is>
      </c>
      <c r="F30" s="10" t="inlineStr">
        <is>
          <t>SR</t>
        </is>
      </c>
    </row>
    <row r="31">
      <c r="A31" s="37" t="n"/>
      <c r="B31" s="37" t="n"/>
      <c r="C31" s="11" t="n"/>
      <c r="D31" s="37" t="n"/>
      <c r="E31" s="37" t="n"/>
      <c r="F31" s="37" t="n"/>
      <c r="G31" s="11" t="n"/>
      <c r="H31" s="11">
        <f>IF(AND(C31="",G31=""),"",C31-G31)</f>
        <v/>
      </c>
      <c r="I31" s="37" t="n"/>
      <c r="J31" s="37" t="n"/>
    </row>
    <row r="32">
      <c r="A32" s="37" t="n"/>
      <c r="B32" s="37" t="n"/>
      <c r="C32" s="11" t="n"/>
      <c r="D32" s="37" t="n"/>
      <c r="E32" s="37" t="n"/>
      <c r="F32" s="37" t="n"/>
      <c r="G32" s="11" t="n"/>
      <c r="H32" s="11">
        <f>IF(AND(C32="",G32=""),"",C32-G32)</f>
        <v/>
      </c>
      <c r="I32" s="37" t="n"/>
      <c r="J32" s="37" t="n"/>
    </row>
    <row r="33">
      <c r="A33" s="37" t="n"/>
      <c r="B33" s="37" t="n"/>
      <c r="C33" s="11" t="n"/>
      <c r="D33" s="37" t="n"/>
      <c r="E33" s="37" t="n"/>
      <c r="F33" s="37" t="n"/>
      <c r="G33" s="11" t="n"/>
      <c r="H33" s="11">
        <f>IF(AND(C33="",G33=""),"",C33-G33)</f>
        <v/>
      </c>
      <c r="I33" s="37" t="n"/>
      <c r="J33" s="37" t="n"/>
    </row>
    <row r="34">
      <c r="A34" s="37" t="n"/>
      <c r="B34" s="37" t="n"/>
      <c r="C34" s="11" t="n"/>
      <c r="D34" s="37" t="n"/>
      <c r="E34" s="37" t="n"/>
      <c r="F34" s="37" t="n"/>
      <c r="G34" s="11" t="n"/>
      <c r="H34" s="11">
        <f>IF(AND(C34="",G34=""),"",C34-G34)</f>
        <v/>
      </c>
      <c r="I34" s="37" t="n"/>
      <c r="J34" s="37" t="n"/>
    </row>
    <row r="35">
      <c r="A35" s="37" t="n"/>
      <c r="B35" s="37" t="n"/>
      <c r="C35" s="11" t="n"/>
      <c r="D35" s="37" t="n"/>
      <c r="E35" s="37" t="n"/>
      <c r="F35" s="37" t="n"/>
      <c r="G35" s="11" t="n"/>
      <c r="H35" s="11">
        <f>IF(AND(C35="",G35=""),"",C35-G35)</f>
        <v/>
      </c>
      <c r="I35" s="37" t="n"/>
      <c r="J35" s="37" t="n"/>
    </row>
    <row r="36">
      <c r="A36" s="37" t="n"/>
      <c r="B36" s="37" t="n"/>
      <c r="C36" s="11" t="n"/>
      <c r="D36" s="37" t="n"/>
      <c r="E36" s="37" t="n"/>
      <c r="F36" s="37" t="n"/>
      <c r="G36" s="11" t="n"/>
      <c r="H36" s="11">
        <f>IF(AND(C36="",G36=""),"",C36-G36)</f>
        <v/>
      </c>
      <c r="I36" s="37" t="n"/>
      <c r="J36" s="37" t="n"/>
    </row>
    <row r="37" ht="26.5" customHeight="1" s="41">
      <c r="A37" s="34" t="inlineStr">
        <is>
          <t>Total additions — ties to &lt;.1&gt; Borrowings / draws</t>
        </is>
      </c>
      <c r="B37" s="12" t="n"/>
      <c r="C37" s="13">
        <f>SUM(C31:C36)</f>
        <v/>
      </c>
      <c r="D37" s="12" t="n"/>
      <c r="E37" s="12" t="n"/>
      <c r="F37" s="12" t="n"/>
      <c r="G37" s="13">
        <f>SUM(G31:G36)</f>
        <v/>
      </c>
      <c r="H37" s="13">
        <f>SUM(H31:H36)</f>
        <v/>
      </c>
      <c r="I37" s="12" t="n"/>
      <c r="J37" s="12" t="n"/>
    </row>
    <row r="38"/>
    <row r="39" ht="27.75" customHeight="1" s="41">
      <c r="A39" s="44" t="inlineStr">
        <is>
          <t>Fees withheld from proceeds feed the issuance-cost fee summary on &lt;.6&gt;. Additions total must tie to the Borrowings / draws column on &lt;.1&gt;.</t>
        </is>
      </c>
    </row>
    <row r="40"/>
    <row r="41">
      <c r="A41" s="7" t="inlineStr">
        <is>
          <t>TM Legends</t>
        </is>
      </c>
    </row>
    <row r="42">
      <c r="A42" s="9" t="inlineStr">
        <is>
          <t>TB</t>
        </is>
      </c>
      <c r="B42" s="37" t="inlineStr">
        <is>
          <t>Agreed to trial balance</t>
        </is>
      </c>
      <c r="C42" s="50" t="n"/>
      <c r="D42" s="51" t="n"/>
    </row>
    <row r="43">
      <c r="A43" s="9" t="inlineStr">
        <is>
          <t>GL</t>
        </is>
      </c>
      <c r="B43" s="37" t="inlineStr">
        <is>
          <t>Agreed to general ledger</t>
        </is>
      </c>
      <c r="C43" s="50" t="n"/>
      <c r="D43" s="51" t="n"/>
    </row>
    <row r="44">
      <c r="A44" s="9" t="inlineStr">
        <is>
          <t>CF</t>
        </is>
      </c>
      <c r="B44" s="37" t="inlineStr">
        <is>
          <t>Confirmed with third party</t>
        </is>
      </c>
      <c r="C44" s="50" t="n"/>
      <c r="D44" s="51" t="n"/>
    </row>
    <row r="45">
      <c r="A45" s="9" t="inlineStr">
        <is>
          <t>V</t>
        </is>
      </c>
      <c r="B45" s="37" t="inlineStr">
        <is>
          <t>Vouched to source document</t>
        </is>
      </c>
      <c r="C45" s="50" t="n"/>
      <c r="D45" s="51" t="n"/>
    </row>
    <row r="46">
      <c r="A46" s="9" t="inlineStr">
        <is>
          <t>SR</t>
        </is>
      </c>
      <c r="B46" s="37" t="inlineStr">
        <is>
          <t>Agreed to subsequent bank-cleared receipt</t>
        </is>
      </c>
      <c r="C46" s="50" t="n"/>
      <c r="D46" s="51" t="n"/>
    </row>
    <row r="47">
      <c r="A47" s="9" t="inlineStr">
        <is>
          <t>R</t>
        </is>
      </c>
      <c r="B47" s="37" t="inlineStr">
        <is>
          <t>Recalculated independently</t>
        </is>
      </c>
      <c r="C47" s="50" t="n"/>
      <c r="D47" s="51" t="n"/>
    </row>
    <row r="48">
      <c r="A48" s="9" t="inlineStr">
        <is>
          <t>F</t>
        </is>
      </c>
      <c r="B48" s="37" t="inlineStr">
        <is>
          <t>Footed / cross-cast</t>
        </is>
      </c>
      <c r="C48" s="50" t="n"/>
      <c r="D48" s="51" t="n"/>
    </row>
    <row r="49">
      <c r="A49" s="9" t="inlineStr">
        <is>
          <t>T</t>
        </is>
      </c>
      <c r="B49" s="37" t="inlineStr">
        <is>
          <t>Traced to downstream record</t>
        </is>
      </c>
      <c r="C49" s="50" t="n"/>
      <c r="D49" s="51" t="n"/>
    </row>
    <row r="50">
      <c r="A50" s="9" t="inlineStr">
        <is>
          <t>PBC</t>
        </is>
      </c>
      <c r="B50" s="37" t="inlineStr">
        <is>
          <t>Prepared by client</t>
        </is>
      </c>
      <c r="C50" s="50" t="n"/>
      <c r="D50" s="51" t="n"/>
    </row>
    <row r="51"/>
    <row r="52" ht="27.75" customHeight="1" s="41">
      <c r="A52" s="44" t="inlineStr">
        <is>
          <t>Before sign-off complete Library Procedures 12-14 (read &amp; abstract agreements; test term compliance; test additions).</t>
        </is>
      </c>
    </row>
  </sheetData>
  <mergeCells count="15">
    <mergeCell ref="B42:D42"/>
    <mergeCell ref="B4:L4"/>
    <mergeCell ref="A16:L16"/>
    <mergeCell ref="A52:L52"/>
    <mergeCell ref="B6:L6"/>
    <mergeCell ref="B45:D45"/>
    <mergeCell ref="B46:D46"/>
    <mergeCell ref="B49:D49"/>
    <mergeCell ref="B50:D50"/>
    <mergeCell ref="B5:L5"/>
    <mergeCell ref="B44:D44"/>
    <mergeCell ref="B43:D43"/>
    <mergeCell ref="A39:L39"/>
    <mergeCell ref="B47:D47"/>
    <mergeCell ref="B48:D48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74"/>
  <sheetViews>
    <sheetView showGridLines="0" topLeftCell="A35" zoomScale="85" zoomScaleNormal="100" workbookViewId="0">
      <selection activeCell="C47" sqref="C47"/>
    </sheetView>
  </sheetViews>
  <sheetFormatPr baseColWidth="8" defaultColWidth="8.6328125" defaultRowHeight="14.5"/>
  <cols>
    <col width="30.90625" customWidth="1" style="41" min="1" max="1"/>
    <col width="16" customWidth="1" style="41" min="2" max="3"/>
    <col width="22.08984375" customWidth="1" style="41" min="4" max="4"/>
    <col width="15" customWidth="1" style="41" min="5" max="10"/>
    <col width="24" customWidth="1" style="41" min="11" max="11"/>
  </cols>
  <sheetData>
    <row r="1" ht="17.5" customHeight="1" s="41">
      <c r="A1" s="4" t="inlineStr">
        <is>
          <t>Debt Issuance Costs (Deferred Charges)</t>
        </is>
      </c>
    </row>
    <row r="2">
      <c r="A2" s="5" t="inlineStr">
        <is>
          <t>Client / Entity</t>
        </is>
      </c>
      <c r="B2" s="6" t="inlineStr">
        <is>
          <t>[Client / Entity]</t>
        </is>
      </c>
      <c r="D2" s="5" t="inlineStr">
        <is>
          <t>Year-End</t>
        </is>
      </c>
      <c r="E2" s="6" t="inlineStr">
        <is>
          <t>[YYYY-MM-DD]</t>
        </is>
      </c>
      <c r="G2" s="5" t="inlineStr">
        <is>
          <t>Currency</t>
        </is>
      </c>
      <c r="H2" s="6" t="inlineStr">
        <is>
          <t>[CCY]</t>
        </is>
      </c>
    </row>
    <row r="3">
      <c r="A3" s="5" t="inlineStr">
        <is>
          <t>Performance Materiality</t>
        </is>
      </c>
      <c r="B3" s="6" t="inlineStr">
        <is>
          <t>[PM]</t>
        </is>
      </c>
      <c r="D3" s="5" t="inlineStr">
        <is>
          <t>Testing Threshold (SUM)</t>
        </is>
      </c>
      <c r="E3" s="6" t="inlineStr">
        <is>
          <t>[Threshold]</t>
        </is>
      </c>
    </row>
    <row r="4" ht="42" customHeight="1" s="41">
      <c r="A4" s="28" t="inlineStr">
        <is>
          <t>Purpose:</t>
        </is>
      </c>
      <c r="B4" s="38" t="inlineStr">
        <is>
          <t>List all issuance costs, allocate across facilities, drive the presentation (net against debt vs asset), recompute amortization (effective interest for term debt; straight-line for LOC), and roll the unamortized balance forward.</t>
        </is>
      </c>
      <c r="C4" s="52" t="n"/>
      <c r="D4" s="52" t="n"/>
      <c r="E4" s="52" t="n"/>
      <c r="F4" s="52" t="n"/>
      <c r="G4" s="52" t="n"/>
      <c r="H4" s="52" t="n"/>
      <c r="I4" s="52" t="n"/>
      <c r="J4" s="52" t="n"/>
      <c r="K4" s="53" t="n"/>
    </row>
    <row r="5" ht="42" customHeight="1" s="41">
      <c r="A5" s="28" t="inlineStr">
        <is>
          <t>Scope:</t>
        </is>
      </c>
      <c r="B5" s="38" t="inlineStr">
        <is>
          <t>OID, lender fees and third-party costs for every facility; presentation per ASC 835-30-45-1A (net) and ASU 2015-15 (line-of-credit arrangements as an asset, amortized ratably over the term regardless of draws).</t>
        </is>
      </c>
      <c r="C5" s="52" t="n"/>
      <c r="D5" s="52" t="n"/>
      <c r="E5" s="52" t="n"/>
      <c r="F5" s="52" t="n"/>
      <c r="G5" s="52" t="n"/>
      <c r="H5" s="52" t="n"/>
      <c r="I5" s="52" t="n"/>
      <c r="J5" s="52" t="n"/>
      <c r="K5" s="53" t="n"/>
    </row>
    <row r="6" ht="15" customHeight="1" s="41">
      <c r="A6" s="28" t="inlineStr">
        <is>
          <t>Assertions:</t>
        </is>
      </c>
      <c r="B6" s="38" t="inlineStr">
        <is>
          <t>Valuation &amp; Allocation; Accuracy; Classification; Presentation &amp; Disclosure</t>
        </is>
      </c>
      <c r="C6" s="52" t="n"/>
      <c r="D6" s="52" t="n"/>
      <c r="E6" s="52" t="n"/>
      <c r="F6" s="52" t="n"/>
      <c r="G6" s="52" t="n"/>
      <c r="H6" s="52" t="n"/>
      <c r="I6" s="52" t="n"/>
      <c r="J6" s="52" t="n"/>
      <c r="K6" s="53" t="n"/>
    </row>
    <row r="7">
      <c r="A7" s="14" t="inlineStr">
        <is>
          <t>A. Fee summary &amp; allocation across facilities</t>
        </is>
      </c>
    </row>
    <row r="8" ht="33.75" customHeight="1" s="41">
      <c r="A8" s="42" t="inlineStr">
        <is>
          <t>Fee / cost item</t>
        </is>
      </c>
      <c r="B8" s="42" t="inlineStr">
        <is>
          <t>Type (OID / lender fee / third-party)</t>
        </is>
      </c>
      <c r="C8" s="42" t="inlineStr">
        <is>
          <t>Paid to / vendor</t>
        </is>
      </c>
      <c r="D8" s="42" t="inlineStr">
        <is>
          <t>Amount</t>
        </is>
      </c>
      <c r="E8" s="42" t="inlineStr">
        <is>
          <t>Alloc: Term loan</t>
        </is>
      </c>
      <c r="F8" s="42" t="inlineStr">
        <is>
          <t>Alloc: DDTL</t>
        </is>
      </c>
      <c r="G8" s="42" t="inlineStr">
        <is>
          <t>Alloc: LOC / revolver</t>
        </is>
      </c>
      <c r="H8" s="42" t="inlineStr">
        <is>
          <t>Allocation method (specific ID / % capacity)</t>
        </is>
      </c>
    </row>
    <row r="9">
      <c r="D9" s="10" t="inlineStr">
        <is>
          <t>V</t>
        </is>
      </c>
      <c r="E9" s="10" t="inlineStr">
        <is>
          <t>R</t>
        </is>
      </c>
    </row>
    <row r="10">
      <c r="A10" s="37" t="n"/>
      <c r="B10" s="37" t="n"/>
      <c r="C10" s="37" t="n"/>
      <c r="D10" s="11" t="n"/>
      <c r="E10" s="11" t="n"/>
      <c r="F10" s="11" t="n"/>
      <c r="G10" s="11" t="n"/>
      <c r="H10" s="37" t="n"/>
    </row>
    <row r="11">
      <c r="A11" s="37" t="n"/>
      <c r="B11" s="37" t="n"/>
      <c r="C11" s="37" t="n"/>
      <c r="D11" s="11" t="n"/>
      <c r="E11" s="11" t="n"/>
      <c r="F11" s="11" t="n"/>
      <c r="G11" s="11" t="n"/>
      <c r="H11" s="37" t="n"/>
    </row>
    <row r="12">
      <c r="A12" s="37" t="n"/>
      <c r="B12" s="37" t="n"/>
      <c r="C12" s="37" t="n"/>
      <c r="D12" s="11" t="n"/>
      <c r="E12" s="11" t="n"/>
      <c r="F12" s="11" t="n"/>
      <c r="G12" s="11" t="n"/>
      <c r="H12" s="37" t="n"/>
    </row>
    <row r="13">
      <c r="A13" s="37" t="n"/>
      <c r="B13" s="37" t="n"/>
      <c r="C13" s="37" t="n"/>
      <c r="D13" s="11" t="n"/>
      <c r="E13" s="11" t="n"/>
      <c r="F13" s="11" t="n"/>
      <c r="G13" s="11" t="n"/>
      <c r="H13" s="37" t="n"/>
    </row>
    <row r="14">
      <c r="A14" s="37" t="n"/>
      <c r="B14" s="37" t="n"/>
      <c r="C14" s="37" t="n"/>
      <c r="D14" s="11" t="n"/>
      <c r="E14" s="11" t="n"/>
      <c r="F14" s="11" t="n"/>
      <c r="G14" s="11" t="n"/>
      <c r="H14" s="37" t="n"/>
    </row>
    <row r="15">
      <c r="A15" s="37" t="n"/>
      <c r="B15" s="37" t="n"/>
      <c r="C15" s="37" t="n"/>
      <c r="D15" s="11" t="n"/>
      <c r="E15" s="11" t="n"/>
      <c r="F15" s="11" t="n"/>
      <c r="G15" s="11" t="n"/>
      <c r="H15" s="37" t="n"/>
    </row>
    <row r="16">
      <c r="A16" s="37" t="n"/>
      <c r="B16" s="37" t="n"/>
      <c r="C16" s="37" t="n"/>
      <c r="D16" s="11" t="n"/>
      <c r="E16" s="11" t="n"/>
      <c r="F16" s="11" t="n"/>
      <c r="G16" s="11" t="n"/>
      <c r="H16" s="37" t="n"/>
    </row>
    <row r="17">
      <c r="A17" s="12" t="inlineStr">
        <is>
          <t>Total fees</t>
        </is>
      </c>
      <c r="B17" s="12" t="n"/>
      <c r="C17" s="12" t="n"/>
      <c r="D17" s="13">
        <f>SUM(D10:D16)</f>
        <v/>
      </c>
      <c r="E17" s="13">
        <f>SUM(E10:E16)</f>
        <v/>
      </c>
      <c r="F17" s="13">
        <f>SUM(F10:F16)</f>
        <v/>
      </c>
      <c r="G17" s="13">
        <f>SUM(G10:G16)</f>
        <v/>
      </c>
      <c r="H17" s="12" t="n"/>
    </row>
    <row r="18"/>
    <row r="19">
      <c r="A19" s="14" t="inlineStr">
        <is>
          <t>B. Presentation driver (per facility)</t>
        </is>
      </c>
    </row>
    <row r="20" ht="30" customHeight="1" s="41">
      <c r="A20" s="42" t="inlineStr">
        <is>
          <t>Facility</t>
        </is>
      </c>
      <c r="B20" s="42" t="inlineStr">
        <is>
          <t>Type (term / DDTL / LOC)</t>
        </is>
      </c>
      <c r="C20" s="42" t="inlineStr">
        <is>
          <t>Drawn? (Y/N)</t>
        </is>
      </c>
      <c r="D20" s="42" t="inlineStr">
        <is>
          <t>Allocated costs</t>
        </is>
      </c>
      <c r="E20" s="42" t="inlineStr">
        <is>
          <t>Presentation (Net against debt / Asset)</t>
        </is>
      </c>
      <c r="F20" s="42" t="inlineStr">
        <is>
          <t>US GAAP basis</t>
        </is>
      </c>
      <c r="G20" s="42" t="inlineStr">
        <is>
          <t>Comments</t>
        </is>
      </c>
    </row>
    <row r="21">
      <c r="A21" s="37" t="n"/>
      <c r="B21" s="37" t="n"/>
      <c r="C21" s="37" t="n"/>
      <c r="D21" s="11" t="n"/>
      <c r="E21" s="37">
        <f>IF(B21="","",IF(OR(B21="LOC",B21="Revolver",B21="LOC / revolver"),"Asset","Net against debt"))</f>
        <v/>
      </c>
      <c r="F21" s="37">
        <f>IF(B21="","",IF(OR(B21="LOC",B21="Revolver",B21="LOC / revolver"),"ASU 2015-15 (asset; ratable over term, drawn or not)","ASC 835-30-45-1A (direct deduction from debt)"))</f>
        <v/>
      </c>
      <c r="G21" s="37" t="n"/>
    </row>
    <row r="22">
      <c r="A22" s="37" t="n"/>
      <c r="B22" s="37" t="n"/>
      <c r="C22" s="37" t="n"/>
      <c r="D22" s="11" t="n"/>
      <c r="E22" s="37">
        <f>IF(B22="","",IF(OR(B22="LOC",B22="Revolver",B22="LOC / revolver"),"Asset","Net against debt"))</f>
        <v/>
      </c>
      <c r="F22" s="37">
        <f>IF(B22="","",IF(OR(B22="LOC",B22="Revolver",B22="LOC / revolver"),"ASU 2015-15 (asset; ratable over term, drawn or not)","ASC 835-30-45-1A (direct deduction from debt)"))</f>
        <v/>
      </c>
      <c r="G22" s="37" t="n"/>
    </row>
    <row r="23">
      <c r="A23" s="37" t="n"/>
      <c r="B23" s="37" t="n"/>
      <c r="C23" s="37" t="n"/>
      <c r="D23" s="11" t="n"/>
      <c r="E23" s="37">
        <f>IF(B23="","",IF(OR(B23="LOC",B23="Revolver",B23="LOC / revolver"),"Asset","Net against debt"))</f>
        <v/>
      </c>
      <c r="F23" s="37">
        <f>IF(B23="","",IF(OR(B23="LOC",B23="Revolver",B23="LOC / revolver"),"ASU 2015-15 (asset; ratable over term, drawn or not)","ASC 835-30-45-1A (direct deduction from debt)"))</f>
        <v/>
      </c>
      <c r="G23" s="37" t="n"/>
    </row>
    <row r="24">
      <c r="A24" s="37" t="n"/>
      <c r="B24" s="37" t="n"/>
      <c r="C24" s="37" t="n"/>
      <c r="D24" s="11" t="n"/>
      <c r="E24" s="37">
        <f>IF(B24="","",IF(OR(B24="LOC",B24="Revolver",B24="LOC / revolver"),"Asset","Net against debt"))</f>
        <v/>
      </c>
      <c r="F24" s="37">
        <f>IF(B24="","",IF(OR(B24="LOC",B24="Revolver",B24="LOC / revolver"),"ASU 2015-15 (asset; ratable over term, drawn or not)","ASC 835-30-45-1A (direct deduction from debt)"))</f>
        <v/>
      </c>
      <c r="G24" s="37" t="n"/>
    </row>
    <row r="25">
      <c r="A25" s="37" t="n"/>
      <c r="B25" s="37" t="n"/>
      <c r="C25" s="37" t="n"/>
      <c r="D25" s="11" t="n"/>
      <c r="E25" s="37">
        <f>IF(B25="","",IF(OR(B25="LOC",B25="Revolver",B25="LOC / revolver"),"Asset","Net against debt"))</f>
        <v/>
      </c>
      <c r="F25" s="37">
        <f>IF(B25="","",IF(OR(B25="LOC",B25="Revolver",B25="LOC / revolver"),"ASU 2015-15 (asset; ratable over term, drawn or not)","ASC 835-30-45-1A (direct deduction from debt)"))</f>
        <v/>
      </c>
      <c r="G25" s="37" t="n"/>
    </row>
    <row r="26" ht="25.5" customHeight="1" s="41">
      <c r="A26" s="44" t="inlineStr">
        <is>
          <t>Term / DDTL costs on recognized debt = direct deduction from the liability. LOC / revolver costs may be presented as an asset and amortized ratably over the facility term regardless of borrowings (ASU 2015-15).</t>
        </is>
      </c>
    </row>
    <row r="27"/>
    <row r="28">
      <c r="A28" s="14" t="inlineStr">
        <is>
          <t>C. Effective-interest amortization — term debt (net presentation)</t>
        </is>
      </c>
    </row>
    <row r="29">
      <c r="A29" s="5" t="inlineStr">
        <is>
          <t>Facility parameters:</t>
        </is>
      </c>
    </row>
    <row r="30">
      <c r="A30" s="37" t="inlineStr">
        <is>
          <t>Face / principal</t>
        </is>
      </c>
      <c r="B30" s="11" t="n"/>
      <c r="D30" s="44" t="n"/>
    </row>
    <row r="31">
      <c r="A31" s="37" t="inlineStr">
        <is>
          <t>Stated rate</t>
        </is>
      </c>
      <c r="B31" s="15" t="n"/>
    </row>
    <row r="32">
      <c r="A32" s="37" t="inlineStr">
        <is>
          <t>Issuance costs (allocated)</t>
        </is>
      </c>
      <c r="B32" s="11" t="n"/>
    </row>
    <row r="33">
      <c r="A33" s="16" t="inlineStr">
        <is>
          <t>Net proceeds / initial carrying</t>
        </is>
      </c>
      <c r="B33" s="17">
        <f>B30-B32</f>
        <v/>
      </c>
    </row>
    <row r="34">
      <c r="A34" s="37" t="inlineStr">
        <is>
          <t>Effective interest rate (EIR)</t>
        </is>
      </c>
      <c r="B34" s="15" t="n"/>
    </row>
    <row r="35"/>
    <row r="36" ht="39.75" customHeight="1" s="41">
      <c r="A36" s="42" t="inlineStr">
        <is>
          <t>Period</t>
        </is>
      </c>
      <c r="B36" s="42" t="inlineStr">
        <is>
          <t>Opening carrying (net)</t>
        </is>
      </c>
      <c r="C36" s="42" t="inlineStr">
        <is>
          <t>Effective interest (= opening × EIR × fraction)</t>
        </is>
      </c>
      <c r="D36" s="42" t="inlineStr">
        <is>
          <t>Cash interest (= face × stated × fraction)</t>
        </is>
      </c>
      <c r="E36" s="42" t="inlineStr">
        <is>
          <t>Cost amortization (= effective − cash)</t>
        </is>
      </c>
      <c r="F36" s="42" t="inlineStr">
        <is>
          <t>Closing carrying (= opening + amortization)</t>
        </is>
      </c>
      <c r="G36" s="42" t="inlineStr">
        <is>
          <t>Unamortized costs (= face − carrying)</t>
        </is>
      </c>
      <c r="H36" s="42" t="inlineStr">
        <is>
          <t>Period fraction</t>
        </is>
      </c>
    </row>
    <row r="37">
      <c r="A37" s="37" t="n"/>
      <c r="B37" s="11">
        <f>IF($B$33="","",$B$33)</f>
        <v/>
      </c>
      <c r="C37" s="11">
        <f>IF(OR(B37="",$B$34=""),"",B37*$B$34*IF(H37="",1,H37))</f>
        <v/>
      </c>
      <c r="D37" s="11">
        <f>IF(OR($B$30="",$B$31=""),"",$B$30*$B$31*IF(H37="",1,H37))</f>
        <v/>
      </c>
      <c r="E37" s="11">
        <f>IF(OR(C37="",D37=""),"",C37-D37)</f>
        <v/>
      </c>
      <c r="F37" s="11">
        <f>IF(OR(B37="",E37=""),"",B37+E37)</f>
        <v/>
      </c>
      <c r="G37" s="11">
        <f>IF(OR($B$30="",F37=""),"",$B$30-F37)</f>
        <v/>
      </c>
      <c r="H37" s="19" t="n"/>
    </row>
    <row r="38">
      <c r="A38" s="37" t="n"/>
      <c r="B38" s="11">
        <f>IF(F37="","",F37)</f>
        <v/>
      </c>
      <c r="C38" s="11">
        <f>IF(OR(B38="",$B$34=""),"",B38*$B$34*IF(H38="",1,H38))</f>
        <v/>
      </c>
      <c r="D38" s="11">
        <f>IF(OR($B$30="",$B$31=""),"",$B$30*$B$31*IF(H38="",1,H38))</f>
        <v/>
      </c>
      <c r="E38" s="11">
        <f>IF(OR(C38="",D38=""),"",C38-D38)</f>
        <v/>
      </c>
      <c r="F38" s="11">
        <f>IF(OR(B38="",E38=""),"",B38+E38)</f>
        <v/>
      </c>
      <c r="G38" s="11">
        <f>IF(OR($B$30="",F38=""),"",$B$30-F38)</f>
        <v/>
      </c>
      <c r="H38" s="19" t="n"/>
    </row>
    <row r="39">
      <c r="A39" s="37" t="n"/>
      <c r="B39" s="11">
        <f>IF(F38="","",F38)</f>
        <v/>
      </c>
      <c r="C39" s="11">
        <f>IF(OR(B39="",$B$34=""),"",B39*$B$34*IF(H39="",1,H39))</f>
        <v/>
      </c>
      <c r="D39" s="11">
        <f>IF(OR($B$30="",$B$31=""),"",$B$30*$B$31*IF(H39="",1,H39))</f>
        <v/>
      </c>
      <c r="E39" s="11">
        <f>IF(OR(C39="",D39=""),"",C39-D39)</f>
        <v/>
      </c>
      <c r="F39" s="11">
        <f>IF(OR(B39="",E39=""),"",B39+E39)</f>
        <v/>
      </c>
      <c r="G39" s="11">
        <f>IF(OR($B$30="",F39=""),"",$B$30-F39)</f>
        <v/>
      </c>
      <c r="H39" s="19" t="n"/>
    </row>
    <row r="40">
      <c r="A40" s="37" t="n"/>
      <c r="B40" s="11">
        <f>IF(F39="","",F39)</f>
        <v/>
      </c>
      <c r="C40" s="11">
        <f>IF(OR(B40="",$B$34=""),"",B40*$B$34*IF(H40="",1,H40))</f>
        <v/>
      </c>
      <c r="D40" s="11">
        <f>IF(OR($B$30="",$B$31=""),"",$B$30*$B$31*IF(H40="",1,H40))</f>
        <v/>
      </c>
      <c r="E40" s="11">
        <f>IF(OR(C40="",D40=""),"",C40-D40)</f>
        <v/>
      </c>
      <c r="F40" s="11">
        <f>IF(OR(B40="",E40=""),"",B40+E40)</f>
        <v/>
      </c>
      <c r="G40" s="11">
        <f>IF(OR($B$30="",F40=""),"",$B$30-F40)</f>
        <v/>
      </c>
      <c r="H40" s="19" t="n"/>
    </row>
    <row r="41">
      <c r="A41" s="37" t="n"/>
      <c r="B41" s="11">
        <f>IF(F40="","",F40)</f>
        <v/>
      </c>
      <c r="C41" s="11">
        <f>IF(OR(B41="",$B$34=""),"",B41*$B$34*IF(H41="",1,H41))</f>
        <v/>
      </c>
      <c r="D41" s="11">
        <f>IF(OR($B$30="",$B$31=""),"",$B$30*$B$31*IF(H41="",1,H41))</f>
        <v/>
      </c>
      <c r="E41" s="11">
        <f>IF(OR(C41="",D41=""),"",C41-D41)</f>
        <v/>
      </c>
      <c r="F41" s="11">
        <f>IF(OR(B41="",E41=""),"",B41+E41)</f>
        <v/>
      </c>
      <c r="G41" s="11">
        <f>IF(OR($B$30="",F41=""),"",$B$30-F41)</f>
        <v/>
      </c>
      <c r="H41" s="19" t="n"/>
    </row>
    <row r="42">
      <c r="A42" s="37" t="n"/>
      <c r="B42" s="11">
        <f>IF(F41="","",F41)</f>
        <v/>
      </c>
      <c r="C42" s="11">
        <f>IF(OR(B42="",$B$34=""),"",B42*$B$34*IF(H42="",1,H42))</f>
        <v/>
      </c>
      <c r="D42" s="11">
        <f>IF(OR($B$30="",$B$31=""),"",$B$30*$B$31*IF(H42="",1,H42))</f>
        <v/>
      </c>
      <c r="E42" s="11">
        <f>IF(OR(C42="",D42=""),"",C42-D42)</f>
        <v/>
      </c>
      <c r="F42" s="11">
        <f>IF(OR(B42="",E42=""),"",B42+E42)</f>
        <v/>
      </c>
      <c r="G42" s="11">
        <f>IF(OR($B$30="",F42=""),"",$B$30-F42)</f>
        <v/>
      </c>
      <c r="H42" s="19" t="n"/>
    </row>
    <row r="43"/>
    <row r="44">
      <c r="A44" s="14" t="inlineStr">
        <is>
          <t>D. Straight-line amortization — LOC / revolver (asset)</t>
        </is>
      </c>
    </row>
    <row r="45" ht="30" customHeight="1" s="41">
      <c r="A45" s="42" t="inlineStr">
        <is>
          <t>Facility</t>
        </is>
      </c>
      <c r="B45" s="42" t="inlineStr">
        <is>
          <t>Allocated costs</t>
        </is>
      </c>
      <c r="C45" s="42" t="inlineStr">
        <is>
          <t>Facility term (months)</t>
        </is>
      </c>
      <c r="D45" s="42" t="inlineStr">
        <is>
          <t>Monthly amortization</t>
        </is>
      </c>
      <c r="E45" s="42" t="inlineStr">
        <is>
          <t>Months in period</t>
        </is>
      </c>
      <c r="F45" s="42" t="inlineStr">
        <is>
          <t>Period amortization</t>
        </is>
      </c>
      <c r="G45" s="42" t="inlineStr">
        <is>
          <t>Unamortized closing (asset)</t>
        </is>
      </c>
      <c r="H45" s="42" t="inlineStr">
        <is>
          <t>Comments</t>
        </is>
      </c>
    </row>
    <row r="46">
      <c r="A46" s="37" t="n"/>
      <c r="B46" s="11" t="n"/>
      <c r="C46" s="37" t="n"/>
      <c r="D46" s="11">
        <f>IF(OR(B46="",C46="",C46=0),"",B46/C46)</f>
        <v/>
      </c>
      <c r="E46" s="37" t="n"/>
      <c r="F46" s="11">
        <f>IF(OR(D46="",E46=""),"",D46*E46)</f>
        <v/>
      </c>
      <c r="G46" s="11">
        <f>IF(OR(B46="",F46=""),"",B46-F46)</f>
        <v/>
      </c>
      <c r="H46" s="37" t="n"/>
    </row>
    <row r="47">
      <c r="A47" s="37" t="n"/>
      <c r="B47" s="11" t="n"/>
      <c r="C47" s="37" t="n"/>
      <c r="D47" s="11">
        <f>IF(OR(B47="",C47="",C47=0),"",B47/C47)</f>
        <v/>
      </c>
      <c r="E47" s="37" t="n"/>
      <c r="F47" s="11">
        <f>IF(OR(D47="",E47=""),"",D47*E47)</f>
        <v/>
      </c>
      <c r="G47" s="11">
        <f>IF(OR(B47="",F47=""),"",B47-F47)</f>
        <v/>
      </c>
      <c r="H47" s="37" t="n"/>
    </row>
    <row r="48">
      <c r="A48" s="37" t="n"/>
      <c r="B48" s="11" t="n"/>
      <c r="C48" s="37" t="n"/>
      <c r="D48" s="11">
        <f>IF(OR(B48="",C48="",C48=0),"",B48/C48)</f>
        <v/>
      </c>
      <c r="E48" s="37" t="n"/>
      <c r="F48" s="11">
        <f>IF(OR(D48="",E48=""),"",D48*E48)</f>
        <v/>
      </c>
      <c r="G48" s="11">
        <f>IF(OR(B48="",F48=""),"",B48-F48)</f>
        <v/>
      </c>
      <c r="H48" s="37" t="n"/>
    </row>
    <row r="49">
      <c r="A49" s="37" t="n"/>
      <c r="B49" s="11" t="n"/>
      <c r="C49" s="37" t="n"/>
      <c r="D49" s="11">
        <f>IF(OR(B49="",C49="",C49=0),"",B49/C49)</f>
        <v/>
      </c>
      <c r="E49" s="37" t="n"/>
      <c r="F49" s="11">
        <f>IF(OR(D49="",E49=""),"",D49*E49)</f>
        <v/>
      </c>
      <c r="G49" s="11">
        <f>IF(OR(B49="",F49=""),"",B49-F49)</f>
        <v/>
      </c>
      <c r="H49" s="37" t="n"/>
    </row>
    <row r="50"/>
    <row r="51">
      <c r="A51" s="14" t="inlineStr">
        <is>
          <t>E. Unamortized issuance-cost rollforward &amp; bridge</t>
        </is>
      </c>
    </row>
    <row r="52"/>
    <row r="53">
      <c r="A53" s="37" t="inlineStr">
        <is>
          <t>Opening unamortized costs</t>
        </is>
      </c>
      <c r="B53" s="11" t="n"/>
    </row>
    <row r="54">
      <c r="A54" s="37" t="inlineStr">
        <is>
          <t>Additions (new fees capitalized)</t>
        </is>
      </c>
      <c r="B54" s="11" t="n"/>
    </row>
    <row r="55">
      <c r="A55" s="37" t="inlineStr">
        <is>
          <t>Amortization (period; C + D above)</t>
        </is>
      </c>
      <c r="B55" s="11" t="n"/>
    </row>
    <row r="56">
      <c r="A56" s="37" t="inlineStr">
        <is>
          <t>Write-offs (extinguishments — see &lt;.7&gt;)</t>
        </is>
      </c>
      <c r="B56" s="11" t="n"/>
    </row>
    <row r="57">
      <c r="A57" s="16" t="inlineStr">
        <is>
          <t>Closing unamortized costs</t>
        </is>
      </c>
      <c r="B57" s="17">
        <f>B53+B54-B55-B56</f>
        <v/>
      </c>
    </row>
    <row r="58">
      <c r="A58" s="37" t="inlineStr">
        <is>
          <t>Presented net against debt (→ &lt;.1&gt;)</t>
        </is>
      </c>
      <c r="B58" s="11" t="n"/>
    </row>
    <row r="59">
      <c r="A59" s="37" t="inlineStr">
        <is>
          <t>Presented as asset (LOC)</t>
        </is>
      </c>
      <c r="B59" s="11" t="n"/>
    </row>
    <row r="60">
      <c r="A60" s="16" t="inlineStr">
        <is>
          <t>Check: net + asset = closing</t>
        </is>
      </c>
      <c r="B60" s="17">
        <f>B58+B59-B57</f>
        <v/>
      </c>
    </row>
    <row r="61"/>
    <row r="62"/>
    <row r="63">
      <c r="A63" s="7" t="inlineStr">
        <is>
          <t>TM Legends</t>
        </is>
      </c>
    </row>
    <row r="64">
      <c r="A64" s="9" t="inlineStr">
        <is>
          <t>TB</t>
        </is>
      </c>
      <c r="B64" s="37" t="inlineStr">
        <is>
          <t>Agreed to trial balance</t>
        </is>
      </c>
      <c r="C64" s="50" t="n"/>
      <c r="D64" s="51" t="n"/>
    </row>
    <row r="65">
      <c r="A65" s="9" t="inlineStr">
        <is>
          <t>GL</t>
        </is>
      </c>
      <c r="B65" s="37" t="inlineStr">
        <is>
          <t>Agreed to general ledger</t>
        </is>
      </c>
      <c r="C65" s="50" t="n"/>
      <c r="D65" s="51" t="n"/>
    </row>
    <row r="66">
      <c r="A66" s="9" t="inlineStr">
        <is>
          <t>CF</t>
        </is>
      </c>
      <c r="B66" s="37" t="inlineStr">
        <is>
          <t>Confirmed with third party</t>
        </is>
      </c>
      <c r="C66" s="50" t="n"/>
      <c r="D66" s="51" t="n"/>
    </row>
    <row r="67">
      <c r="A67" s="9" t="inlineStr">
        <is>
          <t>V</t>
        </is>
      </c>
      <c r="B67" s="37" t="inlineStr">
        <is>
          <t>Vouched to source document</t>
        </is>
      </c>
      <c r="C67" s="50" t="n"/>
      <c r="D67" s="51" t="n"/>
    </row>
    <row r="68">
      <c r="A68" s="9" t="inlineStr">
        <is>
          <t>SR</t>
        </is>
      </c>
      <c r="B68" s="37" t="inlineStr">
        <is>
          <t>Agreed to subsequent bank-cleared receipt</t>
        </is>
      </c>
      <c r="C68" s="50" t="n"/>
      <c r="D68" s="51" t="n"/>
    </row>
    <row r="69">
      <c r="A69" s="9" t="inlineStr">
        <is>
          <t>R</t>
        </is>
      </c>
      <c r="B69" s="37" t="inlineStr">
        <is>
          <t>Recalculated independently</t>
        </is>
      </c>
      <c r="C69" s="50" t="n"/>
      <c r="D69" s="51" t="n"/>
    </row>
    <row r="70">
      <c r="A70" s="9" t="inlineStr">
        <is>
          <t>F</t>
        </is>
      </c>
      <c r="B70" s="37" t="inlineStr">
        <is>
          <t>Footed / cross-cast</t>
        </is>
      </c>
      <c r="C70" s="50" t="n"/>
      <c r="D70" s="51" t="n"/>
    </row>
    <row r="71">
      <c r="A71" s="9" t="inlineStr">
        <is>
          <t>T</t>
        </is>
      </c>
      <c r="B71" s="37" t="inlineStr">
        <is>
          <t>Traced to downstream record</t>
        </is>
      </c>
      <c r="C71" s="50" t="n"/>
      <c r="D71" s="51" t="n"/>
    </row>
    <row r="72">
      <c r="A72" s="9" t="inlineStr">
        <is>
          <t>PBC</t>
        </is>
      </c>
      <c r="B72" s="37" t="inlineStr">
        <is>
          <t>Prepared by client</t>
        </is>
      </c>
      <c r="C72" s="50" t="n"/>
      <c r="D72" s="51" t="n"/>
    </row>
    <row r="73"/>
    <row r="74" ht="27.75" customHeight="1" s="41">
      <c r="A74" s="44" t="inlineStr">
        <is>
          <t>Before sign-off complete Library Procedures 15-19 (fee completeness; allocation; presentation; effective-interest &amp; straight-line recompute; rollforward &amp; bridge to &lt;.1&gt;).</t>
        </is>
      </c>
    </row>
  </sheetData>
  <mergeCells count="15">
    <mergeCell ref="B72:D72"/>
    <mergeCell ref="A74:K74"/>
    <mergeCell ref="B66:D66"/>
    <mergeCell ref="B67:D67"/>
    <mergeCell ref="A26:K26"/>
    <mergeCell ref="B4:K4"/>
    <mergeCell ref="B71:D71"/>
    <mergeCell ref="B70:D70"/>
    <mergeCell ref="B6:K6"/>
    <mergeCell ref="B65:D65"/>
    <mergeCell ref="B68:D68"/>
    <mergeCell ref="B5:K5"/>
    <mergeCell ref="B69:D69"/>
    <mergeCell ref="D30:K31"/>
    <mergeCell ref="B64:D64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showGridLines="0" zoomScale="85" zoomScaleNormal="100" workbookViewId="0">
      <selection activeCell="G23" sqref="G23"/>
    </sheetView>
  </sheetViews>
  <sheetFormatPr baseColWidth="8" defaultColWidth="8.6328125" defaultRowHeight="14.5"/>
  <cols>
    <col width="24" customWidth="1" style="41" min="1" max="1"/>
    <col width="15" customWidth="1" style="41" min="2" max="2"/>
    <col width="16" customWidth="1" style="41" min="3" max="4"/>
    <col width="15" customWidth="1" style="41" min="5" max="7"/>
    <col width="13" customWidth="1" style="41" min="8" max="8"/>
    <col width="10.90625" customWidth="1" style="41" min="9" max="9"/>
  </cols>
  <sheetData>
    <row r="1" ht="17.5" customHeight="1" s="41">
      <c r="A1" s="4" t="inlineStr">
        <is>
          <t>Debt Modification &amp; Extinguishment (ASC 470-50)</t>
        </is>
      </c>
    </row>
    <row r="2">
      <c r="A2" s="5" t="inlineStr">
        <is>
          <t>Client / Entity</t>
        </is>
      </c>
      <c r="B2" s="6" t="inlineStr">
        <is>
          <t>[Client / Entity]</t>
        </is>
      </c>
      <c r="D2" s="5" t="inlineStr">
        <is>
          <t>Year-End</t>
        </is>
      </c>
      <c r="E2" s="6" t="inlineStr">
        <is>
          <t>[YYYY-MM-DD]</t>
        </is>
      </c>
      <c r="G2" s="5" t="inlineStr">
        <is>
          <t>Currency</t>
        </is>
      </c>
      <c r="H2" s="6" t="inlineStr">
        <is>
          <t>[CCY]</t>
        </is>
      </c>
    </row>
    <row r="3">
      <c r="A3" s="5" t="inlineStr">
        <is>
          <t>Performance Materiality</t>
        </is>
      </c>
      <c r="B3" s="6" t="inlineStr">
        <is>
          <t>[PM]</t>
        </is>
      </c>
      <c r="D3" s="5" t="inlineStr">
        <is>
          <t>Testing Threshold (SUM)</t>
        </is>
      </c>
      <c r="E3" s="6" t="inlineStr">
        <is>
          <t>[Threshold]</t>
        </is>
      </c>
    </row>
    <row r="4" ht="27.75" customHeight="1" s="41">
      <c r="A4" s="7" t="inlineStr">
        <is>
          <t>Purpose:</t>
        </is>
      </c>
      <c r="B4" s="39" t="inlineStr">
        <is>
          <t>Identify amendments / refinancings, perform the 10% cash-flow test per facility, conclude modification vs extinguishment, and apply the correct fee and gain/loss accounting.</t>
        </is>
      </c>
    </row>
    <row r="5" ht="27.75" customHeight="1" s="41">
      <c r="A5" s="7" t="inlineStr">
        <is>
          <t>Scope:</t>
        </is>
      </c>
      <c r="B5" s="39" t="inlineStr">
        <is>
          <t>Every amendment, refinancing, payoff or exchange during the period (identified from minutes, confirmations and agreements).</t>
        </is>
      </c>
    </row>
    <row r="6" ht="15" customHeight="1" s="41">
      <c r="A6" s="7" t="inlineStr">
        <is>
          <t>Assertions:</t>
        </is>
      </c>
      <c r="B6" s="39" t="inlineStr">
        <is>
          <t>Accuracy; Valuation; Presentation &amp; Disclosure</t>
        </is>
      </c>
    </row>
    <row r="7">
      <c r="A7" s="14" t="inlineStr">
        <is>
          <t>A. Identification</t>
        </is>
      </c>
    </row>
    <row r="8">
      <c r="A8" s="37" t="inlineStr">
        <is>
          <t>Any amendments / refinancings / payoffs in the period? (Y/N)</t>
        </is>
      </c>
      <c r="B8" s="50" t="n"/>
      <c r="C8" s="50" t="n"/>
      <c r="D8" s="51" t="n"/>
    </row>
    <row r="9">
      <c r="A9" s="37" t="inlineStr">
        <is>
          <t>Identified from (minutes / confirmations / agreements / inquiry)</t>
        </is>
      </c>
      <c r="B9" s="50" t="n"/>
      <c r="C9" s="50" t="n"/>
      <c r="D9" s="51" t="n"/>
    </row>
    <row r="10">
      <c r="A10" s="37" t="inlineStr">
        <is>
          <t>Facilities affected</t>
        </is>
      </c>
      <c r="B10" s="50" t="n"/>
      <c r="C10" s="50" t="n"/>
      <c r="D10" s="51" t="n"/>
    </row>
    <row r="11"/>
    <row r="12">
      <c r="A12" s="14" t="inlineStr">
        <is>
          <t>B. 10% cash-flow test (per facility / amendment)</t>
        </is>
      </c>
    </row>
    <row r="13" ht="33.75" customHeight="1" s="41">
      <c r="A13" s="42" t="inlineStr">
        <is>
          <t>Facility / amendment</t>
        </is>
      </c>
      <c r="B13" s="42" t="inlineStr">
        <is>
          <t>Principal at amendment</t>
        </is>
      </c>
      <c r="C13" s="42" t="inlineStr">
        <is>
          <t>PV / cash flows — original debt</t>
        </is>
      </c>
      <c r="D13" s="42" t="inlineStr">
        <is>
          <t>PV / cash flows — new debt (incl. lender fees)</t>
        </is>
      </c>
      <c r="E13" s="42" t="inlineStr">
        <is>
          <t>Change</t>
        </is>
      </c>
      <c r="F13" s="42" t="inlineStr">
        <is>
          <t>% change</t>
        </is>
      </c>
      <c r="G13" s="42" t="inlineStr">
        <is>
          <t xml:space="preserve">&gt; 10%? </t>
        </is>
      </c>
      <c r="H13" s="42" t="inlineStr">
        <is>
          <t>Treatment</t>
        </is>
      </c>
    </row>
    <row r="14">
      <c r="A14" s="37" t="n"/>
      <c r="B14" s="11" t="n"/>
      <c r="C14" s="11" t="n"/>
      <c r="D14" s="11" t="n"/>
      <c r="E14" s="11">
        <f>IF(AND(C14="",D14=""),"",D14-C14)</f>
        <v/>
      </c>
      <c r="F14" s="20">
        <f>IF(OR(C14="",C14=0,E14=""),"",ABS(E14)/C14)</f>
        <v/>
      </c>
      <c r="G14" s="37">
        <f>IF(F14="","",IF(F14&gt;0.1,"Yes","No"))</f>
        <v/>
      </c>
      <c r="H14" s="37">
        <f>IF(G14="","",IF(G14="Yes","Extinguishment","Modification"))</f>
        <v/>
      </c>
    </row>
    <row r="15">
      <c r="A15" s="37" t="n"/>
      <c r="B15" s="11" t="n"/>
      <c r="C15" s="11" t="n"/>
      <c r="D15" s="11" t="n"/>
      <c r="E15" s="11">
        <f>IF(AND(C15="",D15=""),"",D15-C15)</f>
        <v/>
      </c>
      <c r="F15" s="20">
        <f>IF(OR(C15="",C15=0,E15=""),"",ABS(E15)/C15)</f>
        <v/>
      </c>
      <c r="G15" s="37">
        <f>IF(F15="","",IF(F15&gt;0.1,"Yes","No"))</f>
        <v/>
      </c>
      <c r="H15" s="37">
        <f>IF(G15="","",IF(G15="Yes","Extinguishment","Modification"))</f>
        <v/>
      </c>
    </row>
    <row r="16">
      <c r="A16" s="37" t="n"/>
      <c r="B16" s="11" t="n"/>
      <c r="C16" s="11" t="n"/>
      <c r="D16" s="11" t="n"/>
      <c r="E16" s="11">
        <f>IF(AND(C16="",D16=""),"",D16-C16)</f>
        <v/>
      </c>
      <c r="F16" s="20">
        <f>IF(OR(C16="",C16=0,E16=""),"",ABS(E16)/C16)</f>
        <v/>
      </c>
      <c r="G16" s="37">
        <f>IF(F16="","",IF(F16&gt;0.1,"Yes","No"))</f>
        <v/>
      </c>
      <c r="H16" s="37">
        <f>IF(G16="","",IF(G16="Yes","Extinguishment","Modification"))</f>
        <v/>
      </c>
    </row>
    <row r="17">
      <c r="A17" s="37" t="n"/>
      <c r="B17" s="11" t="n"/>
      <c r="C17" s="11" t="n"/>
      <c r="D17" s="11" t="n"/>
      <c r="E17" s="11">
        <f>IF(AND(C17="",D17=""),"",D17-C17)</f>
        <v/>
      </c>
      <c r="F17" s="20">
        <f>IF(OR(C17="",C17=0,E17=""),"",ABS(E17)/C17)</f>
        <v/>
      </c>
      <c r="G17" s="37">
        <f>IF(F17="","",IF(F17&gt;0.1,"Yes","No"))</f>
        <v/>
      </c>
      <c r="H17" s="37">
        <f>IF(G17="","",IF(G17="Yes","Extinguishment","Modification"))</f>
        <v/>
      </c>
    </row>
    <row r="18">
      <c r="A18" s="37" t="n"/>
      <c r="B18" s="11" t="n"/>
      <c r="C18" s="11" t="n"/>
      <c r="D18" s="11" t="n"/>
      <c r="E18" s="11">
        <f>IF(AND(C18="",D18=""),"",D18-C18)</f>
        <v/>
      </c>
      <c r="F18" s="20">
        <f>IF(OR(C18="",C18=0,E18=""),"",ABS(E18)/C18)</f>
        <v/>
      </c>
      <c r="G18" s="37">
        <f>IF(F18="","",IF(F18&gt;0.1,"Yes","No"))</f>
        <v/>
      </c>
      <c r="H18" s="37">
        <f>IF(G18="","",IF(G18="Yes","Extinguishment","Modification"))</f>
        <v/>
      </c>
    </row>
    <row r="19" ht="25.5" customHeight="1" s="41">
      <c r="A19" s="44" t="inlineStr">
        <is>
          <t>Cash flows are compared on a present-value basis using the original effective rate; fees paid to the lender are included in the new-debt cash flows (ASC 470-50-40-10 / 40-12).</t>
        </is>
      </c>
    </row>
    <row r="20"/>
    <row r="21">
      <c r="A21" s="14" t="inlineStr">
        <is>
          <t>C. Accounting consequence</t>
        </is>
      </c>
    </row>
    <row r="22" ht="33" customHeight="1" s="41">
      <c r="A22" s="42" t="inlineStr">
        <is>
          <t>Item</t>
        </is>
      </c>
      <c r="B22" s="42" t="inlineStr">
        <is>
          <t>Required treatment — MODIFICATION (≤10%)</t>
        </is>
      </c>
      <c r="C22" s="51" t="n"/>
      <c r="D22" s="42" t="inlineStr">
        <is>
          <t>Required treatment — EXTINGUISHMENT (&gt;10%)</t>
        </is>
      </c>
      <c r="E22" s="51" t="n"/>
      <c r="F22" s="42" t="inlineStr">
        <is>
          <t>Treatment applied (Mod / Ext, per B)</t>
        </is>
      </c>
      <c r="G22" s="42" t="inlineStr">
        <is>
          <t>Amount (under treatment applied)</t>
        </is>
      </c>
      <c r="H22" s="48" t="inlineStr">
        <is>
          <t>Recorded correctly (Y/N)</t>
        </is>
      </c>
      <c r="I22" s="49" t="inlineStr">
        <is>
          <t>Comments</t>
        </is>
      </c>
    </row>
    <row r="23" ht="31.5" customHeight="1" s="41">
      <c r="A23" s="21" t="inlineStr">
        <is>
          <t>Lender / creditor fees</t>
        </is>
      </c>
      <c r="B23" s="40" t="inlineStr">
        <is>
          <t>Capitalize; amortize over remaining term of the modified debt (ASC 470-50-40-17(b))</t>
        </is>
      </c>
      <c r="C23" s="51" t="n"/>
      <c r="D23" s="40" t="inlineStr">
        <is>
          <t>Include in the gain/loss on extinguishment (ASC 470-50-40-17(a))</t>
        </is>
      </c>
      <c r="E23" s="51" t="n"/>
      <c r="F23" s="25" t="n"/>
      <c r="G23" s="43" t="n"/>
      <c r="H23" s="47" t="n"/>
      <c r="I23" s="43" t="n"/>
    </row>
    <row r="24" ht="31.5" customHeight="1" s="41">
      <c r="A24" s="21" t="inlineStr">
        <is>
          <t>Third-party costs</t>
        </is>
      </c>
      <c r="B24" s="40" t="inlineStr">
        <is>
          <t>Expense as incurred (ASC 470-50-40-18(b))</t>
        </is>
      </c>
      <c r="C24" s="51" t="n"/>
      <c r="D24" s="40" t="inlineStr">
        <is>
          <t>Capitalize as issuance costs of the NEW debt; amortize (ASC 470-50-40-18(a))</t>
        </is>
      </c>
      <c r="E24" s="51" t="n"/>
      <c r="F24" s="25" t="n"/>
      <c r="G24" s="43" t="n"/>
      <c r="H24" s="47" t="n"/>
      <c r="I24" s="43" t="n"/>
    </row>
    <row r="25" ht="31.5" customHeight="1" s="41">
      <c r="A25" s="21" t="inlineStr">
        <is>
          <t>Existing unamortized issuance costs / discount</t>
        </is>
      </c>
      <c r="B25" s="40" t="inlineStr">
        <is>
          <t>Continue to amortize over the remaining term of the modified debt</t>
        </is>
      </c>
      <c r="C25" s="51" t="n"/>
      <c r="D25" s="40" t="inlineStr">
        <is>
          <t>Write off within the gain/loss on extinguishment</t>
        </is>
      </c>
      <c r="E25" s="51" t="n"/>
      <c r="F25" s="25" t="n"/>
      <c r="G25" s="43" t="n"/>
      <c r="H25" s="47" t="n"/>
      <c r="I25" s="43" t="n"/>
    </row>
    <row r="26" ht="31.5" customHeight="1" s="41">
      <c r="A26" s="21" t="inlineStr">
        <is>
          <t>Gain / (loss) on extinguishment</t>
        </is>
      </c>
      <c r="B26" s="40" t="inlineStr">
        <is>
          <t>Not applicable</t>
        </is>
      </c>
      <c r="C26" s="51" t="n"/>
      <c r="D26" s="40" t="inlineStr">
        <is>
          <t>Reacquisition price − net carrying amount (incl. unamortized costs)</t>
        </is>
      </c>
      <c r="E26" s="51" t="n"/>
      <c r="F26" s="25" t="n"/>
      <c r="G26" s="43" t="n"/>
      <c r="H26" s="47" t="n"/>
      <c r="I26" s="43" t="n"/>
    </row>
    <row r="27"/>
    <row r="28">
      <c r="A28" s="46" t="inlineStr">
        <is>
          <t>For each row: read the required treatment under BOTH columns, enter which treatment applies (Mod / Ext, per the Part B conclusion for that facility), the amount recorded under that treatment, and whether it was recorded correctly. Write-offs flow to the &lt;.6&gt; issuance-cost rollforward.</t>
        </is>
      </c>
      <c r="I28" s="44" t="n"/>
    </row>
    <row r="29">
      <c r="I29" s="44" t="n"/>
    </row>
    <row r="30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4" t="n"/>
    </row>
    <row r="3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4" t="n"/>
    </row>
    <row r="32">
      <c r="A32" s="7" t="inlineStr">
        <is>
          <t>TM Legends</t>
        </is>
      </c>
    </row>
    <row r="33">
      <c r="A33" s="9" t="inlineStr">
        <is>
          <t>TB</t>
        </is>
      </c>
      <c r="B33" s="37" t="inlineStr">
        <is>
          <t>Agreed to trial balance</t>
        </is>
      </c>
      <c r="C33" s="50" t="n"/>
      <c r="D33" s="51" t="n"/>
    </row>
    <row r="34">
      <c r="A34" s="9" t="inlineStr">
        <is>
          <t>GL</t>
        </is>
      </c>
      <c r="B34" s="37" t="inlineStr">
        <is>
          <t>Agreed to general ledger</t>
        </is>
      </c>
      <c r="C34" s="50" t="n"/>
      <c r="D34" s="51" t="n"/>
    </row>
    <row r="35">
      <c r="A35" s="9" t="inlineStr">
        <is>
          <t>CF</t>
        </is>
      </c>
      <c r="B35" s="37" t="inlineStr">
        <is>
          <t>Confirmed with third party</t>
        </is>
      </c>
      <c r="C35" s="50" t="n"/>
      <c r="D35" s="51" t="n"/>
    </row>
    <row r="36">
      <c r="A36" s="9" t="inlineStr">
        <is>
          <t>V</t>
        </is>
      </c>
      <c r="B36" s="37" t="inlineStr">
        <is>
          <t>Vouched to source document</t>
        </is>
      </c>
      <c r="C36" s="50" t="n"/>
      <c r="D36" s="51" t="n"/>
    </row>
    <row r="37">
      <c r="A37" s="9" t="inlineStr">
        <is>
          <t>SR</t>
        </is>
      </c>
      <c r="B37" s="37" t="inlineStr">
        <is>
          <t>Agreed to subsequent bank-cleared receipt</t>
        </is>
      </c>
      <c r="C37" s="50" t="n"/>
      <c r="D37" s="51" t="n"/>
    </row>
    <row r="38">
      <c r="A38" s="9" t="inlineStr">
        <is>
          <t>R</t>
        </is>
      </c>
      <c r="B38" s="37" t="inlineStr">
        <is>
          <t>Recalculated independently</t>
        </is>
      </c>
      <c r="C38" s="50" t="n"/>
      <c r="D38" s="51" t="n"/>
    </row>
    <row r="39">
      <c r="A39" s="9" t="inlineStr">
        <is>
          <t>F</t>
        </is>
      </c>
      <c r="B39" s="37" t="inlineStr">
        <is>
          <t>Footed / cross-cast</t>
        </is>
      </c>
      <c r="C39" s="50" t="n"/>
      <c r="D39" s="51" t="n"/>
    </row>
    <row r="40">
      <c r="A40" s="9" t="inlineStr">
        <is>
          <t>T</t>
        </is>
      </c>
      <c r="B40" s="37" t="inlineStr">
        <is>
          <t>Traced to downstream record</t>
        </is>
      </c>
      <c r="C40" s="50" t="n"/>
      <c r="D40" s="51" t="n"/>
    </row>
    <row r="41">
      <c r="A41" s="9" t="inlineStr">
        <is>
          <t>PBC</t>
        </is>
      </c>
      <c r="B41" s="37" t="inlineStr">
        <is>
          <t>Prepared by client</t>
        </is>
      </c>
      <c r="C41" s="50" t="n"/>
      <c r="D41" s="51" t="n"/>
    </row>
    <row r="42"/>
    <row r="43" ht="27.75" customHeight="1" s="41">
      <c r="A43" s="44" t="inlineStr">
        <is>
          <t>Before sign-off complete Library Procedures 20-22 (identify amendments; 10% test; fee &amp; gain/loss accounting). Write-offs flow to the &lt;.6&gt; rollforward.</t>
        </is>
      </c>
    </row>
  </sheetData>
  <mergeCells count="28">
    <mergeCell ref="A8:D8"/>
    <mergeCell ref="B25:C25"/>
    <mergeCell ref="B22:C22"/>
    <mergeCell ref="D22:E22"/>
    <mergeCell ref="A10:D10"/>
    <mergeCell ref="B38:D38"/>
    <mergeCell ref="B34:D34"/>
    <mergeCell ref="A9:D9"/>
    <mergeCell ref="B37:D37"/>
    <mergeCell ref="B23:C23"/>
    <mergeCell ref="B40:D40"/>
    <mergeCell ref="B33:D33"/>
    <mergeCell ref="A43:I43"/>
    <mergeCell ref="A28:H29"/>
    <mergeCell ref="A19:I19"/>
    <mergeCell ref="B36:D36"/>
    <mergeCell ref="B41:D41"/>
    <mergeCell ref="B35:D35"/>
    <mergeCell ref="D25:E25"/>
    <mergeCell ref="B24:C24"/>
    <mergeCell ref="D24:E24"/>
    <mergeCell ref="B6:I6"/>
    <mergeCell ref="D23:E23"/>
    <mergeCell ref="B5:I5"/>
    <mergeCell ref="B26:C26"/>
    <mergeCell ref="B39:D39"/>
    <mergeCell ref="D26:E26"/>
    <mergeCell ref="B4:I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showGridLines="0" zoomScale="85" zoomScaleNormal="100" workbookViewId="0">
      <selection activeCell="A1" sqref="A1"/>
    </sheetView>
  </sheetViews>
  <sheetFormatPr baseColWidth="8" defaultColWidth="8.6328125" defaultRowHeight="14.5"/>
  <cols>
    <col width="20" customWidth="1" style="41" min="1" max="1"/>
    <col width="22" customWidth="1" style="41" min="2" max="3"/>
    <col width="14" customWidth="1" style="41" min="4" max="5"/>
    <col width="13" customWidth="1" style="41" min="6" max="7"/>
    <col width="12" customWidth="1" style="41" min="8" max="8"/>
    <col width="13" customWidth="1" style="41" min="9" max="10"/>
    <col width="26" customWidth="1" style="41" min="11" max="11"/>
    <col width="9.90625" customWidth="1" style="41" min="12" max="12"/>
  </cols>
  <sheetData>
    <row r="1" ht="17.5" customHeight="1" s="41">
      <c r="A1" s="4" t="inlineStr">
        <is>
          <t>Debt Covenants</t>
        </is>
      </c>
    </row>
    <row r="2">
      <c r="A2" s="5" t="inlineStr">
        <is>
          <t>Client / Entity</t>
        </is>
      </c>
      <c r="B2" s="6" t="inlineStr">
        <is>
          <t>[Client / Entity]</t>
        </is>
      </c>
      <c r="D2" s="5" t="inlineStr">
        <is>
          <t>Year-End</t>
        </is>
      </c>
      <c r="E2" s="6" t="inlineStr">
        <is>
          <t>[YYYY-MM-DD]</t>
        </is>
      </c>
      <c r="G2" s="5" t="inlineStr">
        <is>
          <t>Currency</t>
        </is>
      </c>
      <c r="H2" s="6" t="inlineStr">
        <is>
          <t>[CCY]</t>
        </is>
      </c>
    </row>
    <row r="3">
      <c r="A3" s="5" t="inlineStr">
        <is>
          <t>Performance Materiality</t>
        </is>
      </c>
      <c r="B3" s="6" t="inlineStr">
        <is>
          <t>[PM]</t>
        </is>
      </c>
      <c r="D3" s="5" t="inlineStr">
        <is>
          <t>Testing Threshold (SUM)</t>
        </is>
      </c>
      <c r="E3" s="6" t="inlineStr">
        <is>
          <t>[Threshold]</t>
        </is>
      </c>
    </row>
    <row r="4" ht="42" customHeight="1" s="41">
      <c r="A4" s="7" t="inlineStr">
        <is>
          <t>Purpose:</t>
        </is>
      </c>
      <c r="B4" s="39" t="inlineStr">
        <is>
          <t>Independently recompute each financial covenant from the agreement's defined terms, evaluate compliance and headroom, obtain the compliance certificate, and assess the classification impact of any violation.</t>
        </is>
      </c>
    </row>
    <row r="5" ht="27.75" customHeight="1" s="41">
      <c r="A5" s="7" t="inlineStr">
        <is>
          <t>Scope:</t>
        </is>
      </c>
      <c r="B5" s="39" t="inlineStr">
        <is>
          <t>Every financial covenant in every agreement (DSCR, leverage, fixed-charge coverage, minimum liquidity, etc.) plus non-financial covenant compliance from &lt;.5&gt;.</t>
        </is>
      </c>
    </row>
    <row r="6" ht="15" customHeight="1" s="41">
      <c r="A6" s="7" t="inlineStr">
        <is>
          <t>Assertions:</t>
        </is>
      </c>
      <c r="B6" s="39" t="inlineStr">
        <is>
          <t>Presentation &amp; Disclosure; Classification; Accuracy</t>
        </is>
      </c>
    </row>
    <row r="7" ht="43.5" customHeight="1" s="41">
      <c r="A7" s="42" t="inlineStr">
        <is>
          <t>Facility</t>
        </is>
      </c>
      <c r="B7" s="42" t="inlineStr">
        <is>
          <t>Covenant (as defined)</t>
        </is>
      </c>
      <c r="C7" s="42" t="inlineStr">
        <is>
          <t>Defined-term mapping (numerator / denominator components)</t>
        </is>
      </c>
      <c r="D7" s="42" t="inlineStr">
        <is>
          <t>Numerator</t>
        </is>
      </c>
      <c r="E7" s="42" t="inlineStr">
        <is>
          <t>Denominator</t>
        </is>
      </c>
      <c r="F7" s="42" t="inlineStr">
        <is>
          <t>Computed ratio</t>
        </is>
      </c>
      <c r="G7" s="42" t="inlineStr">
        <is>
          <t>Required threshold</t>
        </is>
      </c>
      <c r="H7" s="42" t="inlineStr">
        <is>
          <t>Headroom</t>
        </is>
      </c>
      <c r="I7" s="42" t="inlineStr">
        <is>
          <t>Compliant? (Y/N)</t>
        </is>
      </c>
      <c r="J7" s="42" t="inlineStr">
        <is>
          <t>Certificate obtained (Y/N)</t>
        </is>
      </c>
      <c r="K7" s="42" t="inlineStr">
        <is>
          <t>Waiver (if violated)</t>
        </is>
      </c>
      <c r="L7" s="42" t="inlineStr">
        <is>
          <t>Comments</t>
        </is>
      </c>
    </row>
    <row r="8">
      <c r="D8" s="10" t="inlineStr">
        <is>
          <t>R</t>
        </is>
      </c>
      <c r="E8" s="10" t="inlineStr">
        <is>
          <t>R</t>
        </is>
      </c>
      <c r="F8" s="10" t="inlineStr">
        <is>
          <t>R</t>
        </is>
      </c>
    </row>
    <row r="9">
      <c r="A9" s="37" t="n"/>
      <c r="B9" s="37" t="n"/>
      <c r="C9" s="37" t="n"/>
      <c r="D9" s="11" t="n"/>
      <c r="E9" s="11" t="n"/>
      <c r="F9" s="22">
        <f>IF(OR(D9="",E9="",E9=0),"",D9/E9)</f>
        <v/>
      </c>
      <c r="G9" s="22" t="n"/>
      <c r="H9" s="22">
        <f>IF(OR(F9="",G9=""),"",F9-G9)</f>
        <v/>
      </c>
      <c r="I9" s="37" t="n"/>
      <c r="J9" s="37" t="n"/>
      <c r="K9" s="37" t="n"/>
      <c r="L9" s="37" t="n"/>
    </row>
    <row r="10">
      <c r="A10" s="37" t="n"/>
      <c r="B10" s="37" t="n"/>
      <c r="C10" s="37" t="n"/>
      <c r="D10" s="11" t="n"/>
      <c r="E10" s="11" t="n"/>
      <c r="F10" s="22">
        <f>IF(OR(D10="",E10="",E10=0),"",D10/E10)</f>
        <v/>
      </c>
      <c r="G10" s="22" t="n"/>
      <c r="H10" s="22">
        <f>IF(OR(F10="",G10=""),"",F10-G10)</f>
        <v/>
      </c>
      <c r="I10" s="37" t="n"/>
      <c r="J10" s="37" t="n"/>
      <c r="K10" s="37" t="n"/>
      <c r="L10" s="37" t="n"/>
    </row>
    <row r="11">
      <c r="A11" s="37" t="n"/>
      <c r="B11" s="37" t="n"/>
      <c r="C11" s="37" t="n"/>
      <c r="D11" s="11" t="n"/>
      <c r="E11" s="11" t="n"/>
      <c r="F11" s="22">
        <f>IF(OR(D11="",E11="",E11=0),"",D11/E11)</f>
        <v/>
      </c>
      <c r="G11" s="22" t="n"/>
      <c r="H11" s="22">
        <f>IF(OR(F11="",G11=""),"",F11-G11)</f>
        <v/>
      </c>
      <c r="I11" s="37" t="n"/>
      <c r="J11" s="37" t="n"/>
      <c r="K11" s="37" t="n"/>
      <c r="L11" s="37" t="n"/>
    </row>
    <row r="12">
      <c r="A12" s="37" t="n"/>
      <c r="B12" s="37" t="n"/>
      <c r="C12" s="37" t="n"/>
      <c r="D12" s="11" t="n"/>
      <c r="E12" s="11" t="n"/>
      <c r="F12" s="22">
        <f>IF(OR(D12="",E12="",E12=0),"",D12/E12)</f>
        <v/>
      </c>
      <c r="G12" s="22" t="n"/>
      <c r="H12" s="22">
        <f>IF(OR(F12="",G12=""),"",F12-G12)</f>
        <v/>
      </c>
      <c r="I12" s="37" t="n"/>
      <c r="J12" s="37" t="n"/>
      <c r="K12" s="37" t="n"/>
      <c r="L12" s="37" t="n"/>
    </row>
    <row r="13">
      <c r="A13" s="37" t="n"/>
      <c r="B13" s="37" t="n"/>
      <c r="C13" s="37" t="n"/>
      <c r="D13" s="11" t="n"/>
      <c r="E13" s="11" t="n"/>
      <c r="F13" s="22">
        <f>IF(OR(D13="",E13="",E13=0),"",D13/E13)</f>
        <v/>
      </c>
      <c r="G13" s="22" t="n"/>
      <c r="H13" s="22">
        <f>IF(OR(F13="",G13=""),"",F13-G13)</f>
        <v/>
      </c>
      <c r="I13" s="37" t="n"/>
      <c r="J13" s="37" t="n"/>
      <c r="K13" s="37" t="n"/>
      <c r="L13" s="37" t="n"/>
    </row>
    <row r="14">
      <c r="A14" s="37" t="n"/>
      <c r="B14" s="37" t="n"/>
      <c r="C14" s="37" t="n"/>
      <c r="D14" s="11" t="n"/>
      <c r="E14" s="11" t="n"/>
      <c r="F14" s="22">
        <f>IF(OR(D14="",E14="",E14=0),"",D14/E14)</f>
        <v/>
      </c>
      <c r="G14" s="22" t="n"/>
      <c r="H14" s="22">
        <f>IF(OR(F14="",G14=""),"",F14-G14)</f>
        <v/>
      </c>
      <c r="I14" s="37" t="n"/>
      <c r="J14" s="37" t="n"/>
      <c r="K14" s="37" t="n"/>
      <c r="L14" s="37" t="n"/>
    </row>
    <row r="15"/>
    <row r="16" ht="27.75" customHeight="1" s="41">
      <c r="A16" s="44" t="inlineStr">
        <is>
          <t>Numerator and denominator are built from the agreement's DEFINED terms (e.g., EBITDA as defined, fixed charges as defined) — not generic figures. A violation without a waiver extending at least 12 months generally requires current classification (ASC 470-10-45); update &lt;.4&gt;.</t>
        </is>
      </c>
    </row>
    <row r="17"/>
    <row r="18">
      <c r="A18" s="7" t="inlineStr">
        <is>
          <t>TM Legends</t>
        </is>
      </c>
    </row>
    <row r="19">
      <c r="A19" s="9" t="inlineStr">
        <is>
          <t>TB</t>
        </is>
      </c>
      <c r="B19" s="37" t="inlineStr">
        <is>
          <t>Agreed to trial balance</t>
        </is>
      </c>
      <c r="C19" s="50" t="n"/>
      <c r="D19" s="51" t="n"/>
    </row>
    <row r="20">
      <c r="A20" s="9" t="inlineStr">
        <is>
          <t>GL</t>
        </is>
      </c>
      <c r="B20" s="37" t="inlineStr">
        <is>
          <t>Agreed to general ledger</t>
        </is>
      </c>
      <c r="C20" s="50" t="n"/>
      <c r="D20" s="51" t="n"/>
    </row>
    <row r="21">
      <c r="A21" s="9" t="inlineStr">
        <is>
          <t>CF</t>
        </is>
      </c>
      <c r="B21" s="37" t="inlineStr">
        <is>
          <t>Confirmed with third party</t>
        </is>
      </c>
      <c r="C21" s="50" t="n"/>
      <c r="D21" s="51" t="n"/>
    </row>
    <row r="22">
      <c r="A22" s="9" t="inlineStr">
        <is>
          <t>V</t>
        </is>
      </c>
      <c r="B22" s="37" t="inlineStr">
        <is>
          <t>Vouched to source document</t>
        </is>
      </c>
      <c r="C22" s="50" t="n"/>
      <c r="D22" s="51" t="n"/>
    </row>
    <row r="23">
      <c r="A23" s="9" t="inlineStr">
        <is>
          <t>SR</t>
        </is>
      </c>
      <c r="B23" s="37" t="inlineStr">
        <is>
          <t>Agreed to subsequent bank-cleared receipt</t>
        </is>
      </c>
      <c r="C23" s="50" t="n"/>
      <c r="D23" s="51" t="n"/>
    </row>
    <row r="24">
      <c r="A24" s="9" t="inlineStr">
        <is>
          <t>R</t>
        </is>
      </c>
      <c r="B24" s="37" t="inlineStr">
        <is>
          <t>Recalculated independently</t>
        </is>
      </c>
      <c r="C24" s="50" t="n"/>
      <c r="D24" s="51" t="n"/>
    </row>
    <row r="25">
      <c r="A25" s="9" t="inlineStr">
        <is>
          <t>F</t>
        </is>
      </c>
      <c r="B25" s="37" t="inlineStr">
        <is>
          <t>Footed / cross-cast</t>
        </is>
      </c>
      <c r="C25" s="50" t="n"/>
      <c r="D25" s="51" t="n"/>
    </row>
    <row r="26">
      <c r="A26" s="9" t="inlineStr">
        <is>
          <t>T</t>
        </is>
      </c>
      <c r="B26" s="37" t="inlineStr">
        <is>
          <t>Traced to downstream record</t>
        </is>
      </c>
      <c r="C26" s="50" t="n"/>
      <c r="D26" s="51" t="n"/>
    </row>
    <row r="27">
      <c r="A27" s="9" t="inlineStr">
        <is>
          <t>PBC</t>
        </is>
      </c>
      <c r="B27" s="37" t="inlineStr">
        <is>
          <t>Prepared by client</t>
        </is>
      </c>
      <c r="C27" s="50" t="n"/>
      <c r="D27" s="51" t="n"/>
    </row>
    <row r="28"/>
    <row r="29" ht="27.75" customHeight="1" s="41">
      <c r="A29" s="44" t="inlineStr">
        <is>
          <t>Before sign-off complete Library Procedures 23-24 (recompute from defined terms; certificate, waiver &amp; classification impact).</t>
        </is>
      </c>
    </row>
  </sheetData>
  <mergeCells count="14">
    <mergeCell ref="B19:D19"/>
    <mergeCell ref="B4:K4"/>
    <mergeCell ref="B23:D23"/>
    <mergeCell ref="A29:K29"/>
    <mergeCell ref="B22:D22"/>
    <mergeCell ref="A16:K16"/>
    <mergeCell ref="B26:D26"/>
    <mergeCell ref="B27:D27"/>
    <mergeCell ref="B6:K6"/>
    <mergeCell ref="B21:D21"/>
    <mergeCell ref="B25:D25"/>
    <mergeCell ref="B5:K5"/>
    <mergeCell ref="B24:D24"/>
    <mergeCell ref="B20:D20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showGridLines="0" zoomScale="85" zoomScaleNormal="100" workbookViewId="0">
      <selection activeCell="A4" sqref="A4:E6"/>
    </sheetView>
  </sheetViews>
  <sheetFormatPr baseColWidth="8" defaultColWidth="8.6328125" defaultRowHeight="14.5"/>
  <cols>
    <col width="38" customWidth="1" style="41" min="1" max="1"/>
    <col width="16" customWidth="1" style="41" min="2" max="3"/>
    <col width="14" customWidth="1" style="41" min="4" max="4"/>
    <col width="34" customWidth="1" style="41" min="5" max="5"/>
  </cols>
  <sheetData>
    <row r="1" ht="17.5" customHeight="1" s="41">
      <c r="A1" s="4" t="inlineStr">
        <is>
          <t>Disclosures &amp; Analytics</t>
        </is>
      </c>
    </row>
    <row r="2">
      <c r="A2" s="5" t="inlineStr">
        <is>
          <t>Client / Entity</t>
        </is>
      </c>
      <c r="B2" s="6" t="inlineStr">
        <is>
          <t>[Client / Entity]</t>
        </is>
      </c>
      <c r="D2" s="5" t="inlineStr">
        <is>
          <t>Year-End</t>
        </is>
      </c>
      <c r="E2" s="6" t="inlineStr">
        <is>
          <t>[YYYY-MM-DD]</t>
        </is>
      </c>
      <c r="G2" s="5" t="inlineStr">
        <is>
          <t>Currency</t>
        </is>
      </c>
      <c r="H2" s="6" t="inlineStr">
        <is>
          <t>[CCY]</t>
        </is>
      </c>
    </row>
    <row r="3">
      <c r="A3" s="5" t="inlineStr">
        <is>
          <t>Performance Materiality</t>
        </is>
      </c>
      <c r="B3" s="6" t="inlineStr">
        <is>
          <t>[PM]</t>
        </is>
      </c>
      <c r="D3" s="5" t="inlineStr">
        <is>
          <t>Testing Threshold (SUM)</t>
        </is>
      </c>
      <c r="E3" s="6" t="inlineStr">
        <is>
          <t>[Threshold]</t>
        </is>
      </c>
    </row>
    <row r="4" ht="15" customHeight="1" s="41">
      <c r="A4" s="28" t="inlineStr">
        <is>
          <t>Purpose:</t>
        </is>
      </c>
      <c r="B4" s="38" t="inlineStr">
        <is>
          <t>Evaluate debt presentation and disclosure and perform debt analytics.</t>
        </is>
      </c>
      <c r="C4" s="52" t="n"/>
      <c r="D4" s="52" t="n"/>
      <c r="E4" s="53" t="n"/>
    </row>
    <row r="5" ht="27.75" customHeight="1" s="41">
      <c r="A5" s="28" t="inlineStr">
        <is>
          <t>Scope:</t>
        </is>
      </c>
      <c r="B5" s="38" t="inlineStr">
        <is>
          <t>Terms, rates, collateral, guarantees, five-year maturities, unused availability, issuance-cost presentation and fair value.</t>
        </is>
      </c>
      <c r="C5" s="52" t="n"/>
      <c r="D5" s="52" t="n"/>
      <c r="E5" s="53" t="n"/>
    </row>
    <row r="6" ht="15" customHeight="1" s="41">
      <c r="A6" s="28" t="inlineStr">
        <is>
          <t>Assertions:</t>
        </is>
      </c>
      <c r="B6" s="38" t="inlineStr">
        <is>
          <t>Presentation &amp; Disclosure; Classification</t>
        </is>
      </c>
      <c r="C6" s="52" t="n"/>
      <c r="D6" s="52" t="n"/>
      <c r="E6" s="53" t="n"/>
    </row>
    <row r="7">
      <c r="A7" s="14" t="inlineStr">
        <is>
          <t>A. Analytics</t>
        </is>
      </c>
    </row>
    <row r="8" ht="18" customHeight="1" s="41">
      <c r="A8" s="42" t="inlineStr">
        <is>
          <t>Metric</t>
        </is>
      </c>
      <c r="B8" s="42" t="inlineStr">
        <is>
          <t>CY</t>
        </is>
      </c>
      <c r="C8" s="42" t="inlineStr">
        <is>
          <t>PY</t>
        </is>
      </c>
      <c r="D8" s="42" t="inlineStr">
        <is>
          <t>Change</t>
        </is>
      </c>
      <c r="E8" s="42" t="inlineStr">
        <is>
          <t>Note</t>
        </is>
      </c>
    </row>
    <row r="9">
      <c r="A9" s="37" t="inlineStr">
        <is>
          <t>Total debt (gross principal)</t>
        </is>
      </c>
      <c r="B9" s="37" t="n"/>
      <c r="C9" s="37" t="n"/>
      <c r="D9" s="37">
        <f>IF(OR(B9="",C9=""),"",B9-C9)</f>
        <v/>
      </c>
      <c r="E9" s="37" t="n"/>
    </row>
    <row r="10">
      <c r="A10" s="37" t="inlineStr">
        <is>
          <t>Net carrying value</t>
        </is>
      </c>
      <c r="B10" s="37" t="n"/>
      <c r="C10" s="37" t="n"/>
      <c r="D10" s="37">
        <f>IF(OR(B10="",C10=""),"",B10-C10)</f>
        <v/>
      </c>
      <c r="E10" s="37" t="n"/>
    </row>
    <row r="11">
      <c r="A11" s="37" t="inlineStr">
        <is>
          <t>Weighted-average rate</t>
        </is>
      </c>
      <c r="B11" s="37" t="n"/>
      <c r="C11" s="37" t="n"/>
      <c r="D11" s="37">
        <f>IF(OR(B11="",C11=""),"",B11-C11)</f>
        <v/>
      </c>
      <c r="E11" s="37" t="n"/>
    </row>
    <row r="12">
      <c r="A12" s="37" t="inlineStr">
        <is>
          <t>Interest expense</t>
        </is>
      </c>
      <c r="B12" s="37" t="n"/>
      <c r="C12" s="37" t="n"/>
      <c r="D12" s="37">
        <f>IF(OR(B12="",C12=""),"",B12-C12)</f>
        <v/>
      </c>
      <c r="E12" s="37" t="n"/>
    </row>
    <row r="13">
      <c r="A13" s="37" t="inlineStr">
        <is>
          <t>Debt / EBITDA (as defined)</t>
        </is>
      </c>
      <c r="B13" s="37" t="n"/>
      <c r="C13" s="37" t="n"/>
      <c r="D13" s="37">
        <f>IF(OR(B13="",C13=""),"",B13-C13)</f>
        <v/>
      </c>
      <c r="E13" s="37" t="n"/>
    </row>
    <row r="14">
      <c r="A14" s="37" t="inlineStr">
        <is>
          <t>Unused availability</t>
        </is>
      </c>
      <c r="B14" s="37" t="n"/>
      <c r="C14" s="37" t="n"/>
      <c r="D14" s="37">
        <f>IF(OR(B14="",C14=""),"",B14-C14)</f>
        <v/>
      </c>
      <c r="E14" s="37" t="n"/>
    </row>
    <row r="15"/>
    <row r="16">
      <c r="A16" s="14" t="inlineStr">
        <is>
          <t>B. Disclosure matters</t>
        </is>
      </c>
    </row>
    <row r="17" ht="18" customHeight="1" s="41">
      <c r="A17" s="42" t="inlineStr">
        <is>
          <t>Area</t>
        </is>
      </c>
      <c r="B17" s="42" t="inlineStr">
        <is>
          <t>Relevant? (Y/N)</t>
        </is>
      </c>
      <c r="C17" s="42" t="inlineStr">
        <is>
          <t>Support / source</t>
        </is>
      </c>
      <c r="D17" s="42" t="inlineStr">
        <is>
          <t>Conclusion</t>
        </is>
      </c>
      <c r="E17" s="42" t="inlineStr">
        <is>
          <t>Comments</t>
        </is>
      </c>
    </row>
    <row r="18">
      <c r="A18" s="37" t="inlineStr">
        <is>
          <t>Terms, rates and maturity disclosure by facility</t>
        </is>
      </c>
      <c r="B18" s="37" t="n"/>
      <c r="C18" s="37" t="n"/>
      <c r="D18" s="37" t="n"/>
      <c r="E18" s="37" t="n"/>
    </row>
    <row r="19">
      <c r="A19" s="37" t="inlineStr">
        <is>
          <t>Five-year maturity table ties to &lt;.4&gt;</t>
        </is>
      </c>
      <c r="B19" s="37" t="n"/>
      <c r="C19" s="37" t="n"/>
      <c r="D19" s="37" t="n"/>
      <c r="E19" s="37" t="n"/>
    </row>
    <row r="20">
      <c r="A20" s="37" t="inlineStr">
        <is>
          <t>Collateral, liens and guarantees</t>
        </is>
      </c>
      <c r="B20" s="37" t="n"/>
      <c r="C20" s="37" t="n"/>
      <c r="D20" s="37" t="n"/>
      <c r="E20" s="37" t="n"/>
    </row>
    <row r="21">
      <c r="A21" s="37" t="inlineStr">
        <is>
          <t>Issuance-cost presentation (net vs asset) and policy</t>
        </is>
      </c>
      <c r="B21" s="37" t="n"/>
      <c r="C21" s="37" t="n"/>
      <c r="D21" s="37" t="n"/>
      <c r="E21" s="37" t="n"/>
    </row>
    <row r="22">
      <c r="A22" s="37" t="inlineStr">
        <is>
          <t>Unused lines of credit / availability</t>
        </is>
      </c>
      <c r="B22" s="37" t="n"/>
      <c r="C22" s="37" t="n"/>
      <c r="D22" s="37" t="n"/>
      <c r="E22" s="37" t="n"/>
    </row>
    <row r="23">
      <c r="A23" s="37" t="inlineStr">
        <is>
          <t>Covenant violation / waiver disclosure</t>
        </is>
      </c>
      <c r="B23" s="37" t="n"/>
      <c r="C23" s="37" t="n"/>
      <c r="D23" s="37" t="n"/>
      <c r="E23" s="37" t="n"/>
    </row>
    <row r="24">
      <c r="A24" s="37" t="inlineStr">
        <is>
          <t>Subsequent refinancing events (classification effect)</t>
        </is>
      </c>
      <c r="B24" s="37" t="n"/>
      <c r="C24" s="37" t="n"/>
      <c r="D24" s="37" t="n"/>
      <c r="E24" s="37" t="n"/>
    </row>
    <row r="25">
      <c r="A25" s="37" t="inlineStr">
        <is>
          <t>Fair value of debt (ASC 825)</t>
        </is>
      </c>
      <c r="B25" s="37" t="n"/>
      <c r="C25" s="37" t="n"/>
      <c r="D25" s="37" t="n"/>
      <c r="E25" s="37" t="n"/>
    </row>
    <row r="26">
      <c r="A26" s="37" t="inlineStr">
        <is>
          <t>Related-party / subordinated debt</t>
        </is>
      </c>
      <c r="B26" s="37" t="n"/>
      <c r="C26" s="37" t="n"/>
      <c r="D26" s="37" t="n"/>
      <c r="E26" s="37" t="n"/>
    </row>
    <row r="27"/>
    <row r="28">
      <c r="A28" s="7" t="inlineStr">
        <is>
          <t>TM Legends</t>
        </is>
      </c>
    </row>
    <row r="29">
      <c r="A29" s="9" t="inlineStr">
        <is>
          <t>TB</t>
        </is>
      </c>
      <c r="B29" s="37" t="inlineStr">
        <is>
          <t>Agreed to trial balance</t>
        </is>
      </c>
      <c r="C29" s="50" t="n"/>
      <c r="D29" s="51" t="n"/>
    </row>
    <row r="30">
      <c r="A30" s="9" t="inlineStr">
        <is>
          <t>GL</t>
        </is>
      </c>
      <c r="B30" s="37" t="inlineStr">
        <is>
          <t>Agreed to general ledger</t>
        </is>
      </c>
      <c r="C30" s="50" t="n"/>
      <c r="D30" s="51" t="n"/>
    </row>
    <row r="31">
      <c r="A31" s="9" t="inlineStr">
        <is>
          <t>CF</t>
        </is>
      </c>
      <c r="B31" s="37" t="inlineStr">
        <is>
          <t>Confirmed with third party</t>
        </is>
      </c>
      <c r="C31" s="50" t="n"/>
      <c r="D31" s="51" t="n"/>
    </row>
    <row r="32">
      <c r="A32" s="9" t="inlineStr">
        <is>
          <t>V</t>
        </is>
      </c>
      <c r="B32" s="37" t="inlineStr">
        <is>
          <t>Vouched to source document</t>
        </is>
      </c>
      <c r="C32" s="50" t="n"/>
      <c r="D32" s="51" t="n"/>
    </row>
    <row r="33">
      <c r="A33" s="9" t="inlineStr">
        <is>
          <t>SR</t>
        </is>
      </c>
      <c r="B33" s="37" t="inlineStr">
        <is>
          <t>Agreed to subsequent bank-cleared receipt</t>
        </is>
      </c>
      <c r="C33" s="50" t="n"/>
      <c r="D33" s="51" t="n"/>
    </row>
    <row r="34">
      <c r="A34" s="9" t="inlineStr">
        <is>
          <t>R</t>
        </is>
      </c>
      <c r="B34" s="37" t="inlineStr">
        <is>
          <t>Recalculated independently</t>
        </is>
      </c>
      <c r="C34" s="50" t="n"/>
      <c r="D34" s="51" t="n"/>
    </row>
    <row r="35">
      <c r="A35" s="9" t="inlineStr">
        <is>
          <t>F</t>
        </is>
      </c>
      <c r="B35" s="37" t="inlineStr">
        <is>
          <t>Footed / cross-cast</t>
        </is>
      </c>
      <c r="C35" s="50" t="n"/>
      <c r="D35" s="51" t="n"/>
    </row>
    <row r="36">
      <c r="A36" s="9" t="inlineStr">
        <is>
          <t>T</t>
        </is>
      </c>
      <c r="B36" s="37" t="inlineStr">
        <is>
          <t>Traced to downstream record</t>
        </is>
      </c>
      <c r="C36" s="50" t="n"/>
      <c r="D36" s="51" t="n"/>
    </row>
    <row r="37">
      <c r="A37" s="9" t="inlineStr">
        <is>
          <t>PBC</t>
        </is>
      </c>
      <c r="B37" s="37" t="inlineStr">
        <is>
          <t>Prepared by client</t>
        </is>
      </c>
      <c r="C37" s="50" t="n"/>
      <c r="D37" s="51" t="n"/>
    </row>
    <row r="38"/>
    <row r="39" ht="27.75" customHeight="1" s="41">
      <c r="A39" s="44" t="inlineStr">
        <is>
          <t>Before sign-off complete Library Procedures 25-26 (disclosures; analytics).</t>
        </is>
      </c>
    </row>
  </sheetData>
  <mergeCells count="13">
    <mergeCell ref="B33:D33"/>
    <mergeCell ref="A39:E39"/>
    <mergeCell ref="B36:D36"/>
    <mergeCell ref="B37:D37"/>
    <mergeCell ref="B4:E4"/>
    <mergeCell ref="B31:D31"/>
    <mergeCell ref="B6:E6"/>
    <mergeCell ref="B32:D32"/>
    <mergeCell ref="B35:D35"/>
    <mergeCell ref="B30:D30"/>
    <mergeCell ref="B5:E5"/>
    <mergeCell ref="B29:D29"/>
    <mergeCell ref="B34:D34"/>
  </mergeCells>
  <pageMargins left="0.3" right="0.3" top="0.4" bottom="0.4" header="0.2" footer="0.2"/>
  <pageSetup orientation="portrait" paperSize="1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2026-07-02T08:59:34Z</dcterms:created>
  <dcterms:modified xmlns:dcterms="http://purl.org/dc/terms/" xmlns:xsi="http://www.w3.org/2001/XMLSchema-instance" xsi:type="dcterms:W3CDTF">2026-07-02T09:13:57Z</dcterms:modified>
  <cp:revision>0</cp:revision>
</cp:coreProperties>
</file>