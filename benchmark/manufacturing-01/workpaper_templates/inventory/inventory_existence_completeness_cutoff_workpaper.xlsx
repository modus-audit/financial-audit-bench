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500" firstSheet="6" activeTab="8" autoFilterDateGrouping="1"/>
  </bookViews>
  <sheets>
    <sheet xmlns:r="http://schemas.openxmlformats.org/officeDocument/2006/relationships" name="Library Procedures" sheetId="1" state="visible" r:id="rId1"/>
    <sheet xmlns:r="http://schemas.openxmlformats.org/officeDocument/2006/relationships" name="&lt;.0&gt; Source Index" sheetId="2" state="visible" r:id="rId2"/>
    <sheet xmlns:r="http://schemas.openxmlformats.org/officeDocument/2006/relationships" name="&lt;.1&gt; Inventory Lead Sheet" sheetId="3" state="visible" r:id="rId3"/>
    <sheet xmlns:r="http://schemas.openxmlformats.org/officeDocument/2006/relationships" name="&lt;.2&gt; Inventory Reconciliation" sheetId="4" state="visible" r:id="rId4"/>
    <sheet xmlns:r="http://schemas.openxmlformats.org/officeDocument/2006/relationships" name="&lt;.3&gt; Physical Count" sheetId="5" state="visible" r:id="rId5"/>
    <sheet xmlns:r="http://schemas.openxmlformats.org/officeDocument/2006/relationships" name="&lt;.4&gt; Count Timing Bridge" sheetId="6" state="visible" r:id="rId6"/>
    <sheet xmlns:r="http://schemas.openxmlformats.org/officeDocument/2006/relationships" name="&lt;.5&gt; Third-Party Confirmation" sheetId="7" state="visible" r:id="rId7"/>
    <sheet xmlns:r="http://schemas.openxmlformats.org/officeDocument/2006/relationships" name="&lt;.6&gt; Purchases Completeness" sheetId="8" state="visible" r:id="rId8"/>
    <sheet xmlns:r="http://schemas.openxmlformats.org/officeDocument/2006/relationships" name="&lt;.7&gt; Cutoff Testing" sheetId="9" state="visible" r:id="rId9"/>
  </sheets>
  <definedNames>
    <definedName name="_xlnm.Print_Area" localSheetId="0">'Library Procedures'!$A$1:$F$34</definedName>
    <definedName name="_xlnm.Print_Area" localSheetId="1">'&lt;.0&gt; Source Index'!$A$1:$H$32</definedName>
    <definedName name="_xlnm.Print_Area" localSheetId="2">'&lt;.1&gt; Inventory Lead Sheet'!$A$1:$I$36</definedName>
    <definedName name="_xlnm.Print_Area" localSheetId="3">'&lt;.2&gt; Inventory Reconciliation'!$A$1:$H$42</definedName>
    <definedName name="_xlnm.Print_Area" localSheetId="4">'&lt;.3&gt; Physical Count'!$A$1:$I$90</definedName>
    <definedName name="_xlnm.Print_Area" localSheetId="5">'&lt;.4&gt; Count Timing Bridge'!$A$1:$I$41</definedName>
    <definedName name="_xlnm.Print_Area" localSheetId="6">'&lt;.5&gt; Third-Party Confirmation'!$A$1:$N$32</definedName>
    <definedName name="_xlnm.Print_Area" localSheetId="7">'&lt;.6&gt; Purchases Completeness'!$A$1:$I$47</definedName>
    <definedName name="_xlnm.Print_Area" localSheetId="8">'&lt;.7&gt; Cutoff Testing'!$A$1:$J$67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0"/>
  <fonts count="16">
    <font>
      <name val="Calibri"/>
      <charset val="1"/>
      <family val="2"/>
      <color theme="1"/>
      <sz val="11"/>
    </font>
    <font>
      <name val="Georgia"/>
      <charset val="1"/>
      <b val="1"/>
      <color rgb="FFA32020"/>
      <sz val="14"/>
    </font>
    <font>
      <name val="Georgia"/>
      <charset val="1"/>
      <b val="1"/>
      <color rgb="FF1A1A1A"/>
      <sz val="9"/>
    </font>
    <font>
      <name val="Georgia"/>
      <charset val="1"/>
      <color rgb="FF1A1A1A"/>
      <sz val="9"/>
    </font>
    <font>
      <name val="Georgia"/>
      <charset val="1"/>
      <b val="1"/>
      <color rgb="FFA32020"/>
      <sz val="9"/>
    </font>
    <font>
      <name val="Georgia"/>
      <charset val="1"/>
      <b val="1"/>
      <color rgb="FFFFFFFF"/>
      <sz val="8.5"/>
    </font>
    <font>
      <name val="Georgia"/>
      <charset val="1"/>
      <b val="1"/>
      <color rgb="FFDC6900"/>
      <sz val="9"/>
    </font>
    <font>
      <name val="Georgia"/>
      <charset val="1"/>
      <color rgb="FF6E6E6E"/>
      <sz val="9"/>
    </font>
    <font>
      <name val="Georgia"/>
      <charset val="1"/>
      <b val="1"/>
      <color rgb="FFDC6900"/>
      <sz val="8"/>
    </font>
    <font>
      <name val="Georgia"/>
      <charset val="1"/>
      <b val="1"/>
      <color rgb="FF1A1A1A"/>
      <sz val="10"/>
    </font>
    <font>
      <name val="Georgia"/>
      <charset val="1"/>
      <b val="1"/>
      <color rgb="FFA32020"/>
      <sz val="10"/>
    </font>
    <font>
      <name val="Georgia"/>
      <charset val="1"/>
      <b val="1"/>
      <color rgb="FFFFFFFF"/>
      <sz val="9"/>
    </font>
    <font>
      <name val="Georgia"/>
      <b val="1"/>
      <color rgb="FFFFFFFF"/>
      <sz val="8.5"/>
    </font>
    <font>
      <name val="Georgia"/>
      <color rgb="FF1A1A1A"/>
      <sz val="9"/>
    </font>
    <font>
      <name val="Georgia"/>
      <b val="1"/>
      <color rgb="FF1A1A1A"/>
      <sz val="9"/>
    </font>
    <font>
      <name val="Georgia"/>
      <color rgb="FF6E6E6E"/>
      <sz val="9"/>
    </font>
  </fonts>
  <fills count="6">
    <fill>
      <patternFill/>
    </fill>
    <fill>
      <patternFill patternType="gray125"/>
    </fill>
    <fill>
      <patternFill patternType="solid">
        <fgColor rgb="FFA32020"/>
        <bgColor rgb="FF993366"/>
      </patternFill>
    </fill>
    <fill>
      <patternFill patternType="solid">
        <fgColor rgb="FFF4DCDC"/>
        <bgColor rgb="FFCCCCFF"/>
      </patternFill>
    </fill>
    <fill>
      <patternFill patternType="solid">
        <fgColor rgb="FFA32020"/>
      </patternFill>
    </fill>
    <fill>
      <patternFill patternType="solid">
        <fgColor rgb="FFF4DCDC"/>
      </patternFill>
    </fill>
  </fills>
  <borders count="1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BFBFBF"/>
      </right>
      <top/>
      <bottom/>
      <diagonal/>
    </border>
    <border>
      <left/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1" fillId="2" borderId="1" pivotButton="0" quotePrefix="0" xfId="0"/>
    <xf numFmtId="0" fontId="2" fillId="3" borderId="1" pivotButton="0" quotePrefix="0" xfId="0"/>
    <xf numFmtId="0" fontId="7" fillId="0" borderId="0" pivotButton="0" quotePrefix="0" xfId="0"/>
    <xf numFmtId="0" fontId="3" fillId="0" borderId="1" pivotButton="0" quotePrefix="0" xfId="0"/>
    <xf numFmtId="0" fontId="3" fillId="0" borderId="0" applyAlignment="1" pivotButton="0" quotePrefix="0" xfId="0">
      <alignment horizontal="left" vertical="center" wrapText="1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6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4" fontId="3" fillId="0" borderId="1" pivotButton="0" quotePrefix="0" xfId="0"/>
    <xf numFmtId="10" fontId="3" fillId="0" borderId="1" pivotButton="0" quotePrefix="0" xfId="0"/>
    <xf numFmtId="0" fontId="9" fillId="3" borderId="1" pivotButton="0" quotePrefix="0" xfId="0"/>
    <xf numFmtId="4" fontId="9" fillId="3" borderId="1" pivotButton="0" quotePrefix="0" xfId="0"/>
    <xf numFmtId="0" fontId="2" fillId="0" borderId="1" pivotButton="0" quotePrefix="0" xfId="0"/>
    <xf numFmtId="4" fontId="2" fillId="3" borderId="1" pivotButton="0" quotePrefix="0" xfId="0"/>
    <xf numFmtId="0" fontId="10" fillId="0" borderId="0" pivotButton="0" quotePrefix="0" xfId="0"/>
    <xf numFmtId="0" fontId="3" fillId="0" borderId="1" applyAlignment="1" pivotButton="0" quotePrefix="0" xfId="0">
      <alignment horizontal="center" vertical="center"/>
    </xf>
    <xf numFmtId="3" fontId="3" fillId="0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11" fillId="2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center" vertical="center"/>
    </xf>
    <xf numFmtId="0" fontId="5" fillId="2" borderId="3" applyAlignment="1" pivotButton="0" quotePrefix="0" xfId="0">
      <alignment horizontal="center" vertical="center" wrapText="1"/>
    </xf>
    <xf numFmtId="0" fontId="4" fillId="0" borderId="2" pivotButton="0" quotePrefix="0" xfId="0"/>
    <xf numFmtId="0" fontId="3" fillId="0" borderId="2" applyAlignment="1" pivotButton="0" quotePrefix="0" xfId="0">
      <alignment horizontal="left" vertical="center" wrapText="1"/>
    </xf>
    <xf numFmtId="0" fontId="3" fillId="0" borderId="3" pivotButton="0" quotePrefix="0" xfId="0"/>
    <xf numFmtId="0" fontId="3" fillId="0" borderId="3" pivotButton="0" quotePrefix="0" xfId="0"/>
    <xf numFmtId="0" fontId="12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12" fillId="4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13" fillId="0" borderId="1" applyAlignment="1" pivotButton="0" quotePrefix="0" xfId="0">
      <alignment horizontal="center" vertical="center"/>
    </xf>
    <xf numFmtId="0" fontId="13" fillId="0" borderId="1" pivotButton="0" quotePrefix="0" xfId="0"/>
    <xf numFmtId="0" fontId="14" fillId="5" borderId="1" applyAlignment="1" pivotButton="0" quotePrefix="0" xfId="0">
      <alignment horizontal="left" vertical="center" wrapText="1"/>
    </xf>
    <xf numFmtId="0" fontId="0" fillId="5" borderId="1" pivotButton="0" quotePrefix="0" xfId="0"/>
    <xf numFmtId="0" fontId="14" fillId="5" borderId="1" applyAlignment="1" pivotButton="0" quotePrefix="0" xfId="0">
      <alignment horizontal="center" vertical="center"/>
    </xf>
    <xf numFmtId="0" fontId="13" fillId="5" borderId="1" pivotButton="0" quotePrefix="0" xfId="0"/>
    <xf numFmtId="0" fontId="14" fillId="0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14" fillId="0" borderId="0" applyAlignment="1" pivotButton="0" quotePrefix="0" xfId="0">
      <alignment horizontal="center" vertical="center"/>
    </xf>
    <xf numFmtId="0" fontId="13" fillId="0" borderId="0" pivotButton="0" quotePrefix="0" xfId="0"/>
    <xf numFmtId="0" fontId="0" fillId="0" borderId="0" pivotButton="0" quotePrefix="0" xfId="0"/>
    <xf numFmtId="0" fontId="15" fillId="0" borderId="0" applyAlignment="1" pivotButton="0" quotePrefix="0" xfId="0">
      <alignment wrapText="1"/>
    </xf>
    <xf numFmtId="0" fontId="15" fillId="0" borderId="0" applyAlignment="1" pivotButton="0" quotePrefix="0" xfId="0">
      <alignment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DCDC"/>
      <rgbColor rgb="FF3366FF"/>
      <rgbColor rgb="FF33CCCC"/>
      <rgbColor rgb="FF99CC00"/>
      <rgbColor rgb="FFFFCC00"/>
      <rgbColor rgb="FFFF9900"/>
      <rgbColor rgb="FFDC6900"/>
      <rgbColor rgb="FF6E6E6E"/>
      <rgbColor rgb="FF969696"/>
      <rgbColor rgb="FF003366"/>
      <rgbColor rgb="FF339966"/>
      <rgbColor rgb="FF003300"/>
      <rgbColor rgb="FF333300"/>
      <rgbColor rgb="FFA32020"/>
      <rgbColor rgb="FF993366"/>
      <rgbColor rgb="FF33339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4"/>
  <sheetViews>
    <sheetView showGridLines="0" zoomScale="85" zoomScaleNormal="100" workbookViewId="0">
      <selection activeCell="A3" sqref="A3"/>
    </sheetView>
  </sheetViews>
  <sheetFormatPr baseColWidth="8" defaultColWidth="8.6328125" defaultRowHeight="14.5"/>
  <cols>
    <col width="7.1796875" customWidth="1" style="49" min="1" max="1"/>
    <col width="100" customWidth="1" style="49" min="2" max="2"/>
    <col width="30" customWidth="1" style="49" min="3" max="3"/>
    <col width="13" customWidth="1" style="49" min="4" max="4"/>
    <col width="15" customWidth="1" style="49" min="5" max="5"/>
    <col width="12" customWidth="1" style="49" min="6" max="6"/>
  </cols>
  <sheetData>
    <row r="1" ht="17.5" customHeight="1" s="49">
      <c r="A1" s="6" t="inlineStr">
        <is>
          <t>Inventory (Existence, Completeness &amp; Cutoff) — Library of Audit Procedures</t>
        </is>
      </c>
    </row>
    <row r="2">
      <c r="A2" s="8" t="inlineStr">
        <is>
          <t>Client / Entity: Whitmore Products Company</t>
        </is>
      </c>
    </row>
    <row r="3">
      <c r="A3" s="8" t="inlineStr">
        <is>
          <t>Prepared by: Audit Senior 8606 (assigned)      Reviewed by: Audit Manager A1DC (assigned)</t>
        </is>
      </c>
    </row>
    <row r="4" ht="25.5" customHeight="1" s="49">
      <c r="A4" s="3" t="inlineStr">
        <is>
          <t>Tick each procedure when complete; enter the W/P reference, performed-by initials and date. Work through ALL applicable procedures before concluding.</t>
        </is>
      </c>
    </row>
    <row r="5"/>
    <row r="6" ht="19.5" customHeight="1" s="49">
      <c r="A6" s="26" t="inlineStr">
        <is>
          <t>Done</t>
        </is>
      </c>
      <c r="B6" s="27" t="inlineStr">
        <is>
          <t>Procedure</t>
        </is>
      </c>
      <c r="C6" s="27" t="inlineStr">
        <is>
          <t>Assertion(s)</t>
        </is>
      </c>
      <c r="D6" s="26" t="inlineStr">
        <is>
          <t>W/P Ref</t>
        </is>
      </c>
      <c r="E6" s="26" t="inlineStr">
        <is>
          <t>Performed by</t>
        </is>
      </c>
      <c r="F6" s="26" t="inlineStr">
        <is>
          <t>Date</t>
        </is>
      </c>
    </row>
    <row r="7">
      <c r="A7" s="1" t="inlineStr">
        <is>
          <t>&lt;.0&gt; Source Index</t>
        </is>
      </c>
      <c r="B7" s="54" t="n"/>
      <c r="C7" s="54" t="n"/>
      <c r="D7" s="54" t="n"/>
      <c r="E7" s="54" t="n"/>
      <c r="F7" s="55" t="n"/>
    </row>
    <row r="8" ht="39" customHeight="1" s="49">
      <c r="A8" s="11" t="n"/>
      <c r="B8" s="25" t="inlineStr">
        <is>
          <t>1. Obtain and index all inventory PBC sources (perpetual listing, GL detail, count instructions / sheets / tags, purchase listing &amp; GRNs, shipping documents, 3PL statements, bridge-period activity); document limitations.</t>
        </is>
      </c>
      <c r="C8" s="25" t="inlineStr">
        <is>
          <t>Completeness</t>
        </is>
      </c>
      <c r="D8" s="21" t="inlineStr">
        <is>
          <t>&lt;.0&gt;</t>
        </is>
      </c>
      <c r="E8" s="11" t="n"/>
      <c r="F8" s="11" t="n"/>
    </row>
    <row r="9">
      <c r="A9" s="1" t="inlineStr">
        <is>
          <t>&lt;.1&gt; Inventory Lead Sheet</t>
        </is>
      </c>
      <c r="B9" s="54" t="n"/>
      <c r="C9" s="54" t="n"/>
      <c r="D9" s="54" t="n"/>
      <c r="E9" s="54" t="n"/>
      <c r="F9" s="55" t="n"/>
    </row>
    <row r="10" ht="25.5" customHeight="1" s="49">
      <c r="A10" s="11" t="n"/>
      <c r="B10" s="25" t="inlineStr">
        <is>
          <t>2. Agree inventory by category — gross, reserve and net — to the trial balance and general ledger, and foot the lead sheet.</t>
        </is>
      </c>
      <c r="C10" s="25" t="inlineStr">
        <is>
          <t>Existence; Completeness</t>
        </is>
      </c>
      <c r="D10" s="21" t="inlineStr">
        <is>
          <t>&lt;.1&gt;</t>
        </is>
      </c>
      <c r="E10" s="11" t="n"/>
      <c r="F10" s="11" t="n"/>
    </row>
    <row r="11" ht="39" customHeight="1" s="49">
      <c r="A11" s="11" t="n"/>
      <c r="B11" s="25" t="inlineStr">
        <is>
          <t>3. Flag the cost method per category with a policy-consistency check, and apply the population control: only inventory GL accounts (13xx) roll into the lead — exclude / reclassify commingled P&amp;L accounts.</t>
        </is>
      </c>
      <c r="C11" s="25" t="inlineStr">
        <is>
          <t>Classification; Valuation &amp; Allocation</t>
        </is>
      </c>
      <c r="D11" s="21" t="inlineStr">
        <is>
          <t>&lt;.1&gt;/&lt;.2&gt;</t>
        </is>
      </c>
      <c r="E11" s="11" t="n"/>
      <c r="F11" s="11" t="n"/>
    </row>
    <row r="12">
      <c r="A12" s="1" t="inlineStr">
        <is>
          <t>&lt;.2&gt; Inventory Reconciliation</t>
        </is>
      </c>
      <c r="B12" s="54" t="n"/>
      <c r="C12" s="54" t="n"/>
      <c r="D12" s="54" t="n"/>
      <c r="E12" s="54" t="n"/>
      <c r="F12" s="55" t="n"/>
    </row>
    <row r="13" ht="25.5" customHeight="1" s="49">
      <c r="A13" s="11" t="n"/>
      <c r="B13" s="25" t="inlineStr">
        <is>
          <t>4. Reconcile the perpetual listing / valuation report to the GL and trial balance by category; isolate and exclude non-inventory (P&amp;L) accounts and align listing category labels to the GL accounts.</t>
        </is>
      </c>
      <c r="C13" s="25" t="inlineStr">
        <is>
          <t>Completeness; Accuracy; Classification</t>
        </is>
      </c>
      <c r="D13" s="21" t="inlineStr">
        <is>
          <t>&lt;.2&gt;</t>
        </is>
      </c>
      <c r="E13" s="11" t="n"/>
      <c r="F13" s="11" t="n"/>
    </row>
    <row r="14" ht="25.5" customHeight="1" s="49">
      <c r="A14" s="11" t="n"/>
      <c r="B14" s="25" t="inlineStr">
        <is>
          <t>5. Prove completeness by rollforward — opening (= PY TB) + purchases − relief to COGS ± adjustments = closing — and investigate the difference; tie the purchases line to the purchase listing.</t>
        </is>
      </c>
      <c r="C14" s="25" t="inlineStr">
        <is>
          <t>Completeness; Accuracy</t>
        </is>
      </c>
      <c r="D14" s="21" t="inlineStr">
        <is>
          <t>&lt;.2&gt;/&lt;.6&gt;</t>
        </is>
      </c>
      <c r="E14" s="11" t="n"/>
      <c r="F14" s="11" t="n"/>
    </row>
    <row r="15">
      <c r="A15" s="1" t="inlineStr">
        <is>
          <t>&lt;.3&gt; Physical Count</t>
        </is>
      </c>
      <c r="B15" s="54" t="n"/>
      <c r="C15" s="54" t="n"/>
      <c r="D15" s="54" t="n"/>
      <c r="E15" s="54" t="n"/>
      <c r="F15" s="55" t="n"/>
    </row>
    <row r="16" ht="25.5" customHeight="1" s="49">
      <c r="A16" s="11" t="n"/>
      <c r="B16" s="25" t="inlineStr">
        <is>
          <t>6. Observe / evaluate the physical count — instructions, tag control, movement freeze and cutoff during the count — and document attendance or the basis for reliance.</t>
        </is>
      </c>
      <c r="C16" s="25" t="inlineStr">
        <is>
          <t>Existence; Completeness</t>
        </is>
      </c>
      <c r="D16" s="21" t="inlineStr">
        <is>
          <t>&lt;.3&gt;</t>
        </is>
      </c>
      <c r="E16" s="11" t="n"/>
      <c r="F16" s="11" t="n"/>
    </row>
    <row r="17" ht="25.5" customHeight="1" s="49">
      <c r="A17" s="11" t="n"/>
      <c r="B17" s="25" t="inlineStr">
        <is>
          <t>7. Existence direction: select at least 30 items from the LISTING and agree to the FLOOR count; investigate and resolve every difference.</t>
        </is>
      </c>
      <c r="C17" s="25" t="inlineStr">
        <is>
          <t>Existence; Accuracy</t>
        </is>
      </c>
      <c r="D17" s="21" t="inlineStr">
        <is>
          <t>&lt;.3&gt;</t>
        </is>
      </c>
      <c r="E17" s="11" t="n"/>
      <c r="F17" s="11" t="n"/>
    </row>
    <row r="18" ht="25.5" customHeight="1" s="49">
      <c r="A18" s="11" t="n"/>
      <c r="B18" s="25" t="inlineStr">
        <is>
          <t>8. Completeness direction: select at least 30 items / tags from the FLOOR and trace into the final LISTING; investigate and resolve every difference.</t>
        </is>
      </c>
      <c r="C18" s="25" t="inlineStr">
        <is>
          <t>Completeness; Accuracy</t>
        </is>
      </c>
      <c r="D18" s="21" t="inlineStr">
        <is>
          <t>&lt;.3&gt;</t>
        </is>
      </c>
      <c r="E18" s="11" t="n"/>
      <c r="F18" s="11" t="n"/>
    </row>
    <row r="19">
      <c r="A19" s="1" t="inlineStr">
        <is>
          <t>&lt;.4&gt; Count Timing Bridge</t>
        </is>
      </c>
      <c r="B19" s="54" t="n"/>
      <c r="C19" s="54" t="n"/>
      <c r="D19" s="54" t="n"/>
      <c r="E19" s="54" t="n"/>
      <c r="F19" s="55" t="n"/>
    </row>
    <row r="20" ht="39" customHeight="1" s="49">
      <c r="A20" s="11" t="n"/>
      <c r="B20" s="25" t="inlineStr">
        <is>
          <t>9. Where the count is not at year-end, bridge counted quantities to the year-end listing — rollforward (count before YE: count + receipts − issues = YE qty) or rollback (count after YE: reverse) — and test the bridge-period receipts and issues to GRNs / shipping documents.</t>
        </is>
      </c>
      <c r="C20" s="25" t="inlineStr">
        <is>
          <t>Existence; Completeness; Cutoff</t>
        </is>
      </c>
      <c r="D20" s="21" t="inlineStr">
        <is>
          <t>&lt;.4&gt;</t>
        </is>
      </c>
      <c r="E20" s="11" t="n"/>
      <c r="F20" s="11" t="n"/>
    </row>
    <row r="21">
      <c r="A21" s="1" t="inlineStr">
        <is>
          <t>&lt;.5&gt; Third-Party Confirmation</t>
        </is>
      </c>
      <c r="B21" s="54" t="n"/>
      <c r="C21" s="54" t="n"/>
      <c r="D21" s="54" t="n"/>
      <c r="E21" s="54" t="n"/>
      <c r="F21" s="55" t="n"/>
    </row>
    <row r="22" ht="51.75" customHeight="1" s="49">
      <c r="A22" s="11" t="n"/>
      <c r="B22" s="25" t="inlineStr">
        <is>
          <t>10. Confirm inventory held by third parties (3PLs, consignees, offsite warehouses) directly with the custodian — controlled process, authenticity testing for electronic replies — and perform alternative procedures (observation at the location, custodian statements, subsequent movements) for non-replies.</t>
        </is>
      </c>
      <c r="C22" s="25" t="inlineStr">
        <is>
          <t>Existence; Rights &amp; Obligations</t>
        </is>
      </c>
      <c r="D22" s="21" t="inlineStr">
        <is>
          <t>&lt;.5&gt;</t>
        </is>
      </c>
      <c r="E22" s="11" t="n"/>
      <c r="F22" s="11" t="n"/>
    </row>
    <row r="23">
      <c r="A23" s="1" t="inlineStr">
        <is>
          <t>&lt;.6&gt; Purchases Completeness &amp; GRN</t>
        </is>
      </c>
      <c r="B23" s="54" t="n"/>
      <c r="C23" s="54" t="n"/>
      <c r="D23" s="54" t="n"/>
      <c r="E23" s="54" t="n"/>
      <c r="F23" s="55" t="n"/>
    </row>
    <row r="24" ht="25.5" customHeight="1" s="49">
      <c r="A24" s="11" t="n"/>
      <c r="B24" s="25" t="inlineStr">
        <is>
          <t>11. Tie the purchase listing to the &lt;.2&gt; rollforward purchases line and to the GL, and investigate differences.</t>
        </is>
      </c>
      <c r="C24" s="25" t="inlineStr">
        <is>
          <t>Completeness; Accuracy</t>
        </is>
      </c>
      <c r="D24" s="21" t="inlineStr">
        <is>
          <t>&lt;.6&gt;/&lt;.2&gt;</t>
        </is>
      </c>
      <c r="E24" s="11" t="n"/>
      <c r="F24" s="11" t="n"/>
    </row>
    <row r="25" ht="25.5" customHeight="1" s="49">
      <c r="A25" s="11" t="n"/>
      <c r="B25" s="25" t="inlineStr">
        <is>
          <t>12. Select purchases from the listing and agree the purchase / receipt date to the goods-received note (GRN); investigate date mismatches as potential period errors.</t>
        </is>
      </c>
      <c r="C25" s="25" t="inlineStr">
        <is>
          <t>Cutoff; Accuracy</t>
        </is>
      </c>
      <c r="D25" s="21" t="inlineStr">
        <is>
          <t>&lt;.6&gt;/&lt;.7&gt;</t>
        </is>
      </c>
      <c r="E25" s="11" t="n"/>
      <c r="F25" s="11" t="n"/>
    </row>
    <row r="26">
      <c r="A26" s="1" t="inlineStr">
        <is>
          <t>&lt;.7&gt; Cutoff Testing</t>
        </is>
      </c>
      <c r="B26" s="54" t="n"/>
      <c r="C26" s="54" t="n"/>
      <c r="D26" s="54" t="n"/>
      <c r="E26" s="54" t="n"/>
      <c r="F26" s="55" t="n"/>
    </row>
    <row r="27" ht="25.5" customHeight="1" s="49">
      <c r="A27" s="11" t="n"/>
      <c r="B27" s="25" t="inlineStr">
        <is>
          <t>13. Assess cutoff risk (in-transit volume, FOB shipping-point terms, 3PL locations, period-end activity spikes, manual logs) and scale the extent of testing.</t>
        </is>
      </c>
      <c r="C27" s="25" t="inlineStr">
        <is>
          <t>Cutoff</t>
        </is>
      </c>
      <c r="D27" s="21" t="inlineStr">
        <is>
          <t>&lt;.7&gt;</t>
        </is>
      </c>
      <c r="E27" s="11" t="n"/>
      <c r="F27" s="11" t="n"/>
    </row>
    <row r="28" ht="39" customHeight="1" s="49">
      <c r="A28" s="11" t="n"/>
      <c r="B28" s="25" t="inlineStr">
        <is>
          <t>14. Test receiving and shipping cutoff in both directions — the last 5 GRNs / BOLs before and the first 5 after year-end — confirming each is recorded in the proper period (inventory and the related payable / sale).</t>
        </is>
      </c>
      <c r="C28" s="25" t="inlineStr">
        <is>
          <t>Cutoff; Completeness; Existence</t>
        </is>
      </c>
      <c r="D28" s="21" t="inlineStr">
        <is>
          <t>&lt;.7&gt;</t>
        </is>
      </c>
      <c r="E28" s="11" t="n"/>
      <c r="F28" s="11" t="n"/>
    </row>
    <row r="29" ht="25.5" customHeight="1" s="49">
      <c r="A29" s="11" t="n"/>
      <c r="B29" s="25" t="inlineStr">
        <is>
          <t>15. Evaluate in-transit inventory by shipping terms — FOB shipping-point purchases in transit belong in inventory; FOB destination do not — and conclude on title at year-end.</t>
        </is>
      </c>
      <c r="C29" s="25" t="inlineStr">
        <is>
          <t>Cutoff; Rights &amp; Obligations</t>
        </is>
      </c>
      <c r="D29" s="21" t="inlineStr">
        <is>
          <t>&lt;.7&gt;</t>
        </is>
      </c>
      <c r="E29" s="11" t="n"/>
      <c r="F29" s="11" t="n"/>
    </row>
    <row r="30">
      <c r="A30" s="1" t="inlineStr">
        <is>
          <t>Documentation &amp; Review</t>
        </is>
      </c>
      <c r="B30" s="54" t="n"/>
      <c r="C30" s="54" t="n"/>
      <c r="D30" s="54" t="n"/>
      <c r="E30" s="54" t="n"/>
      <c r="F30" s="55" t="n"/>
    </row>
    <row r="31" ht="15" customHeight="1" s="49">
      <c r="A31" s="11" t="n"/>
      <c r="B31" s="25" t="inlineStr">
        <is>
          <t>16. Cross-reference each procedure to its workpaper tab and link it to the relevant assertion(s).</t>
        </is>
      </c>
      <c r="C31" s="25" t="inlineStr">
        <is>
          <t>Overall</t>
        </is>
      </c>
      <c r="D31" s="21" t="inlineStr">
        <is>
          <t>&lt;.0&gt;-&lt;.7&gt;</t>
        </is>
      </c>
      <c r="E31" s="11" t="n"/>
      <c r="F31" s="11" t="n"/>
    </row>
    <row r="32" ht="25.5" customHeight="1" s="49">
      <c r="A32" s="11" t="n"/>
      <c r="B32" s="25" t="inlineStr">
        <is>
          <t>17. Verify lead, reconciliation, rollforward and exception-count formulas foot correctly and the workbook source trail is complete.</t>
        </is>
      </c>
      <c r="C32" s="25" t="inlineStr">
        <is>
          <t>Accuracy; Completeness</t>
        </is>
      </c>
      <c r="D32" s="21" t="inlineStr">
        <is>
          <t>&lt;.1&gt;/&lt;.2&gt;</t>
        </is>
      </c>
      <c r="E32" s="11" t="n"/>
      <c r="F32" s="11" t="n"/>
    </row>
    <row r="33">
      <c r="A33" s="1" t="inlineStr">
        <is>
          <t>Conclusion</t>
        </is>
      </c>
      <c r="B33" s="54" t="n"/>
      <c r="C33" s="54" t="n"/>
      <c r="D33" s="54" t="n"/>
      <c r="E33" s="54" t="n"/>
      <c r="F33" s="55" t="n"/>
    </row>
    <row r="34" ht="39" customHeight="1" s="49">
      <c r="A34" s="11" t="n"/>
      <c r="B34" s="25" t="inlineStr">
        <is>
          <t>18. All planned existence, completeness and cutoff procedures above were performed; results support the recorded inventory quantities and population, subject to documented open items. Costing and valuation are concluded on the companion Costing &amp; Valuation workpaper.</t>
        </is>
      </c>
      <c r="C34" s="25" t="inlineStr">
        <is>
          <t>Overall</t>
        </is>
      </c>
      <c r="D34" s="21" t="inlineStr">
        <is>
          <t>&lt;.0&gt;-&lt;.7&gt;</t>
        </is>
      </c>
      <c r="E34" s="11" t="n"/>
      <c r="F34" s="11" t="n"/>
    </row>
  </sheetData>
  <mergeCells count="11">
    <mergeCell ref="A33:F33"/>
    <mergeCell ref="A19:F19"/>
    <mergeCell ref="A23:F23"/>
    <mergeCell ref="A9:F9"/>
    <mergeCell ref="A12:F12"/>
    <mergeCell ref="A4:F4"/>
    <mergeCell ref="A26:F26"/>
    <mergeCell ref="A30:F30"/>
    <mergeCell ref="A21:F21"/>
    <mergeCell ref="A15:F15"/>
    <mergeCell ref="A7:F7"/>
  </mergeCells>
  <pageMargins left="0.3" right="0.3" top="0.4" bottom="0.4" header="0.2" footer="0.2"/>
  <pageSetup orientation="portrait" paperSize="1" fitToHeight="1" fitToWidth="1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2"/>
  <sheetViews>
    <sheetView showGridLines="0" zoomScale="85" zoomScaleNormal="100" workbookViewId="0">
      <selection activeCell="A4" sqref="A4"/>
    </sheetView>
  </sheetViews>
  <sheetFormatPr baseColWidth="8" defaultColWidth="8.6328125" defaultRowHeight="14.5"/>
  <cols>
    <col width="21.90625" bestFit="1" customWidth="1" style="49" min="1" max="1"/>
    <col width="38" customWidth="1" style="49" min="2" max="2"/>
    <col width="20" customWidth="1" style="49" min="3" max="3"/>
    <col width="14" customWidth="1" style="49" min="4" max="4"/>
    <col width="12" customWidth="1" style="49" min="5" max="5"/>
    <col width="24" customWidth="1" style="49" min="6" max="6"/>
    <col width="34" customWidth="1" style="49" min="7" max="7"/>
  </cols>
  <sheetData>
    <row r="1" ht="17.5" customHeight="1" s="49">
      <c r="A1" s="6" t="inlineStr">
        <is>
          <t>Source Index</t>
        </is>
      </c>
    </row>
    <row r="2">
      <c r="A2" s="7" t="inlineStr">
        <is>
          <t>Client / Entity</t>
        </is>
      </c>
      <c r="B2" s="8" t="inlineStr">
        <is>
          <t>[Client / Entity]</t>
        </is>
      </c>
      <c r="D2" s="7" t="inlineStr">
        <is>
          <t>Year-End</t>
        </is>
      </c>
      <c r="E2" s="8" t="inlineStr">
        <is>
          <t>[YYYY-MM-DD]</t>
        </is>
      </c>
      <c r="G2" s="7" t="inlineStr">
        <is>
          <t>Currency</t>
        </is>
      </c>
      <c r="H2" s="8" t="inlineStr">
        <is>
          <t>[CCY]</t>
        </is>
      </c>
    </row>
    <row r="3">
      <c r="A3" s="7" t="inlineStr">
        <is>
          <t>Performance Materiality</t>
        </is>
      </c>
      <c r="B3" s="8" t="inlineStr">
        <is>
          <t>[PM]</t>
        </is>
      </c>
      <c r="D3" s="7" t="inlineStr">
        <is>
          <t>Testing Threshold (SUM)</t>
        </is>
      </c>
      <c r="E3" s="8" t="inlineStr">
        <is>
          <t>[Threshold]</t>
        </is>
      </c>
    </row>
    <row r="4" ht="27.75" customHeight="1" s="49">
      <c r="A4" s="30" t="inlineStr">
        <is>
          <t>Purpose:</t>
        </is>
      </c>
      <c r="B4" s="31" t="inlineStr">
        <is>
          <t>Map every inventory PBC source and its limitations so the evidence trail is complete and traceable.</t>
        </is>
      </c>
      <c r="C4" s="56" t="n"/>
      <c r="D4" s="56" t="n"/>
      <c r="E4" s="56" t="n"/>
      <c r="F4" s="56" t="n"/>
      <c r="G4" s="57" t="n"/>
    </row>
    <row r="5" ht="42" customHeight="1" s="49">
      <c r="A5" s="30" t="inlineStr">
        <is>
          <t>Scope:</t>
        </is>
      </c>
      <c r="B5" s="31" t="inlineStr">
        <is>
          <t>Inventory listing / perpetual records, GL detail, count instructions / sheets / tags, purchase listing &amp; GRNs, shipping documents, 3PL statements &amp; confirmations, bridge-period activity reports.</t>
        </is>
      </c>
      <c r="C5" s="56" t="n"/>
      <c r="D5" s="56" t="n"/>
      <c r="E5" s="56" t="n"/>
      <c r="F5" s="56" t="n"/>
      <c r="G5" s="57" t="n"/>
    </row>
    <row r="6" ht="15" customHeight="1" s="49">
      <c r="A6" s="30" t="inlineStr">
        <is>
          <t>Assertions:</t>
        </is>
      </c>
      <c r="B6" s="31" t="inlineStr">
        <is>
          <t>Completeness</t>
        </is>
      </c>
      <c r="C6" s="56" t="n"/>
      <c r="D6" s="56" t="n"/>
      <c r="E6" s="56" t="n"/>
      <c r="F6" s="56" t="n"/>
      <c r="G6" s="57" t="n"/>
    </row>
    <row r="7" ht="30" customHeight="1" s="49">
      <c r="A7" s="29" t="inlineStr">
        <is>
          <t>Ref</t>
        </is>
      </c>
      <c r="B7" s="29" t="inlineStr">
        <is>
          <t>Source document / PBC</t>
        </is>
      </c>
      <c r="C7" s="29" t="inlineStr">
        <is>
          <t>Provided by</t>
        </is>
      </c>
      <c r="D7" s="29" t="inlineStr">
        <is>
          <t>Date received</t>
        </is>
      </c>
      <c r="E7" s="29" t="inlineStr">
        <is>
          <t>Format</t>
        </is>
      </c>
      <c r="F7" s="29" t="inlineStr">
        <is>
          <t>Used in tab(s)</t>
        </is>
      </c>
      <c r="G7" s="29" t="inlineStr">
        <is>
          <t>Limitations / notes</t>
        </is>
      </c>
    </row>
    <row r="8">
      <c r="A8" s="11" t="n"/>
      <c r="B8" s="11" t="n"/>
      <c r="C8" s="11" t="n"/>
      <c r="D8" s="11" t="n"/>
      <c r="E8" s="11" t="n"/>
      <c r="F8" s="11" t="n"/>
      <c r="G8" s="11" t="n"/>
    </row>
    <row r="9">
      <c r="A9" s="11" t="n"/>
      <c r="B9" s="11" t="n"/>
      <c r="C9" s="11" t="n"/>
      <c r="D9" s="11" t="n"/>
      <c r="E9" s="11" t="n"/>
      <c r="F9" s="11" t="n"/>
      <c r="G9" s="11" t="n"/>
    </row>
    <row r="10">
      <c r="A10" s="11" t="n"/>
      <c r="B10" s="11" t="n"/>
      <c r="C10" s="11" t="n"/>
      <c r="D10" s="11" t="n"/>
      <c r="E10" s="11" t="n"/>
      <c r="F10" s="11" t="n"/>
      <c r="G10" s="11" t="n"/>
    </row>
    <row r="11">
      <c r="A11" s="11" t="n"/>
      <c r="B11" s="11" t="n"/>
      <c r="C11" s="11" t="n"/>
      <c r="D11" s="11" t="n"/>
      <c r="E11" s="11" t="n"/>
      <c r="F11" s="11" t="n"/>
      <c r="G11" s="11" t="n"/>
    </row>
    <row r="12">
      <c r="A12" s="11" t="n"/>
      <c r="B12" s="11" t="n"/>
      <c r="C12" s="11" t="n"/>
      <c r="D12" s="11" t="n"/>
      <c r="E12" s="11" t="n"/>
      <c r="F12" s="11" t="n"/>
      <c r="G12" s="11" t="n"/>
    </row>
    <row r="13">
      <c r="A13" s="11" t="n"/>
      <c r="B13" s="11" t="n"/>
      <c r="C13" s="11" t="n"/>
      <c r="D13" s="11" t="n"/>
      <c r="E13" s="11" t="n"/>
      <c r="F13" s="11" t="n"/>
      <c r="G13" s="11" t="n"/>
    </row>
    <row r="14">
      <c r="A14" s="11" t="n"/>
      <c r="B14" s="11" t="n"/>
      <c r="C14" s="11" t="n"/>
      <c r="D14" s="11" t="n"/>
      <c r="E14" s="11" t="n"/>
      <c r="F14" s="11" t="n"/>
      <c r="G14" s="11" t="n"/>
    </row>
    <row r="15">
      <c r="A15" s="11" t="n"/>
      <c r="B15" s="11" t="n"/>
      <c r="C15" s="11" t="n"/>
      <c r="D15" s="11" t="n"/>
      <c r="E15" s="11" t="n"/>
      <c r="F15" s="11" t="n"/>
      <c r="G15" s="11" t="n"/>
    </row>
    <row r="16">
      <c r="A16" s="11" t="n"/>
      <c r="B16" s="11" t="n"/>
      <c r="C16" s="11" t="n"/>
      <c r="D16" s="11" t="n"/>
      <c r="E16" s="11" t="n"/>
      <c r="F16" s="11" t="n"/>
      <c r="G16" s="11" t="n"/>
    </row>
    <row r="17">
      <c r="A17" s="11" t="n"/>
      <c r="B17" s="11" t="n"/>
      <c r="C17" s="11" t="n"/>
      <c r="D17" s="11" t="n"/>
      <c r="E17" s="11" t="n"/>
      <c r="F17" s="11" t="n"/>
      <c r="G17" s="11" t="n"/>
    </row>
    <row r="18">
      <c r="A18" s="11" t="n"/>
      <c r="B18" s="11" t="n"/>
      <c r="C18" s="11" t="n"/>
      <c r="D18" s="11" t="n"/>
      <c r="E18" s="11" t="n"/>
      <c r="F18" s="11" t="n"/>
      <c r="G18" s="11" t="n"/>
    </row>
    <row r="19">
      <c r="A19" s="11" t="n"/>
      <c r="B19" s="11" t="n"/>
      <c r="C19" s="11" t="n"/>
      <c r="D19" s="11" t="n"/>
      <c r="E19" s="11" t="n"/>
      <c r="F19" s="11" t="n"/>
      <c r="G19" s="11" t="n"/>
    </row>
    <row r="20"/>
    <row r="21">
      <c r="A21" s="52" t="inlineStr">
        <is>
          <t>TM Legends</t>
        </is>
      </c>
    </row>
    <row r="22">
      <c r="A22" s="12" t="inlineStr">
        <is>
          <t>TB</t>
        </is>
      </c>
      <c r="B22" s="11" t="inlineStr">
        <is>
          <t>Agreed to trial balance</t>
        </is>
      </c>
      <c r="C22" s="54" t="n"/>
      <c r="D22" s="55" t="n"/>
    </row>
    <row r="23">
      <c r="A23" s="12" t="inlineStr">
        <is>
          <t>GL</t>
        </is>
      </c>
      <c r="B23" s="11" t="inlineStr">
        <is>
          <t>Agreed to general ledger</t>
        </is>
      </c>
      <c r="C23" s="54" t="n"/>
      <c r="D23" s="55" t="n"/>
    </row>
    <row r="24">
      <c r="A24" s="12" t="inlineStr">
        <is>
          <t>CF</t>
        </is>
      </c>
      <c r="B24" s="11" t="inlineStr">
        <is>
          <t>Confirmed with third party</t>
        </is>
      </c>
      <c r="C24" s="54" t="n"/>
      <c r="D24" s="55" t="n"/>
    </row>
    <row r="25">
      <c r="A25" s="12" t="inlineStr">
        <is>
          <t>V</t>
        </is>
      </c>
      <c r="B25" s="11" t="inlineStr">
        <is>
          <t>Vouched to source document</t>
        </is>
      </c>
      <c r="C25" s="54" t="n"/>
      <c r="D25" s="55" t="n"/>
    </row>
    <row r="26">
      <c r="A26" s="12" t="inlineStr">
        <is>
          <t>SR</t>
        </is>
      </c>
      <c r="B26" s="11" t="inlineStr">
        <is>
          <t>Agreed to subsequent bank-cleared receipt</t>
        </is>
      </c>
      <c r="C26" s="54" t="n"/>
      <c r="D26" s="55" t="n"/>
    </row>
    <row r="27">
      <c r="A27" s="12" t="inlineStr">
        <is>
          <t>R</t>
        </is>
      </c>
      <c r="B27" s="11" t="inlineStr">
        <is>
          <t>Recalculated independently</t>
        </is>
      </c>
      <c r="C27" s="54" t="n"/>
      <c r="D27" s="55" t="n"/>
    </row>
    <row r="28">
      <c r="A28" s="12" t="inlineStr">
        <is>
          <t>F</t>
        </is>
      </c>
      <c r="B28" s="11" t="inlineStr">
        <is>
          <t>Footed / cross-cast</t>
        </is>
      </c>
      <c r="C28" s="54" t="n"/>
      <c r="D28" s="55" t="n"/>
    </row>
    <row r="29">
      <c r="A29" s="12" t="inlineStr">
        <is>
          <t>T</t>
        </is>
      </c>
      <c r="B29" s="11" t="inlineStr">
        <is>
          <t>Traced to downstream record</t>
        </is>
      </c>
      <c r="C29" s="54" t="n"/>
      <c r="D29" s="55" t="n"/>
    </row>
    <row r="30">
      <c r="A30" s="12" t="inlineStr">
        <is>
          <t>PBC</t>
        </is>
      </c>
      <c r="B30" s="11" t="inlineStr">
        <is>
          <t>Prepared by client</t>
        </is>
      </c>
      <c r="C30" s="54" t="n"/>
      <c r="D30" s="55" t="n"/>
    </row>
    <row r="31"/>
    <row r="32" ht="27.75" customHeight="1" s="49">
      <c r="A32" s="3" t="inlineStr">
        <is>
          <t>Before sign-off complete Library Procedure 1 (source completeness &amp; limitations).</t>
        </is>
      </c>
    </row>
  </sheetData>
  <mergeCells count="13">
    <mergeCell ref="A32:G32"/>
    <mergeCell ref="B28:D28"/>
    <mergeCell ref="B5:G5"/>
    <mergeCell ref="B23:D23"/>
    <mergeCell ref="B22:D22"/>
    <mergeCell ref="B26:D26"/>
    <mergeCell ref="B27:D27"/>
    <mergeCell ref="B4:G4"/>
    <mergeCell ref="B30:D30"/>
    <mergeCell ref="B29:D29"/>
    <mergeCell ref="B25:D25"/>
    <mergeCell ref="B24:D24"/>
    <mergeCell ref="B6:G6"/>
  </mergeCells>
  <pageMargins left="0.3" right="0.3" top="0.4" bottom="0.4" header="0.2" footer="0.2"/>
  <pageSetup orientation="portrait" paperSize="1" fitToHeight="1" fitToWidth="1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36"/>
  <sheetViews>
    <sheetView showGridLines="0" zoomScale="85" zoomScaleNormal="100" workbookViewId="0">
      <selection activeCell="C7" sqref="C7"/>
    </sheetView>
  </sheetViews>
  <sheetFormatPr baseColWidth="8" defaultColWidth="8.6328125" defaultRowHeight="14.5"/>
  <cols>
    <col width="22" customWidth="1" style="49" min="1" max="1"/>
    <col width="12" customWidth="1" style="49" min="2" max="2"/>
    <col width="20.6328125" customWidth="1" style="49" min="3" max="3"/>
    <col width="14" customWidth="1" style="49" min="4" max="4"/>
    <col width="15" customWidth="1" style="49" min="5" max="6"/>
    <col width="14" customWidth="1" style="49" min="7" max="7"/>
    <col width="11" customWidth="1" style="49" min="8" max="8"/>
    <col width="26" customWidth="1" style="49" min="9" max="9"/>
  </cols>
  <sheetData>
    <row r="1" ht="17.5" customHeight="1" s="49">
      <c r="A1" s="6" t="inlineStr">
        <is>
          <t>Inventory Lead Sheet</t>
        </is>
      </c>
    </row>
    <row r="2">
      <c r="A2" s="7" t="inlineStr">
        <is>
          <t>Client / Entity</t>
        </is>
      </c>
      <c r="B2" s="8" t="inlineStr">
        <is>
          <t>[Client / Entity]</t>
        </is>
      </c>
      <c r="D2" s="7" t="inlineStr">
        <is>
          <t>Year-End</t>
        </is>
      </c>
      <c r="E2" s="8" t="inlineStr">
        <is>
          <t>[YYYY-MM-DD]</t>
        </is>
      </c>
      <c r="G2" s="7" t="inlineStr">
        <is>
          <t>Currency</t>
        </is>
      </c>
      <c r="H2" s="8" t="inlineStr">
        <is>
          <t>[CCY]</t>
        </is>
      </c>
    </row>
    <row r="3">
      <c r="A3" s="7" t="inlineStr">
        <is>
          <t>Performance Materiality</t>
        </is>
      </c>
      <c r="B3" s="8" t="inlineStr">
        <is>
          <t>[PM]</t>
        </is>
      </c>
      <c r="D3" s="7" t="inlineStr">
        <is>
          <t>Testing Threshold (SUM)</t>
        </is>
      </c>
      <c r="E3" s="8" t="inlineStr">
        <is>
          <t>[Threshold]</t>
        </is>
      </c>
    </row>
    <row r="4" ht="27.75" customHeight="1" s="49">
      <c r="A4" s="52" t="inlineStr">
        <is>
          <t>Purpose:</t>
        </is>
      </c>
      <c r="B4" s="53" t="inlineStr">
        <is>
          <t>Summarize inventory by category, tie gross, reserve and net to the trial balance, and flag the cost method per category with a policy-consistency check.</t>
        </is>
      </c>
    </row>
    <row r="5" ht="27.75" customHeight="1" s="49">
      <c r="A5" s="52" t="inlineStr">
        <is>
          <t>Scope:</t>
        </is>
      </c>
      <c r="B5" s="53" t="inlineStr">
        <is>
          <t>Inventory GL accounts only (13xx) — raw materials, WIP, finished goods, in-transit, reserve. Non-inventory (P&amp;L) accounts must NOT appear in the population.</t>
        </is>
      </c>
    </row>
    <row r="6" ht="15" customHeight="1" s="49">
      <c r="A6" s="52" t="inlineStr">
        <is>
          <t>Assertions:</t>
        </is>
      </c>
      <c r="B6" s="53" t="inlineStr">
        <is>
          <t>Existence; Completeness; Valuation &amp; Allocation; Rights &amp; Obligations; Classification</t>
        </is>
      </c>
    </row>
    <row r="7" ht="30" customHeight="1" s="49">
      <c r="A7" s="10" t="inlineStr">
        <is>
          <t>Category</t>
        </is>
      </c>
      <c r="B7" s="10" t="inlineStr">
        <is>
          <t>GL Account</t>
        </is>
      </c>
      <c r="C7" s="10" t="inlineStr">
        <is>
          <t>Cost method (standard / weighted avg / FIFO)</t>
        </is>
      </c>
      <c r="D7" s="10" t="inlineStr">
        <is>
          <t>Policy-consistent? (Y/N)</t>
        </is>
      </c>
      <c r="E7" s="10" t="inlineStr">
        <is>
          <t>CY Balance</t>
        </is>
      </c>
      <c r="F7" s="10" t="inlineStr">
        <is>
          <t>PY Balance</t>
        </is>
      </c>
      <c r="G7" s="10" t="inlineStr">
        <is>
          <t>Difference</t>
        </is>
      </c>
      <c r="H7" s="10" t="inlineStr">
        <is>
          <t>% Change</t>
        </is>
      </c>
      <c r="I7" s="10" t="inlineStr">
        <is>
          <t>Source / Comments</t>
        </is>
      </c>
    </row>
    <row r="8">
      <c r="E8" s="13" t="inlineStr">
        <is>
          <t>TB</t>
        </is>
      </c>
      <c r="F8" s="13" t="inlineStr">
        <is>
          <t>PY</t>
        </is>
      </c>
      <c r="G8" s="13" t="inlineStr">
        <is>
          <t>R</t>
        </is>
      </c>
    </row>
    <row r="9">
      <c r="A9" s="11" t="n"/>
      <c r="B9" s="11" t="n"/>
      <c r="C9" s="11" t="n"/>
      <c r="D9" s="11" t="n"/>
      <c r="E9" s="14" t="n"/>
      <c r="F9" s="14" t="n"/>
      <c r="G9" s="14">
        <f>IF(AND(E9="",F9=""),"",E9-F9)</f>
        <v/>
      </c>
      <c r="H9" s="15">
        <f>IF(OR(F9="",F9=0),"",(E9-F9)/F9)</f>
        <v/>
      </c>
      <c r="I9" s="11" t="n"/>
    </row>
    <row r="10">
      <c r="A10" s="11" t="n"/>
      <c r="B10" s="11" t="n"/>
      <c r="C10" s="11" t="n"/>
      <c r="D10" s="11" t="n"/>
      <c r="E10" s="14" t="n"/>
      <c r="F10" s="14" t="n"/>
      <c r="G10" s="14">
        <f>IF(AND(E10="",F10=""),"",E10-F10)</f>
        <v/>
      </c>
      <c r="H10" s="15">
        <f>IF(OR(F10="",F10=0),"",(E10-F10)/F10)</f>
        <v/>
      </c>
      <c r="I10" s="11" t="n"/>
    </row>
    <row r="11">
      <c r="A11" s="11" t="n"/>
      <c r="B11" s="11" t="n"/>
      <c r="C11" s="11" t="n"/>
      <c r="D11" s="11" t="n"/>
      <c r="E11" s="14" t="n"/>
      <c r="F11" s="14" t="n"/>
      <c r="G11" s="14">
        <f>IF(AND(E11="",F11=""),"",E11-F11)</f>
        <v/>
      </c>
      <c r="H11" s="15">
        <f>IF(OR(F11="",F11=0),"",(E11-F11)/F11)</f>
        <v/>
      </c>
      <c r="I11" s="11" t="n"/>
    </row>
    <row r="12">
      <c r="A12" s="11" t="n"/>
      <c r="B12" s="11" t="n"/>
      <c r="C12" s="11" t="n"/>
      <c r="D12" s="11" t="n"/>
      <c r="E12" s="14" t="n"/>
      <c r="F12" s="14" t="n"/>
      <c r="G12" s="14">
        <f>IF(AND(E12="",F12=""),"",E12-F12)</f>
        <v/>
      </c>
      <c r="H12" s="15">
        <f>IF(OR(F12="",F12=0),"",(E12-F12)/F12)</f>
        <v/>
      </c>
      <c r="I12" s="11" t="n"/>
    </row>
    <row r="13">
      <c r="A13" s="11" t="n"/>
      <c r="B13" s="11" t="n"/>
      <c r="C13" s="11" t="n"/>
      <c r="D13" s="11" t="n"/>
      <c r="E13" s="14" t="n"/>
      <c r="F13" s="14" t="n"/>
      <c r="G13" s="14">
        <f>IF(AND(E13="",F13=""),"",E13-F13)</f>
        <v/>
      </c>
      <c r="H13" s="15">
        <f>IF(OR(F13="",F13=0),"",(E13-F13)/F13)</f>
        <v/>
      </c>
      <c r="I13" s="11" t="n"/>
    </row>
    <row r="14">
      <c r="A14" s="11" t="n"/>
      <c r="B14" s="11" t="n"/>
      <c r="C14" s="11" t="n"/>
      <c r="D14" s="11" t="n"/>
      <c r="E14" s="14" t="n"/>
      <c r="F14" s="14" t="n"/>
      <c r="G14" s="14">
        <f>IF(AND(E14="",F14=""),"",E14-F14)</f>
        <v/>
      </c>
      <c r="H14" s="15">
        <f>IF(OR(F14="",F14=0),"",(E14-F14)/F14)</f>
        <v/>
      </c>
      <c r="I14" s="11" t="n"/>
    </row>
    <row r="15">
      <c r="A15" s="11" t="n"/>
      <c r="B15" s="11" t="n"/>
      <c r="C15" s="11" t="n"/>
      <c r="D15" s="11" t="n"/>
      <c r="E15" s="14" t="n"/>
      <c r="F15" s="14" t="n"/>
      <c r="G15" s="14">
        <f>IF(AND(E15="",F15=""),"",E15-F15)</f>
        <v/>
      </c>
      <c r="H15" s="15">
        <f>IF(OR(F15="",F15=0),"",(E15-F15)/F15)</f>
        <v/>
      </c>
      <c r="I15" s="11" t="n"/>
    </row>
    <row r="16">
      <c r="A16" s="11" t="n"/>
      <c r="B16" s="11" t="n"/>
      <c r="C16" s="11" t="n"/>
      <c r="D16" s="11" t="n"/>
      <c r="E16" s="14" t="n"/>
      <c r="F16" s="14" t="n"/>
      <c r="G16" s="14">
        <f>IF(AND(E16="",F16=""),"",E16-F16)</f>
        <v/>
      </c>
      <c r="H16" s="15">
        <f>IF(OR(F16="",F16=0),"",(E16-F16)/F16)</f>
        <v/>
      </c>
      <c r="I16" s="11" t="n"/>
    </row>
    <row r="17">
      <c r="A17" s="16" t="inlineStr">
        <is>
          <t>Gross inventory</t>
        </is>
      </c>
      <c r="B17" s="16" t="n"/>
      <c r="C17" s="16" t="n"/>
      <c r="D17" s="16" t="n"/>
      <c r="E17" s="17">
        <f>SUM(E9:E16)</f>
        <v/>
      </c>
      <c r="F17" s="17">
        <f>SUM(F9:F16)</f>
        <v/>
      </c>
      <c r="G17" s="17">
        <f>SUM(G9:G16)</f>
        <v/>
      </c>
      <c r="H17" s="16" t="n"/>
      <c r="I17" s="16" t="n"/>
    </row>
    <row r="18">
      <c r="A18" s="11" t="inlineStr">
        <is>
          <t>Less: inventory reserve</t>
        </is>
      </c>
      <c r="B18" s="11" t="n"/>
      <c r="C18" s="11" t="n"/>
      <c r="D18" s="11" t="n"/>
      <c r="E18" s="14" t="n"/>
      <c r="F18" s="11" t="n"/>
      <c r="G18" s="11" t="n"/>
      <c r="H18" s="11" t="n"/>
      <c r="I18" s="11" t="n"/>
    </row>
    <row r="19">
      <c r="A19" s="18" t="inlineStr">
        <is>
          <t>Net inventory (= TB)</t>
        </is>
      </c>
      <c r="B19" s="11" t="n"/>
      <c r="C19" s="11" t="n"/>
      <c r="D19" s="11" t="n"/>
      <c r="E19" s="19">
        <f>E17-E18</f>
        <v/>
      </c>
      <c r="F19" s="11" t="n"/>
      <c r="G19" s="11" t="n"/>
      <c r="H19" s="11" t="n"/>
      <c r="I19" s="11" t="n"/>
    </row>
    <row r="20">
      <c r="A20" s="11" t="inlineStr">
        <is>
          <t>Net inventory per trial balance</t>
        </is>
      </c>
      <c r="B20" s="11" t="n"/>
      <c r="C20" s="11" t="n"/>
      <c r="D20" s="11" t="n"/>
      <c r="E20" s="14" t="n"/>
      <c r="F20" s="11" t="n"/>
      <c r="G20" s="11" t="n"/>
      <c r="H20" s="11" t="n"/>
      <c r="I20" s="11" t="n"/>
    </row>
    <row r="21">
      <c r="A21" s="18" t="inlineStr">
        <is>
          <t>Difference (should be 0)</t>
        </is>
      </c>
      <c r="B21" s="11" t="n"/>
      <c r="C21" s="11" t="n"/>
      <c r="D21" s="11" t="n"/>
      <c r="E21" s="19">
        <f>E19-E20</f>
        <v/>
      </c>
      <c r="F21" s="11" t="n"/>
      <c r="G21" s="11" t="n"/>
      <c r="H21" s="11" t="n"/>
      <c r="I21" s="11" t="n"/>
    </row>
    <row r="22"/>
    <row r="23" ht="27.75" customHeight="1" s="49">
      <c r="A23" s="3" t="inlineStr">
        <is>
          <t>Population control: only inventory GL accounts (13xx) may roll into this lead. Any P&amp;L account (e.g., 6001/6005) commingled in the client listing is excluded on &lt;.2&gt; and reclassified. Where more than one cost method appears within a category, flag the policy-consistency column and resolve on the Costing &amp; Valuation workpaper.</t>
        </is>
      </c>
    </row>
    <row r="24"/>
    <row r="25">
      <c r="A25" s="52" t="inlineStr">
        <is>
          <t>TM Legends</t>
        </is>
      </c>
    </row>
    <row r="26">
      <c r="A26" s="12" t="inlineStr">
        <is>
          <t>TB</t>
        </is>
      </c>
      <c r="B26" s="11" t="inlineStr">
        <is>
          <t>Agreed to trial balance</t>
        </is>
      </c>
      <c r="C26" s="54" t="n"/>
      <c r="D26" s="55" t="n"/>
    </row>
    <row r="27">
      <c r="A27" s="12" t="inlineStr">
        <is>
          <t>GL</t>
        </is>
      </c>
      <c r="B27" s="11" t="inlineStr">
        <is>
          <t>Agreed to general ledger</t>
        </is>
      </c>
      <c r="C27" s="54" t="n"/>
      <c r="D27" s="55" t="n"/>
    </row>
    <row r="28">
      <c r="A28" s="12" t="inlineStr">
        <is>
          <t>CF</t>
        </is>
      </c>
      <c r="B28" s="11" t="inlineStr">
        <is>
          <t>Confirmed with third party</t>
        </is>
      </c>
      <c r="C28" s="54" t="n"/>
      <c r="D28" s="55" t="n"/>
    </row>
    <row r="29">
      <c r="A29" s="12" t="inlineStr">
        <is>
          <t>V</t>
        </is>
      </c>
      <c r="B29" s="11" t="inlineStr">
        <is>
          <t>Vouched to source document</t>
        </is>
      </c>
      <c r="C29" s="54" t="n"/>
      <c r="D29" s="55" t="n"/>
    </row>
    <row r="30">
      <c r="A30" s="12" t="inlineStr">
        <is>
          <t>SR</t>
        </is>
      </c>
      <c r="B30" s="11" t="inlineStr">
        <is>
          <t>Agreed to subsequent bank-cleared receipt</t>
        </is>
      </c>
      <c r="C30" s="54" t="n"/>
      <c r="D30" s="55" t="n"/>
    </row>
    <row r="31">
      <c r="A31" s="12" t="inlineStr">
        <is>
          <t>R</t>
        </is>
      </c>
      <c r="B31" s="11" t="inlineStr">
        <is>
          <t>Recalculated independently</t>
        </is>
      </c>
      <c r="C31" s="54" t="n"/>
      <c r="D31" s="55" t="n"/>
    </row>
    <row r="32">
      <c r="A32" s="12" t="inlineStr">
        <is>
          <t>F</t>
        </is>
      </c>
      <c r="B32" s="11" t="inlineStr">
        <is>
          <t>Footed / cross-cast</t>
        </is>
      </c>
      <c r="C32" s="54" t="n"/>
      <c r="D32" s="55" t="n"/>
    </row>
    <row r="33">
      <c r="A33" s="12" t="inlineStr">
        <is>
          <t>T</t>
        </is>
      </c>
      <c r="B33" s="11" t="inlineStr">
        <is>
          <t>Traced to downstream record</t>
        </is>
      </c>
      <c r="C33" s="54" t="n"/>
      <c r="D33" s="55" t="n"/>
    </row>
    <row r="34">
      <c r="A34" s="12" t="inlineStr">
        <is>
          <t>PBC</t>
        </is>
      </c>
      <c r="B34" s="11" t="inlineStr">
        <is>
          <t>Prepared by client</t>
        </is>
      </c>
      <c r="C34" s="54" t="n"/>
      <c r="D34" s="55" t="n"/>
    </row>
    <row r="35"/>
    <row r="36" ht="27.75" customHeight="1" s="49">
      <c r="A36" s="3" t="inlineStr">
        <is>
          <t>Before sign-off complete Library Procedures 2-3 (lead tie-out; cost-method &amp; population-control flags).</t>
        </is>
      </c>
    </row>
  </sheetData>
  <mergeCells count="14">
    <mergeCell ref="B33:D33"/>
    <mergeCell ref="B28:D28"/>
    <mergeCell ref="B31:D31"/>
    <mergeCell ref="B6:I6"/>
    <mergeCell ref="A36:I36"/>
    <mergeCell ref="B32:D32"/>
    <mergeCell ref="B26:D26"/>
    <mergeCell ref="B27:D27"/>
    <mergeCell ref="A23:I23"/>
    <mergeCell ref="B5:I5"/>
    <mergeCell ref="B30:D30"/>
    <mergeCell ref="B29:D29"/>
    <mergeCell ref="B4:I4"/>
    <mergeCell ref="B34:D34"/>
  </mergeCells>
  <pageMargins left="0.3" right="0.3" top="0.4" bottom="0.4" header="0.2" footer="0.2"/>
  <pageSetup orientation="landscape" paperSize="1" fitToHeight="1" fitToWidth="1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42"/>
  <sheetViews>
    <sheetView showGridLines="0" zoomScale="85" zoomScaleNormal="100" workbookViewId="0">
      <selection activeCell="A4" sqref="A4:G6"/>
    </sheetView>
  </sheetViews>
  <sheetFormatPr baseColWidth="8" defaultColWidth="8.6328125" defaultRowHeight="14.5"/>
  <cols>
    <col width="30" customWidth="1" style="49" min="1" max="1"/>
    <col width="16" customWidth="1" style="49" min="2" max="3"/>
    <col width="14" customWidth="1" style="49" min="4" max="4"/>
    <col width="22" customWidth="1" style="49" min="5" max="5"/>
    <col width="15" customWidth="1" style="49" min="6" max="6"/>
    <col width="26" customWidth="1" style="49" min="7" max="7"/>
  </cols>
  <sheetData>
    <row r="1" ht="17.5" customHeight="1" s="49">
      <c r="A1" s="6" t="inlineStr">
        <is>
          <t>Inventory Reconciliation</t>
        </is>
      </c>
    </row>
    <row r="2">
      <c r="A2" s="7" t="inlineStr">
        <is>
          <t>Client / Entity</t>
        </is>
      </c>
      <c r="B2" s="8" t="inlineStr">
        <is>
          <t>[Client / Entity]</t>
        </is>
      </c>
      <c r="D2" s="7" t="inlineStr">
        <is>
          <t>Year-End</t>
        </is>
      </c>
      <c r="E2" s="8" t="inlineStr">
        <is>
          <t>[YYYY-MM-DD]</t>
        </is>
      </c>
      <c r="G2" s="7" t="inlineStr">
        <is>
          <t>Currency</t>
        </is>
      </c>
      <c r="H2" s="8" t="inlineStr">
        <is>
          <t>[CCY]</t>
        </is>
      </c>
    </row>
    <row r="3">
      <c r="A3" s="7" t="inlineStr">
        <is>
          <t>Performance Materiality</t>
        </is>
      </c>
      <c r="B3" s="8" t="inlineStr">
        <is>
          <t>[PM]</t>
        </is>
      </c>
      <c r="D3" s="7" t="inlineStr">
        <is>
          <t>Testing Threshold (SUM)</t>
        </is>
      </c>
      <c r="E3" s="8" t="inlineStr">
        <is>
          <t>[Threshold]</t>
        </is>
      </c>
    </row>
    <row r="4" ht="27.75" customHeight="1" s="49">
      <c r="A4" s="30" t="inlineStr">
        <is>
          <t>Purpose:</t>
        </is>
      </c>
      <c r="B4" s="31" t="inlineStr">
        <is>
          <t>Reconcile the perpetual listing / valuation report to the GL and trial balance by category, exclude non-inventory accounts, and prove completeness by rollforward.</t>
        </is>
      </c>
      <c r="C4" s="56" t="n"/>
      <c r="D4" s="56" t="n"/>
      <c r="E4" s="56" t="n"/>
      <c r="F4" s="56" t="n"/>
      <c r="G4" s="57" t="n"/>
    </row>
    <row r="5" ht="27.75" customHeight="1" s="49">
      <c r="A5" s="30" t="inlineStr">
        <is>
          <t>Scope:</t>
        </is>
      </c>
      <c r="B5" s="31" t="inlineStr">
        <is>
          <t>The full client listing (including any commingled P&amp;L accounts, which are isolated and excluded) and the inventory GL.</t>
        </is>
      </c>
      <c r="C5" s="56" t="n"/>
      <c r="D5" s="56" t="n"/>
      <c r="E5" s="56" t="n"/>
      <c r="F5" s="56" t="n"/>
      <c r="G5" s="57" t="n"/>
    </row>
    <row r="6" ht="15" customHeight="1" s="49">
      <c r="A6" s="30" t="inlineStr">
        <is>
          <t>Assertions:</t>
        </is>
      </c>
      <c r="B6" s="31" t="inlineStr">
        <is>
          <t>Completeness; Accuracy; Classification</t>
        </is>
      </c>
      <c r="C6" s="56" t="n"/>
      <c r="D6" s="56" t="n"/>
      <c r="E6" s="56" t="n"/>
      <c r="F6" s="56" t="n"/>
      <c r="G6" s="57" t="n"/>
    </row>
    <row r="7">
      <c r="A7" s="20" t="inlineStr">
        <is>
          <t>A. Listing-to-GL reconciliation by category</t>
        </is>
      </c>
    </row>
    <row r="8" ht="25.5" customHeight="1" s="49">
      <c r="A8" s="10" t="inlineStr">
        <is>
          <t>Category / GL account</t>
        </is>
      </c>
      <c r="B8" s="10" t="inlineStr">
        <is>
          <t>Per listing</t>
        </is>
      </c>
      <c r="C8" s="10" t="inlineStr">
        <is>
          <t>Per GL / TB</t>
        </is>
      </c>
      <c r="D8" s="10" t="inlineStr">
        <is>
          <t>Difference</t>
        </is>
      </c>
      <c r="E8" s="10" t="inlineStr">
        <is>
          <t>Reconciling / excluded items (describe)</t>
        </is>
      </c>
      <c r="F8" s="10" t="inlineStr">
        <is>
          <t>Excluded amount</t>
        </is>
      </c>
      <c r="G8" s="10" t="inlineStr">
        <is>
          <t>Comments</t>
        </is>
      </c>
    </row>
    <row r="9">
      <c r="B9" s="13" t="inlineStr">
        <is>
          <t>PBC</t>
        </is>
      </c>
      <c r="C9" s="13" t="inlineStr">
        <is>
          <t>TB</t>
        </is>
      </c>
      <c r="D9" s="13" t="inlineStr">
        <is>
          <t>R</t>
        </is>
      </c>
    </row>
    <row r="10">
      <c r="A10" s="11" t="n"/>
      <c r="B10" s="14" t="n"/>
      <c r="C10" s="14" t="n"/>
      <c r="D10" s="14">
        <f>IF(AND(B10="",C10=""),"",B10-C10)</f>
        <v/>
      </c>
      <c r="E10" s="11" t="n"/>
      <c r="F10" s="14" t="n"/>
      <c r="G10" s="11" t="n"/>
    </row>
    <row r="11">
      <c r="A11" s="11" t="n"/>
      <c r="B11" s="14" t="n"/>
      <c r="C11" s="14" t="n"/>
      <c r="D11" s="14">
        <f>IF(AND(B11="",C11=""),"",B11-C11)</f>
        <v/>
      </c>
      <c r="E11" s="11" t="n"/>
      <c r="F11" s="14" t="n"/>
      <c r="G11" s="11" t="n"/>
    </row>
    <row r="12">
      <c r="A12" s="11" t="n"/>
      <c r="B12" s="14" t="n"/>
      <c r="C12" s="14" t="n"/>
      <c r="D12" s="14">
        <f>IF(AND(B12="",C12=""),"",B12-C12)</f>
        <v/>
      </c>
      <c r="E12" s="11" t="n"/>
      <c r="F12" s="14" t="n"/>
      <c r="G12" s="11" t="n"/>
    </row>
    <row r="13">
      <c r="A13" s="11" t="n"/>
      <c r="B13" s="14" t="n"/>
      <c r="C13" s="14" t="n"/>
      <c r="D13" s="14">
        <f>IF(AND(B13="",C13=""),"",B13-C13)</f>
        <v/>
      </c>
      <c r="E13" s="11" t="n"/>
      <c r="F13" s="14" t="n"/>
      <c r="G13" s="11" t="n"/>
    </row>
    <row r="14">
      <c r="A14" s="11" t="n"/>
      <c r="B14" s="14" t="n"/>
      <c r="C14" s="14" t="n"/>
      <c r="D14" s="14">
        <f>IF(AND(B14="",C14=""),"",B14-C14)</f>
        <v/>
      </c>
      <c r="E14" s="11" t="n"/>
      <c r="F14" s="14" t="n"/>
      <c r="G14" s="11" t="n"/>
    </row>
    <row r="15">
      <c r="A15" s="11" t="n"/>
      <c r="B15" s="14" t="n"/>
      <c r="C15" s="14" t="n"/>
      <c r="D15" s="14">
        <f>IF(AND(B15="",C15=""),"",B15-C15)</f>
        <v/>
      </c>
      <c r="E15" s="11" t="n"/>
      <c r="F15" s="14" t="n"/>
      <c r="G15" s="11" t="n"/>
    </row>
    <row r="16">
      <c r="A16" s="11" t="n"/>
      <c r="B16" s="14" t="n"/>
      <c r="C16" s="14" t="n"/>
      <c r="D16" s="14">
        <f>IF(AND(B16="",C16=""),"",B16-C16)</f>
        <v/>
      </c>
      <c r="E16" s="11" t="n"/>
      <c r="F16" s="14" t="n"/>
      <c r="G16" s="11" t="n"/>
    </row>
    <row r="17">
      <c r="A17" s="16" t="inlineStr">
        <is>
          <t>Total</t>
        </is>
      </c>
      <c r="B17" s="17">
        <f>SUM(B10:B16)</f>
        <v/>
      </c>
      <c r="C17" s="17">
        <f>SUM(C10:C16)</f>
        <v/>
      </c>
      <c r="D17" s="17">
        <f>SUM(D10:D16)</f>
        <v/>
      </c>
      <c r="E17" s="16" t="n"/>
      <c r="F17" s="17">
        <f>SUM(F10:F16)</f>
        <v/>
      </c>
      <c r="G17" s="16" t="n"/>
    </row>
    <row r="18"/>
    <row r="19">
      <c r="A19" s="20" t="inlineStr">
        <is>
          <t>B. Completeness rollforward (opening + purchases − relief = closing)</t>
        </is>
      </c>
    </row>
    <row r="20"/>
    <row r="21">
      <c r="A21" s="11" t="inlineStr">
        <is>
          <t>Opening inventory (= PY TB)</t>
        </is>
      </c>
      <c r="B21" s="14" t="n"/>
    </row>
    <row r="22">
      <c r="A22" s="11" t="inlineStr">
        <is>
          <t>Add: purchases / production input (per purchase listing)</t>
        </is>
      </c>
      <c r="B22" s="14" t="n"/>
    </row>
    <row r="23">
      <c r="A23" s="11" t="inlineStr">
        <is>
          <t>Less: relief to COGS / cost of sales</t>
        </is>
      </c>
      <c r="B23" s="14" t="n"/>
    </row>
    <row r="24">
      <c r="A24" s="11" t="inlineStr">
        <is>
          <t>Add/(less): adjustments / write-offs / count corrections</t>
        </is>
      </c>
      <c r="B24" s="14" t="n"/>
    </row>
    <row r="25">
      <c r="A25" s="18" t="inlineStr">
        <is>
          <t>Expected closing inventory</t>
        </is>
      </c>
      <c r="B25" s="19">
        <f>B21+B22-B23+B24</f>
        <v/>
      </c>
    </row>
    <row r="26">
      <c r="A26" s="11" t="inlineStr">
        <is>
          <t>Closing inventory per listing / TB</t>
        </is>
      </c>
      <c r="B26" s="14" t="n"/>
    </row>
    <row r="27">
      <c r="A27" s="18" t="inlineStr">
        <is>
          <t>Difference (investigate)</t>
        </is>
      </c>
      <c r="B27" s="19">
        <f>B25-B26</f>
        <v/>
      </c>
    </row>
    <row r="28"/>
    <row r="29" ht="27.75" customHeight="1" s="49">
      <c r="A29" s="3" t="inlineStr">
        <is>
          <t>The rollforward proves the purchase listing is complete against the inventory movement: opening + purchases − relief ± adjustments must equal closing. The purchases figure here ties to the purchase listing tested on &lt;.6&gt;; relief ties to COGS.</t>
        </is>
      </c>
    </row>
    <row r="30"/>
    <row r="31">
      <c r="A31" s="52" t="inlineStr">
        <is>
          <t>TM Legends</t>
        </is>
      </c>
    </row>
    <row r="32">
      <c r="A32" s="12" t="inlineStr">
        <is>
          <t>TB</t>
        </is>
      </c>
      <c r="B32" s="11" t="inlineStr">
        <is>
          <t>Agreed to trial balance</t>
        </is>
      </c>
      <c r="C32" s="54" t="n"/>
      <c r="D32" s="55" t="n"/>
    </row>
    <row r="33">
      <c r="A33" s="12" t="inlineStr">
        <is>
          <t>GL</t>
        </is>
      </c>
      <c r="B33" s="11" t="inlineStr">
        <is>
          <t>Agreed to general ledger</t>
        </is>
      </c>
      <c r="C33" s="54" t="n"/>
      <c r="D33" s="55" t="n"/>
    </row>
    <row r="34">
      <c r="A34" s="12" t="inlineStr">
        <is>
          <t>CF</t>
        </is>
      </c>
      <c r="B34" s="11" t="inlineStr">
        <is>
          <t>Confirmed with third party</t>
        </is>
      </c>
      <c r="C34" s="54" t="n"/>
      <c r="D34" s="55" t="n"/>
    </row>
    <row r="35">
      <c r="A35" s="12" t="inlineStr">
        <is>
          <t>V</t>
        </is>
      </c>
      <c r="B35" s="11" t="inlineStr">
        <is>
          <t>Vouched to source document</t>
        </is>
      </c>
      <c r="C35" s="54" t="n"/>
      <c r="D35" s="55" t="n"/>
    </row>
    <row r="36">
      <c r="A36" s="12" t="inlineStr">
        <is>
          <t>SR</t>
        </is>
      </c>
      <c r="B36" s="11" t="inlineStr">
        <is>
          <t>Agreed to subsequent bank-cleared receipt</t>
        </is>
      </c>
      <c r="C36" s="54" t="n"/>
      <c r="D36" s="55" t="n"/>
    </row>
    <row r="37">
      <c r="A37" s="12" t="inlineStr">
        <is>
          <t>R</t>
        </is>
      </c>
      <c r="B37" s="11" t="inlineStr">
        <is>
          <t>Recalculated independently</t>
        </is>
      </c>
      <c r="C37" s="54" t="n"/>
      <c r="D37" s="55" t="n"/>
    </row>
    <row r="38">
      <c r="A38" s="12" t="inlineStr">
        <is>
          <t>F</t>
        </is>
      </c>
      <c r="B38" s="11" t="inlineStr">
        <is>
          <t>Footed / cross-cast</t>
        </is>
      </c>
      <c r="C38" s="54" t="n"/>
      <c r="D38" s="55" t="n"/>
    </row>
    <row r="39">
      <c r="A39" s="12" t="inlineStr">
        <is>
          <t>T</t>
        </is>
      </c>
      <c r="B39" s="11" t="inlineStr">
        <is>
          <t>Traced to downstream record</t>
        </is>
      </c>
      <c r="C39" s="54" t="n"/>
      <c r="D39" s="55" t="n"/>
    </row>
    <row r="40">
      <c r="A40" s="12" t="inlineStr">
        <is>
          <t>PBC</t>
        </is>
      </c>
      <c r="B40" s="11" t="inlineStr">
        <is>
          <t>Prepared by client</t>
        </is>
      </c>
      <c r="C40" s="54" t="n"/>
      <c r="D40" s="55" t="n"/>
    </row>
    <row r="41"/>
    <row r="42" ht="27.75" customHeight="1" s="49">
      <c r="A42" s="3" t="inlineStr">
        <is>
          <t>Before sign-off complete Library Procedures 4-5 (listing-to-GL reconciliation &amp; exclusions; completeness rollforward).</t>
        </is>
      </c>
    </row>
  </sheetData>
  <mergeCells count="14">
    <mergeCell ref="B33:D33"/>
    <mergeCell ref="B36:D36"/>
    <mergeCell ref="B37:D37"/>
    <mergeCell ref="B5:G5"/>
    <mergeCell ref="B35:D35"/>
    <mergeCell ref="B32:D32"/>
    <mergeCell ref="B40:D40"/>
    <mergeCell ref="B4:G4"/>
    <mergeCell ref="A29:G29"/>
    <mergeCell ref="A42:G42"/>
    <mergeCell ref="B39:D39"/>
    <mergeCell ref="B38:D38"/>
    <mergeCell ref="B34:D34"/>
    <mergeCell ref="B6:G6"/>
  </mergeCells>
  <pageMargins left="0.3" right="0.3" top="0.4" bottom="0.4" header="0.2" footer="0.2"/>
  <pageSetup orientation="portrait" paperSize="1" fitToHeight="1" fitToWidth="1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90"/>
  <sheetViews>
    <sheetView showGridLines="0" zoomScale="85" zoomScaleNormal="100" workbookViewId="0">
      <selection activeCell="A4" sqref="A4"/>
    </sheetView>
  </sheetViews>
  <sheetFormatPr baseColWidth="8" defaultColWidth="8.6328125" defaultRowHeight="14.5"/>
  <cols>
    <col width="21.90625" bestFit="1" customWidth="1" style="49" min="1" max="1"/>
    <col width="14" customWidth="1" style="49" min="2" max="2"/>
    <col width="24" customWidth="1" style="49" min="3" max="3"/>
    <col width="13" customWidth="1" style="49" min="4" max="4"/>
    <col width="12" customWidth="1" style="49" min="5" max="6"/>
    <col width="11" customWidth="1" style="49" min="7" max="7"/>
    <col width="13" customWidth="1" style="49" min="8" max="8"/>
    <col width="26" customWidth="1" style="49" min="9" max="9"/>
  </cols>
  <sheetData>
    <row r="1" ht="17.5" customHeight="1" s="49">
      <c r="A1" s="6" t="inlineStr">
        <is>
          <t>Physical Count — Two-Direction Testing</t>
        </is>
      </c>
    </row>
    <row r="2">
      <c r="A2" s="7" t="inlineStr">
        <is>
          <t>Client / Entity</t>
        </is>
      </c>
      <c r="B2" s="8" t="inlineStr">
        <is>
          <t>[Client / Entity]</t>
        </is>
      </c>
      <c r="D2" s="7" t="inlineStr">
        <is>
          <t>Year-End</t>
        </is>
      </c>
      <c r="E2" s="8" t="inlineStr">
        <is>
          <t>[YYYY-MM-DD]</t>
        </is>
      </c>
      <c r="G2" s="7" t="inlineStr">
        <is>
          <t>Currency</t>
        </is>
      </c>
      <c r="H2" s="8" t="inlineStr">
        <is>
          <t>[CCY]</t>
        </is>
      </c>
    </row>
    <row r="3">
      <c r="A3" s="7" t="inlineStr">
        <is>
          <t>Performance Materiality</t>
        </is>
      </c>
      <c r="B3" s="8" t="inlineStr">
        <is>
          <t>[PM]</t>
        </is>
      </c>
      <c r="D3" s="7" t="inlineStr">
        <is>
          <t>Testing Threshold (SUM)</t>
        </is>
      </c>
      <c r="E3" s="8" t="inlineStr">
        <is>
          <t>[Threshold]</t>
        </is>
      </c>
    </row>
    <row r="4" ht="27.75" customHeight="1" s="49">
      <c r="A4" s="30" t="inlineStr">
        <is>
          <t>Purpose:</t>
        </is>
      </c>
      <c r="B4" s="31" t="inlineStr">
        <is>
          <t>Test the physical count in both directions: existence (listing → floor) and completeness (floor → listing), at least 30 selections each direction.</t>
        </is>
      </c>
      <c r="C4" s="56" t="n"/>
      <c r="D4" s="56" t="n"/>
      <c r="E4" s="56" t="n"/>
      <c r="F4" s="56" t="n"/>
      <c r="G4" s="56" t="n"/>
      <c r="H4" s="56" t="n"/>
      <c r="I4" s="57" t="n"/>
    </row>
    <row r="5" ht="27.75" customHeight="1" s="49">
      <c r="A5" s="30" t="inlineStr">
        <is>
          <t>Scope:</t>
        </is>
      </c>
      <c r="B5" s="31" t="inlineStr">
        <is>
          <t>The physical count (observed or client-performed with auditor test counts). Sample floor: 30 items per direction regardless of population.</t>
        </is>
      </c>
      <c r="C5" s="56" t="n"/>
      <c r="D5" s="56" t="n"/>
      <c r="E5" s="56" t="n"/>
      <c r="F5" s="56" t="n"/>
      <c r="G5" s="56" t="n"/>
      <c r="H5" s="56" t="n"/>
      <c r="I5" s="57" t="n"/>
    </row>
    <row r="6" ht="15" customHeight="1" s="49">
      <c r="A6" s="30" t="inlineStr">
        <is>
          <t>Assertions:</t>
        </is>
      </c>
      <c r="B6" s="31" t="inlineStr">
        <is>
          <t>Existence; Completeness; Accuracy</t>
        </is>
      </c>
      <c r="C6" s="56" t="n"/>
      <c r="D6" s="56" t="n"/>
      <c r="E6" s="56" t="n"/>
      <c r="F6" s="56" t="n"/>
      <c r="G6" s="56" t="n"/>
      <c r="H6" s="56" t="n"/>
      <c r="I6" s="57" t="n"/>
    </row>
    <row r="7">
      <c r="A7" s="20" t="inlineStr">
        <is>
          <t>A. Existence — from the LISTING to the FLOOR (≥ 30 selections)</t>
        </is>
      </c>
    </row>
    <row r="8" ht="25.5" customHeight="1" s="49">
      <c r="A8" s="10" t="inlineStr">
        <is>
          <t>Sel #</t>
        </is>
      </c>
      <c r="B8" s="10" t="inlineStr">
        <is>
          <t>Item / SKU</t>
        </is>
      </c>
      <c r="C8" s="10" t="inlineStr">
        <is>
          <t>Description</t>
        </is>
      </c>
      <c r="D8" s="10" t="inlineStr">
        <is>
          <t>Location / bin</t>
        </is>
      </c>
      <c r="E8" s="10" t="inlineStr">
        <is>
          <t>Qty per listing</t>
        </is>
      </c>
      <c r="F8" s="10" t="inlineStr">
        <is>
          <t>Qty counted (floor)</t>
        </is>
      </c>
      <c r="G8" s="10" t="inlineStr">
        <is>
          <t>Difference</t>
        </is>
      </c>
      <c r="H8" s="10" t="inlineStr">
        <is>
          <t>Resolved (Y/N)</t>
        </is>
      </c>
      <c r="I8" s="10" t="inlineStr">
        <is>
          <t>Comments</t>
        </is>
      </c>
    </row>
    <row r="9">
      <c r="E9" s="13" t="inlineStr">
        <is>
          <t>PBC</t>
        </is>
      </c>
      <c r="F9" s="13" t="inlineStr">
        <is>
          <t>V</t>
        </is>
      </c>
      <c r="G9" s="13" t="inlineStr">
        <is>
          <t>R</t>
        </is>
      </c>
    </row>
    <row r="10">
      <c r="A10" s="21" t="n">
        <v>1</v>
      </c>
      <c r="B10" s="11" t="n"/>
      <c r="C10" s="11" t="n"/>
      <c r="D10" s="11" t="n"/>
      <c r="E10" s="22" t="n"/>
      <c r="F10" s="22" t="n"/>
      <c r="G10" s="22">
        <f>IF(AND(E10="",F10=""),"",E10-F10)</f>
        <v/>
      </c>
      <c r="H10" s="11" t="n"/>
      <c r="I10" s="11" t="n"/>
    </row>
    <row r="11">
      <c r="A11" s="21" t="n">
        <v>2</v>
      </c>
      <c r="B11" s="11" t="n"/>
      <c r="C11" s="11" t="n"/>
      <c r="D11" s="11" t="n"/>
      <c r="E11" s="22" t="n"/>
      <c r="F11" s="22" t="n"/>
      <c r="G11" s="22">
        <f>IF(AND(E11="",F11=""),"",E11-F11)</f>
        <v/>
      </c>
      <c r="H11" s="11" t="n"/>
      <c r="I11" s="11" t="n"/>
    </row>
    <row r="12">
      <c r="A12" s="21" t="n">
        <v>3</v>
      </c>
      <c r="B12" s="11" t="n"/>
      <c r="C12" s="11" t="n"/>
      <c r="D12" s="11" t="n"/>
      <c r="E12" s="22" t="n"/>
      <c r="F12" s="22" t="n"/>
      <c r="G12" s="22">
        <f>IF(AND(E12="",F12=""),"",E12-F12)</f>
        <v/>
      </c>
      <c r="H12" s="11" t="n"/>
      <c r="I12" s="11" t="n"/>
    </row>
    <row r="13">
      <c r="A13" s="21" t="n">
        <v>4</v>
      </c>
      <c r="B13" s="11" t="n"/>
      <c r="C13" s="11" t="n"/>
      <c r="D13" s="11" t="n"/>
      <c r="E13" s="22" t="n"/>
      <c r="F13" s="22" t="n"/>
      <c r="G13" s="22">
        <f>IF(AND(E13="",F13=""),"",E13-F13)</f>
        <v/>
      </c>
      <c r="H13" s="11" t="n"/>
      <c r="I13" s="11" t="n"/>
    </row>
    <row r="14">
      <c r="A14" s="21" t="n">
        <v>5</v>
      </c>
      <c r="B14" s="11" t="n"/>
      <c r="C14" s="11" t="n"/>
      <c r="D14" s="11" t="n"/>
      <c r="E14" s="22" t="n"/>
      <c r="F14" s="22" t="n"/>
      <c r="G14" s="22">
        <f>IF(AND(E14="",F14=""),"",E14-F14)</f>
        <v/>
      </c>
      <c r="H14" s="11" t="n"/>
      <c r="I14" s="11" t="n"/>
    </row>
    <row r="15">
      <c r="A15" s="21" t="n">
        <v>6</v>
      </c>
      <c r="B15" s="11" t="n"/>
      <c r="C15" s="11" t="n"/>
      <c r="D15" s="11" t="n"/>
      <c r="E15" s="22" t="n"/>
      <c r="F15" s="22" t="n"/>
      <c r="G15" s="22">
        <f>IF(AND(E15="",F15=""),"",E15-F15)</f>
        <v/>
      </c>
      <c r="H15" s="11" t="n"/>
      <c r="I15" s="11" t="n"/>
    </row>
    <row r="16">
      <c r="A16" s="21" t="n">
        <v>7</v>
      </c>
      <c r="B16" s="11" t="n"/>
      <c r="C16" s="11" t="n"/>
      <c r="D16" s="11" t="n"/>
      <c r="E16" s="22" t="n"/>
      <c r="F16" s="22" t="n"/>
      <c r="G16" s="22">
        <f>IF(AND(E16="",F16=""),"",E16-F16)</f>
        <v/>
      </c>
      <c r="H16" s="11" t="n"/>
      <c r="I16" s="11" t="n"/>
    </row>
    <row r="17">
      <c r="A17" s="21" t="n">
        <v>8</v>
      </c>
      <c r="B17" s="11" t="n"/>
      <c r="C17" s="11" t="n"/>
      <c r="D17" s="11" t="n"/>
      <c r="E17" s="22" t="n"/>
      <c r="F17" s="22" t="n"/>
      <c r="G17" s="22">
        <f>IF(AND(E17="",F17=""),"",E17-F17)</f>
        <v/>
      </c>
      <c r="H17" s="11" t="n"/>
      <c r="I17" s="11" t="n"/>
    </row>
    <row r="18">
      <c r="A18" s="21" t="n">
        <v>9</v>
      </c>
      <c r="B18" s="11" t="n"/>
      <c r="C18" s="11" t="n"/>
      <c r="D18" s="11" t="n"/>
      <c r="E18" s="22" t="n"/>
      <c r="F18" s="22" t="n"/>
      <c r="G18" s="22">
        <f>IF(AND(E18="",F18=""),"",E18-F18)</f>
        <v/>
      </c>
      <c r="H18" s="11" t="n"/>
      <c r="I18" s="11" t="n"/>
    </row>
    <row r="19">
      <c r="A19" s="21" t="n">
        <v>10</v>
      </c>
      <c r="B19" s="11" t="n"/>
      <c r="C19" s="11" t="n"/>
      <c r="D19" s="11" t="n"/>
      <c r="E19" s="22" t="n"/>
      <c r="F19" s="22" t="n"/>
      <c r="G19" s="22">
        <f>IF(AND(E19="",F19=""),"",E19-F19)</f>
        <v/>
      </c>
      <c r="H19" s="11" t="n"/>
      <c r="I19" s="11" t="n"/>
    </row>
    <row r="20">
      <c r="A20" s="21" t="n">
        <v>11</v>
      </c>
      <c r="B20" s="11" t="n"/>
      <c r="C20" s="11" t="n"/>
      <c r="D20" s="11" t="n"/>
      <c r="E20" s="22" t="n"/>
      <c r="F20" s="22" t="n"/>
      <c r="G20" s="22">
        <f>IF(AND(E20="",F20=""),"",E20-F20)</f>
        <v/>
      </c>
      <c r="H20" s="11" t="n"/>
      <c r="I20" s="11" t="n"/>
    </row>
    <row r="21">
      <c r="A21" s="21" t="n">
        <v>12</v>
      </c>
      <c r="B21" s="11" t="n"/>
      <c r="C21" s="11" t="n"/>
      <c r="D21" s="11" t="n"/>
      <c r="E21" s="22" t="n"/>
      <c r="F21" s="22" t="n"/>
      <c r="G21" s="22">
        <f>IF(AND(E21="",F21=""),"",E21-F21)</f>
        <v/>
      </c>
      <c r="H21" s="11" t="n"/>
      <c r="I21" s="11" t="n"/>
    </row>
    <row r="22">
      <c r="A22" s="21" t="n">
        <v>13</v>
      </c>
      <c r="B22" s="11" t="n"/>
      <c r="C22" s="11" t="n"/>
      <c r="D22" s="11" t="n"/>
      <c r="E22" s="22" t="n"/>
      <c r="F22" s="22" t="n"/>
      <c r="G22" s="22">
        <f>IF(AND(E22="",F22=""),"",E22-F22)</f>
        <v/>
      </c>
      <c r="H22" s="11" t="n"/>
      <c r="I22" s="11" t="n"/>
    </row>
    <row r="23">
      <c r="A23" s="21" t="n">
        <v>14</v>
      </c>
      <c r="B23" s="11" t="n"/>
      <c r="C23" s="11" t="n"/>
      <c r="D23" s="11" t="n"/>
      <c r="E23" s="22" t="n"/>
      <c r="F23" s="22" t="n"/>
      <c r="G23" s="22">
        <f>IF(AND(E23="",F23=""),"",E23-F23)</f>
        <v/>
      </c>
      <c r="H23" s="11" t="n"/>
      <c r="I23" s="11" t="n"/>
    </row>
    <row r="24">
      <c r="A24" s="21" t="n">
        <v>15</v>
      </c>
      <c r="B24" s="11" t="n"/>
      <c r="C24" s="11" t="n"/>
      <c r="D24" s="11" t="n"/>
      <c r="E24" s="22" t="n"/>
      <c r="F24" s="22" t="n"/>
      <c r="G24" s="22">
        <f>IF(AND(E24="",F24=""),"",E24-F24)</f>
        <v/>
      </c>
      <c r="H24" s="11" t="n"/>
      <c r="I24" s="11" t="n"/>
    </row>
    <row r="25">
      <c r="A25" s="21" t="n">
        <v>16</v>
      </c>
      <c r="B25" s="11" t="n"/>
      <c r="C25" s="11" t="n"/>
      <c r="D25" s="11" t="n"/>
      <c r="E25" s="22" t="n"/>
      <c r="F25" s="22" t="n"/>
      <c r="G25" s="22">
        <f>IF(AND(E25="",F25=""),"",E25-F25)</f>
        <v/>
      </c>
      <c r="H25" s="11" t="n"/>
      <c r="I25" s="11" t="n"/>
    </row>
    <row r="26">
      <c r="A26" s="21" t="n">
        <v>17</v>
      </c>
      <c r="B26" s="11" t="n"/>
      <c r="C26" s="11" t="n"/>
      <c r="D26" s="11" t="n"/>
      <c r="E26" s="22" t="n"/>
      <c r="F26" s="22" t="n"/>
      <c r="G26" s="22">
        <f>IF(AND(E26="",F26=""),"",E26-F26)</f>
        <v/>
      </c>
      <c r="H26" s="11" t="n"/>
      <c r="I26" s="11" t="n"/>
    </row>
    <row r="27">
      <c r="A27" s="21" t="n">
        <v>18</v>
      </c>
      <c r="B27" s="11" t="n"/>
      <c r="C27" s="11" t="n"/>
      <c r="D27" s="11" t="n"/>
      <c r="E27" s="22" t="n"/>
      <c r="F27" s="22" t="n"/>
      <c r="G27" s="22">
        <f>IF(AND(E27="",F27=""),"",E27-F27)</f>
        <v/>
      </c>
      <c r="H27" s="11" t="n"/>
      <c r="I27" s="11" t="n"/>
    </row>
    <row r="28">
      <c r="A28" s="21" t="n">
        <v>19</v>
      </c>
      <c r="B28" s="11" t="n"/>
      <c r="C28" s="11" t="n"/>
      <c r="D28" s="11" t="n"/>
      <c r="E28" s="22" t="n"/>
      <c r="F28" s="22" t="n"/>
      <c r="G28" s="22">
        <f>IF(AND(E28="",F28=""),"",E28-F28)</f>
        <v/>
      </c>
      <c r="H28" s="11" t="n"/>
      <c r="I28" s="11" t="n"/>
    </row>
    <row r="29">
      <c r="A29" s="21" t="n">
        <v>20</v>
      </c>
      <c r="B29" s="11" t="n"/>
      <c r="C29" s="11" t="n"/>
      <c r="D29" s="11" t="n"/>
      <c r="E29" s="22" t="n"/>
      <c r="F29" s="22" t="n"/>
      <c r="G29" s="22">
        <f>IF(AND(E29="",F29=""),"",E29-F29)</f>
        <v/>
      </c>
      <c r="H29" s="11" t="n"/>
      <c r="I29" s="11" t="n"/>
    </row>
    <row r="30">
      <c r="A30" s="21" t="n">
        <v>21</v>
      </c>
      <c r="B30" s="11" t="n"/>
      <c r="C30" s="11" t="n"/>
      <c r="D30" s="11" t="n"/>
      <c r="E30" s="22" t="n"/>
      <c r="F30" s="22" t="n"/>
      <c r="G30" s="22">
        <f>IF(AND(E30="",F30=""),"",E30-F30)</f>
        <v/>
      </c>
      <c r="H30" s="11" t="n"/>
      <c r="I30" s="11" t="n"/>
    </row>
    <row r="31">
      <c r="A31" s="21" t="n">
        <v>22</v>
      </c>
      <c r="B31" s="11" t="n"/>
      <c r="C31" s="11" t="n"/>
      <c r="D31" s="11" t="n"/>
      <c r="E31" s="22" t="n"/>
      <c r="F31" s="22" t="n"/>
      <c r="G31" s="22">
        <f>IF(AND(E31="",F31=""),"",E31-F31)</f>
        <v/>
      </c>
      <c r="H31" s="11" t="n"/>
      <c r="I31" s="11" t="n"/>
    </row>
    <row r="32">
      <c r="A32" s="21" t="n">
        <v>23</v>
      </c>
      <c r="B32" s="11" t="n"/>
      <c r="C32" s="11" t="n"/>
      <c r="D32" s="11" t="n"/>
      <c r="E32" s="22" t="n"/>
      <c r="F32" s="22" t="n"/>
      <c r="G32" s="22">
        <f>IF(AND(E32="",F32=""),"",E32-F32)</f>
        <v/>
      </c>
      <c r="H32" s="11" t="n"/>
      <c r="I32" s="11" t="n"/>
    </row>
    <row r="33">
      <c r="A33" s="21" t="n">
        <v>24</v>
      </c>
      <c r="B33" s="11" t="n"/>
      <c r="C33" s="11" t="n"/>
      <c r="D33" s="11" t="n"/>
      <c r="E33" s="22" t="n"/>
      <c r="F33" s="22" t="n"/>
      <c r="G33" s="22">
        <f>IF(AND(E33="",F33=""),"",E33-F33)</f>
        <v/>
      </c>
      <c r="H33" s="11" t="n"/>
      <c r="I33" s="11" t="n"/>
    </row>
    <row r="34">
      <c r="A34" s="21" t="n">
        <v>25</v>
      </c>
      <c r="B34" s="11" t="n"/>
      <c r="C34" s="11" t="n"/>
      <c r="D34" s="11" t="n"/>
      <c r="E34" s="22" t="n"/>
      <c r="F34" s="22" t="n"/>
      <c r="G34" s="22">
        <f>IF(AND(E34="",F34=""),"",E34-F34)</f>
        <v/>
      </c>
      <c r="H34" s="11" t="n"/>
      <c r="I34" s="11" t="n"/>
    </row>
    <row r="35">
      <c r="A35" s="21" t="n">
        <v>26</v>
      </c>
      <c r="B35" s="11" t="n"/>
      <c r="C35" s="11" t="n"/>
      <c r="D35" s="11" t="n"/>
      <c r="E35" s="22" t="n"/>
      <c r="F35" s="22" t="n"/>
      <c r="G35" s="22">
        <f>IF(AND(E35="",F35=""),"",E35-F35)</f>
        <v/>
      </c>
      <c r="H35" s="11" t="n"/>
      <c r="I35" s="11" t="n"/>
    </row>
    <row r="36">
      <c r="A36" s="21" t="n">
        <v>27</v>
      </c>
      <c r="B36" s="11" t="n"/>
      <c r="C36" s="11" t="n"/>
      <c r="D36" s="11" t="n"/>
      <c r="E36" s="22" t="n"/>
      <c r="F36" s="22" t="n"/>
      <c r="G36" s="22">
        <f>IF(AND(E36="",F36=""),"",E36-F36)</f>
        <v/>
      </c>
      <c r="H36" s="11" t="n"/>
      <c r="I36" s="11" t="n"/>
    </row>
    <row r="37">
      <c r="A37" s="21" t="n">
        <v>28</v>
      </c>
      <c r="B37" s="11" t="n"/>
      <c r="C37" s="11" t="n"/>
      <c r="D37" s="11" t="n"/>
      <c r="E37" s="22" t="n"/>
      <c r="F37" s="22" t="n"/>
      <c r="G37" s="22">
        <f>IF(AND(E37="",F37=""),"",E37-F37)</f>
        <v/>
      </c>
      <c r="H37" s="11" t="n"/>
      <c r="I37" s="11" t="n"/>
    </row>
    <row r="38">
      <c r="A38" s="21" t="n">
        <v>29</v>
      </c>
      <c r="B38" s="11" t="n"/>
      <c r="C38" s="11" t="n"/>
      <c r="D38" s="11" t="n"/>
      <c r="E38" s="22" t="n"/>
      <c r="F38" s="22" t="n"/>
      <c r="G38" s="22">
        <f>IF(AND(E38="",F38=""),"",E38-F38)</f>
        <v/>
      </c>
      <c r="H38" s="11" t="n"/>
      <c r="I38" s="11" t="n"/>
    </row>
    <row r="39">
      <c r="A39" s="21" t="n">
        <v>30</v>
      </c>
      <c r="B39" s="11" t="n"/>
      <c r="C39" s="11" t="n"/>
      <c r="D39" s="11" t="n"/>
      <c r="E39" s="22" t="n"/>
      <c r="F39" s="22" t="n"/>
      <c r="G39" s="22">
        <f>IF(AND(E39="",F39=""),"",E39-F39)</f>
        <v/>
      </c>
      <c r="H39" s="11" t="n"/>
      <c r="I39" s="11" t="n"/>
    </row>
    <row r="40">
      <c r="A40" s="23" t="inlineStr">
        <is>
          <t>Count of exceptions (existence)</t>
        </is>
      </c>
      <c r="B40" s="54" t="n"/>
      <c r="C40" s="54" t="n"/>
      <c r="D40" s="55" t="n"/>
      <c r="E40" s="24">
        <f>COUNTIF(G10:G39,"&lt;&gt;0")-COUNTBLANK(G10:G39)</f>
        <v/>
      </c>
      <c r="F40" s="23" t="n"/>
      <c r="G40" s="23" t="n"/>
      <c r="H40" s="23" t="n"/>
      <c r="I40" s="23" t="n"/>
    </row>
    <row r="41"/>
    <row r="42">
      <c r="A42" s="20" t="inlineStr">
        <is>
          <t>B. Completeness — from the FLOOR to the LISTING (≥ 30 selections)</t>
        </is>
      </c>
    </row>
    <row r="43" ht="30" customHeight="1" s="49">
      <c r="A43" s="10" t="inlineStr">
        <is>
          <t>Sel #</t>
        </is>
      </c>
      <c r="B43" s="10" t="inlineStr">
        <is>
          <t>Tag / count sheet #</t>
        </is>
      </c>
      <c r="C43" s="10" t="inlineStr">
        <is>
          <t>Item / SKU &amp; description</t>
        </is>
      </c>
      <c r="D43" s="10" t="inlineStr">
        <is>
          <t>Location / bin</t>
        </is>
      </c>
      <c r="E43" s="10" t="inlineStr">
        <is>
          <t>Qty counted (floor)</t>
        </is>
      </c>
      <c r="F43" s="10" t="inlineStr">
        <is>
          <t>Qty per final listing</t>
        </is>
      </c>
      <c r="G43" s="10" t="inlineStr">
        <is>
          <t>Difference</t>
        </is>
      </c>
      <c r="H43" s="10" t="inlineStr">
        <is>
          <t>Included in listing (Y/N)</t>
        </is>
      </c>
      <c r="I43" s="10" t="inlineStr">
        <is>
          <t>Comments</t>
        </is>
      </c>
    </row>
    <row r="44">
      <c r="E44" s="13" t="inlineStr">
        <is>
          <t>V</t>
        </is>
      </c>
      <c r="F44" s="13" t="inlineStr">
        <is>
          <t>T</t>
        </is>
      </c>
      <c r="G44" s="13" t="inlineStr">
        <is>
          <t>R</t>
        </is>
      </c>
    </row>
    <row r="45">
      <c r="A45" s="21" t="n">
        <v>1</v>
      </c>
      <c r="B45" s="11" t="n"/>
      <c r="C45" s="11" t="n"/>
      <c r="D45" s="11" t="n"/>
      <c r="E45" s="22" t="n"/>
      <c r="F45" s="22" t="n"/>
      <c r="G45" s="22">
        <f>IF(AND(E45="",F45=""),"",E45-F45)</f>
        <v/>
      </c>
      <c r="H45" s="11" t="n"/>
      <c r="I45" s="11" t="n"/>
    </row>
    <row r="46">
      <c r="A46" s="21" t="n">
        <v>2</v>
      </c>
      <c r="B46" s="11" t="n"/>
      <c r="C46" s="11" t="n"/>
      <c r="D46" s="11" t="n"/>
      <c r="E46" s="22" t="n"/>
      <c r="F46" s="22" t="n"/>
      <c r="G46" s="22">
        <f>IF(AND(E46="",F46=""),"",E46-F46)</f>
        <v/>
      </c>
      <c r="H46" s="11" t="n"/>
      <c r="I46" s="11" t="n"/>
    </row>
    <row r="47">
      <c r="A47" s="21" t="n">
        <v>3</v>
      </c>
      <c r="B47" s="11" t="n"/>
      <c r="C47" s="11" t="n"/>
      <c r="D47" s="11" t="n"/>
      <c r="E47" s="22" t="n"/>
      <c r="F47" s="22" t="n"/>
      <c r="G47" s="22">
        <f>IF(AND(E47="",F47=""),"",E47-F47)</f>
        <v/>
      </c>
      <c r="H47" s="11" t="n"/>
      <c r="I47" s="11" t="n"/>
    </row>
    <row r="48">
      <c r="A48" s="21" t="n">
        <v>4</v>
      </c>
      <c r="B48" s="11" t="n"/>
      <c r="C48" s="11" t="n"/>
      <c r="D48" s="11" t="n"/>
      <c r="E48" s="22" t="n"/>
      <c r="F48" s="22" t="n"/>
      <c r="G48" s="22">
        <f>IF(AND(E48="",F48=""),"",E48-F48)</f>
        <v/>
      </c>
      <c r="H48" s="11" t="n"/>
      <c r="I48" s="11" t="n"/>
    </row>
    <row r="49">
      <c r="A49" s="21" t="n">
        <v>5</v>
      </c>
      <c r="B49" s="11" t="n"/>
      <c r="C49" s="11" t="n"/>
      <c r="D49" s="11" t="n"/>
      <c r="E49" s="22" t="n"/>
      <c r="F49" s="22" t="n"/>
      <c r="G49" s="22">
        <f>IF(AND(E49="",F49=""),"",E49-F49)</f>
        <v/>
      </c>
      <c r="H49" s="11" t="n"/>
      <c r="I49" s="11" t="n"/>
    </row>
    <row r="50">
      <c r="A50" s="21" t="n">
        <v>6</v>
      </c>
      <c r="B50" s="11" t="n"/>
      <c r="C50" s="11" t="n"/>
      <c r="D50" s="11" t="n"/>
      <c r="E50" s="22" t="n"/>
      <c r="F50" s="22" t="n"/>
      <c r="G50" s="22">
        <f>IF(AND(E50="",F50=""),"",E50-F50)</f>
        <v/>
      </c>
      <c r="H50" s="11" t="n"/>
      <c r="I50" s="11" t="n"/>
    </row>
    <row r="51">
      <c r="A51" s="21" t="n">
        <v>7</v>
      </c>
      <c r="B51" s="11" t="n"/>
      <c r="C51" s="11" t="n"/>
      <c r="D51" s="11" t="n"/>
      <c r="E51" s="22" t="n"/>
      <c r="F51" s="22" t="n"/>
      <c r="G51" s="22">
        <f>IF(AND(E51="",F51=""),"",E51-F51)</f>
        <v/>
      </c>
      <c r="H51" s="11" t="n"/>
      <c r="I51" s="11" t="n"/>
    </row>
    <row r="52">
      <c r="A52" s="21" t="n">
        <v>8</v>
      </c>
      <c r="B52" s="11" t="n"/>
      <c r="C52" s="11" t="n"/>
      <c r="D52" s="11" t="n"/>
      <c r="E52" s="22" t="n"/>
      <c r="F52" s="22" t="n"/>
      <c r="G52" s="22">
        <f>IF(AND(E52="",F52=""),"",E52-F52)</f>
        <v/>
      </c>
      <c r="H52" s="11" t="n"/>
      <c r="I52" s="11" t="n"/>
    </row>
    <row r="53">
      <c r="A53" s="21" t="n">
        <v>9</v>
      </c>
      <c r="B53" s="11" t="n"/>
      <c r="C53" s="11" t="n"/>
      <c r="D53" s="11" t="n"/>
      <c r="E53" s="22" t="n"/>
      <c r="F53" s="22" t="n"/>
      <c r="G53" s="22">
        <f>IF(AND(E53="",F53=""),"",E53-F53)</f>
        <v/>
      </c>
      <c r="H53" s="11" t="n"/>
      <c r="I53" s="11" t="n"/>
    </row>
    <row r="54">
      <c r="A54" s="21" t="n">
        <v>10</v>
      </c>
      <c r="B54" s="11" t="n"/>
      <c r="C54" s="11" t="n"/>
      <c r="D54" s="11" t="n"/>
      <c r="E54" s="22" t="n"/>
      <c r="F54" s="22" t="n"/>
      <c r="G54" s="22">
        <f>IF(AND(E54="",F54=""),"",E54-F54)</f>
        <v/>
      </c>
      <c r="H54" s="11" t="n"/>
      <c r="I54" s="11" t="n"/>
    </row>
    <row r="55">
      <c r="A55" s="21" t="n">
        <v>11</v>
      </c>
      <c r="B55" s="11" t="n"/>
      <c r="C55" s="11" t="n"/>
      <c r="D55" s="11" t="n"/>
      <c r="E55" s="22" t="n"/>
      <c r="F55" s="22" t="n"/>
      <c r="G55" s="22">
        <f>IF(AND(E55="",F55=""),"",E55-F55)</f>
        <v/>
      </c>
      <c r="H55" s="11" t="n"/>
      <c r="I55" s="11" t="n"/>
    </row>
    <row r="56">
      <c r="A56" s="21" t="n">
        <v>12</v>
      </c>
      <c r="B56" s="11" t="n"/>
      <c r="C56" s="11" t="n"/>
      <c r="D56" s="11" t="n"/>
      <c r="E56" s="22" t="n"/>
      <c r="F56" s="22" t="n"/>
      <c r="G56" s="22">
        <f>IF(AND(E56="",F56=""),"",E56-F56)</f>
        <v/>
      </c>
      <c r="H56" s="11" t="n"/>
      <c r="I56" s="11" t="n"/>
    </row>
    <row r="57">
      <c r="A57" s="21" t="n">
        <v>13</v>
      </c>
      <c r="B57" s="11" t="n"/>
      <c r="C57" s="11" t="n"/>
      <c r="D57" s="11" t="n"/>
      <c r="E57" s="22" t="n"/>
      <c r="F57" s="22" t="n"/>
      <c r="G57" s="22">
        <f>IF(AND(E57="",F57=""),"",E57-F57)</f>
        <v/>
      </c>
      <c r="H57" s="11" t="n"/>
      <c r="I57" s="11" t="n"/>
    </row>
    <row r="58">
      <c r="A58" s="21" t="n">
        <v>14</v>
      </c>
      <c r="B58" s="11" t="n"/>
      <c r="C58" s="11" t="n"/>
      <c r="D58" s="11" t="n"/>
      <c r="E58" s="22" t="n"/>
      <c r="F58" s="22" t="n"/>
      <c r="G58" s="22">
        <f>IF(AND(E58="",F58=""),"",E58-F58)</f>
        <v/>
      </c>
      <c r="H58" s="11" t="n"/>
      <c r="I58" s="11" t="n"/>
    </row>
    <row r="59">
      <c r="A59" s="21" t="n">
        <v>15</v>
      </c>
      <c r="B59" s="11" t="n"/>
      <c r="C59" s="11" t="n"/>
      <c r="D59" s="11" t="n"/>
      <c r="E59" s="22" t="n"/>
      <c r="F59" s="22" t="n"/>
      <c r="G59" s="22">
        <f>IF(AND(E59="",F59=""),"",E59-F59)</f>
        <v/>
      </c>
      <c r="H59" s="11" t="n"/>
      <c r="I59" s="11" t="n"/>
    </row>
    <row r="60">
      <c r="A60" s="21" t="n">
        <v>16</v>
      </c>
      <c r="B60" s="11" t="n"/>
      <c r="C60" s="11" t="n"/>
      <c r="D60" s="11" t="n"/>
      <c r="E60" s="22" t="n"/>
      <c r="F60" s="22" t="n"/>
      <c r="G60" s="22">
        <f>IF(AND(E60="",F60=""),"",E60-F60)</f>
        <v/>
      </c>
      <c r="H60" s="11" t="n"/>
      <c r="I60" s="11" t="n"/>
    </row>
    <row r="61">
      <c r="A61" s="21" t="n">
        <v>17</v>
      </c>
      <c r="B61" s="11" t="n"/>
      <c r="C61" s="11" t="n"/>
      <c r="D61" s="11" t="n"/>
      <c r="E61" s="22" t="n"/>
      <c r="F61" s="22" t="n"/>
      <c r="G61" s="22">
        <f>IF(AND(E61="",F61=""),"",E61-F61)</f>
        <v/>
      </c>
      <c r="H61" s="11" t="n"/>
      <c r="I61" s="11" t="n"/>
    </row>
    <row r="62">
      <c r="A62" s="21" t="n">
        <v>18</v>
      </c>
      <c r="B62" s="11" t="n"/>
      <c r="C62" s="11" t="n"/>
      <c r="D62" s="11" t="n"/>
      <c r="E62" s="22" t="n"/>
      <c r="F62" s="22" t="n"/>
      <c r="G62" s="22">
        <f>IF(AND(E62="",F62=""),"",E62-F62)</f>
        <v/>
      </c>
      <c r="H62" s="11" t="n"/>
      <c r="I62" s="11" t="n"/>
    </row>
    <row r="63">
      <c r="A63" s="21" t="n">
        <v>19</v>
      </c>
      <c r="B63" s="11" t="n"/>
      <c r="C63" s="11" t="n"/>
      <c r="D63" s="11" t="n"/>
      <c r="E63" s="22" t="n"/>
      <c r="F63" s="22" t="n"/>
      <c r="G63" s="22">
        <f>IF(AND(E63="",F63=""),"",E63-F63)</f>
        <v/>
      </c>
      <c r="H63" s="11" t="n"/>
      <c r="I63" s="11" t="n"/>
    </row>
    <row r="64">
      <c r="A64" s="21" t="n">
        <v>20</v>
      </c>
      <c r="B64" s="11" t="n"/>
      <c r="C64" s="11" t="n"/>
      <c r="D64" s="11" t="n"/>
      <c r="E64" s="22" t="n"/>
      <c r="F64" s="22" t="n"/>
      <c r="G64" s="22">
        <f>IF(AND(E64="",F64=""),"",E64-F64)</f>
        <v/>
      </c>
      <c r="H64" s="11" t="n"/>
      <c r="I64" s="11" t="n"/>
    </row>
    <row r="65">
      <c r="A65" s="21" t="n">
        <v>21</v>
      </c>
      <c r="B65" s="11" t="n"/>
      <c r="C65" s="11" t="n"/>
      <c r="D65" s="11" t="n"/>
      <c r="E65" s="22" t="n"/>
      <c r="F65" s="22" t="n"/>
      <c r="G65" s="22">
        <f>IF(AND(E65="",F65=""),"",E65-F65)</f>
        <v/>
      </c>
      <c r="H65" s="11" t="n"/>
      <c r="I65" s="11" t="n"/>
    </row>
    <row r="66">
      <c r="A66" s="21" t="n">
        <v>22</v>
      </c>
      <c r="B66" s="11" t="n"/>
      <c r="C66" s="11" t="n"/>
      <c r="D66" s="11" t="n"/>
      <c r="E66" s="22" t="n"/>
      <c r="F66" s="22" t="n"/>
      <c r="G66" s="22">
        <f>IF(AND(E66="",F66=""),"",E66-F66)</f>
        <v/>
      </c>
      <c r="H66" s="11" t="n"/>
      <c r="I66" s="11" t="n"/>
    </row>
    <row r="67">
      <c r="A67" s="21" t="n">
        <v>23</v>
      </c>
      <c r="B67" s="11" t="n"/>
      <c r="C67" s="11" t="n"/>
      <c r="D67" s="11" t="n"/>
      <c r="E67" s="22" t="n"/>
      <c r="F67" s="22" t="n"/>
      <c r="G67" s="22">
        <f>IF(AND(E67="",F67=""),"",E67-F67)</f>
        <v/>
      </c>
      <c r="H67" s="11" t="n"/>
      <c r="I67" s="11" t="n"/>
    </row>
    <row r="68">
      <c r="A68" s="21" t="n">
        <v>24</v>
      </c>
      <c r="B68" s="11" t="n"/>
      <c r="C68" s="11" t="n"/>
      <c r="D68" s="11" t="n"/>
      <c r="E68" s="22" t="n"/>
      <c r="F68" s="22" t="n"/>
      <c r="G68" s="22">
        <f>IF(AND(E68="",F68=""),"",E68-F68)</f>
        <v/>
      </c>
      <c r="H68" s="11" t="n"/>
      <c r="I68" s="11" t="n"/>
    </row>
    <row r="69">
      <c r="A69" s="21" t="n">
        <v>25</v>
      </c>
      <c r="B69" s="11" t="n"/>
      <c r="C69" s="11" t="n"/>
      <c r="D69" s="11" t="n"/>
      <c r="E69" s="22" t="n"/>
      <c r="F69" s="22" t="n"/>
      <c r="G69" s="22">
        <f>IF(AND(E69="",F69=""),"",E69-F69)</f>
        <v/>
      </c>
      <c r="H69" s="11" t="n"/>
      <c r="I69" s="11" t="n"/>
    </row>
    <row r="70">
      <c r="A70" s="21" t="n">
        <v>26</v>
      </c>
      <c r="B70" s="11" t="n"/>
      <c r="C70" s="11" t="n"/>
      <c r="D70" s="11" t="n"/>
      <c r="E70" s="22" t="n"/>
      <c r="F70" s="22" t="n"/>
      <c r="G70" s="22">
        <f>IF(AND(E70="",F70=""),"",E70-F70)</f>
        <v/>
      </c>
      <c r="H70" s="11" t="n"/>
      <c r="I70" s="11" t="n"/>
    </row>
    <row r="71">
      <c r="A71" s="21" t="n">
        <v>27</v>
      </c>
      <c r="B71" s="11" t="n"/>
      <c r="C71" s="11" t="n"/>
      <c r="D71" s="11" t="n"/>
      <c r="E71" s="22" t="n"/>
      <c r="F71" s="22" t="n"/>
      <c r="G71" s="22">
        <f>IF(AND(E71="",F71=""),"",E71-F71)</f>
        <v/>
      </c>
      <c r="H71" s="11" t="n"/>
      <c r="I71" s="11" t="n"/>
    </row>
    <row r="72">
      <c r="A72" s="21" t="n">
        <v>28</v>
      </c>
      <c r="B72" s="11" t="n"/>
      <c r="C72" s="11" t="n"/>
      <c r="D72" s="11" t="n"/>
      <c r="E72" s="22" t="n"/>
      <c r="F72" s="22" t="n"/>
      <c r="G72" s="22">
        <f>IF(AND(E72="",F72=""),"",E72-F72)</f>
        <v/>
      </c>
      <c r="H72" s="11" t="n"/>
      <c r="I72" s="11" t="n"/>
    </row>
    <row r="73">
      <c r="A73" s="21" t="n">
        <v>29</v>
      </c>
      <c r="B73" s="11" t="n"/>
      <c r="C73" s="11" t="n"/>
      <c r="D73" s="11" t="n"/>
      <c r="E73" s="22" t="n"/>
      <c r="F73" s="22" t="n"/>
      <c r="G73" s="22">
        <f>IF(AND(E73="",F73=""),"",E73-F73)</f>
        <v/>
      </c>
      <c r="H73" s="11" t="n"/>
      <c r="I73" s="11" t="n"/>
    </row>
    <row r="74">
      <c r="A74" s="21" t="n">
        <v>30</v>
      </c>
      <c r="B74" s="11" t="n"/>
      <c r="C74" s="11" t="n"/>
      <c r="D74" s="11" t="n"/>
      <c r="E74" s="22" t="n"/>
      <c r="F74" s="22" t="n"/>
      <c r="G74" s="22">
        <f>IF(AND(E74="",F74=""),"",E74-F74)</f>
        <v/>
      </c>
      <c r="H74" s="11" t="n"/>
      <c r="I74" s="11" t="n"/>
    </row>
    <row r="75">
      <c r="A75" s="23" t="inlineStr">
        <is>
          <t>Count of exceptions (completeness)</t>
        </is>
      </c>
      <c r="B75" s="54" t="n"/>
      <c r="C75" s="54" t="n"/>
      <c r="D75" s="55" t="n"/>
      <c r="E75" s="24">
        <f>COUNTIF(G45:G74,"&lt;&gt;0")-COUNTBLANK(G45:G74)</f>
        <v/>
      </c>
      <c r="F75" s="23" t="n"/>
      <c r="G75" s="23" t="n"/>
      <c r="H75" s="23" t="n"/>
      <c r="I75" s="23" t="n"/>
    </row>
    <row r="76"/>
    <row r="77" ht="27.75" customHeight="1" s="49">
      <c r="A77" s="3" t="inlineStr">
        <is>
          <t>Both directions are required regardless of population size: listing → floor proves recorded items EXIST; floor → listing proves counted items are COMPLETELY included. Document count instructions, controls observed (tags, cutoff during count, movement freeze) and the resolution of every difference (recount / listing correction).</t>
        </is>
      </c>
    </row>
    <row r="78"/>
    <row r="79">
      <c r="A79" s="52" t="inlineStr">
        <is>
          <t>TM Legends</t>
        </is>
      </c>
    </row>
    <row r="80">
      <c r="A80" s="12" t="inlineStr">
        <is>
          <t>TB</t>
        </is>
      </c>
      <c r="B80" s="11" t="inlineStr">
        <is>
          <t>Agreed to trial balance</t>
        </is>
      </c>
      <c r="C80" s="54" t="n"/>
      <c r="D80" s="55" t="n"/>
    </row>
    <row r="81">
      <c r="A81" s="12" t="inlineStr">
        <is>
          <t>GL</t>
        </is>
      </c>
      <c r="B81" s="11" t="inlineStr">
        <is>
          <t>Agreed to general ledger</t>
        </is>
      </c>
      <c r="C81" s="54" t="n"/>
      <c r="D81" s="55" t="n"/>
    </row>
    <row r="82">
      <c r="A82" s="12" t="inlineStr">
        <is>
          <t>CF</t>
        </is>
      </c>
      <c r="B82" s="11" t="inlineStr">
        <is>
          <t>Confirmed with third party</t>
        </is>
      </c>
      <c r="C82" s="54" t="n"/>
      <c r="D82" s="55" t="n"/>
    </row>
    <row r="83">
      <c r="A83" s="12" t="inlineStr">
        <is>
          <t>V</t>
        </is>
      </c>
      <c r="B83" s="11" t="inlineStr">
        <is>
          <t>Vouched to source document</t>
        </is>
      </c>
      <c r="C83" s="54" t="n"/>
      <c r="D83" s="55" t="n"/>
    </row>
    <row r="84">
      <c r="A84" s="12" t="inlineStr">
        <is>
          <t>SR</t>
        </is>
      </c>
      <c r="B84" s="11" t="inlineStr">
        <is>
          <t>Agreed to subsequent bank-cleared receipt</t>
        </is>
      </c>
      <c r="C84" s="54" t="n"/>
      <c r="D84" s="55" t="n"/>
    </row>
    <row r="85">
      <c r="A85" s="12" t="inlineStr">
        <is>
          <t>R</t>
        </is>
      </c>
      <c r="B85" s="11" t="inlineStr">
        <is>
          <t>Recalculated independently</t>
        </is>
      </c>
      <c r="C85" s="54" t="n"/>
      <c r="D85" s="55" t="n"/>
    </row>
    <row r="86">
      <c r="A86" s="12" t="inlineStr">
        <is>
          <t>F</t>
        </is>
      </c>
      <c r="B86" s="11" t="inlineStr">
        <is>
          <t>Footed / cross-cast</t>
        </is>
      </c>
      <c r="C86" s="54" t="n"/>
      <c r="D86" s="55" t="n"/>
    </row>
    <row r="87">
      <c r="A87" s="12" t="inlineStr">
        <is>
          <t>T</t>
        </is>
      </c>
      <c r="B87" s="11" t="inlineStr">
        <is>
          <t>Traced to downstream record</t>
        </is>
      </c>
      <c r="C87" s="54" t="n"/>
      <c r="D87" s="55" t="n"/>
    </row>
    <row r="88">
      <c r="A88" s="12" t="inlineStr">
        <is>
          <t>PBC</t>
        </is>
      </c>
      <c r="B88" s="11" t="inlineStr">
        <is>
          <t>Prepared by client</t>
        </is>
      </c>
      <c r="C88" s="54" t="n"/>
      <c r="D88" s="55" t="n"/>
    </row>
    <row r="89"/>
    <row r="90" ht="27.75" customHeight="1" s="49">
      <c r="A90" s="3" t="inlineStr">
        <is>
          <t>Before sign-off complete Library Procedures 6-8 (count observation &amp; controls; existence direction; completeness direction).</t>
        </is>
      </c>
    </row>
  </sheetData>
  <mergeCells count="16">
    <mergeCell ref="A40:D40"/>
    <mergeCell ref="A75:D75"/>
    <mergeCell ref="A90:I90"/>
    <mergeCell ref="B80:D80"/>
    <mergeCell ref="B85:D85"/>
    <mergeCell ref="B6:I6"/>
    <mergeCell ref="B84:D84"/>
    <mergeCell ref="B88:D88"/>
    <mergeCell ref="B5:I5"/>
    <mergeCell ref="B82:D82"/>
    <mergeCell ref="B83:D83"/>
    <mergeCell ref="A77:I77"/>
    <mergeCell ref="B86:D86"/>
    <mergeCell ref="B87:D87"/>
    <mergeCell ref="B4:I4"/>
    <mergeCell ref="B81:D81"/>
  </mergeCells>
  <pageMargins left="0.3" right="0.3" top="0.4" bottom="0.4" header="0.2" footer="0.2"/>
  <pageSetup orientation="landscape" paperSize="1" fitToHeight="1" fitToWidth="1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I41"/>
  <sheetViews>
    <sheetView showGridLines="0" zoomScale="85" zoomScaleNormal="100" workbookViewId="0">
      <selection activeCell="A7" sqref="A7"/>
    </sheetView>
  </sheetViews>
  <sheetFormatPr baseColWidth="8" defaultColWidth="8.6328125" defaultRowHeight="14.5"/>
  <cols>
    <col width="14" customWidth="1" style="49" min="1" max="1"/>
    <col width="24" customWidth="1" style="49" min="2" max="2"/>
    <col width="13" customWidth="1" style="49" min="3" max="5"/>
    <col width="14" customWidth="1" style="49" min="6" max="7"/>
    <col width="12" customWidth="1" style="49" min="8" max="8"/>
    <col width="26" customWidth="1" style="49" min="9" max="9"/>
  </cols>
  <sheetData>
    <row r="1" ht="17.5" customHeight="1" s="49">
      <c r="A1" s="6" t="inlineStr">
        <is>
          <t>Count Timing Bridge — Rollforward / Rollback</t>
        </is>
      </c>
    </row>
    <row r="2">
      <c r="A2" s="7" t="inlineStr">
        <is>
          <t>Client / Entity</t>
        </is>
      </c>
      <c r="B2" s="8" t="inlineStr">
        <is>
          <t>[Client / Entity]</t>
        </is>
      </c>
      <c r="D2" s="7" t="inlineStr">
        <is>
          <t>Year-End</t>
        </is>
      </c>
      <c r="E2" s="8" t="inlineStr">
        <is>
          <t>[YYYY-MM-DD]</t>
        </is>
      </c>
      <c r="G2" s="7" t="inlineStr">
        <is>
          <t>Currency</t>
        </is>
      </c>
      <c r="H2" s="8" t="inlineStr">
        <is>
          <t>[CCY]</t>
        </is>
      </c>
    </row>
    <row r="3">
      <c r="A3" s="7" t="inlineStr">
        <is>
          <t>Performance Materiality</t>
        </is>
      </c>
      <c r="B3" s="8" t="inlineStr">
        <is>
          <t>[PM]</t>
        </is>
      </c>
      <c r="D3" s="7" t="inlineStr">
        <is>
          <t>Testing Threshold (SUM)</t>
        </is>
      </c>
      <c r="E3" s="8" t="inlineStr">
        <is>
          <t>[Threshold]</t>
        </is>
      </c>
    </row>
    <row r="4" ht="42" customHeight="1" s="49">
      <c r="A4" s="30" t="inlineStr">
        <is>
          <t>Purpose:</t>
        </is>
      </c>
      <c r="B4" s="31" t="inlineStr">
        <is>
          <t>Where the physical count is not at year-end, bridge the counted quantities to the year-end listing: rollforward (count before YE) or rollback (count after YE) using bridge-period receipts and issues.</t>
        </is>
      </c>
      <c r="C4" s="56" t="n"/>
      <c r="D4" s="56" t="n"/>
      <c r="E4" s="56" t="n"/>
      <c r="F4" s="56" t="n"/>
      <c r="G4" s="56" t="n"/>
      <c r="H4" s="56" t="n"/>
      <c r="I4" s="57" t="n"/>
    </row>
    <row r="5" ht="27.75" customHeight="1" s="49">
      <c r="A5" s="30" t="inlineStr">
        <is>
          <t>Scope:</t>
        </is>
      </c>
      <c r="B5" s="31" t="inlineStr">
        <is>
          <t>Bridge-period activity (receipts / GRNs and issues / shipments) between the count date and year-end for the counted items.</t>
        </is>
      </c>
      <c r="C5" s="56" t="n"/>
      <c r="D5" s="56" t="n"/>
      <c r="E5" s="56" t="n"/>
      <c r="F5" s="56" t="n"/>
      <c r="G5" s="56" t="n"/>
      <c r="H5" s="56" t="n"/>
      <c r="I5" s="57" t="n"/>
    </row>
    <row r="6" ht="15" customHeight="1" s="49">
      <c r="A6" s="30" t="inlineStr">
        <is>
          <t>Assertions:</t>
        </is>
      </c>
      <c r="B6" s="31" t="inlineStr">
        <is>
          <t>Existence; Completeness; Cutoff; Accuracy</t>
        </is>
      </c>
      <c r="C6" s="56" t="n"/>
      <c r="D6" s="56" t="n"/>
      <c r="E6" s="56" t="n"/>
      <c r="F6" s="56" t="n"/>
      <c r="G6" s="56" t="n"/>
      <c r="H6" s="56" t="n"/>
      <c r="I6" s="57" t="n"/>
    </row>
    <row r="7">
      <c r="A7" s="7" t="inlineStr">
        <is>
          <t>Count date</t>
        </is>
      </c>
      <c r="B7" s="33" t="inlineStr">
        <is>
          <t>[YYYY-MM-DD]</t>
        </is>
      </c>
      <c r="D7" s="7" t="inlineStr">
        <is>
          <t>Year-end</t>
        </is>
      </c>
      <c r="E7" s="33" t="inlineStr">
        <is>
          <t>[YYYY-MM-DD]</t>
        </is>
      </c>
      <c r="G7" s="7" t="inlineStr">
        <is>
          <t>Direction</t>
        </is>
      </c>
      <c r="H7" s="33" t="inlineStr">
        <is>
          <t>[Rollforward / Rollback]</t>
        </is>
      </c>
      <c r="I7" s="58" t="n"/>
    </row>
    <row r="8"/>
    <row r="9" ht="31.5" customHeight="1" s="49">
      <c r="A9" s="10" t="inlineStr">
        <is>
          <t>Sel #</t>
        </is>
      </c>
      <c r="B9" s="10" t="inlineStr">
        <is>
          <t>Item / SKU &amp; description</t>
        </is>
      </c>
      <c r="C9" s="10" t="inlineStr">
        <is>
          <t>Qty at count</t>
        </is>
      </c>
      <c r="D9" s="10" t="inlineStr">
        <is>
          <t>(+) Receipts in bridge period</t>
        </is>
      </c>
      <c r="E9" s="10" t="inlineStr">
        <is>
          <t>(−) Issues / shipments in bridge period</t>
        </is>
      </c>
      <c r="F9" s="10" t="inlineStr">
        <is>
          <t>Expected qty at YE</t>
        </is>
      </c>
      <c r="G9" s="10" t="inlineStr">
        <is>
          <t>Qty per YE listing</t>
        </is>
      </c>
      <c r="H9" s="10" t="inlineStr">
        <is>
          <t>Difference</t>
        </is>
      </c>
      <c r="I9" s="10" t="inlineStr">
        <is>
          <t>Comments</t>
        </is>
      </c>
    </row>
    <row r="10">
      <c r="C10" s="13" t="inlineStr">
        <is>
          <t>V</t>
        </is>
      </c>
      <c r="D10" s="13" t="inlineStr">
        <is>
          <t>V</t>
        </is>
      </c>
      <c r="E10" s="13" t="inlineStr">
        <is>
          <t>V</t>
        </is>
      </c>
      <c r="F10" s="13" t="inlineStr">
        <is>
          <t>R</t>
        </is>
      </c>
    </row>
    <row r="11">
      <c r="A11" s="21" t="n">
        <v>1</v>
      </c>
      <c r="B11" s="11" t="n"/>
      <c r="C11" s="22" t="n"/>
      <c r="D11" s="22" t="n"/>
      <c r="E11" s="22" t="n"/>
      <c r="F11" s="22">
        <f>IF(COUNT(C11:E11)=0,"",C11+D11-E11)</f>
        <v/>
      </c>
      <c r="G11" s="22" t="n"/>
      <c r="H11" s="22">
        <f>IF(AND(F11="",G11=""),"",F11-G11)</f>
        <v/>
      </c>
      <c r="I11" s="11" t="n"/>
    </row>
    <row r="12">
      <c r="A12" s="21" t="n">
        <v>2</v>
      </c>
      <c r="B12" s="11" t="n"/>
      <c r="C12" s="22" t="n"/>
      <c r="D12" s="22" t="n"/>
      <c r="E12" s="22" t="n"/>
      <c r="F12" s="22">
        <f>IF(COUNT(C12:E12)=0,"",C12+D12-E12)</f>
        <v/>
      </c>
      <c r="G12" s="22" t="n"/>
      <c r="H12" s="22">
        <f>IF(AND(F12="",G12=""),"",F12-G12)</f>
        <v/>
      </c>
      <c r="I12" s="11" t="n"/>
    </row>
    <row r="13">
      <c r="A13" s="21" t="n">
        <v>3</v>
      </c>
      <c r="B13" s="11" t="n"/>
      <c r="C13" s="22" t="n"/>
      <c r="D13" s="22" t="n"/>
      <c r="E13" s="22" t="n"/>
      <c r="F13" s="22">
        <f>IF(COUNT(C13:E13)=0,"",C13+D13-E13)</f>
        <v/>
      </c>
      <c r="G13" s="22" t="n"/>
      <c r="H13" s="22">
        <f>IF(AND(F13="",G13=""),"",F13-G13)</f>
        <v/>
      </c>
      <c r="I13" s="11" t="n"/>
    </row>
    <row r="14">
      <c r="A14" s="21" t="n">
        <v>4</v>
      </c>
      <c r="B14" s="11" t="n"/>
      <c r="C14" s="22" t="n"/>
      <c r="D14" s="22" t="n"/>
      <c r="E14" s="22" t="n"/>
      <c r="F14" s="22">
        <f>IF(COUNT(C14:E14)=0,"",C14+D14-E14)</f>
        <v/>
      </c>
      <c r="G14" s="22" t="n"/>
      <c r="H14" s="22">
        <f>IF(AND(F14="",G14=""),"",F14-G14)</f>
        <v/>
      </c>
      <c r="I14" s="11" t="n"/>
    </row>
    <row r="15">
      <c r="A15" s="21" t="n">
        <v>5</v>
      </c>
      <c r="B15" s="11" t="n"/>
      <c r="C15" s="22" t="n"/>
      <c r="D15" s="22" t="n"/>
      <c r="E15" s="22" t="n"/>
      <c r="F15" s="22">
        <f>IF(COUNT(C15:E15)=0,"",C15+D15-E15)</f>
        <v/>
      </c>
      <c r="G15" s="22" t="n"/>
      <c r="H15" s="22">
        <f>IF(AND(F15="",G15=""),"",F15-G15)</f>
        <v/>
      </c>
      <c r="I15" s="11" t="n"/>
    </row>
    <row r="16">
      <c r="A16" s="21" t="n">
        <v>6</v>
      </c>
      <c r="B16" s="11" t="n"/>
      <c r="C16" s="22" t="n"/>
      <c r="D16" s="22" t="n"/>
      <c r="E16" s="22" t="n"/>
      <c r="F16" s="22">
        <f>IF(COUNT(C16:E16)=0,"",C16+D16-E16)</f>
        <v/>
      </c>
      <c r="G16" s="22" t="n"/>
      <c r="H16" s="22">
        <f>IF(AND(F16="",G16=""),"",F16-G16)</f>
        <v/>
      </c>
      <c r="I16" s="11" t="n"/>
    </row>
    <row r="17">
      <c r="A17" s="21" t="n">
        <v>7</v>
      </c>
      <c r="B17" s="11" t="n"/>
      <c r="C17" s="22" t="n"/>
      <c r="D17" s="22" t="n"/>
      <c r="E17" s="22" t="n"/>
      <c r="F17" s="22">
        <f>IF(COUNT(C17:E17)=0,"",C17+D17-E17)</f>
        <v/>
      </c>
      <c r="G17" s="22" t="n"/>
      <c r="H17" s="22">
        <f>IF(AND(F17="",G17=""),"",F17-G17)</f>
        <v/>
      </c>
      <c r="I17" s="11" t="n"/>
    </row>
    <row r="18">
      <c r="A18" s="21" t="n">
        <v>8</v>
      </c>
      <c r="B18" s="11" t="n"/>
      <c r="C18" s="22" t="n"/>
      <c r="D18" s="22" t="n"/>
      <c r="E18" s="22" t="n"/>
      <c r="F18" s="22">
        <f>IF(COUNT(C18:E18)=0,"",C18+D18-E18)</f>
        <v/>
      </c>
      <c r="G18" s="22" t="n"/>
      <c r="H18" s="22">
        <f>IF(AND(F18="",G18=""),"",F18-G18)</f>
        <v/>
      </c>
      <c r="I18" s="11" t="n"/>
    </row>
    <row r="19">
      <c r="A19" s="21" t="n">
        <v>9</v>
      </c>
      <c r="B19" s="11" t="n"/>
      <c r="C19" s="22" t="n"/>
      <c r="D19" s="22" t="n"/>
      <c r="E19" s="22" t="n"/>
      <c r="F19" s="22">
        <f>IF(COUNT(C19:E19)=0,"",C19+D19-E19)</f>
        <v/>
      </c>
      <c r="G19" s="22" t="n"/>
      <c r="H19" s="22">
        <f>IF(AND(F19="",G19=""),"",F19-G19)</f>
        <v/>
      </c>
      <c r="I19" s="11" t="n"/>
    </row>
    <row r="20">
      <c r="A20" s="21" t="n">
        <v>10</v>
      </c>
      <c r="B20" s="11" t="n"/>
      <c r="C20" s="22" t="n"/>
      <c r="D20" s="22" t="n"/>
      <c r="E20" s="22" t="n"/>
      <c r="F20" s="22">
        <f>IF(COUNT(C20:E20)=0,"",C20+D20-E20)</f>
        <v/>
      </c>
      <c r="G20" s="22" t="n"/>
      <c r="H20" s="22">
        <f>IF(AND(F20="",G20=""),"",F20-G20)</f>
        <v/>
      </c>
      <c r="I20" s="11" t="n"/>
    </row>
    <row r="21">
      <c r="A21" s="21" t="n">
        <v>11</v>
      </c>
      <c r="B21" s="11" t="n"/>
      <c r="C21" s="22" t="n"/>
      <c r="D21" s="22" t="n"/>
      <c r="E21" s="22" t="n"/>
      <c r="F21" s="22">
        <f>IF(COUNT(C21:E21)=0,"",C21+D21-E21)</f>
        <v/>
      </c>
      <c r="G21" s="22" t="n"/>
      <c r="H21" s="22">
        <f>IF(AND(F21="",G21=""),"",F21-G21)</f>
        <v/>
      </c>
      <c r="I21" s="11" t="n"/>
    </row>
    <row r="22">
      <c r="A22" s="21" t="n">
        <v>12</v>
      </c>
      <c r="B22" s="11" t="n"/>
      <c r="C22" s="22" t="n"/>
      <c r="D22" s="22" t="n"/>
      <c r="E22" s="22" t="n"/>
      <c r="F22" s="22">
        <f>IF(COUNT(C22:E22)=0,"",C22+D22-E22)</f>
        <v/>
      </c>
      <c r="G22" s="22" t="n"/>
      <c r="H22" s="22">
        <f>IF(AND(F22="",G22=""),"",F22-G22)</f>
        <v/>
      </c>
      <c r="I22" s="11" t="n"/>
    </row>
    <row r="23">
      <c r="A23" s="21" t="n">
        <v>13</v>
      </c>
      <c r="B23" s="11" t="n"/>
      <c r="C23" s="22" t="n"/>
      <c r="D23" s="22" t="n"/>
      <c r="E23" s="22" t="n"/>
      <c r="F23" s="22">
        <f>IF(COUNT(C23:E23)=0,"",C23+D23-E23)</f>
        <v/>
      </c>
      <c r="G23" s="22" t="n"/>
      <c r="H23" s="22">
        <f>IF(AND(F23="",G23=""),"",F23-G23)</f>
        <v/>
      </c>
      <c r="I23" s="11" t="n"/>
    </row>
    <row r="24">
      <c r="A24" s="21" t="n">
        <v>14</v>
      </c>
      <c r="B24" s="11" t="n"/>
      <c r="C24" s="22" t="n"/>
      <c r="D24" s="22" t="n"/>
      <c r="E24" s="22" t="n"/>
      <c r="F24" s="22">
        <f>IF(COUNT(C24:E24)=0,"",C24+D24-E24)</f>
        <v/>
      </c>
      <c r="G24" s="22" t="n"/>
      <c r="H24" s="22">
        <f>IF(AND(F24="",G24=""),"",F24-G24)</f>
        <v/>
      </c>
      <c r="I24" s="11" t="n"/>
    </row>
    <row r="25">
      <c r="A25" s="21" t="n">
        <v>15</v>
      </c>
      <c r="B25" s="11" t="n"/>
      <c r="C25" s="22" t="n"/>
      <c r="D25" s="22" t="n"/>
      <c r="E25" s="22" t="n"/>
      <c r="F25" s="22">
        <f>IF(COUNT(C25:E25)=0,"",C25+D25-E25)</f>
        <v/>
      </c>
      <c r="G25" s="22" t="n"/>
      <c r="H25" s="22">
        <f>IF(AND(F25="",G25=""),"",F25-G25)</f>
        <v/>
      </c>
      <c r="I25" s="11" t="n"/>
    </row>
    <row r="26">
      <c r="A26" s="23" t="inlineStr">
        <is>
          <t>Exceptions (non-zero differences)</t>
        </is>
      </c>
      <c r="B26" s="54" t="n"/>
      <c r="C26" s="54" t="n"/>
      <c r="D26" s="54" t="n"/>
      <c r="E26" s="55" t="n"/>
      <c r="F26" s="24">
        <f>COUNTIF(H11:H25,"&lt;&gt;0")-COUNTBLANK(H11:H25)</f>
        <v/>
      </c>
      <c r="G26" s="23" t="n"/>
      <c r="H26" s="23" t="n"/>
      <c r="I26" s="23" t="n"/>
    </row>
    <row r="27"/>
    <row r="28" ht="27.75" customHeight="1" s="49">
      <c r="A28" s="3" t="inlineStr">
        <is>
          <t>Rollforward (count BEFORE year-end): count qty + receipts − issues = expected YE qty, agreed to the YE listing. Rollback (count AFTER year-end): the same bridge run in reverse — YE listing + post-YE receipts − post-YE issues should equal the counted qty. Test the bridge-period activity itself (GRNs / shipping docs) and evaluate controls over movements during the gap.</t>
        </is>
      </c>
    </row>
    <row r="29"/>
    <row r="30">
      <c r="A30" s="52" t="inlineStr">
        <is>
          <t>TM Legends</t>
        </is>
      </c>
    </row>
    <row r="31">
      <c r="A31" s="12" t="inlineStr">
        <is>
          <t>TB</t>
        </is>
      </c>
      <c r="B31" s="11" t="inlineStr">
        <is>
          <t>Agreed to trial balance</t>
        </is>
      </c>
      <c r="C31" s="54" t="n"/>
      <c r="D31" s="55" t="n"/>
    </row>
    <row r="32">
      <c r="A32" s="12" t="inlineStr">
        <is>
          <t>GL</t>
        </is>
      </c>
      <c r="B32" s="11" t="inlineStr">
        <is>
          <t>Agreed to general ledger</t>
        </is>
      </c>
      <c r="C32" s="54" t="n"/>
      <c r="D32" s="55" t="n"/>
    </row>
    <row r="33">
      <c r="A33" s="12" t="inlineStr">
        <is>
          <t>CF</t>
        </is>
      </c>
      <c r="B33" s="11" t="inlineStr">
        <is>
          <t>Confirmed with third party</t>
        </is>
      </c>
      <c r="C33" s="54" t="n"/>
      <c r="D33" s="55" t="n"/>
    </row>
    <row r="34">
      <c r="A34" s="12" t="inlineStr">
        <is>
          <t>V</t>
        </is>
      </c>
      <c r="B34" s="11" t="inlineStr">
        <is>
          <t>Vouched to source document</t>
        </is>
      </c>
      <c r="C34" s="54" t="n"/>
      <c r="D34" s="55" t="n"/>
    </row>
    <row r="35">
      <c r="A35" s="12" t="inlineStr">
        <is>
          <t>SR</t>
        </is>
      </c>
      <c r="B35" s="11" t="inlineStr">
        <is>
          <t>Agreed to subsequent bank-cleared receipt</t>
        </is>
      </c>
      <c r="C35" s="54" t="n"/>
      <c r="D35" s="55" t="n"/>
    </row>
    <row r="36">
      <c r="A36" s="12" t="inlineStr">
        <is>
          <t>R</t>
        </is>
      </c>
      <c r="B36" s="11" t="inlineStr">
        <is>
          <t>Recalculated independently</t>
        </is>
      </c>
      <c r="C36" s="54" t="n"/>
      <c r="D36" s="55" t="n"/>
    </row>
    <row r="37">
      <c r="A37" s="12" t="inlineStr">
        <is>
          <t>F</t>
        </is>
      </c>
      <c r="B37" s="11" t="inlineStr">
        <is>
          <t>Footed / cross-cast</t>
        </is>
      </c>
      <c r="C37" s="54" t="n"/>
      <c r="D37" s="55" t="n"/>
    </row>
    <row r="38">
      <c r="A38" s="12" t="inlineStr">
        <is>
          <t>T</t>
        </is>
      </c>
      <c r="B38" s="11" t="inlineStr">
        <is>
          <t>Traced to downstream record</t>
        </is>
      </c>
      <c r="C38" s="54" t="n"/>
      <c r="D38" s="55" t="n"/>
    </row>
    <row r="39">
      <c r="A39" s="12" t="inlineStr">
        <is>
          <t>PBC</t>
        </is>
      </c>
      <c r="B39" s="11" t="inlineStr">
        <is>
          <t>Prepared by client</t>
        </is>
      </c>
      <c r="C39" s="54" t="n"/>
      <c r="D39" s="55" t="n"/>
    </row>
    <row r="40"/>
    <row r="41" ht="27.75" customHeight="1" s="49">
      <c r="A41" s="3" t="inlineStr">
        <is>
          <t>Before sign-off complete Library Procedure 9 (count-timing bridge &amp; bridge-activity testing).</t>
        </is>
      </c>
    </row>
  </sheetData>
  <mergeCells count="16">
    <mergeCell ref="B33:D33"/>
    <mergeCell ref="A41:I41"/>
    <mergeCell ref="B36:D36"/>
    <mergeCell ref="B37:D37"/>
    <mergeCell ref="A26:E26"/>
    <mergeCell ref="B31:D31"/>
    <mergeCell ref="A28:I28"/>
    <mergeCell ref="B6:I6"/>
    <mergeCell ref="H7:I7"/>
    <mergeCell ref="B35:D35"/>
    <mergeCell ref="B32:D32"/>
    <mergeCell ref="B5:I5"/>
    <mergeCell ref="B39:D39"/>
    <mergeCell ref="B38:D38"/>
    <mergeCell ref="B4:I4"/>
    <mergeCell ref="B34:D34"/>
  </mergeCells>
  <pageMargins left="0.3" right="0.3" top="0.4" bottom="0.4" header="0.2" footer="0.2"/>
  <pageSetup orientation="landscape" paperSize="1" fitToHeight="1" fitToWidth="1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N32"/>
  <sheetViews>
    <sheetView showGridLines="0" zoomScale="85" zoomScaleNormal="100" workbookViewId="0">
      <selection activeCell="A4" sqref="A4"/>
    </sheetView>
  </sheetViews>
  <sheetFormatPr baseColWidth="8" defaultColWidth="8.6328125" defaultRowHeight="14.5"/>
  <cols>
    <col width="24" customWidth="1" style="49" min="1" max="1"/>
    <col width="18" customWidth="1" style="49" min="2" max="2"/>
    <col width="12" customWidth="1" style="49" min="3" max="3"/>
    <col width="14" customWidth="1" style="49" min="4" max="4"/>
    <col width="12" customWidth="1" style="49" min="5" max="5"/>
    <col width="14" customWidth="1" style="49" min="6" max="6"/>
    <col width="12" customWidth="1" style="49" min="7" max="8"/>
    <col width="13" customWidth="1" style="49" min="9" max="9"/>
    <col width="12" customWidth="1" style="49" min="10" max="10"/>
    <col width="10" customWidth="1" style="49" min="11" max="11"/>
    <col width="12" customWidth="1" style="49" min="12" max="12"/>
    <col width="22" customWidth="1" style="49" min="13" max="13"/>
    <col width="24" customWidth="1" style="49" min="14" max="14"/>
  </cols>
  <sheetData>
    <row r="1" ht="17.5" customHeight="1" s="49">
      <c r="A1" s="6" t="inlineStr">
        <is>
          <t>Third-Party Inventory Confirmation</t>
        </is>
      </c>
    </row>
    <row r="2">
      <c r="A2" s="7" t="inlineStr">
        <is>
          <t>Client / Entity</t>
        </is>
      </c>
      <c r="B2" s="8" t="inlineStr">
        <is>
          <t>[Client / Entity]</t>
        </is>
      </c>
      <c r="D2" s="7" t="inlineStr">
        <is>
          <t>Year-End</t>
        </is>
      </c>
      <c r="E2" s="8" t="inlineStr">
        <is>
          <t>[YYYY-MM-DD]</t>
        </is>
      </c>
      <c r="G2" s="7" t="inlineStr">
        <is>
          <t>Currency</t>
        </is>
      </c>
      <c r="H2" s="8" t="inlineStr">
        <is>
          <t>[CCY]</t>
        </is>
      </c>
    </row>
    <row r="3">
      <c r="A3" s="7" t="inlineStr">
        <is>
          <t>Performance Materiality</t>
        </is>
      </c>
      <c r="B3" s="8" t="inlineStr">
        <is>
          <t>[PM]</t>
        </is>
      </c>
      <c r="D3" s="7" t="inlineStr">
        <is>
          <t>Testing Threshold (SUM)</t>
        </is>
      </c>
      <c r="E3" s="8" t="inlineStr">
        <is>
          <t>[Threshold]</t>
        </is>
      </c>
    </row>
    <row r="4" ht="42" customHeight="1" s="49">
      <c r="A4" s="30" t="inlineStr">
        <is>
          <t>Purpose:</t>
        </is>
      </c>
      <c r="B4" s="31" t="inlineStr">
        <is>
          <t>Confirm inventory held by third parties (3PLs, consignees, offsite warehouses) directly with the custodian, controlling the process and testing authenticity; perform alternative procedures for non-replies.</t>
        </is>
      </c>
      <c r="C4" s="56" t="n"/>
      <c r="D4" s="56" t="n"/>
      <c r="E4" s="56" t="n"/>
      <c r="F4" s="56" t="n"/>
      <c r="G4" s="56" t="n"/>
      <c r="H4" s="56" t="n"/>
      <c r="I4" s="56" t="n"/>
      <c r="J4" s="56" t="n"/>
      <c r="K4" s="56" t="n"/>
      <c r="L4" s="56" t="n"/>
      <c r="M4" s="56" t="n"/>
      <c r="N4" s="57" t="n"/>
    </row>
    <row r="5" ht="27.75" customHeight="1" s="49">
      <c r="A5" s="30" t="inlineStr">
        <is>
          <t>Scope:</t>
        </is>
      </c>
      <c r="B5" s="31" t="inlineStr">
        <is>
          <t>All inventory held offsite or by third parties, including consigned-out inventory and goods in transit held by carriers.</t>
        </is>
      </c>
      <c r="C5" s="56" t="n"/>
      <c r="D5" s="56" t="n"/>
      <c r="E5" s="56" t="n"/>
      <c r="F5" s="56" t="n"/>
      <c r="G5" s="56" t="n"/>
      <c r="H5" s="56" t="n"/>
      <c r="I5" s="56" t="n"/>
      <c r="J5" s="56" t="n"/>
      <c r="K5" s="56" t="n"/>
      <c r="L5" s="56" t="n"/>
      <c r="M5" s="56" t="n"/>
      <c r="N5" s="57" t="n"/>
    </row>
    <row r="6" ht="15" customHeight="1" s="49">
      <c r="A6" s="30" t="inlineStr">
        <is>
          <t>Assertions:</t>
        </is>
      </c>
      <c r="B6" s="31" t="inlineStr">
        <is>
          <t>Existence; Rights &amp; Obligations; Completeness</t>
        </is>
      </c>
      <c r="C6" s="56" t="n"/>
      <c r="D6" s="56" t="n"/>
      <c r="E6" s="56" t="n"/>
      <c r="F6" s="56" t="n"/>
      <c r="G6" s="56" t="n"/>
      <c r="H6" s="56" t="n"/>
      <c r="I6" s="56" t="n"/>
      <c r="J6" s="56" t="n"/>
      <c r="K6" s="56" t="n"/>
      <c r="L6" s="56" t="n"/>
      <c r="M6" s="56" t="n"/>
      <c r="N6" s="57" t="n"/>
    </row>
    <row r="7" ht="43.5" customHeight="1" s="49">
      <c r="A7" s="29" t="inlineStr">
        <is>
          <t>Location / custodian (3PL, consignee, warehouse)</t>
        </is>
      </c>
      <c r="B7" s="29" t="inlineStr">
        <is>
          <t>Relationship (3PL / consignment / in-transit)</t>
        </is>
      </c>
      <c r="C7" s="29" t="inlineStr">
        <is>
          <t>Qty per books</t>
        </is>
      </c>
      <c r="D7" s="29" t="inlineStr">
        <is>
          <t>Amount per books</t>
        </is>
      </c>
      <c r="E7" s="29" t="inlineStr">
        <is>
          <t>Qty confirmed</t>
        </is>
      </c>
      <c r="F7" s="29" t="inlineStr">
        <is>
          <t>Amount confirmed</t>
        </is>
      </c>
      <c r="G7" s="29" t="inlineStr">
        <is>
          <t>Difference</t>
        </is>
      </c>
      <c r="H7" s="29" t="inlineStr">
        <is>
          <t>Date sent</t>
        </is>
      </c>
      <c r="I7" s="29" t="inlineStr">
        <is>
          <t>Follow-up date(s)</t>
        </is>
      </c>
      <c r="J7" s="29" t="inlineStr">
        <is>
          <t>Response received (Y/N)</t>
        </is>
      </c>
      <c r="K7" s="29" t="inlineStr">
        <is>
          <t>Method (email / physical / Confirmation.com)</t>
        </is>
      </c>
      <c r="L7" s="29" t="inlineStr">
        <is>
          <t>Authenticity tested (Y/N)</t>
        </is>
      </c>
      <c r="M7" s="29" t="inlineStr">
        <is>
          <t>Alternative procedures (if no reply)</t>
        </is>
      </c>
      <c r="N7" s="29" t="inlineStr">
        <is>
          <t>Conclusion / Comments</t>
        </is>
      </c>
    </row>
    <row r="8">
      <c r="C8" s="13" t="inlineStr">
        <is>
          <t>PBC</t>
        </is>
      </c>
      <c r="E8" s="13" t="inlineStr">
        <is>
          <t>CF</t>
        </is>
      </c>
      <c r="G8" s="13" t="inlineStr">
        <is>
          <t>R</t>
        </is>
      </c>
    </row>
    <row r="9">
      <c r="A9" s="11" t="n"/>
      <c r="B9" s="11" t="n"/>
      <c r="C9" s="14" t="n"/>
      <c r="D9" s="14" t="n"/>
      <c r="E9" s="14" t="n"/>
      <c r="F9" s="14" t="n"/>
      <c r="G9" s="14">
        <f>IF(AND(D9="",F9=""),"",D9-F9)</f>
        <v/>
      </c>
      <c r="H9" s="11" t="n"/>
      <c r="I9" s="11" t="n"/>
      <c r="J9" s="11" t="n"/>
      <c r="K9" s="11" t="n"/>
      <c r="L9" s="11" t="n"/>
      <c r="M9" s="11" t="n"/>
      <c r="N9" s="11" t="n"/>
    </row>
    <row r="10">
      <c r="A10" s="11" t="n"/>
      <c r="B10" s="11" t="n"/>
      <c r="C10" s="14" t="n"/>
      <c r="D10" s="14" t="n"/>
      <c r="E10" s="14" t="n"/>
      <c r="F10" s="14" t="n"/>
      <c r="G10" s="14">
        <f>IF(AND(D10="",F10=""),"",D10-F10)</f>
        <v/>
      </c>
      <c r="H10" s="11" t="n"/>
      <c r="I10" s="11" t="n"/>
      <c r="J10" s="11" t="n"/>
      <c r="K10" s="11" t="n"/>
      <c r="L10" s="11" t="n"/>
      <c r="M10" s="11" t="n"/>
      <c r="N10" s="11" t="n"/>
    </row>
    <row r="11">
      <c r="A11" s="11" t="n"/>
      <c r="B11" s="11" t="n"/>
      <c r="C11" s="14" t="n"/>
      <c r="D11" s="14" t="n"/>
      <c r="E11" s="14" t="n"/>
      <c r="F11" s="14" t="n"/>
      <c r="G11" s="14">
        <f>IF(AND(D11="",F11=""),"",D11-F11)</f>
        <v/>
      </c>
      <c r="H11" s="11" t="n"/>
      <c r="I11" s="11" t="n"/>
      <c r="J11" s="11" t="n"/>
      <c r="K11" s="11" t="n"/>
      <c r="L11" s="11" t="n"/>
      <c r="M11" s="11" t="n"/>
      <c r="N11" s="11" t="n"/>
    </row>
    <row r="12">
      <c r="A12" s="11" t="n"/>
      <c r="B12" s="11" t="n"/>
      <c r="C12" s="14" t="n"/>
      <c r="D12" s="14" t="n"/>
      <c r="E12" s="14" t="n"/>
      <c r="F12" s="14" t="n"/>
      <c r="G12" s="14">
        <f>IF(AND(D12="",F12=""),"",D12-F12)</f>
        <v/>
      </c>
      <c r="H12" s="11" t="n"/>
      <c r="I12" s="11" t="n"/>
      <c r="J12" s="11" t="n"/>
      <c r="K12" s="11" t="n"/>
      <c r="L12" s="11" t="n"/>
      <c r="M12" s="11" t="n"/>
      <c r="N12" s="11" t="n"/>
    </row>
    <row r="13">
      <c r="A13" s="11" t="n"/>
      <c r="B13" s="11" t="n"/>
      <c r="C13" s="14" t="n"/>
      <c r="D13" s="14" t="n"/>
      <c r="E13" s="14" t="n"/>
      <c r="F13" s="14" t="n"/>
      <c r="G13" s="14">
        <f>IF(AND(D13="",F13=""),"",D13-F13)</f>
        <v/>
      </c>
      <c r="H13" s="11" t="n"/>
      <c r="I13" s="11" t="n"/>
      <c r="J13" s="11" t="n"/>
      <c r="K13" s="11" t="n"/>
      <c r="L13" s="11" t="n"/>
      <c r="M13" s="11" t="n"/>
      <c r="N13" s="11" t="n"/>
    </row>
    <row r="14">
      <c r="A14" s="11" t="n"/>
      <c r="B14" s="11" t="n"/>
      <c r="C14" s="14" t="n"/>
      <c r="D14" s="14" t="n"/>
      <c r="E14" s="14" t="n"/>
      <c r="F14" s="14" t="n"/>
      <c r="G14" s="14">
        <f>IF(AND(D14="",F14=""),"",D14-F14)</f>
        <v/>
      </c>
      <c r="H14" s="11" t="n"/>
      <c r="I14" s="11" t="n"/>
      <c r="J14" s="11" t="n"/>
      <c r="K14" s="11" t="n"/>
      <c r="L14" s="11" t="n"/>
      <c r="M14" s="11" t="n"/>
      <c r="N14" s="11" t="n"/>
    </row>
    <row r="15">
      <c r="A15" s="11" t="n"/>
      <c r="B15" s="11" t="n"/>
      <c r="C15" s="14" t="n"/>
      <c r="D15" s="14" t="n"/>
      <c r="E15" s="14" t="n"/>
      <c r="F15" s="14" t="n"/>
      <c r="G15" s="14">
        <f>IF(AND(D15="",F15=""),"",D15-F15)</f>
        <v/>
      </c>
      <c r="H15" s="11" t="n"/>
      <c r="I15" s="11" t="n"/>
      <c r="J15" s="11" t="n"/>
      <c r="K15" s="11" t="n"/>
      <c r="L15" s="11" t="n"/>
      <c r="M15" s="11" t="n"/>
      <c r="N15" s="11" t="n"/>
    </row>
    <row r="16">
      <c r="A16" s="11" t="n"/>
      <c r="B16" s="11" t="n"/>
      <c r="C16" s="14" t="n"/>
      <c r="D16" s="14" t="n"/>
      <c r="E16" s="14" t="n"/>
      <c r="F16" s="14" t="n"/>
      <c r="G16" s="14">
        <f>IF(AND(D16="",F16=""),"",D16-F16)</f>
        <v/>
      </c>
      <c r="H16" s="11" t="n"/>
      <c r="I16" s="11" t="n"/>
      <c r="J16" s="11" t="n"/>
      <c r="K16" s="11" t="n"/>
      <c r="L16" s="11" t="n"/>
      <c r="M16" s="11" t="n"/>
      <c r="N16" s="11" t="n"/>
    </row>
    <row r="17">
      <c r="A17" s="16" t="inlineStr">
        <is>
          <t>Total</t>
        </is>
      </c>
      <c r="B17" s="16" t="n"/>
      <c r="C17" s="16" t="n"/>
      <c r="D17" s="17">
        <f>SUM(D9:D16)</f>
        <v/>
      </c>
      <c r="E17" s="16" t="n"/>
      <c r="F17" s="17">
        <f>SUM(F9:F16)</f>
        <v/>
      </c>
      <c r="G17" s="16" t="n"/>
      <c r="H17" s="16" t="n"/>
      <c r="I17" s="16" t="n"/>
      <c r="J17" s="16" t="n"/>
      <c r="K17" s="16" t="n"/>
      <c r="L17" s="16" t="n"/>
      <c r="M17" s="16" t="n"/>
      <c r="N17" s="16" t="n"/>
    </row>
    <row r="18"/>
    <row r="19" ht="27.75" customHeight="1" s="49">
      <c r="A19" s="3" t="inlineStr">
        <is>
          <t>Send directly to the custodian and require direct return; log dates, follow-ups and method; test authenticity of electronic replies (domain, independent call-back). Alternative procedures: attend / observe a count at the third-party location, obtain custodian statements, or inspect subsequent movement documents.</t>
        </is>
      </c>
    </row>
    <row r="20"/>
    <row r="21">
      <c r="A21" s="52" t="inlineStr">
        <is>
          <t>TM Legends</t>
        </is>
      </c>
    </row>
    <row r="22">
      <c r="A22" s="12" t="inlineStr">
        <is>
          <t>TB</t>
        </is>
      </c>
      <c r="B22" s="11" t="inlineStr">
        <is>
          <t>Agreed to trial balance</t>
        </is>
      </c>
      <c r="C22" s="54" t="n"/>
      <c r="D22" s="55" t="n"/>
    </row>
    <row r="23">
      <c r="A23" s="12" t="inlineStr">
        <is>
          <t>GL</t>
        </is>
      </c>
      <c r="B23" s="11" t="inlineStr">
        <is>
          <t>Agreed to general ledger</t>
        </is>
      </c>
      <c r="C23" s="54" t="n"/>
      <c r="D23" s="55" t="n"/>
    </row>
    <row r="24">
      <c r="A24" s="12" t="inlineStr">
        <is>
          <t>CF</t>
        </is>
      </c>
      <c r="B24" s="11" t="inlineStr">
        <is>
          <t>Confirmed with third party</t>
        </is>
      </c>
      <c r="C24" s="54" t="n"/>
      <c r="D24" s="55" t="n"/>
    </row>
    <row r="25">
      <c r="A25" s="12" t="inlineStr">
        <is>
          <t>V</t>
        </is>
      </c>
      <c r="B25" s="11" t="inlineStr">
        <is>
          <t>Vouched to source document</t>
        </is>
      </c>
      <c r="C25" s="54" t="n"/>
      <c r="D25" s="55" t="n"/>
    </row>
    <row r="26">
      <c r="A26" s="12" t="inlineStr">
        <is>
          <t>SR</t>
        </is>
      </c>
      <c r="B26" s="11" t="inlineStr">
        <is>
          <t>Agreed to subsequent bank-cleared receipt</t>
        </is>
      </c>
      <c r="C26" s="54" t="n"/>
      <c r="D26" s="55" t="n"/>
    </row>
    <row r="27">
      <c r="A27" s="12" t="inlineStr">
        <is>
          <t>R</t>
        </is>
      </c>
      <c r="B27" s="11" t="inlineStr">
        <is>
          <t>Recalculated independently</t>
        </is>
      </c>
      <c r="C27" s="54" t="n"/>
      <c r="D27" s="55" t="n"/>
    </row>
    <row r="28">
      <c r="A28" s="12" t="inlineStr">
        <is>
          <t>F</t>
        </is>
      </c>
      <c r="B28" s="11" t="inlineStr">
        <is>
          <t>Footed / cross-cast</t>
        </is>
      </c>
      <c r="C28" s="54" t="n"/>
      <c r="D28" s="55" t="n"/>
    </row>
    <row r="29">
      <c r="A29" s="12" t="inlineStr">
        <is>
          <t>T</t>
        </is>
      </c>
      <c r="B29" s="11" t="inlineStr">
        <is>
          <t>Traced to downstream record</t>
        </is>
      </c>
      <c r="C29" s="54" t="n"/>
      <c r="D29" s="55" t="n"/>
    </row>
    <row r="30">
      <c r="A30" s="12" t="inlineStr">
        <is>
          <t>PBC</t>
        </is>
      </c>
      <c r="B30" s="11" t="inlineStr">
        <is>
          <t>Prepared by client</t>
        </is>
      </c>
      <c r="C30" s="54" t="n"/>
      <c r="D30" s="55" t="n"/>
    </row>
    <row r="31"/>
    <row r="32" ht="27.75" customHeight="1" s="49">
      <c r="A32" s="3" t="inlineStr">
        <is>
          <t>Before sign-off complete Library Procedure 10 (third-party confirmation &amp; alternatives).</t>
        </is>
      </c>
    </row>
  </sheetData>
  <mergeCells count="14">
    <mergeCell ref="B28:D28"/>
    <mergeCell ref="B5:N5"/>
    <mergeCell ref="B23:D23"/>
    <mergeCell ref="B22:D22"/>
    <mergeCell ref="B4:N4"/>
    <mergeCell ref="A32:N32"/>
    <mergeCell ref="B26:D26"/>
    <mergeCell ref="B27:D27"/>
    <mergeCell ref="A19:N19"/>
    <mergeCell ref="B30:D30"/>
    <mergeCell ref="B29:D29"/>
    <mergeCell ref="B6:N6"/>
    <mergeCell ref="B25:D25"/>
    <mergeCell ref="B24:D24"/>
  </mergeCells>
  <pageMargins left="0.3" right="0.3" top="0.4" bottom="0.4" header="0.2" footer="0.2"/>
  <pageSetup orientation="landscape" paperSize="1" fitToHeight="1" fitToWidth="2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I47"/>
  <sheetViews>
    <sheetView showGridLines="0" zoomScale="85" zoomScaleNormal="100" workbookViewId="0">
      <selection activeCell="A8" sqref="A8"/>
    </sheetView>
  </sheetViews>
  <sheetFormatPr baseColWidth="8" defaultColWidth="8.6328125" defaultRowHeight="14.5"/>
  <cols>
    <col width="37" bestFit="1" customWidth="1" style="49" min="1" max="1"/>
    <col width="20" customWidth="1" style="49" min="2" max="2"/>
    <col width="16" customWidth="1" style="49" min="3" max="3"/>
    <col width="13" customWidth="1" style="49" min="4" max="5"/>
    <col width="14" customWidth="1" style="49" min="6" max="8"/>
    <col width="26" customWidth="1" style="49" min="9" max="9"/>
  </cols>
  <sheetData>
    <row r="1" ht="17.5" customHeight="1" s="49">
      <c r="A1" s="6" t="inlineStr">
        <is>
          <t>Purchases Completeness &amp; GRN Testing</t>
        </is>
      </c>
    </row>
    <row r="2">
      <c r="A2" s="7" t="inlineStr">
        <is>
          <t>Client / Entity</t>
        </is>
      </c>
      <c r="B2" s="8" t="inlineStr">
        <is>
          <t>[Client / Entity]</t>
        </is>
      </c>
      <c r="D2" s="7" t="inlineStr">
        <is>
          <t>Year-End</t>
        </is>
      </c>
      <c r="E2" s="8" t="inlineStr">
        <is>
          <t>[YYYY-MM-DD]</t>
        </is>
      </c>
      <c r="G2" s="7" t="inlineStr">
        <is>
          <t>Currency</t>
        </is>
      </c>
      <c r="H2" s="8" t="inlineStr">
        <is>
          <t>[CCY]</t>
        </is>
      </c>
    </row>
    <row r="3">
      <c r="A3" s="7" t="inlineStr">
        <is>
          <t>Performance Materiality</t>
        </is>
      </c>
      <c r="B3" s="8" t="inlineStr">
        <is>
          <t>[PM]</t>
        </is>
      </c>
      <c r="D3" s="7" t="inlineStr">
        <is>
          <t>Testing Threshold (SUM)</t>
        </is>
      </c>
      <c r="E3" s="8" t="inlineStr">
        <is>
          <t>[Threshold]</t>
        </is>
      </c>
    </row>
    <row r="4" ht="27.75" customHeight="1" s="49">
      <c r="A4" s="52" t="inlineStr">
        <is>
          <t>Purpose:</t>
        </is>
      </c>
      <c r="B4" s="53" t="inlineStr">
        <is>
          <t>Prove the purchase listing is complete (ties to the &lt;.2&gt; rollforward and to the GL) and test that purchase dates tie to goods-received notes (GRNs).</t>
        </is>
      </c>
    </row>
    <row r="5" ht="15" customHeight="1" s="49">
      <c r="A5" s="52" t="inlineStr">
        <is>
          <t>Scope:</t>
        </is>
      </c>
      <c r="B5" s="53" t="inlineStr">
        <is>
          <t>The full-period purchase listing / receipt detail and the goods-received notes for selections.</t>
        </is>
      </c>
    </row>
    <row r="6" ht="15" customHeight="1" s="49">
      <c r="A6" s="52" t="inlineStr">
        <is>
          <t>Assertions:</t>
        </is>
      </c>
      <c r="B6" s="53" t="inlineStr">
        <is>
          <t>Completeness; Accuracy; Cutoff</t>
        </is>
      </c>
    </row>
    <row r="7">
      <c r="A7" s="20" t="inlineStr">
        <is>
          <t>A. Purchase-listing tie</t>
        </is>
      </c>
    </row>
    <row r="8">
      <c r="A8" s="11" t="inlineStr">
        <is>
          <t>Total purchases per purchase listing</t>
        </is>
      </c>
      <c r="B8" s="14" t="n"/>
    </row>
    <row r="9">
      <c r="A9" s="11" t="inlineStr">
        <is>
          <t>Purchases per &lt;.2&gt; completeness rollforward</t>
        </is>
      </c>
      <c r="B9" s="14" t="n"/>
    </row>
    <row r="10">
      <c r="A10" s="18" t="inlineStr">
        <is>
          <t>Difference (should be 0)</t>
        </is>
      </c>
      <c r="B10" s="19">
        <f>B8-B9</f>
        <v/>
      </c>
    </row>
    <row r="11">
      <c r="A11" s="11" t="inlineStr">
        <is>
          <t>Purchases per GL (purchases / receipts accounts)</t>
        </is>
      </c>
      <c r="B11" s="14" t="n"/>
    </row>
    <row r="12">
      <c r="A12" s="18" t="inlineStr">
        <is>
          <t>Difference listing vs GL</t>
        </is>
      </c>
      <c r="B12" s="19">
        <f>B8-B11</f>
        <v/>
      </c>
    </row>
    <row r="13"/>
    <row r="14">
      <c r="A14" s="20" t="inlineStr">
        <is>
          <t>B. GRN date-tie testing (selections from the purchase listing)</t>
        </is>
      </c>
    </row>
    <row r="15" ht="30" customHeight="1" s="49">
      <c r="A15" s="10" t="inlineStr">
        <is>
          <t>Sel #</t>
        </is>
      </c>
      <c r="B15" s="10" t="inlineStr">
        <is>
          <t>Vendor</t>
        </is>
      </c>
      <c r="C15" s="10" t="inlineStr">
        <is>
          <t>Item / SKU</t>
        </is>
      </c>
      <c r="D15" s="10" t="inlineStr">
        <is>
          <t>Purchase / receipt date per listing</t>
        </is>
      </c>
      <c r="E15" s="10" t="inlineStr">
        <is>
          <t>Qty per listing</t>
        </is>
      </c>
      <c r="F15" s="10" t="inlineStr">
        <is>
          <t>GRN reference</t>
        </is>
      </c>
      <c r="G15" s="10" t="inlineStr">
        <is>
          <t>GRN date</t>
        </is>
      </c>
      <c r="H15" s="10" t="inlineStr">
        <is>
          <t>Dates tie (Y/N)</t>
        </is>
      </c>
      <c r="I15" s="10" t="inlineStr">
        <is>
          <t>Comments</t>
        </is>
      </c>
    </row>
    <row r="16">
      <c r="E16" s="13" t="inlineStr">
        <is>
          <t>PBC</t>
        </is>
      </c>
      <c r="G16" s="13" t="inlineStr">
        <is>
          <t>V</t>
        </is>
      </c>
      <c r="H16" s="13" t="inlineStr">
        <is>
          <t>R</t>
        </is>
      </c>
    </row>
    <row r="17">
      <c r="A17" s="21" t="n">
        <v>1</v>
      </c>
      <c r="B17" s="11" t="n"/>
      <c r="C17" s="11" t="n"/>
      <c r="D17" s="11" t="n"/>
      <c r="E17" s="22" t="n"/>
      <c r="F17" s="11" t="n"/>
      <c r="G17" s="11" t="n"/>
      <c r="H17" s="11">
        <f>IF(OR(D17="",G17=""),"",IF(D17=G17,"Y","N"))</f>
        <v/>
      </c>
      <c r="I17" s="11" t="n"/>
    </row>
    <row r="18">
      <c r="A18" s="21" t="n">
        <v>2</v>
      </c>
      <c r="B18" s="11" t="n"/>
      <c r="C18" s="11" t="n"/>
      <c r="D18" s="11" t="n"/>
      <c r="E18" s="22" t="n"/>
      <c r="F18" s="11" t="n"/>
      <c r="G18" s="11" t="n"/>
      <c r="H18" s="11">
        <f>IF(OR(D18="",G18=""),"",IF(D18=G18,"Y","N"))</f>
        <v/>
      </c>
      <c r="I18" s="11" t="n"/>
    </row>
    <row r="19">
      <c r="A19" s="21" t="n">
        <v>3</v>
      </c>
      <c r="B19" s="11" t="n"/>
      <c r="C19" s="11" t="n"/>
      <c r="D19" s="11" t="n"/>
      <c r="E19" s="22" t="n"/>
      <c r="F19" s="11" t="n"/>
      <c r="G19" s="11" t="n"/>
      <c r="H19" s="11">
        <f>IF(OR(D19="",G19=""),"",IF(D19=G19,"Y","N"))</f>
        <v/>
      </c>
      <c r="I19" s="11" t="n"/>
    </row>
    <row r="20">
      <c r="A20" s="21" t="n">
        <v>4</v>
      </c>
      <c r="B20" s="11" t="n"/>
      <c r="C20" s="11" t="n"/>
      <c r="D20" s="11" t="n"/>
      <c r="E20" s="22" t="n"/>
      <c r="F20" s="11" t="n"/>
      <c r="G20" s="11" t="n"/>
      <c r="H20" s="11">
        <f>IF(OR(D20="",G20=""),"",IF(D20=G20,"Y","N"))</f>
        <v/>
      </c>
      <c r="I20" s="11" t="n"/>
    </row>
    <row r="21">
      <c r="A21" s="21" t="n">
        <v>5</v>
      </c>
      <c r="B21" s="11" t="n"/>
      <c r="C21" s="11" t="n"/>
      <c r="D21" s="11" t="n"/>
      <c r="E21" s="22" t="n"/>
      <c r="F21" s="11" t="n"/>
      <c r="G21" s="11" t="n"/>
      <c r="H21" s="11">
        <f>IF(OR(D21="",G21=""),"",IF(D21=G21,"Y","N"))</f>
        <v/>
      </c>
      <c r="I21" s="11" t="n"/>
    </row>
    <row r="22">
      <c r="A22" s="21" t="n">
        <v>6</v>
      </c>
      <c r="B22" s="11" t="n"/>
      <c r="C22" s="11" t="n"/>
      <c r="D22" s="11" t="n"/>
      <c r="E22" s="22" t="n"/>
      <c r="F22" s="11" t="n"/>
      <c r="G22" s="11" t="n"/>
      <c r="H22" s="11">
        <f>IF(OR(D22="",G22=""),"",IF(D22=G22,"Y","N"))</f>
        <v/>
      </c>
      <c r="I22" s="11" t="n"/>
    </row>
    <row r="23">
      <c r="A23" s="21" t="n">
        <v>7</v>
      </c>
      <c r="B23" s="11" t="n"/>
      <c r="C23" s="11" t="n"/>
      <c r="D23" s="11" t="n"/>
      <c r="E23" s="22" t="n"/>
      <c r="F23" s="11" t="n"/>
      <c r="G23" s="11" t="n"/>
      <c r="H23" s="11">
        <f>IF(OR(D23="",G23=""),"",IF(D23=G23,"Y","N"))</f>
        <v/>
      </c>
      <c r="I23" s="11" t="n"/>
    </row>
    <row r="24">
      <c r="A24" s="21" t="n">
        <v>8</v>
      </c>
      <c r="B24" s="11" t="n"/>
      <c r="C24" s="11" t="n"/>
      <c r="D24" s="11" t="n"/>
      <c r="E24" s="22" t="n"/>
      <c r="F24" s="11" t="n"/>
      <c r="G24" s="11" t="n"/>
      <c r="H24" s="11">
        <f>IF(OR(D24="",G24=""),"",IF(D24=G24,"Y","N"))</f>
        <v/>
      </c>
      <c r="I24" s="11" t="n"/>
    </row>
    <row r="25">
      <c r="A25" s="21" t="n">
        <v>9</v>
      </c>
      <c r="B25" s="11" t="n"/>
      <c r="C25" s="11" t="n"/>
      <c r="D25" s="11" t="n"/>
      <c r="E25" s="22" t="n"/>
      <c r="F25" s="11" t="n"/>
      <c r="G25" s="11" t="n"/>
      <c r="H25" s="11">
        <f>IF(OR(D25="",G25=""),"",IF(D25=G25,"Y","N"))</f>
        <v/>
      </c>
      <c r="I25" s="11" t="n"/>
    </row>
    <row r="26">
      <c r="A26" s="21" t="n">
        <v>10</v>
      </c>
      <c r="B26" s="11" t="n"/>
      <c r="C26" s="11" t="n"/>
      <c r="D26" s="11" t="n"/>
      <c r="E26" s="22" t="n"/>
      <c r="F26" s="11" t="n"/>
      <c r="G26" s="11" t="n"/>
      <c r="H26" s="11">
        <f>IF(OR(D26="",G26=""),"",IF(D26=G26,"Y","N"))</f>
        <v/>
      </c>
      <c r="I26" s="11" t="n"/>
    </row>
    <row r="27">
      <c r="A27" s="21" t="n">
        <v>11</v>
      </c>
      <c r="B27" s="11" t="n"/>
      <c r="C27" s="11" t="n"/>
      <c r="D27" s="11" t="n"/>
      <c r="E27" s="22" t="n"/>
      <c r="F27" s="11" t="n"/>
      <c r="G27" s="11" t="n"/>
      <c r="H27" s="11">
        <f>IF(OR(D27="",G27=""),"",IF(D27=G27,"Y","N"))</f>
        <v/>
      </c>
      <c r="I27" s="11" t="n"/>
    </row>
    <row r="28">
      <c r="A28" s="21" t="n">
        <v>12</v>
      </c>
      <c r="B28" s="11" t="n"/>
      <c r="C28" s="11" t="n"/>
      <c r="D28" s="11" t="n"/>
      <c r="E28" s="22" t="n"/>
      <c r="F28" s="11" t="n"/>
      <c r="G28" s="11" t="n"/>
      <c r="H28" s="11">
        <f>IF(OR(D28="",G28=""),"",IF(D28=G28,"Y","N"))</f>
        <v/>
      </c>
      <c r="I28" s="11" t="n"/>
    </row>
    <row r="29">
      <c r="A29" s="21" t="n">
        <v>13</v>
      </c>
      <c r="B29" s="11" t="n"/>
      <c r="C29" s="11" t="n"/>
      <c r="D29" s="11" t="n"/>
      <c r="E29" s="22" t="n"/>
      <c r="F29" s="11" t="n"/>
      <c r="G29" s="11" t="n"/>
      <c r="H29" s="11">
        <f>IF(OR(D29="",G29=""),"",IF(D29=G29,"Y","N"))</f>
        <v/>
      </c>
      <c r="I29" s="11" t="n"/>
    </row>
    <row r="30">
      <c r="A30" s="21" t="n">
        <v>14</v>
      </c>
      <c r="B30" s="11" t="n"/>
      <c r="C30" s="11" t="n"/>
      <c r="D30" s="11" t="n"/>
      <c r="E30" s="22" t="n"/>
      <c r="F30" s="11" t="n"/>
      <c r="G30" s="11" t="n"/>
      <c r="H30" s="11">
        <f>IF(OR(D30="",G30=""),"",IF(D30=G30,"Y","N"))</f>
        <v/>
      </c>
      <c r="I30" s="11" t="n"/>
    </row>
    <row r="31">
      <c r="A31" s="21" t="n">
        <v>15</v>
      </c>
      <c r="B31" s="11" t="n"/>
      <c r="C31" s="11" t="n"/>
      <c r="D31" s="11" t="n"/>
      <c r="E31" s="22" t="n"/>
      <c r="F31" s="11" t="n"/>
      <c r="G31" s="11" t="n"/>
      <c r="H31" s="11">
        <f>IF(OR(D31="",G31=""),"",IF(D31=G31,"Y","N"))</f>
        <v/>
      </c>
      <c r="I31" s="11" t="n"/>
    </row>
    <row r="32">
      <c r="A32" s="23" t="inlineStr">
        <is>
          <t>Exceptions (dates do not tie)</t>
        </is>
      </c>
      <c r="B32" s="54" t="n"/>
      <c r="C32" s="54" t="n"/>
      <c r="D32" s="55" t="n"/>
      <c r="E32" s="24">
        <f>COUNTIF(H17:H31,"N")</f>
        <v/>
      </c>
      <c r="F32" s="23" t="n"/>
      <c r="G32" s="23" t="n"/>
      <c r="H32" s="23" t="n"/>
      <c r="I32" s="23" t="n"/>
    </row>
    <row r="33"/>
    <row r="34" ht="27.75" customHeight="1" s="49">
      <c r="A34" s="3" t="inlineStr">
        <is>
          <t>The GRN date confirms the goods were RECEIVED when the listing says they were purchased — a mismatched date signals a recording-period error (feeds &lt;.7&gt; cutoff). The listing total must tie both to the &lt;.2&gt; rollforward purchases line and to the GL.</t>
        </is>
      </c>
    </row>
    <row r="35"/>
    <row r="36">
      <c r="A36" s="52" t="inlineStr">
        <is>
          <t>TM Legends</t>
        </is>
      </c>
    </row>
    <row r="37">
      <c r="A37" s="12" t="inlineStr">
        <is>
          <t>TB</t>
        </is>
      </c>
      <c r="B37" s="11" t="inlineStr">
        <is>
          <t>Agreed to trial balance</t>
        </is>
      </c>
      <c r="C37" s="54" t="n"/>
      <c r="D37" s="55" t="n"/>
    </row>
    <row r="38">
      <c r="A38" s="12" t="inlineStr">
        <is>
          <t>GL</t>
        </is>
      </c>
      <c r="B38" s="11" t="inlineStr">
        <is>
          <t>Agreed to general ledger</t>
        </is>
      </c>
      <c r="C38" s="54" t="n"/>
      <c r="D38" s="55" t="n"/>
    </row>
    <row r="39">
      <c r="A39" s="12" t="inlineStr">
        <is>
          <t>CF</t>
        </is>
      </c>
      <c r="B39" s="11" t="inlineStr">
        <is>
          <t>Confirmed with third party</t>
        </is>
      </c>
      <c r="C39" s="54" t="n"/>
      <c r="D39" s="55" t="n"/>
    </row>
    <row r="40">
      <c r="A40" s="12" t="inlineStr">
        <is>
          <t>V</t>
        </is>
      </c>
      <c r="B40" s="11" t="inlineStr">
        <is>
          <t>Vouched to source document</t>
        </is>
      </c>
      <c r="C40" s="54" t="n"/>
      <c r="D40" s="55" t="n"/>
    </row>
    <row r="41">
      <c r="A41" s="12" t="inlineStr">
        <is>
          <t>SR</t>
        </is>
      </c>
      <c r="B41" s="11" t="inlineStr">
        <is>
          <t>Agreed to subsequent bank-cleared receipt</t>
        </is>
      </c>
      <c r="C41" s="54" t="n"/>
      <c r="D41" s="55" t="n"/>
    </row>
    <row r="42">
      <c r="A42" s="12" t="inlineStr">
        <is>
          <t>R</t>
        </is>
      </c>
      <c r="B42" s="11" t="inlineStr">
        <is>
          <t>Recalculated independently</t>
        </is>
      </c>
      <c r="C42" s="54" t="n"/>
      <c r="D42" s="55" t="n"/>
    </row>
    <row r="43">
      <c r="A43" s="12" t="inlineStr">
        <is>
          <t>F</t>
        </is>
      </c>
      <c r="B43" s="11" t="inlineStr">
        <is>
          <t>Footed / cross-cast</t>
        </is>
      </c>
      <c r="C43" s="54" t="n"/>
      <c r="D43" s="55" t="n"/>
    </row>
    <row r="44">
      <c r="A44" s="12" t="inlineStr">
        <is>
          <t>T</t>
        </is>
      </c>
      <c r="B44" s="11" t="inlineStr">
        <is>
          <t>Traced to downstream record</t>
        </is>
      </c>
      <c r="C44" s="54" t="n"/>
      <c r="D44" s="55" t="n"/>
    </row>
    <row r="45">
      <c r="A45" s="12" t="inlineStr">
        <is>
          <t>PBC</t>
        </is>
      </c>
      <c r="B45" s="11" t="inlineStr">
        <is>
          <t>Prepared by client</t>
        </is>
      </c>
      <c r="C45" s="54" t="n"/>
      <c r="D45" s="55" t="n"/>
    </row>
    <row r="46"/>
    <row r="47" ht="27.75" customHeight="1" s="49">
      <c r="A47" s="3" t="inlineStr">
        <is>
          <t>Before sign-off complete Library Procedures 11-12 (purchase-listing tie; GRN date-tie testing).</t>
        </is>
      </c>
    </row>
  </sheetData>
  <mergeCells count="15">
    <mergeCell ref="B42:D42"/>
    <mergeCell ref="B37:D37"/>
    <mergeCell ref="B45:D45"/>
    <mergeCell ref="A47:I47"/>
    <mergeCell ref="B41:D41"/>
    <mergeCell ref="B6:I6"/>
    <mergeCell ref="B40:D40"/>
    <mergeCell ref="B5:I5"/>
    <mergeCell ref="B38:D38"/>
    <mergeCell ref="B44:D44"/>
    <mergeCell ref="B43:D43"/>
    <mergeCell ref="A34:I34"/>
    <mergeCell ref="B39:D39"/>
    <mergeCell ref="A32:D32"/>
    <mergeCell ref="B4:I4"/>
  </mergeCells>
  <pageMargins left="0.3" right="0.3" top="0.4" bottom="0.4" header="0.2" footer="0.2"/>
  <pageSetup orientation="landscape" paperSize="1" fitToHeight="1" fitToWidth="1" horizontalDpi="300" verticalDpi="300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J67"/>
  <sheetViews>
    <sheetView showGridLines="0" tabSelected="1" zoomScale="85" zoomScaleNormal="100" workbookViewId="0">
      <selection activeCell="A20" sqref="A20"/>
    </sheetView>
  </sheetViews>
  <sheetFormatPr baseColWidth="8" defaultColWidth="8.6328125" defaultRowHeight="14.5"/>
  <cols>
    <col width="21.90625" bestFit="1" customWidth="1" style="49" min="1" max="1"/>
    <col width="20" customWidth="1" style="49" min="2" max="2"/>
    <col width="14" customWidth="1" style="49" min="3" max="3"/>
    <col width="13" customWidth="1" style="49" min="4" max="5"/>
    <col width="16" customWidth="1" style="49" min="6" max="7"/>
    <col width="12" customWidth="1" style="49" min="8" max="8"/>
    <col width="26" customWidth="1" style="49" min="9" max="9"/>
  </cols>
  <sheetData>
    <row r="1" ht="17.5" customHeight="1" s="49">
      <c r="A1" s="6" t="inlineStr">
        <is>
          <t>Inventory Cutoff Testing</t>
        </is>
      </c>
    </row>
    <row r="2">
      <c r="A2" s="7" t="inlineStr">
        <is>
          <t>Client / Entity</t>
        </is>
      </c>
      <c r="B2" s="8" t="inlineStr">
        <is>
          <t>[Client / Entity]</t>
        </is>
      </c>
      <c r="D2" s="7" t="inlineStr">
        <is>
          <t>Year-End</t>
        </is>
      </c>
      <c r="E2" s="8" t="inlineStr">
        <is>
          <t>[YYYY-MM-DD]</t>
        </is>
      </c>
      <c r="G2" s="7" t="inlineStr">
        <is>
          <t>Currency</t>
        </is>
      </c>
      <c r="H2" s="8" t="inlineStr">
        <is>
          <t>[CCY]</t>
        </is>
      </c>
    </row>
    <row r="3">
      <c r="A3" s="7" t="inlineStr">
        <is>
          <t>Performance Materiality</t>
        </is>
      </c>
      <c r="B3" s="8" t="inlineStr">
        <is>
          <t>[PM]</t>
        </is>
      </c>
      <c r="D3" s="7" t="inlineStr">
        <is>
          <t>Testing Threshold (SUM)</t>
        </is>
      </c>
      <c r="E3" s="8" t="inlineStr">
        <is>
          <t>[Threshold]</t>
        </is>
      </c>
    </row>
    <row r="4" ht="42" customHeight="1" s="49">
      <c r="A4" s="30" t="inlineStr">
        <is>
          <t>Purpose:</t>
        </is>
      </c>
      <c r="B4" s="31" t="inlineStr">
        <is>
          <t>Assess cutoff risk, then test receiving and shipping around year-end in both directions — last documents before and first documents after — and evaluate in-transit inventory (shipping terms).</t>
        </is>
      </c>
      <c r="C4" s="56" t="n"/>
      <c r="D4" s="56" t="n"/>
      <c r="E4" s="56" t="n"/>
      <c r="F4" s="56" t="n"/>
      <c r="G4" s="56" t="n"/>
      <c r="H4" s="56" t="n"/>
      <c r="I4" s="57" t="n"/>
    </row>
    <row r="5" ht="27.75" customHeight="1" s="49">
      <c r="A5" s="30" t="inlineStr">
        <is>
          <t>Scope:</t>
        </is>
      </c>
      <c r="B5" s="31" t="inlineStr">
        <is>
          <t>Receiving (GRN) and shipping (BOL) documents immediately before and after year-end; in-transit items by shipping terms.</t>
        </is>
      </c>
      <c r="C5" s="56" t="n"/>
      <c r="D5" s="56" t="n"/>
      <c r="E5" s="56" t="n"/>
      <c r="F5" s="56" t="n"/>
      <c r="G5" s="56" t="n"/>
      <c r="H5" s="56" t="n"/>
      <c r="I5" s="57" t="n"/>
    </row>
    <row r="6" ht="15" customHeight="1" s="49">
      <c r="A6" s="30" t="inlineStr">
        <is>
          <t>Assertions:</t>
        </is>
      </c>
      <c r="B6" s="31" t="inlineStr">
        <is>
          <t>Cutoff; Completeness; Existence</t>
        </is>
      </c>
      <c r="C6" s="56" t="n"/>
      <c r="D6" s="56" t="n"/>
      <c r="E6" s="56" t="n"/>
      <c r="F6" s="56" t="n"/>
      <c r="G6" s="56" t="n"/>
      <c r="H6" s="56" t="n"/>
      <c r="I6" s="57" t="n"/>
    </row>
    <row r="7" ht="15" customHeight="1" s="49">
      <c r="A7" s="52" t="n"/>
      <c r="B7" s="53" t="n"/>
      <c r="C7" s="53" t="n"/>
      <c r="D7" s="53" t="n"/>
      <c r="E7" s="53" t="n"/>
      <c r="F7" s="53" t="n"/>
      <c r="G7" s="53" t="n"/>
      <c r="H7" s="53" t="n"/>
      <c r="I7" s="53" t="n"/>
    </row>
    <row r="8">
      <c r="A8" s="20" t="inlineStr">
        <is>
          <t>A. Cutoff risk assessment</t>
        </is>
      </c>
    </row>
    <row r="9">
      <c r="A9" s="36" t="inlineStr">
        <is>
          <t>Risk factor</t>
        </is>
      </c>
      <c r="B9" s="55" t="n"/>
      <c r="C9" s="36" t="inlineStr">
        <is>
          <t>Present? (Y/N)</t>
        </is>
      </c>
      <c r="D9" s="36" t="inlineStr">
        <is>
          <t>Basis / evidence</t>
        </is>
      </c>
      <c r="E9" s="55" t="n"/>
      <c r="F9" s="36" t="inlineStr">
        <is>
          <t>Effect on extent of testing</t>
        </is>
      </c>
      <c r="G9" s="54" t="n"/>
      <c r="H9" s="54" t="n"/>
      <c r="I9" s="55" t="n"/>
    </row>
    <row r="10">
      <c r="A10" s="37" t="inlineStr">
        <is>
          <t>Significant in-transit inventory at period end</t>
        </is>
      </c>
      <c r="B10" s="55" t="n"/>
      <c r="C10" s="39" t="n"/>
      <c r="D10" s="40" t="n"/>
      <c r="E10" s="55" t="n"/>
      <c r="F10" s="40" t="n"/>
      <c r="G10" s="54" t="n"/>
      <c r="H10" s="54" t="n"/>
      <c r="I10" s="55" t="n"/>
    </row>
    <row r="11">
      <c r="A11" s="37" t="inlineStr">
        <is>
          <t>FOB shipping-point purchase terms (title before receipt)</t>
        </is>
      </c>
      <c r="B11" s="55" t="n"/>
      <c r="C11" s="39" t="n"/>
      <c r="D11" s="40" t="n"/>
      <c r="E11" s="55" t="n"/>
      <c r="F11" s="40" t="n"/>
      <c r="G11" s="54" t="n"/>
      <c r="H11" s="54" t="n"/>
      <c r="I11" s="55" t="n"/>
    </row>
    <row r="12">
      <c r="A12" s="37" t="inlineStr">
        <is>
          <t>Third-party / 3PL locations (movement visibility)</t>
        </is>
      </c>
      <c r="B12" s="55" t="n"/>
      <c r="C12" s="39" t="n"/>
      <c r="D12" s="40" t="n"/>
      <c r="E12" s="55" t="n"/>
      <c r="F12" s="40" t="n"/>
      <c r="G12" s="54" t="n"/>
      <c r="H12" s="54" t="n"/>
      <c r="I12" s="55" t="n"/>
    </row>
    <row r="13">
      <c r="A13" s="37" t="inlineStr">
        <is>
          <t>Spike in period-end purchases or shipments</t>
        </is>
      </c>
      <c r="B13" s="55" t="n"/>
      <c r="C13" s="39" t="n"/>
      <c r="D13" s="40" t="n"/>
      <c r="E13" s="55" t="n"/>
      <c r="F13" s="40" t="n"/>
      <c r="G13" s="54" t="n"/>
      <c r="H13" s="54" t="n"/>
      <c r="I13" s="55" t="n"/>
    </row>
    <row r="14" ht="21" customHeight="1" s="49">
      <c r="A14" s="37" t="inlineStr">
        <is>
          <t>Manual receiving / shipping logs (no system cutoff control)</t>
        </is>
      </c>
      <c r="B14" s="55" t="n"/>
      <c r="C14" s="39" t="n"/>
      <c r="D14" s="40" t="n"/>
      <c r="E14" s="55" t="n"/>
      <c r="F14" s="40" t="n"/>
      <c r="G14" s="54" t="n"/>
      <c r="H14" s="54" t="n"/>
      <c r="I14" s="55" t="n"/>
    </row>
    <row r="15">
      <c r="A15" s="41" t="inlineStr">
        <is>
          <t>Overall cutoff risk (Low / Moderate / High)</t>
        </is>
      </c>
      <c r="B15" s="55" t="n"/>
      <c r="C15" s="43" t="n"/>
      <c r="D15" s="41" t="inlineStr">
        <is>
          <t>Resulting extent of testing:</t>
        </is>
      </c>
      <c r="E15" s="55" t="n"/>
      <c r="F15" s="44" t="n"/>
      <c r="G15" s="54" t="n"/>
      <c r="H15" s="54" t="n"/>
      <c r="I15" s="55" t="n"/>
    </row>
    <row r="16" s="49">
      <c r="A16" s="45" t="n"/>
      <c r="C16" s="47" t="n"/>
      <c r="D16" s="45" t="n"/>
      <c r="F16" s="48" t="n"/>
    </row>
    <row r="17" s="49">
      <c r="A17" s="51" t="inlineStr">
        <is>
          <t>Where any factor is present (or overall risk is Moderate / High), expand the extent in Parts B-D — e.g., more than 5 documents each side of year-end, a wider date window, or in-transit testing of the full population.</t>
        </is>
      </c>
    </row>
    <row r="18" s="49"/>
    <row r="19" s="49">
      <c r="A19" s="51" t="n"/>
      <c r="B19" s="51" t="n"/>
      <c r="C19" s="51" t="n"/>
      <c r="D19" s="51" t="n"/>
      <c r="E19" s="51" t="n"/>
      <c r="F19" s="51" t="n"/>
      <c r="G19" s="51" t="n"/>
      <c r="H19" s="51" t="n"/>
      <c r="I19" s="51" t="n"/>
    </row>
    <row r="20" ht="14.5" customHeight="1" s="49">
      <c r="A20" s="20" t="inlineStr">
        <is>
          <t>B. Receiving cutoff (last 5 GRNs before YE / first 5 after YE)</t>
        </is>
      </c>
    </row>
    <row r="21" ht="30" customHeight="1" s="49">
      <c r="A21" s="10" t="inlineStr">
        <is>
          <t>Sel #</t>
        </is>
      </c>
      <c r="B21" s="10" t="inlineStr">
        <is>
          <t>GRN reference</t>
        </is>
      </c>
      <c r="C21" s="10" t="inlineStr">
        <is>
          <t>Vendor / item</t>
        </is>
      </c>
      <c r="D21" s="10" t="inlineStr">
        <is>
          <t>GRN date</t>
        </is>
      </c>
      <c r="E21" s="10" t="inlineStr">
        <is>
          <t>Before / after YE</t>
        </is>
      </c>
      <c r="F21" s="10" t="inlineStr">
        <is>
          <t>Qty</t>
        </is>
      </c>
      <c r="G21" s="10" t="inlineStr">
        <is>
          <t>In YE inventory? (Y/N)</t>
        </is>
      </c>
      <c r="H21" s="10" t="inlineStr">
        <is>
          <t>Should it be? (Y/N)</t>
        </is>
      </c>
      <c r="I21" s="10" t="inlineStr">
        <is>
          <t>Proper period (Y/N)</t>
        </is>
      </c>
      <c r="J21" s="10" t="inlineStr">
        <is>
          <t>Comments</t>
        </is>
      </c>
    </row>
    <row r="22" ht="14.5" customHeight="1" s="49">
      <c r="A22" s="21" t="n">
        <v>1</v>
      </c>
      <c r="B22" s="11" t="n"/>
      <c r="C22" s="11" t="n"/>
      <c r="D22" s="11" t="n"/>
      <c r="E22" s="11" t="n"/>
      <c r="F22" s="22" t="n"/>
      <c r="G22" s="11" t="n"/>
      <c r="H22" s="11" t="n"/>
      <c r="I22" s="11">
        <f>IF(OR(G22="",H22=""),"",IF(G22=H22,"Y","N"))</f>
        <v/>
      </c>
      <c r="J22" s="11" t="n"/>
    </row>
    <row r="23" ht="14.5" customHeight="1" s="49">
      <c r="A23" s="21" t="n">
        <v>2</v>
      </c>
      <c r="B23" s="11" t="n"/>
      <c r="C23" s="11" t="n"/>
      <c r="D23" s="11" t="n"/>
      <c r="E23" s="11" t="n"/>
      <c r="F23" s="22" t="n"/>
      <c r="G23" s="11" t="n"/>
      <c r="H23" s="11" t="n"/>
      <c r="I23" s="11">
        <f>IF(OR(G23="",H23=""),"",IF(G23=H23,"Y","N"))</f>
        <v/>
      </c>
      <c r="J23" s="11" t="n"/>
    </row>
    <row r="24" ht="14.5" customHeight="1" s="49">
      <c r="A24" s="21" t="n">
        <v>3</v>
      </c>
      <c r="B24" s="11" t="n"/>
      <c r="C24" s="11" t="n"/>
      <c r="D24" s="11" t="n"/>
      <c r="E24" s="11" t="n"/>
      <c r="F24" s="22" t="n"/>
      <c r="G24" s="11" t="n"/>
      <c r="H24" s="11" t="n"/>
      <c r="I24" s="11">
        <f>IF(OR(G24="",H24=""),"",IF(G24=H24,"Y","N"))</f>
        <v/>
      </c>
      <c r="J24" s="11" t="n"/>
    </row>
    <row r="25" ht="14.5" customHeight="1" s="49">
      <c r="A25" s="21" t="n">
        <v>4</v>
      </c>
      <c r="B25" s="11" t="n"/>
      <c r="C25" s="11" t="n"/>
      <c r="D25" s="11" t="n"/>
      <c r="E25" s="11" t="n"/>
      <c r="F25" s="22" t="n"/>
      <c r="G25" s="11" t="n"/>
      <c r="H25" s="11" t="n"/>
      <c r="I25" s="11">
        <f>IF(OR(G25="",H25=""),"",IF(G25=H25,"Y","N"))</f>
        <v/>
      </c>
      <c r="J25" s="11" t="n"/>
    </row>
    <row r="26">
      <c r="A26" s="21" t="n">
        <v>5</v>
      </c>
      <c r="B26" s="11" t="n"/>
      <c r="C26" s="11" t="n"/>
      <c r="D26" s="11" t="n"/>
      <c r="E26" s="11" t="n"/>
      <c r="F26" s="22" t="n"/>
      <c r="G26" s="11" t="n"/>
      <c r="H26" s="11" t="n"/>
      <c r="I26" s="11">
        <f>IF(OR(G26="",H26=""),"",IF(G26=H26,"Y","N"))</f>
        <v/>
      </c>
      <c r="J26" s="11" t="n"/>
    </row>
    <row r="27">
      <c r="A27" s="21" t="n">
        <v>6</v>
      </c>
      <c r="B27" s="11" t="n"/>
      <c r="C27" s="11" t="n"/>
      <c r="D27" s="11" t="n"/>
      <c r="E27" s="11" t="n"/>
      <c r="F27" s="22" t="n"/>
      <c r="G27" s="11" t="n"/>
      <c r="H27" s="11" t="n"/>
      <c r="I27" s="11">
        <f>IF(OR(G27="",H27=""),"",IF(G27=H27,"Y","N"))</f>
        <v/>
      </c>
      <c r="J27" s="11" t="n"/>
    </row>
    <row r="28">
      <c r="A28" s="21" t="n">
        <v>7</v>
      </c>
      <c r="B28" s="11" t="n"/>
      <c r="C28" s="11" t="n"/>
      <c r="D28" s="11" t="n"/>
      <c r="E28" s="11" t="n"/>
      <c r="F28" s="22" t="n"/>
      <c r="G28" s="11" t="n"/>
      <c r="H28" s="11" t="n"/>
      <c r="I28" s="11">
        <f>IF(OR(G28="",H28=""),"",IF(G28=H28,"Y","N"))</f>
        <v/>
      </c>
      <c r="J28" s="11" t="n"/>
    </row>
    <row r="29">
      <c r="A29" s="21" t="n">
        <v>8</v>
      </c>
      <c r="B29" s="11" t="n"/>
      <c r="C29" s="11" t="n"/>
      <c r="D29" s="11" t="n"/>
      <c r="E29" s="11" t="n"/>
      <c r="F29" s="22" t="n"/>
      <c r="G29" s="11" t="n"/>
      <c r="H29" s="11" t="n"/>
      <c r="I29" s="11">
        <f>IF(OR(G29="",H29=""),"",IF(G29=H29,"Y","N"))</f>
        <v/>
      </c>
      <c r="J29" s="11" t="n"/>
    </row>
    <row r="30">
      <c r="A30" s="21" t="n">
        <v>9</v>
      </c>
      <c r="B30" s="11" t="n"/>
      <c r="C30" s="11" t="n"/>
      <c r="D30" s="11" t="n"/>
      <c r="E30" s="11" t="n"/>
      <c r="F30" s="22" t="n"/>
      <c r="G30" s="11" t="n"/>
      <c r="H30" s="11" t="n"/>
      <c r="I30" s="11">
        <f>IF(OR(G30="",H30=""),"",IF(G30=H30,"Y","N"))</f>
        <v/>
      </c>
      <c r="J30" s="11" t="n"/>
    </row>
    <row r="31">
      <c r="A31" s="21" t="n">
        <v>10</v>
      </c>
      <c r="B31" s="11" t="n"/>
      <c r="C31" s="11" t="n"/>
      <c r="D31" s="11" t="n"/>
      <c r="E31" s="11" t="n"/>
      <c r="F31" s="22" t="n"/>
      <c r="G31" s="11" t="n"/>
      <c r="H31" s="11" t="n"/>
      <c r="I31" s="11">
        <f>IF(OR(G31="",H31=""),"",IF(G31=H31,"Y","N"))</f>
        <v/>
      </c>
      <c r="J31" s="11" t="n"/>
    </row>
    <row r="32"/>
    <row r="33">
      <c r="A33" s="20" t="inlineStr">
        <is>
          <t>C. Shipping cutoff (last 5 BOLs before YE / first 5 after YE)</t>
        </is>
      </c>
    </row>
    <row r="34" ht="30" customHeight="1" s="49">
      <c r="A34" s="10" t="inlineStr">
        <is>
          <t>Sel #</t>
        </is>
      </c>
      <c r="B34" s="10" t="inlineStr">
        <is>
          <t>BOL / shipping ref</t>
        </is>
      </c>
      <c r="C34" s="10" t="inlineStr">
        <is>
          <t>Customer / item</t>
        </is>
      </c>
      <c r="D34" s="10" t="inlineStr">
        <is>
          <t>Ship date</t>
        </is>
      </c>
      <c r="E34" s="10" t="inlineStr">
        <is>
          <t>Before / after YE</t>
        </is>
      </c>
      <c r="F34" s="10" t="inlineStr">
        <is>
          <t>Qty</t>
        </is>
      </c>
      <c r="G34" s="10" t="inlineStr">
        <is>
          <t>Removed from YE inventory? (Y/N)</t>
        </is>
      </c>
      <c r="H34" s="10" t="inlineStr">
        <is>
          <t>Should it be? (Y/N)</t>
        </is>
      </c>
      <c r="I34" s="10" t="inlineStr">
        <is>
          <t>Proper period (Y/N)</t>
        </is>
      </c>
      <c r="J34" s="10" t="inlineStr">
        <is>
          <t>Comments</t>
        </is>
      </c>
    </row>
    <row r="35">
      <c r="A35" s="21" t="n">
        <v>1</v>
      </c>
      <c r="B35" s="11" t="n"/>
      <c r="C35" s="11" t="n"/>
      <c r="D35" s="11" t="n"/>
      <c r="E35" s="11" t="n"/>
      <c r="F35" s="22" t="n"/>
      <c r="G35" s="11" t="n"/>
      <c r="H35" s="11" t="n"/>
      <c r="I35" s="11">
        <f>IF(OR(G35="",H35=""),"",IF(G35=H35,"Y","N"))</f>
        <v/>
      </c>
      <c r="J35" s="11" t="n"/>
    </row>
    <row r="36">
      <c r="A36" s="21" t="n">
        <v>2</v>
      </c>
      <c r="B36" s="11" t="n"/>
      <c r="C36" s="11" t="n"/>
      <c r="D36" s="11" t="n"/>
      <c r="E36" s="11" t="n"/>
      <c r="F36" s="22" t="n"/>
      <c r="G36" s="11" t="n"/>
      <c r="H36" s="11" t="n"/>
      <c r="I36" s="11">
        <f>IF(OR(G36="",H36=""),"",IF(G36=H36,"Y","N"))</f>
        <v/>
      </c>
      <c r="J36" s="11" t="n"/>
    </row>
    <row r="37">
      <c r="A37" s="21" t="n">
        <v>3</v>
      </c>
      <c r="B37" s="11" t="n"/>
      <c r="C37" s="11" t="n"/>
      <c r="D37" s="11" t="n"/>
      <c r="E37" s="11" t="n"/>
      <c r="F37" s="22" t="n"/>
      <c r="G37" s="11" t="n"/>
      <c r="H37" s="11" t="n"/>
      <c r="I37" s="11">
        <f>IF(OR(G37="",H37=""),"",IF(G37=H37,"Y","N"))</f>
        <v/>
      </c>
      <c r="J37" s="11" t="n"/>
    </row>
    <row r="38">
      <c r="A38" s="21" t="n">
        <v>4</v>
      </c>
      <c r="B38" s="11" t="n"/>
      <c r="C38" s="11" t="n"/>
      <c r="D38" s="11" t="n"/>
      <c r="E38" s="11" t="n"/>
      <c r="F38" s="22" t="n"/>
      <c r="G38" s="11" t="n"/>
      <c r="H38" s="11" t="n"/>
      <c r="I38" s="11">
        <f>IF(OR(G38="",H38=""),"",IF(G38=H38,"Y","N"))</f>
        <v/>
      </c>
      <c r="J38" s="11" t="n"/>
    </row>
    <row r="39">
      <c r="A39" s="21" t="n">
        <v>5</v>
      </c>
      <c r="B39" s="11" t="n"/>
      <c r="C39" s="11" t="n"/>
      <c r="D39" s="11" t="n"/>
      <c r="E39" s="11" t="n"/>
      <c r="F39" s="22" t="n"/>
      <c r="G39" s="11" t="n"/>
      <c r="H39" s="11" t="n"/>
      <c r="I39" s="11">
        <f>IF(OR(G39="",H39=""),"",IF(G39=H39,"Y","N"))</f>
        <v/>
      </c>
      <c r="J39" s="11" t="n"/>
    </row>
    <row r="40">
      <c r="A40" s="21" t="n">
        <v>6</v>
      </c>
      <c r="B40" s="11" t="n"/>
      <c r="C40" s="11" t="n"/>
      <c r="D40" s="11" t="n"/>
      <c r="E40" s="11" t="n"/>
      <c r="F40" s="22" t="n"/>
      <c r="G40" s="11" t="n"/>
      <c r="H40" s="11" t="n"/>
      <c r="I40" s="11">
        <f>IF(OR(G40="",H40=""),"",IF(G40=H40,"Y","N"))</f>
        <v/>
      </c>
      <c r="J40" s="11" t="n"/>
    </row>
    <row r="41">
      <c r="A41" s="21" t="n">
        <v>7</v>
      </c>
      <c r="B41" s="11" t="n"/>
      <c r="C41" s="11" t="n"/>
      <c r="D41" s="11" t="n"/>
      <c r="E41" s="11" t="n"/>
      <c r="F41" s="22" t="n"/>
      <c r="G41" s="11" t="n"/>
      <c r="H41" s="11" t="n"/>
      <c r="I41" s="11">
        <f>IF(OR(G41="",H41=""),"",IF(G41=H41,"Y","N"))</f>
        <v/>
      </c>
      <c r="J41" s="11" t="n"/>
    </row>
    <row r="42">
      <c r="A42" s="21" t="n">
        <v>8</v>
      </c>
      <c r="B42" s="11" t="n"/>
      <c r="C42" s="11" t="n"/>
      <c r="D42" s="11" t="n"/>
      <c r="E42" s="11" t="n"/>
      <c r="F42" s="22" t="n"/>
      <c r="G42" s="11" t="n"/>
      <c r="H42" s="11" t="n"/>
      <c r="I42" s="11">
        <f>IF(OR(G42="",H42=""),"",IF(G42=H42,"Y","N"))</f>
        <v/>
      </c>
      <c r="J42" s="11" t="n"/>
    </row>
    <row r="43">
      <c r="A43" s="21" t="n">
        <v>9</v>
      </c>
      <c r="B43" s="11" t="n"/>
      <c r="C43" s="11" t="n"/>
      <c r="D43" s="11" t="n"/>
      <c r="E43" s="11" t="n"/>
      <c r="F43" s="22" t="n"/>
      <c r="G43" s="11" t="n"/>
      <c r="H43" s="11" t="n"/>
      <c r="I43" s="11">
        <f>IF(OR(G43="",H43=""),"",IF(G43=H43,"Y","N"))</f>
        <v/>
      </c>
      <c r="J43" s="11" t="n"/>
    </row>
    <row r="44">
      <c r="A44" s="21" t="n">
        <v>10</v>
      </c>
      <c r="B44" s="11" t="n"/>
      <c r="C44" s="11" t="n"/>
      <c r="D44" s="11" t="n"/>
      <c r="E44" s="11" t="n"/>
      <c r="F44" s="22" t="n"/>
      <c r="G44" s="11" t="n"/>
      <c r="H44" s="11" t="n"/>
      <c r="I44" s="11">
        <f>IF(OR(G44="",H44=""),"",IF(G44=H44,"Y","N"))</f>
        <v/>
      </c>
      <c r="J44" s="11" t="n"/>
    </row>
    <row r="45"/>
    <row r="46">
      <c r="A46" s="20" t="inlineStr">
        <is>
          <t>D. In-transit inventory (shipping terms)</t>
        </is>
      </c>
    </row>
    <row r="47" ht="30" customHeight="1" s="49">
      <c r="A47" s="10" t="inlineStr">
        <is>
          <t>Item / PO</t>
        </is>
      </c>
      <c r="B47" s="10" t="inlineStr">
        <is>
          <t>Vendor / customer</t>
        </is>
      </c>
      <c r="C47" s="10" t="inlineStr">
        <is>
          <t>Terms (FOB SP / FOB dest.)</t>
        </is>
      </c>
      <c r="D47" s="10" t="inlineStr">
        <is>
          <t>Ship date</t>
        </is>
      </c>
      <c r="E47" s="10" t="inlineStr">
        <is>
          <t>Amount</t>
        </is>
      </c>
      <c r="F47" s="10" t="inlineStr">
        <is>
          <t>Title at YE with entity? (Y/N)</t>
        </is>
      </c>
      <c r="G47" s="10" t="inlineStr">
        <is>
          <t>In YE inventory? (Y/N)</t>
        </is>
      </c>
      <c r="H47" s="10" t="inlineStr">
        <is>
          <t>Correct (Y/N)</t>
        </is>
      </c>
      <c r="I47" s="10" t="inlineStr">
        <is>
          <t>Comments</t>
        </is>
      </c>
    </row>
    <row r="48">
      <c r="A48" s="11" t="n"/>
      <c r="B48" s="11" t="n"/>
      <c r="C48" s="11" t="n"/>
      <c r="D48" s="11" t="n"/>
      <c r="E48" s="14" t="n"/>
      <c r="F48" s="11" t="n"/>
      <c r="G48" s="11" t="n"/>
      <c r="H48" s="11">
        <f>IF(OR(F48="",G48=""),"",IF(F48=G48,"Y","N"))</f>
        <v/>
      </c>
      <c r="I48" s="11" t="n"/>
    </row>
    <row r="49">
      <c r="A49" s="11" t="n"/>
      <c r="B49" s="11" t="n"/>
      <c r="C49" s="11" t="n"/>
      <c r="D49" s="11" t="n"/>
      <c r="E49" s="14" t="n"/>
      <c r="F49" s="11" t="n"/>
      <c r="G49" s="11" t="n"/>
      <c r="H49" s="11">
        <f>IF(OR(F49="",G49=""),"",IF(F49=G49,"Y","N"))</f>
        <v/>
      </c>
      <c r="I49" s="11" t="n"/>
    </row>
    <row r="50">
      <c r="A50" s="11" t="n"/>
      <c r="B50" s="11" t="n"/>
      <c r="C50" s="11" t="n"/>
      <c r="D50" s="11" t="n"/>
      <c r="E50" s="14" t="n"/>
      <c r="F50" s="11" t="n"/>
      <c r="G50" s="11" t="n"/>
      <c r="H50" s="11">
        <f>IF(OR(F50="",G50=""),"",IF(F50=G50,"Y","N"))</f>
        <v/>
      </c>
      <c r="I50" s="11" t="n"/>
    </row>
    <row r="51">
      <c r="A51" s="11" t="n"/>
      <c r="B51" s="11" t="n"/>
      <c r="C51" s="11" t="n"/>
      <c r="D51" s="11" t="n"/>
      <c r="E51" s="14" t="n"/>
      <c r="F51" s="11" t="n"/>
      <c r="G51" s="11" t="n"/>
      <c r="H51" s="11">
        <f>IF(OR(F51="",G51=""),"",IF(F51=G51,"Y","N"))</f>
        <v/>
      </c>
      <c r="I51" s="11" t="n"/>
    </row>
    <row r="52">
      <c r="A52" s="11" t="n"/>
      <c r="B52" s="11" t="n"/>
      <c r="C52" s="11" t="n"/>
      <c r="D52" s="11" t="n"/>
      <c r="E52" s="14" t="n"/>
      <c r="F52" s="11" t="n"/>
      <c r="G52" s="11" t="n"/>
      <c r="H52" s="11">
        <f>IF(OR(F52="",G52=""),"",IF(F52=G52,"Y","N"))</f>
        <v/>
      </c>
      <c r="I52" s="11" t="n"/>
    </row>
    <row r="53"/>
    <row r="54" ht="27.75" customHeight="1" s="49">
      <c r="A54" s="3" t="inlineStr">
        <is>
          <t>Two-directional: goods received before YE must be IN inventory (and the liability recorded — see AP); goods received after must be OUT. Shipments before YE must be OUT of inventory (revenue recorded); after YE must be IN. FOB shipping point purchases in transit at YE belong in inventory; FOB destination do not. GRN date-tie exceptions from &lt;.6&gt; feed this test.</t>
        </is>
      </c>
    </row>
    <row r="55"/>
    <row r="56">
      <c r="A56" s="52" t="inlineStr">
        <is>
          <t>TM Legends</t>
        </is>
      </c>
    </row>
    <row r="57">
      <c r="A57" s="12" t="inlineStr">
        <is>
          <t>TB</t>
        </is>
      </c>
      <c r="B57" s="11" t="inlineStr">
        <is>
          <t>Agreed to trial balance</t>
        </is>
      </c>
      <c r="C57" s="54" t="n"/>
      <c r="D57" s="55" t="n"/>
    </row>
    <row r="58">
      <c r="A58" s="12" t="inlineStr">
        <is>
          <t>GL</t>
        </is>
      </c>
      <c r="B58" s="11" t="inlineStr">
        <is>
          <t>Agreed to general ledger</t>
        </is>
      </c>
      <c r="C58" s="54" t="n"/>
      <c r="D58" s="55" t="n"/>
    </row>
    <row r="59">
      <c r="A59" s="12" t="inlineStr">
        <is>
          <t>CF</t>
        </is>
      </c>
      <c r="B59" s="11" t="inlineStr">
        <is>
          <t>Confirmed with third party</t>
        </is>
      </c>
      <c r="C59" s="54" t="n"/>
      <c r="D59" s="55" t="n"/>
    </row>
    <row r="60">
      <c r="A60" s="12" t="inlineStr">
        <is>
          <t>V</t>
        </is>
      </c>
      <c r="B60" s="11" t="inlineStr">
        <is>
          <t>Vouched to source document</t>
        </is>
      </c>
      <c r="C60" s="54" t="n"/>
      <c r="D60" s="55" t="n"/>
    </row>
    <row r="61">
      <c r="A61" s="12" t="inlineStr">
        <is>
          <t>SR</t>
        </is>
      </c>
      <c r="B61" s="11" t="inlineStr">
        <is>
          <t>Agreed to subsequent bank-cleared receipt</t>
        </is>
      </c>
      <c r="C61" s="54" t="n"/>
      <c r="D61" s="55" t="n"/>
    </row>
    <row r="62">
      <c r="A62" s="12" t="inlineStr">
        <is>
          <t>R</t>
        </is>
      </c>
      <c r="B62" s="11" t="inlineStr">
        <is>
          <t>Recalculated independently</t>
        </is>
      </c>
      <c r="C62" s="54" t="n"/>
      <c r="D62" s="55" t="n"/>
    </row>
    <row r="63">
      <c r="A63" s="12" t="inlineStr">
        <is>
          <t>F</t>
        </is>
      </c>
      <c r="B63" s="11" t="inlineStr">
        <is>
          <t>Footed / cross-cast</t>
        </is>
      </c>
      <c r="C63" s="54" t="n"/>
      <c r="D63" s="55" t="n"/>
    </row>
    <row r="64">
      <c r="A64" s="12" t="inlineStr">
        <is>
          <t>T</t>
        </is>
      </c>
      <c r="B64" s="11" t="inlineStr">
        <is>
          <t>Traced to downstream record</t>
        </is>
      </c>
      <c r="C64" s="54" t="n"/>
      <c r="D64" s="55" t="n"/>
    </row>
    <row r="65">
      <c r="A65" s="12" t="inlineStr">
        <is>
          <t>PBC</t>
        </is>
      </c>
      <c r="B65" s="11" t="inlineStr">
        <is>
          <t>Prepared by client</t>
        </is>
      </c>
      <c r="C65" s="54" t="n"/>
      <c r="D65" s="55" t="n"/>
    </row>
    <row r="66"/>
    <row r="67" ht="27.75" customHeight="1" s="49">
      <c r="A67" s="3" t="inlineStr">
        <is>
          <t>Before sign-off complete Library Procedures 13-15 (risk assessment; receiving &amp; shipping cutoff; in-transit).</t>
        </is>
      </c>
    </row>
  </sheetData>
  <mergeCells count="36">
    <mergeCell ref="F13:I13"/>
    <mergeCell ref="B60:D60"/>
    <mergeCell ref="D10:E10"/>
    <mergeCell ref="A15:B15"/>
    <mergeCell ref="F9:I9"/>
    <mergeCell ref="B61:D61"/>
    <mergeCell ref="B57:D57"/>
    <mergeCell ref="A11:B11"/>
    <mergeCell ref="F14:I14"/>
    <mergeCell ref="D13:E13"/>
    <mergeCell ref="D11:E11"/>
    <mergeCell ref="F11:I11"/>
    <mergeCell ref="B65:D65"/>
    <mergeCell ref="F10:I10"/>
    <mergeCell ref="B64:D64"/>
    <mergeCell ref="A12:B12"/>
    <mergeCell ref="B63:D63"/>
    <mergeCell ref="F12:I12"/>
    <mergeCell ref="F15:I15"/>
    <mergeCell ref="A67:I67"/>
    <mergeCell ref="A14:B14"/>
    <mergeCell ref="B62:D62"/>
    <mergeCell ref="D9:E9"/>
    <mergeCell ref="D12:E12"/>
    <mergeCell ref="B59:D59"/>
    <mergeCell ref="D15:E15"/>
    <mergeCell ref="B6:I6"/>
    <mergeCell ref="A10:B10"/>
    <mergeCell ref="B58:D58"/>
    <mergeCell ref="A13:B13"/>
    <mergeCell ref="D14:E14"/>
    <mergeCell ref="A17:I18"/>
    <mergeCell ref="B5:I5"/>
    <mergeCell ref="A9:B9"/>
    <mergeCell ref="B4:I4"/>
    <mergeCell ref="A54:I54"/>
  </mergeCells>
  <pageMargins left="0.3" right="0.3" top="0.4" bottom="0.4" header="0.2" footer="0.2"/>
  <pageSetup orientation="landscape" paperSize="1" fitToHeight="1" fitToWidth="1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2026-07-02T09:44:36Z</dcterms:created>
  <dcterms:modified xmlns:dcterms="http://purl.org/dc/terms/" xmlns:xsi="http://www.w3.org/2001/XMLSchema-instance" xsi:type="dcterms:W3CDTF">2026-07-02T10:01:44Z</dcterms:modified>
  <cp:revision>0</cp:revision>
</cp:coreProperties>
</file>