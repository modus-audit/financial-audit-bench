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500" firstSheet="0" activeTab="0" autoFilterDateGrouping="1"/>
  </bookViews>
  <sheets>
    <sheet xmlns:r="http://schemas.openxmlformats.org/officeDocument/2006/relationships" name="Library Procedures" sheetId="1" state="visible" r:id="rId1"/>
    <sheet xmlns:r="http://schemas.openxmlformats.org/officeDocument/2006/relationships" name="&lt;.0&gt; Source Index" sheetId="2" state="visible" r:id="rId2"/>
    <sheet xmlns:r="http://schemas.openxmlformats.org/officeDocument/2006/relationships" name="&lt;.1&gt; PPE Lead Sheet" sheetId="3" state="visible" r:id="rId3"/>
    <sheet xmlns:r="http://schemas.openxmlformats.org/officeDocument/2006/relationships" name="&lt;.2&gt; PPE Rollforward" sheetId="4" state="visible" r:id="rId4"/>
    <sheet xmlns:r="http://schemas.openxmlformats.org/officeDocument/2006/relationships" name="&lt;.3&gt; Additions &amp; Disposals" sheetId="5" state="visible" r:id="rId5"/>
    <sheet xmlns:r="http://schemas.openxmlformats.org/officeDocument/2006/relationships" name="&lt;.4&gt; CIP Additions &amp; Transfers" sheetId="6" state="visible" r:id="rId6"/>
    <sheet xmlns:r="http://schemas.openxmlformats.org/officeDocument/2006/relationships" name="&lt;.5&gt; Depreciation &amp; Analytics" sheetId="7" state="visible" r:id="rId7"/>
    <sheet xmlns:r="http://schemas.openxmlformats.org/officeDocument/2006/relationships" name="&lt;.6&gt; Impairment - Triggers" sheetId="8" state="visible" r:id="rId8"/>
    <sheet xmlns:r="http://schemas.openxmlformats.org/officeDocument/2006/relationships" name="&lt;.7&gt; Impairment - Held &amp; Used" sheetId="9" state="visible" r:id="rId9"/>
    <sheet xmlns:r="http://schemas.openxmlformats.org/officeDocument/2006/relationships" name="&lt;.8&gt; Presentation &amp; Disc" sheetId="10" state="visible" r:id="rId10"/>
  </sheets>
  <definedNames>
    <definedName name="_xlnm.Print_Area" localSheetId="0">'Library Procedures'!$A$1:$F$40</definedName>
    <definedName name="_xlnm.Print_Area" localSheetId="1">'&lt;.0&gt; Source Index'!$A$1:$H$32</definedName>
    <definedName name="_xlnm.Print_Area" localSheetId="2">'&lt;.1&gt; PPE Lead Sheet'!$A$1:$I$40</definedName>
    <definedName name="_xlnm.Print_Area" localSheetId="3">'&lt;.2&gt; PPE Rollforward'!$A$1:$L$34</definedName>
    <definedName name="_xlnm.Print_Area" localSheetId="4">'&lt;.3&gt; Additions &amp; Disposals'!$A$1:$L$47</definedName>
    <definedName name="_xlnm.Print_Area" localSheetId="5">'&lt;.4&gt; CIP Additions &amp; Transfers'!$A$1:$H$45</definedName>
    <definedName name="_xlnm.Print_Area" localSheetId="6">'&lt;.5&gt; Depreciation &amp; Analytics'!$A$1:$J$43</definedName>
    <definedName name="_xlnm.Print_Area" localSheetId="7">'&lt;.6&gt; Impairment - Triggers'!$A$1:$H$29</definedName>
    <definedName name="_xlnm.Print_Area" localSheetId="8">'&lt;.7&gt; Impairment - Held &amp; Used'!$A$1:$H$32</definedName>
    <definedName name="_xlnm.Print_Area" localSheetId="9">'&lt;.8&gt; Presentation &amp; Disc'!$A$1:$H$36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0"/>
  <fonts count="13">
    <font>
      <name val="Calibri"/>
      <charset val="1"/>
      <family val="2"/>
      <color theme="1"/>
      <sz val="11"/>
    </font>
    <font>
      <name val="Georgia"/>
      <charset val="1"/>
      <b val="1"/>
      <color rgb="FFA32020"/>
      <sz val="14"/>
    </font>
    <font>
      <name val="Georgia"/>
      <charset val="1"/>
      <b val="1"/>
      <color rgb="FF1A1A1A"/>
      <sz val="9"/>
    </font>
    <font>
      <name val="Georgia"/>
      <charset val="1"/>
      <color rgb="FF1A1A1A"/>
      <sz val="9"/>
    </font>
    <font>
      <name val="Georgia"/>
      <charset val="1"/>
      <b val="1"/>
      <color rgb="FFA32020"/>
      <sz val="9"/>
    </font>
    <font>
      <name val="Georgia"/>
      <charset val="1"/>
      <b val="1"/>
      <color rgb="FFFFFFFF"/>
      <sz val="8.5"/>
    </font>
    <font>
      <name val="Georgia"/>
      <charset val="1"/>
      <b val="1"/>
      <color rgb="FFDC6900"/>
      <sz val="9"/>
    </font>
    <font>
      <name val="Georgia"/>
      <charset val="1"/>
      <color rgb="FF6E6E6E"/>
      <sz val="9"/>
    </font>
    <font>
      <name val="Georgia"/>
      <charset val="1"/>
      <b val="1"/>
      <color rgb="FFDC6900"/>
      <sz val="8"/>
    </font>
    <font>
      <name val="Georgia"/>
      <charset val="1"/>
      <b val="1"/>
      <color rgb="FF1A1A1A"/>
      <sz val="10"/>
    </font>
    <font>
      <name val="Georgia"/>
      <charset val="1"/>
      <b val="1"/>
      <color rgb="FFA32020"/>
      <sz val="10"/>
    </font>
    <font>
      <name val="Georgia"/>
      <charset val="1"/>
      <color theme="1"/>
      <sz val="11"/>
    </font>
    <font>
      <name val="Georgia"/>
      <charset val="1"/>
      <b val="1"/>
      <color rgb="FFFFFFFF"/>
      <sz val="9"/>
    </font>
  </fonts>
  <fills count="4">
    <fill>
      <patternFill/>
    </fill>
    <fill>
      <patternFill patternType="gray125"/>
    </fill>
    <fill>
      <patternFill patternType="solid">
        <fgColor rgb="FFA32020"/>
        <bgColor rgb="FF993366"/>
      </patternFill>
    </fill>
    <fill>
      <patternFill patternType="solid">
        <fgColor rgb="FFF4DCDC"/>
        <bgColor rgb="FFCCCCFF"/>
      </patternFill>
    </fill>
  </fills>
  <borders count="1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2" fillId="2" borderId="1" pivotButton="0" quotePrefix="0" xfId="0"/>
    <xf numFmtId="0" fontId="7" fillId="0" borderId="0" pivotButton="0" quotePrefix="0" xfId="0"/>
    <xf numFmtId="0" fontId="3" fillId="0" borderId="1" pivotButton="0" quotePrefix="0" xfId="0"/>
    <xf numFmtId="0" fontId="3" fillId="0" borderId="0" applyAlignment="1" pivotButton="0" quotePrefix="0" xfId="0">
      <alignment horizontal="left"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6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4" fontId="3" fillId="0" borderId="1" pivotButton="0" quotePrefix="0" xfId="0"/>
    <xf numFmtId="10" fontId="3" fillId="0" borderId="1" pivotButton="0" quotePrefix="0" xfId="0"/>
    <xf numFmtId="0" fontId="9" fillId="3" borderId="1" pivotButton="0" quotePrefix="0" xfId="0"/>
    <xf numFmtId="4" fontId="9" fillId="3" borderId="1" pivotButton="0" quotePrefix="0" xfId="0"/>
    <xf numFmtId="0" fontId="10" fillId="0" borderId="0" pivotButton="0" quotePrefix="0" xfId="0"/>
    <xf numFmtId="4" fontId="11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center" vertical="center" wrapText="1"/>
    </xf>
    <xf numFmtId="0" fontId="12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 wrapText="1"/>
    </xf>
    <xf numFmtId="0" fontId="4" fillId="0" borderId="2" pivotButton="0" quotePrefix="0" xfId="0"/>
    <xf numFmtId="0" fontId="3" fillId="0" borderId="2" applyAlignment="1" pivotButton="0" quotePrefix="0" xfId="0">
      <alignment horizontal="left" vertical="center" wrapText="1"/>
    </xf>
    <xf numFmtId="4" fontId="9" fillId="0" borderId="0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DCDC"/>
      <rgbColor rgb="FF3366FF"/>
      <rgbColor rgb="FF33CCCC"/>
      <rgbColor rgb="FF99CC00"/>
      <rgbColor rgb="FFFFCC00"/>
      <rgbColor rgb="FFFF9900"/>
      <rgbColor rgb="FFDC6900"/>
      <rgbColor rgb="FF6E6E6E"/>
      <rgbColor rgb="FF969696"/>
      <rgbColor rgb="FF003366"/>
      <rgbColor rgb="FF339966"/>
      <rgbColor rgb="FF003300"/>
      <rgbColor rgb="FF333300"/>
      <rgbColor rgb="FFA32020"/>
      <rgbColor rgb="FF993366"/>
      <rgbColor rgb="FF333399"/>
      <rgbColor rgb="FF1A1A1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0"/>
  <sheetViews>
    <sheetView showGridLines="0" tabSelected="1" zoomScale="85" zoomScaleNormal="100" workbookViewId="0">
      <selection activeCell="A8" sqref="A8"/>
    </sheetView>
  </sheetViews>
  <sheetFormatPr baseColWidth="8" defaultColWidth="8.6328125" defaultRowHeight="14.5"/>
  <cols>
    <col width="8.453125" customWidth="1" min="1" max="1"/>
    <col width="100" customWidth="1" min="2" max="2"/>
    <col width="30" customWidth="1" min="3" max="3"/>
    <col width="12" customWidth="1" min="4" max="4"/>
    <col width="15" customWidth="1" min="5" max="5"/>
    <col width="12" customWidth="1" min="6" max="6"/>
  </cols>
  <sheetData>
    <row r="1" ht="17.25" customHeight="1">
      <c r="A1" s="5" t="inlineStr">
        <is>
          <t>Fixed Assets (PP&amp;E) — Library of Audit Procedures</t>
        </is>
      </c>
    </row>
    <row r="2" ht="15" customHeight="1">
      <c r="A2" s="7" t="inlineStr">
        <is>
          <t>Client / Entity: Whitmore Products Company</t>
        </is>
      </c>
    </row>
    <row r="3" ht="15" customHeight="1">
      <c r="A3" s="7" t="inlineStr">
        <is>
          <t>Prepared by: Audit Senior 8606 (assigned)      Reviewed by: Audit Manager A1DC (assigned)</t>
        </is>
      </c>
    </row>
    <row r="4" ht="25.5" customHeight="1">
      <c r="A4" s="2" t="inlineStr">
        <is>
          <t>Tick each procedure when complete; enter the W/P reference, performed-by initials and date. Work through ALL applicable procedures before concluding on fixed assets.</t>
        </is>
      </c>
    </row>
    <row r="5"/>
    <row r="6" ht="19.5" customHeight="1">
      <c r="A6" s="20" t="inlineStr">
        <is>
          <t>Done</t>
        </is>
      </c>
      <c r="B6" s="21" t="inlineStr">
        <is>
          <t>Procedure</t>
        </is>
      </c>
      <c r="C6" s="21" t="inlineStr">
        <is>
          <t>Assertion(s)</t>
        </is>
      </c>
      <c r="D6" s="20" t="inlineStr">
        <is>
          <t>W/P Ref</t>
        </is>
      </c>
      <c r="E6" s="20" t="inlineStr">
        <is>
          <t>Performed by</t>
        </is>
      </c>
      <c r="F6" s="20" t="inlineStr">
        <is>
          <t>Date</t>
        </is>
      </c>
    </row>
    <row r="7" ht="15" customHeight="1">
      <c r="A7" s="1" t="inlineStr">
        <is>
          <t>&lt;.0&gt; Source Index</t>
        </is>
      </c>
      <c r="B7" s="28" t="n"/>
      <c r="C7" s="28" t="n"/>
      <c r="D7" s="28" t="n"/>
      <c r="E7" s="28" t="n"/>
      <c r="F7" s="29" t="n"/>
    </row>
    <row r="8" ht="39" customHeight="1">
      <c r="A8" s="10" t="n"/>
      <c r="B8" s="19" t="inlineStr">
        <is>
          <t>1. Obtain and index all PPE PBC sources (fixed-asset register/rollforward, GL detail, additions invoices/POs, disposal listing, CIP schedule, depreciation schedule, capitalization &amp; depreciation policy, title/insurance/loan documents); document limitations.</t>
        </is>
      </c>
      <c r="C8" s="19" t="inlineStr">
        <is>
          <t>Completeness</t>
        </is>
      </c>
      <c r="D8" s="22" t="inlineStr">
        <is>
          <t>&lt;.0&gt;</t>
        </is>
      </c>
      <c r="E8" s="10" t="n"/>
      <c r="F8" s="10" t="n"/>
    </row>
    <row r="9" ht="15" customHeight="1">
      <c r="A9" s="1" t="inlineStr">
        <is>
          <t>&lt;.1&gt; PPE Lead Sheet</t>
        </is>
      </c>
      <c r="B9" s="28" t="n"/>
      <c r="C9" s="28" t="n"/>
      <c r="D9" s="28" t="n"/>
      <c r="E9" s="28" t="n"/>
      <c r="F9" s="29" t="n"/>
    </row>
    <row r="10" ht="25.5" customHeight="1">
      <c r="A10" s="10" t="n"/>
      <c r="B10" s="19" t="inlineStr">
        <is>
          <t>2. Obtain the PPE lead sheet and agree gross cost, accumulated depreciation and net book value to the trial balance and general ledger by asset class.</t>
        </is>
      </c>
      <c r="C10" s="19" t="inlineStr">
        <is>
          <t>Existence; Valuation &amp; Allocation; Completeness</t>
        </is>
      </c>
      <c r="D10" s="22" t="inlineStr">
        <is>
          <t>&lt;.1&gt;</t>
        </is>
      </c>
      <c r="E10" s="10" t="n"/>
      <c r="F10" s="10" t="n"/>
    </row>
    <row r="11" ht="25.5" customHeight="1">
      <c r="A11" s="10" t="n"/>
      <c r="B11" s="19" t="inlineStr">
        <is>
          <t>3. Reconcile the fixed-asset register to the trial balance (cost, accumulated depreciation and depreciation expense) — mandatory register-to-TB reconciliation.</t>
        </is>
      </c>
      <c r="C11" s="19" t="inlineStr">
        <is>
          <t>Completeness; Valuation &amp; Allocation</t>
        </is>
      </c>
      <c r="D11" s="22" t="inlineStr">
        <is>
          <t>&lt;.1&gt;</t>
        </is>
      </c>
      <c r="E11" s="10" t="n"/>
      <c r="F11" s="10" t="n"/>
    </row>
    <row r="12" ht="25.5" customHeight="1">
      <c r="A12" s="10" t="n"/>
      <c r="B12" s="19" t="inlineStr">
        <is>
          <t>4. Map the register asset classes to the trial-balance GL cost accounts (crosswalk) and investigate classification differences.</t>
        </is>
      </c>
      <c r="C12" s="19" t="inlineStr">
        <is>
          <t>Classification; Completeness</t>
        </is>
      </c>
      <c r="D12" s="22" t="inlineStr">
        <is>
          <t>&lt;.1&gt;</t>
        </is>
      </c>
      <c r="E12" s="10" t="n"/>
      <c r="F12" s="10" t="n"/>
    </row>
    <row r="13" ht="15" customHeight="1">
      <c r="A13" s="10" t="n"/>
      <c r="B13" s="19" t="inlineStr">
        <is>
          <t>5. Verify title / ownership of significant assets and identify liens or pledged assets.</t>
        </is>
      </c>
      <c r="C13" s="19" t="inlineStr">
        <is>
          <t>Rights &amp; Obligations</t>
        </is>
      </c>
      <c r="D13" s="22" t="inlineStr">
        <is>
          <t>&lt;.1&gt;</t>
        </is>
      </c>
      <c r="E13" s="10" t="n"/>
      <c r="F13" s="10" t="n"/>
    </row>
    <row r="14" ht="15" customHeight="1">
      <c r="A14" s="1" t="inlineStr">
        <is>
          <t>&lt;.2&gt; PPE Rollforward</t>
        </is>
      </c>
      <c r="B14" s="28" t="n"/>
      <c r="C14" s="28" t="n"/>
      <c r="D14" s="28" t="n"/>
      <c r="E14" s="28" t="n"/>
      <c r="F14" s="29" t="n"/>
    </row>
    <row r="15" ht="39" customHeight="1">
      <c r="A15" s="10" t="n"/>
      <c r="B15" s="19" t="inlineStr">
        <is>
          <t>6. Roll forward each asset class — beginning cost + additions − disposals ± transfers = ending cost; beginning A/D + depreciation − disposal A/D = ending A/D — agree endings to the lead sheet and bridge beginning balances to the prior-year trial balance.</t>
        </is>
      </c>
      <c r="C15" s="19" t="inlineStr">
        <is>
          <t>Completeness; Valuation &amp; Allocation; Accuracy</t>
        </is>
      </c>
      <c r="D15" s="22" t="inlineStr">
        <is>
          <t>&lt;.2&gt;</t>
        </is>
      </c>
      <c r="E15" s="10" t="n"/>
      <c r="F15" s="10" t="n"/>
    </row>
    <row r="16" ht="15" customHeight="1">
      <c r="A16" s="1" t="inlineStr">
        <is>
          <t>&lt;.3&gt; Additions &amp; Disposals</t>
        </is>
      </c>
      <c r="B16" s="28" t="n"/>
      <c r="C16" s="28" t="n"/>
      <c r="D16" s="28" t="n"/>
      <c r="E16" s="28" t="n"/>
      <c r="F16" s="29" t="n"/>
    </row>
    <row r="17" ht="25.5" customHeight="1">
      <c r="A17" s="10" t="n"/>
      <c r="B17" s="19" t="inlineStr">
        <is>
          <t>7. Vouch current-year additions to invoices / purchase orders / receiving / approval; confirm the in-service date and that capitalization follows policy (capital vs expense threshold).</t>
        </is>
      </c>
      <c r="C17" s="19" t="inlineStr">
        <is>
          <t>Existence; Accuracy; Rights &amp; Obligations</t>
        </is>
      </c>
      <c r="D17" s="22" t="inlineStr">
        <is>
          <t>&lt;.3&gt;</t>
        </is>
      </c>
      <c r="E17" s="10" t="n"/>
      <c r="F17" s="10" t="n"/>
    </row>
    <row r="18" ht="25.5" customHeight="1">
      <c r="A18" s="10" t="n"/>
      <c r="B18" s="19" t="inlineStr">
        <is>
          <t>8. Physically inspect (or obtain serial / photographic / tag evidence for) selected high-value additions.</t>
        </is>
      </c>
      <c r="C18" s="19" t="inlineStr">
        <is>
          <t>Existence</t>
        </is>
      </c>
      <c r="D18" s="22" t="inlineStr">
        <is>
          <t>&lt;.3&gt;</t>
        </is>
      </c>
      <c r="E18" s="10" t="n"/>
      <c r="F18" s="10" t="n"/>
    </row>
    <row r="19" ht="25.5" customHeight="1">
      <c r="A19" s="10" t="n"/>
      <c r="B19" s="19" t="inlineStr">
        <is>
          <t>9. Scan repairs &amp; maintenance for items that should have been capitalized, and capitalized items that should be expensed.</t>
        </is>
      </c>
      <c r="C19" s="19" t="inlineStr">
        <is>
          <t>Completeness; Classification</t>
        </is>
      </c>
      <c r="D19" s="22" t="inlineStr">
        <is>
          <t>&lt;.3&gt;</t>
        </is>
      </c>
      <c r="E19" s="10" t="n"/>
      <c r="F19" s="10" t="n"/>
    </row>
    <row r="20" ht="25.5" customHeight="1">
      <c r="A20" s="10" t="n"/>
      <c r="B20" s="19" t="inlineStr">
        <is>
          <t>10. Obtain the complete disposal / retirement listing; test disposals — remove cost and accumulated depreciation, agree proceeds, and recompute the gain/loss.</t>
        </is>
      </c>
      <c r="C20" s="19" t="inlineStr">
        <is>
          <t>Completeness; Accuracy</t>
        </is>
      </c>
      <c r="D20" s="22" t="inlineStr">
        <is>
          <t>&lt;.3&gt;</t>
        </is>
      </c>
      <c r="E20" s="10" t="n"/>
      <c r="F20" s="10" t="n"/>
    </row>
    <row r="21" ht="15" customHeight="1">
      <c r="A21" s="1" t="inlineStr">
        <is>
          <t>&lt;.4&gt; CIP Additions &amp; Transfers</t>
        </is>
      </c>
      <c r="B21" s="28" t="n"/>
      <c r="C21" s="28" t="n"/>
      <c r="D21" s="28" t="n"/>
      <c r="E21" s="28" t="n"/>
      <c r="F21" s="29" t="n"/>
    </row>
    <row r="22" ht="25.5" customHeight="1">
      <c r="A22" s="10" t="n"/>
      <c r="B22" s="19" t="inlineStr">
        <is>
          <t>11. Test CIP additions / transfers in — vouch costs incurred, evaluate capitalizability (incl. capitalized interest), and confirm no depreciation is recorded on CIP.</t>
        </is>
      </c>
      <c r="C22" s="19" t="inlineStr">
        <is>
          <t>Existence; Accuracy; Classification</t>
        </is>
      </c>
      <c r="D22" s="22" t="inlineStr">
        <is>
          <t>&lt;.4&gt;</t>
        </is>
      </c>
      <c r="E22" s="10" t="n"/>
      <c r="F22" s="10" t="n"/>
    </row>
    <row r="23" ht="25.5" customHeight="1">
      <c r="A23" s="10" t="n"/>
      <c r="B23" s="19" t="inlineStr">
        <is>
          <t>12. Test transfers from CIP to in-service PPE — confirm the placed-in-service date and that depreciation commenced when the asset was ready for use; roll the CIP balance forward.</t>
        </is>
      </c>
      <c r="C23" s="19" t="inlineStr">
        <is>
          <t>Completeness; Cutoff; Classification</t>
        </is>
      </c>
      <c r="D23" s="22" t="inlineStr">
        <is>
          <t>&lt;.4&gt;</t>
        </is>
      </c>
      <c r="E23" s="10" t="n"/>
      <c r="F23" s="10" t="n"/>
    </row>
    <row r="24" ht="15" customHeight="1">
      <c r="A24" s="1" t="inlineStr">
        <is>
          <t>&lt;.5&gt; Depreciation Recompute &amp; Analytics</t>
        </is>
      </c>
      <c r="B24" s="28" t="n"/>
      <c r="C24" s="28" t="n"/>
      <c r="D24" s="28" t="n"/>
      <c r="E24" s="28" t="n"/>
      <c r="F24" s="29" t="n"/>
    </row>
    <row r="25" ht="39" customHeight="1">
      <c r="A25" s="10" t="n"/>
      <c r="B25" s="19" t="inlineStr">
        <is>
          <t>13. Independently recompute depreciation by asset class (depreciable base / useful life, applying the partial-year convention for additions/disposals) and reconcile to the recorded depreciation expense.</t>
        </is>
      </c>
      <c r="C25" s="19" t="inlineStr">
        <is>
          <t>Valuation &amp; Allocation; Accuracy</t>
        </is>
      </c>
      <c r="D25" s="22" t="inlineStr">
        <is>
          <t>&lt;.5&gt;</t>
        </is>
      </c>
      <c r="E25" s="10" t="n"/>
      <c r="F25" s="10" t="n"/>
    </row>
    <row r="26" ht="25.5" customHeight="1">
      <c r="A26" s="10" t="n"/>
      <c r="B26" s="19" t="inlineStr">
        <is>
          <t>14. Evaluate the reasonableness of useful lives by class (challenge a uniform life applied to dissimilar assets) and the depreciation method and policy.</t>
        </is>
      </c>
      <c r="C26" s="19" t="inlineStr">
        <is>
          <t>Valuation &amp; Allocation</t>
        </is>
      </c>
      <c r="D26" s="22" t="inlineStr">
        <is>
          <t>&lt;.5&gt;</t>
        </is>
      </c>
      <c r="E26" s="10" t="n"/>
      <c r="F26" s="10" t="n"/>
    </row>
    <row r="27" ht="25.5" customHeight="1">
      <c r="A27" s="10" t="n"/>
      <c r="B27" s="19" t="inlineStr">
        <is>
          <t>15. Perform depreciation analytics (depreciation as % of gross cost, accumulated depreciation as % of cost, PY comparison) and identify fully-depreciated assets still in use.</t>
        </is>
      </c>
      <c r="C27" s="19" t="inlineStr">
        <is>
          <t>Valuation &amp; Allocation</t>
        </is>
      </c>
      <c r="D27" s="22" t="inlineStr">
        <is>
          <t>&lt;.5&gt;</t>
        </is>
      </c>
      <c r="E27" s="10" t="n"/>
      <c r="F27" s="10" t="n"/>
    </row>
    <row r="28" ht="15" customHeight="1">
      <c r="A28" s="1" t="inlineStr">
        <is>
          <t>&lt;.6&gt; Impairment — Triggering Events</t>
        </is>
      </c>
      <c r="B28" s="28" t="n"/>
      <c r="C28" s="28" t="n"/>
      <c r="D28" s="28" t="n"/>
      <c r="E28" s="28" t="n"/>
      <c r="F28" s="29" t="n"/>
    </row>
    <row r="29" ht="39" customHeight="1">
      <c r="A29" s="10" t="n"/>
      <c r="B29" s="19" t="inlineStr">
        <is>
          <t>16. Evaluate whether any triggering event / indicator of impairment exists (ASC 360-10-35-21) — adverse market price, use or physical condition, legal/regulatory changes, cost overruns, operating losses / negative cash flows, or expected disposal.</t>
        </is>
      </c>
      <c r="C29" s="19" t="inlineStr">
        <is>
          <t>Valuation &amp; Allocation</t>
        </is>
      </c>
      <c r="D29" s="22" t="inlineStr">
        <is>
          <t>&lt;.6&gt;</t>
        </is>
      </c>
      <c r="E29" s="10" t="n"/>
      <c r="F29" s="10" t="n"/>
    </row>
    <row r="30" ht="15" customHeight="1">
      <c r="A30" s="1" t="inlineStr">
        <is>
          <t>&lt;.7&gt; Impairment — Assets Held &amp; Used</t>
        </is>
      </c>
      <c r="B30" s="28" t="n"/>
      <c r="C30" s="28" t="n"/>
      <c r="D30" s="28" t="n"/>
      <c r="E30" s="28" t="n"/>
      <c r="F30" s="29" t="n"/>
    </row>
    <row r="31" ht="25.5" customHeight="1">
      <c r="A31" s="10" t="n"/>
      <c r="B31" s="19" t="inlineStr">
        <is>
          <t>17. Where a triggering event exists, perform the ASC 360 recoverability test — compare the asset group's carrying amount to the sum of its undiscounted future cash flows.</t>
        </is>
      </c>
      <c r="C31" s="19" t="inlineStr">
        <is>
          <t>Valuation &amp; Allocation</t>
        </is>
      </c>
      <c r="D31" s="22" t="inlineStr">
        <is>
          <t>&lt;.7&gt;</t>
        </is>
      </c>
      <c r="E31" s="10" t="n"/>
      <c r="F31" s="10" t="n"/>
    </row>
    <row r="32" ht="25.5" customHeight="1">
      <c r="A32" s="10" t="n"/>
      <c r="B32" s="19" t="inlineStr">
        <is>
          <t>18. Where the asset group is not recoverable, measure the impairment loss as the excess of carrying amount over fair value; do not write the asset below fair value.</t>
        </is>
      </c>
      <c r="C32" s="19" t="inlineStr">
        <is>
          <t>Valuation &amp; Allocation</t>
        </is>
      </c>
      <c r="D32" s="22" t="inlineStr">
        <is>
          <t>&lt;.7&gt;</t>
        </is>
      </c>
      <c r="E32" s="10" t="n"/>
      <c r="F32" s="10" t="n"/>
    </row>
    <row r="33" ht="15" customHeight="1">
      <c r="A33" s="1" t="inlineStr">
        <is>
          <t>&lt;.8&gt; Presentation &amp; Disclosures</t>
        </is>
      </c>
      <c r="B33" s="28" t="n"/>
      <c r="C33" s="28" t="n"/>
      <c r="D33" s="28" t="n"/>
      <c r="E33" s="28" t="n"/>
      <c r="F33" s="29" t="n"/>
    </row>
    <row r="34" ht="25.5" customHeight="1">
      <c r="A34" s="10" t="n"/>
      <c r="B34" s="19" t="inlineStr">
        <is>
          <t>19. Evaluate depreciation method and useful-life disclosures by class and consistency with the prior year.</t>
        </is>
      </c>
      <c r="C34" s="19" t="inlineStr">
        <is>
          <t>Presentation &amp; Disclosure</t>
        </is>
      </c>
      <c r="D34" s="22" t="inlineStr">
        <is>
          <t>&lt;.8&gt;</t>
        </is>
      </c>
      <c r="E34" s="10" t="n"/>
      <c r="F34" s="10" t="n"/>
    </row>
    <row r="35" ht="39" customHeight="1">
      <c r="A35" s="10" t="n"/>
      <c r="B35" s="19" t="inlineStr">
        <is>
          <t>20. Evaluate PPE presentation and disclosure — fully-depreciated assets in use, idle / held-for-sale assets, pledged assets / liens, capital commitments, and gain/loss and depreciation-expense classification.</t>
        </is>
      </c>
      <c r="C35" s="19" t="inlineStr">
        <is>
          <t>Presentation &amp; Disclosure; Classification</t>
        </is>
      </c>
      <c r="D35" s="22" t="inlineStr">
        <is>
          <t>&lt;.8&gt;</t>
        </is>
      </c>
      <c r="E35" s="10" t="n"/>
      <c r="F35" s="10" t="n"/>
    </row>
    <row r="36" ht="15" customHeight="1">
      <c r="A36" s="1" t="inlineStr">
        <is>
          <t>Documentation &amp; Review</t>
        </is>
      </c>
      <c r="B36" s="28" t="n"/>
      <c r="C36" s="28" t="n"/>
      <c r="D36" s="28" t="n"/>
      <c r="E36" s="28" t="n"/>
      <c r="F36" s="29" t="n"/>
    </row>
    <row r="37" ht="15" customHeight="1">
      <c r="A37" s="10" t="n"/>
      <c r="B37" s="19" t="inlineStr">
        <is>
          <t>21. Cross-reference each procedure to its workpaper tab and link it to the relevant assertion(s).</t>
        </is>
      </c>
      <c r="C37" s="19" t="inlineStr">
        <is>
          <t>Overall</t>
        </is>
      </c>
      <c r="D37" s="22" t="inlineStr">
        <is>
          <t>&lt;.0&gt;-&lt;.8&gt;</t>
        </is>
      </c>
      <c r="E37" s="10" t="n"/>
      <c r="F37" s="10" t="n"/>
    </row>
    <row r="38" ht="25.5" customHeight="1">
      <c r="A38" s="10" t="n"/>
      <c r="B38" s="19" t="inlineStr">
        <is>
          <t>22. Verify lead-sheet and rollforward tie-out formulas foot correctly and the workbook source trail is complete.</t>
        </is>
      </c>
      <c r="C38" s="19" t="inlineStr">
        <is>
          <t>Accuracy; Completeness</t>
        </is>
      </c>
      <c r="D38" s="22" t="inlineStr">
        <is>
          <t>&lt;.1&gt;/&lt;.2&gt;</t>
        </is>
      </c>
      <c r="E38" s="10" t="n"/>
      <c r="F38" s="10" t="n"/>
    </row>
    <row r="39" ht="15" customHeight="1">
      <c r="A39" s="1" t="inlineStr">
        <is>
          <t>Conclusion</t>
        </is>
      </c>
      <c r="B39" s="28" t="n"/>
      <c r="C39" s="28" t="n"/>
      <c r="D39" s="28" t="n"/>
      <c r="E39" s="28" t="n"/>
      <c r="F39" s="29" t="n"/>
    </row>
    <row r="40" ht="25.5" customHeight="1">
      <c r="A40" s="10" t="n"/>
      <c r="B40" s="19" t="inlineStr">
        <is>
          <t>23. All planned PPE audit procedures above were performed; results support the recorded cost, accumulated depreciation and net book value and related disclosures, subject to documented open items.</t>
        </is>
      </c>
      <c r="C40" s="19" t="inlineStr">
        <is>
          <t>Overall</t>
        </is>
      </c>
      <c r="D40" s="22" t="inlineStr">
        <is>
          <t>&lt;.0&gt;-&lt;.8&gt;</t>
        </is>
      </c>
      <c r="E40" s="10" t="n"/>
      <c r="F40" s="10" t="n"/>
    </row>
  </sheetData>
  <mergeCells count="12">
    <mergeCell ref="A24:F24"/>
    <mergeCell ref="A33:F33"/>
    <mergeCell ref="A16:F16"/>
    <mergeCell ref="A28:F28"/>
    <mergeCell ref="A7:F7"/>
    <mergeCell ref="A36:F36"/>
    <mergeCell ref="A14:F14"/>
    <mergeCell ref="A9:F9"/>
    <mergeCell ref="A4:F4"/>
    <mergeCell ref="A30:F30"/>
    <mergeCell ref="A21:F21"/>
    <mergeCell ref="A39:F39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zoomScale="85" zoomScaleNormal="100" workbookViewId="0">
      <selection activeCell="A1" sqref="A1:A1048576"/>
    </sheetView>
  </sheetViews>
  <sheetFormatPr baseColWidth="8" defaultColWidth="8.6328125" defaultRowHeight="14.5"/>
  <cols>
    <col width="21.90625" bestFit="1" customWidth="1" min="1" max="1"/>
    <col width="38" customWidth="1" min="2" max="2"/>
    <col width="20" customWidth="1" min="3" max="3"/>
    <col width="14" customWidth="1" min="4" max="4"/>
    <col width="12" customWidth="1" min="5" max="5"/>
    <col width="24" customWidth="1" min="6" max="6"/>
    <col width="34" customWidth="1" min="7" max="7"/>
  </cols>
  <sheetData>
    <row r="1" ht="17.25" customHeight="1">
      <c r="A1" s="5" t="inlineStr">
        <is>
          <t>Source Index</t>
        </is>
      </c>
    </row>
    <row r="2" ht="15" customHeight="1">
      <c r="A2" s="6" t="inlineStr">
        <is>
          <t>Client / Entity</t>
        </is>
      </c>
      <c r="B2" s="7" t="inlineStr">
        <is>
          <t>[Client / Entity]</t>
        </is>
      </c>
      <c r="D2" s="6" t="inlineStr">
        <is>
          <t>Year-End</t>
        </is>
      </c>
      <c r="E2" s="7" t="inlineStr">
        <is>
          <t>[YYYY-MM-DD]</t>
        </is>
      </c>
      <c r="G2" s="6" t="inlineStr">
        <is>
          <t>Currency</t>
        </is>
      </c>
      <c r="H2" s="7" t="inlineStr">
        <is>
          <t>[CCY]</t>
        </is>
      </c>
    </row>
    <row r="3" ht="15" customHeight="1">
      <c r="A3" s="6" t="inlineStr">
        <is>
          <t>Performance Materiality</t>
        </is>
      </c>
      <c r="B3" s="7" t="inlineStr">
        <is>
          <t>[PM]</t>
        </is>
      </c>
      <c r="D3" s="6" t="inlineStr">
        <is>
          <t>Testing Threshold (SUM)</t>
        </is>
      </c>
      <c r="E3" s="7" t="inlineStr">
        <is>
          <t>[Threshold]</t>
        </is>
      </c>
    </row>
    <row r="4" ht="15" customHeight="1">
      <c r="A4" s="8" t="inlineStr">
        <is>
          <t>Purpose:</t>
        </is>
      </c>
      <c r="B4" s="4" t="inlineStr">
        <is>
          <t>Map every PPE PBC source and its limitations so the evidence trail is complete and traceable.</t>
        </is>
      </c>
    </row>
    <row r="5" ht="42" customHeight="1">
      <c r="A5" s="8" t="inlineStr">
        <is>
          <t>Scope:</t>
        </is>
      </c>
      <c r="B5" s="4" t="inlineStr">
        <is>
          <t>Fixed-asset register / rollforward, GL detail, additions invoices/POs, disposal listing, CIP schedule, depreciation schedule, capitalization &amp; depreciation policy, title / insurance / loan documents.</t>
        </is>
      </c>
    </row>
    <row r="6" ht="15" customHeight="1">
      <c r="A6" s="8" t="inlineStr">
        <is>
          <t>Assertions:</t>
        </is>
      </c>
      <c r="B6" s="4" t="inlineStr">
        <is>
          <t>Completeness</t>
        </is>
      </c>
    </row>
    <row r="7" ht="30" customHeight="1">
      <c r="A7" s="9" t="inlineStr">
        <is>
          <t>Ref</t>
        </is>
      </c>
      <c r="B7" s="9" t="inlineStr">
        <is>
          <t>Source document / PBC</t>
        </is>
      </c>
      <c r="C7" s="9" t="inlineStr">
        <is>
          <t>Provided by</t>
        </is>
      </c>
      <c r="D7" s="9" t="inlineStr">
        <is>
          <t>Date received</t>
        </is>
      </c>
      <c r="E7" s="9" t="inlineStr">
        <is>
          <t>Format</t>
        </is>
      </c>
      <c r="F7" s="9" t="inlineStr">
        <is>
          <t>Used in tab(s)</t>
        </is>
      </c>
      <c r="G7" s="9" t="inlineStr">
        <is>
          <t>Limitations / notes</t>
        </is>
      </c>
    </row>
    <row r="8" ht="15" customHeight="1">
      <c r="A8" s="10" t="n"/>
      <c r="B8" s="10" t="n"/>
      <c r="C8" s="10" t="n"/>
      <c r="D8" s="10" t="n"/>
      <c r="E8" s="10" t="n"/>
      <c r="F8" s="10" t="n"/>
      <c r="G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</row>
    <row r="12" ht="15" customHeight="1">
      <c r="A12" s="10" t="n"/>
      <c r="B12" s="10" t="n"/>
      <c r="C12" s="10" t="n"/>
      <c r="D12" s="10" t="n"/>
      <c r="E12" s="10" t="n"/>
      <c r="F12" s="10" t="n"/>
      <c r="G12" s="10" t="n"/>
    </row>
    <row r="13" ht="15" customHeight="1">
      <c r="A13" s="10" t="n"/>
      <c r="B13" s="10" t="n"/>
      <c r="C13" s="10" t="n"/>
      <c r="D13" s="10" t="n"/>
      <c r="E13" s="10" t="n"/>
      <c r="F13" s="10" t="n"/>
      <c r="G13" s="10" t="n"/>
    </row>
    <row r="14" ht="15" customHeight="1">
      <c r="A14" s="10" t="n"/>
      <c r="B14" s="10" t="n"/>
      <c r="C14" s="10" t="n"/>
      <c r="D14" s="10" t="n"/>
      <c r="E14" s="10" t="n"/>
      <c r="F14" s="10" t="n"/>
      <c r="G14" s="10" t="n"/>
    </row>
    <row r="15" ht="15" customHeight="1">
      <c r="A15" s="10" t="n"/>
      <c r="B15" s="10" t="n"/>
      <c r="C15" s="10" t="n"/>
      <c r="D15" s="10" t="n"/>
      <c r="E15" s="10" t="n"/>
      <c r="F15" s="10" t="n"/>
      <c r="G15" s="10" t="n"/>
    </row>
    <row r="16" ht="15" customHeight="1">
      <c r="A16" s="10" t="n"/>
      <c r="B16" s="10" t="n"/>
      <c r="C16" s="10" t="n"/>
      <c r="D16" s="10" t="n"/>
      <c r="E16" s="10" t="n"/>
      <c r="F16" s="10" t="n"/>
      <c r="G16" s="10" t="n"/>
    </row>
    <row r="17" ht="15" customHeight="1">
      <c r="A17" s="10" t="n"/>
      <c r="B17" s="10" t="n"/>
      <c r="C17" s="10" t="n"/>
      <c r="D17" s="10" t="n"/>
      <c r="E17" s="10" t="n"/>
      <c r="F17" s="10" t="n"/>
      <c r="G17" s="10" t="n"/>
    </row>
    <row r="18" ht="15" customHeight="1">
      <c r="A18" s="10" t="n"/>
      <c r="B18" s="10" t="n"/>
      <c r="C18" s="10" t="n"/>
      <c r="D18" s="10" t="n"/>
      <c r="E18" s="10" t="n"/>
      <c r="F18" s="10" t="n"/>
      <c r="G18" s="10" t="n"/>
    </row>
    <row r="19" ht="15" customHeight="1">
      <c r="A19" s="10" t="n"/>
      <c r="B19" s="10" t="n"/>
      <c r="C19" s="10" t="n"/>
      <c r="D19" s="10" t="n"/>
      <c r="E19" s="10" t="n"/>
      <c r="F19" s="10" t="n"/>
      <c r="G19" s="10" t="n"/>
    </row>
    <row r="20"/>
    <row r="21" ht="15" customHeight="1">
      <c r="A21" s="8" t="inlineStr">
        <is>
          <t>TM Legends</t>
        </is>
      </c>
    </row>
    <row r="22" ht="15" customHeight="1">
      <c r="A22" s="11" t="inlineStr">
        <is>
          <t>TB</t>
        </is>
      </c>
      <c r="B22" s="10" t="inlineStr">
        <is>
          <t>Agreed to trial balance</t>
        </is>
      </c>
      <c r="C22" s="28" t="n"/>
      <c r="D22" s="29" t="n"/>
    </row>
    <row r="23" ht="15" customHeight="1">
      <c r="A23" s="11" t="inlineStr">
        <is>
          <t>GL</t>
        </is>
      </c>
      <c r="B23" s="10" t="inlineStr">
        <is>
          <t>Agreed to general ledger</t>
        </is>
      </c>
      <c r="C23" s="28" t="n"/>
      <c r="D23" s="29" t="n"/>
    </row>
    <row r="24" ht="15" customHeight="1">
      <c r="A24" s="11" t="inlineStr">
        <is>
          <t>CF</t>
        </is>
      </c>
      <c r="B24" s="10" t="inlineStr">
        <is>
          <t>Confirmed with third party</t>
        </is>
      </c>
      <c r="C24" s="28" t="n"/>
      <c r="D24" s="29" t="n"/>
    </row>
    <row r="25" ht="15" customHeight="1">
      <c r="A25" s="11" t="inlineStr">
        <is>
          <t>V</t>
        </is>
      </c>
      <c r="B25" s="10" t="inlineStr">
        <is>
          <t>Vouched to source document</t>
        </is>
      </c>
      <c r="C25" s="28" t="n"/>
      <c r="D25" s="29" t="n"/>
    </row>
    <row r="26" ht="15" customHeight="1">
      <c r="A26" s="11" t="inlineStr">
        <is>
          <t>SR</t>
        </is>
      </c>
      <c r="B26" s="10" t="inlineStr">
        <is>
          <t>Agreed to subsequent bank-cleared receipt</t>
        </is>
      </c>
      <c r="C26" s="28" t="n"/>
      <c r="D26" s="29" t="n"/>
    </row>
    <row r="27" ht="15" customHeight="1">
      <c r="A27" s="11" t="inlineStr">
        <is>
          <t>R</t>
        </is>
      </c>
      <c r="B27" s="10" t="inlineStr">
        <is>
          <t>Recalculated independently</t>
        </is>
      </c>
      <c r="C27" s="28" t="n"/>
      <c r="D27" s="29" t="n"/>
    </row>
    <row r="28" ht="15" customHeight="1">
      <c r="A28" s="11" t="inlineStr">
        <is>
          <t>F</t>
        </is>
      </c>
      <c r="B28" s="10" t="inlineStr">
        <is>
          <t>Footed / cross-cast</t>
        </is>
      </c>
      <c r="C28" s="28" t="n"/>
      <c r="D28" s="29" t="n"/>
    </row>
    <row r="29" ht="15" customHeight="1">
      <c r="A29" s="11" t="inlineStr">
        <is>
          <t>T</t>
        </is>
      </c>
      <c r="B29" s="10" t="inlineStr">
        <is>
          <t>Traced to downstream record</t>
        </is>
      </c>
      <c r="C29" s="28" t="n"/>
      <c r="D29" s="29" t="n"/>
    </row>
    <row r="30" ht="15" customHeight="1">
      <c r="A30" s="11" t="inlineStr">
        <is>
          <t>PBC</t>
        </is>
      </c>
      <c r="B30" s="10" t="inlineStr">
        <is>
          <t>Prepared by client</t>
        </is>
      </c>
      <c r="C30" s="28" t="n"/>
      <c r="D30" s="29" t="n"/>
    </row>
    <row r="31"/>
    <row r="32" ht="25.5" customHeight="1">
      <c r="A32" s="2" t="inlineStr">
        <is>
          <t>Before sign-off complete Library Procedure 1 (source completeness &amp; limitations).</t>
        </is>
      </c>
    </row>
  </sheetData>
  <mergeCells count="13">
    <mergeCell ref="A32:G32"/>
    <mergeCell ref="B28:D28"/>
    <mergeCell ref="B5:G5"/>
    <mergeCell ref="B23:D23"/>
    <mergeCell ref="B22:D22"/>
    <mergeCell ref="B26:D26"/>
    <mergeCell ref="B27:D27"/>
    <mergeCell ref="B4:G4"/>
    <mergeCell ref="B30:D30"/>
    <mergeCell ref="B29:D29"/>
    <mergeCell ref="B25:D25"/>
    <mergeCell ref="B24:D24"/>
    <mergeCell ref="B6:G6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40"/>
  <sheetViews>
    <sheetView showGridLines="0" zoomScale="85" zoomScaleNormal="100" workbookViewId="0">
      <selection activeCell="A5" sqref="A5"/>
    </sheetView>
  </sheetViews>
  <sheetFormatPr baseColWidth="8" defaultColWidth="8.6328125" defaultRowHeight="14.5"/>
  <cols>
    <col width="26" customWidth="1" min="1" max="1"/>
    <col width="14" customWidth="1" min="2" max="2"/>
    <col width="16" customWidth="1" min="3" max="6"/>
    <col width="14" customWidth="1" min="7" max="7"/>
    <col width="11" customWidth="1" min="8" max="8"/>
    <col width="26" customWidth="1" min="9" max="9"/>
  </cols>
  <sheetData>
    <row r="1" ht="17.25" customHeight="1">
      <c r="A1" s="5" t="inlineStr">
        <is>
          <t>PPE Lead Sheet</t>
        </is>
      </c>
    </row>
    <row r="2" ht="15" customHeight="1">
      <c r="A2" s="6" t="inlineStr">
        <is>
          <t>Client / Entity</t>
        </is>
      </c>
      <c r="B2" s="7" t="inlineStr">
        <is>
          <t>[Client / Entity]</t>
        </is>
      </c>
      <c r="D2" s="6" t="inlineStr">
        <is>
          <t>Year-End</t>
        </is>
      </c>
      <c r="E2" s="7" t="inlineStr">
        <is>
          <t>[YYYY-MM-DD]</t>
        </is>
      </c>
      <c r="G2" s="6" t="inlineStr">
        <is>
          <t>Currency</t>
        </is>
      </c>
      <c r="H2" s="7" t="inlineStr">
        <is>
          <t>[CCY]</t>
        </is>
      </c>
    </row>
    <row r="3" ht="15" customHeight="1">
      <c r="A3" s="6" t="inlineStr">
        <is>
          <t>Performance Materiality</t>
        </is>
      </c>
      <c r="B3" s="7" t="inlineStr">
        <is>
          <t>[PM]</t>
        </is>
      </c>
      <c r="D3" s="6" t="inlineStr">
        <is>
          <t>Testing Threshold (SUM)</t>
        </is>
      </c>
      <c r="E3" s="7" t="inlineStr">
        <is>
          <t>[Threshold]</t>
        </is>
      </c>
    </row>
    <row r="4" ht="27.75" customHeight="1">
      <c r="A4" s="25" t="inlineStr">
        <is>
          <t>Purpose:</t>
        </is>
      </c>
      <c r="B4" s="26" t="inlineStr">
        <is>
          <t>Summarize property &amp; equipment by asset class, map to GL accounts, and tie gross cost, accumulated depreciation and net book value to the trial balance.</t>
        </is>
      </c>
      <c r="C4" s="30" t="n"/>
      <c r="D4" s="30" t="n"/>
      <c r="E4" s="30" t="n"/>
      <c r="F4" s="30" t="n"/>
      <c r="G4" s="30" t="n"/>
      <c r="H4" s="30" t="n"/>
      <c r="I4" s="31" t="n"/>
    </row>
    <row r="5" ht="27.75" customHeight="1">
      <c r="A5" s="25" t="inlineStr">
        <is>
          <t>Scope:</t>
        </is>
      </c>
      <c r="B5" s="26" t="inlineStr">
        <is>
          <t>All PPE classes (land, buildings, machinery &amp; equipment, furniture &amp; fixtures, vehicles, leasehold improvements, computer equipment, CIP), mapped to GL cost accounts.</t>
        </is>
      </c>
      <c r="C5" s="30" t="n"/>
      <c r="D5" s="30" t="n"/>
      <c r="E5" s="30" t="n"/>
      <c r="F5" s="30" t="n"/>
      <c r="G5" s="30" t="n"/>
      <c r="H5" s="30" t="n"/>
      <c r="I5" s="31" t="n"/>
    </row>
    <row r="6" ht="15" customHeight="1">
      <c r="A6" s="25" t="inlineStr">
        <is>
          <t>Assertions:</t>
        </is>
      </c>
      <c r="B6" s="26" t="inlineStr">
        <is>
          <t>Existence; Rights &amp; Obligations; Valuation &amp; Allocation; Completeness</t>
        </is>
      </c>
      <c r="C6" s="30" t="n"/>
      <c r="D6" s="30" t="n"/>
      <c r="E6" s="30" t="n"/>
      <c r="F6" s="30" t="n"/>
      <c r="G6" s="30" t="n"/>
      <c r="H6" s="30" t="n"/>
      <c r="I6" s="31" t="n"/>
    </row>
    <row r="7" ht="30" customHeight="1">
      <c r="A7" s="24" t="inlineStr">
        <is>
          <t>Asset Class</t>
        </is>
      </c>
      <c r="B7" s="24" t="inlineStr">
        <is>
          <t>GL Account</t>
        </is>
      </c>
      <c r="C7" s="24" t="inlineStr">
        <is>
          <t>Gross Cost (CY)</t>
        </is>
      </c>
      <c r="D7" s="24" t="inlineStr">
        <is>
          <t>Accum. Deprec. (CY)</t>
        </is>
      </c>
      <c r="E7" s="24" t="inlineStr">
        <is>
          <t>Net Book Value (CY)</t>
        </is>
      </c>
      <c r="F7" s="24" t="inlineStr">
        <is>
          <t>NBV (PY)</t>
        </is>
      </c>
      <c r="G7" s="24" t="inlineStr">
        <is>
          <t>Difference</t>
        </is>
      </c>
      <c r="H7" s="24" t="inlineStr">
        <is>
          <t>% Change</t>
        </is>
      </c>
      <c r="I7" s="24" t="inlineStr">
        <is>
          <t>Source / Comments</t>
        </is>
      </c>
    </row>
    <row r="8" ht="15" customHeight="1">
      <c r="C8" s="12" t="inlineStr">
        <is>
          <t>TB</t>
        </is>
      </c>
      <c r="D8" s="12" t="inlineStr">
        <is>
          <t>TB</t>
        </is>
      </c>
      <c r="E8" s="12" t="inlineStr">
        <is>
          <t>R</t>
        </is>
      </c>
      <c r="F8" s="12" t="inlineStr">
        <is>
          <t>PY</t>
        </is>
      </c>
      <c r="G8" s="12" t="inlineStr">
        <is>
          <t>R</t>
        </is>
      </c>
    </row>
    <row r="9" ht="15" customHeight="1">
      <c r="A9" s="10" t="n"/>
      <c r="B9" s="10" t="n"/>
      <c r="C9" s="13" t="n"/>
      <c r="D9" s="13" t="n"/>
      <c r="E9" s="13">
        <f>IF(AND(C9="",D9=""),"",C9-D9)</f>
        <v/>
      </c>
      <c r="F9" s="13" t="n"/>
      <c r="G9" s="13">
        <f>IF(AND(E9="",F9=""),"",E9-F9)</f>
        <v/>
      </c>
      <c r="H9" s="14">
        <f>IF(OR(F9="",F9=0),"",(E9-F9)/F9)</f>
        <v/>
      </c>
      <c r="I9" s="10" t="n"/>
    </row>
    <row r="10" ht="15" customHeight="1">
      <c r="A10" s="10" t="n"/>
      <c r="B10" s="10" t="n"/>
      <c r="C10" s="13" t="n"/>
      <c r="D10" s="13" t="n"/>
      <c r="E10" s="13">
        <f>IF(AND(C10="",D10=""),"",C10-D10)</f>
        <v/>
      </c>
      <c r="F10" s="13" t="n"/>
      <c r="G10" s="13">
        <f>IF(AND(E10="",F10=""),"",E10-F10)</f>
        <v/>
      </c>
      <c r="H10" s="14">
        <f>IF(OR(F10="",F10=0),"",(E10-F10)/F10)</f>
        <v/>
      </c>
      <c r="I10" s="10" t="n"/>
    </row>
    <row r="11" ht="15" customHeight="1">
      <c r="A11" s="10" t="n"/>
      <c r="B11" s="10" t="n"/>
      <c r="C11" s="13" t="n"/>
      <c r="D11" s="13" t="n"/>
      <c r="E11" s="13">
        <f>IF(AND(C11="",D11=""),"",C11-D11)</f>
        <v/>
      </c>
      <c r="F11" s="13" t="n"/>
      <c r="G11" s="13">
        <f>IF(AND(E11="",F11=""),"",E11-F11)</f>
        <v/>
      </c>
      <c r="H11" s="14">
        <f>IF(OR(F11="",F11=0),"",(E11-F11)/F11)</f>
        <v/>
      </c>
      <c r="I11" s="10" t="n"/>
    </row>
    <row r="12" ht="15" customHeight="1">
      <c r="A12" s="10" t="n"/>
      <c r="B12" s="10" t="n"/>
      <c r="C12" s="13" t="n"/>
      <c r="D12" s="13" t="n"/>
      <c r="E12" s="13">
        <f>IF(AND(C12="",D12=""),"",C12-D12)</f>
        <v/>
      </c>
      <c r="F12" s="13" t="n"/>
      <c r="G12" s="13">
        <f>IF(AND(E12="",F12=""),"",E12-F12)</f>
        <v/>
      </c>
      <c r="H12" s="14">
        <f>IF(OR(F12="",F12=0),"",(E12-F12)/F12)</f>
        <v/>
      </c>
      <c r="I12" s="10" t="n"/>
    </row>
    <row r="13" ht="15" customHeight="1">
      <c r="A13" s="10" t="n"/>
      <c r="B13" s="10" t="n"/>
      <c r="C13" s="13" t="n"/>
      <c r="D13" s="13" t="n"/>
      <c r="E13" s="13">
        <f>IF(AND(C13="",D13=""),"",C13-D13)</f>
        <v/>
      </c>
      <c r="F13" s="13" t="n"/>
      <c r="G13" s="13">
        <f>IF(AND(E13="",F13=""),"",E13-F13)</f>
        <v/>
      </c>
      <c r="H13" s="14">
        <f>IF(OR(F13="",F13=0),"",(E13-F13)/F13)</f>
        <v/>
      </c>
      <c r="I13" s="10" t="n"/>
    </row>
    <row r="14" ht="15" customHeight="1">
      <c r="A14" s="10" t="n"/>
      <c r="B14" s="10" t="n"/>
      <c r="C14" s="13" t="n"/>
      <c r="D14" s="13" t="n"/>
      <c r="E14" s="13">
        <f>IF(AND(C14="",D14=""),"",C14-D14)</f>
        <v/>
      </c>
      <c r="F14" s="13" t="n"/>
      <c r="G14" s="13">
        <f>IF(AND(E14="",F14=""),"",E14-F14)</f>
        <v/>
      </c>
      <c r="H14" s="14">
        <f>IF(OR(F14="",F14=0),"",(E14-F14)/F14)</f>
        <v/>
      </c>
      <c r="I14" s="10" t="n"/>
    </row>
    <row r="15" ht="15" customHeight="1">
      <c r="A15" s="10" t="n"/>
      <c r="B15" s="10" t="n"/>
      <c r="C15" s="13" t="n"/>
      <c r="D15" s="13" t="n"/>
      <c r="E15" s="13">
        <f>IF(AND(C15="",D15=""),"",C15-D15)</f>
        <v/>
      </c>
      <c r="F15" s="13" t="n"/>
      <c r="G15" s="13">
        <f>IF(AND(E15="",F15=""),"",E15-F15)</f>
        <v/>
      </c>
      <c r="H15" s="14">
        <f>IF(OR(F15="",F15=0),"",(E15-F15)/F15)</f>
        <v/>
      </c>
      <c r="I15" s="10" t="n"/>
    </row>
    <row r="16" ht="15" customHeight="1">
      <c r="A16" s="10" t="n"/>
      <c r="B16" s="10" t="n"/>
      <c r="C16" s="13" t="n"/>
      <c r="D16" s="13" t="n"/>
      <c r="E16" s="13">
        <f>IF(AND(C16="",D16=""),"",C16-D16)</f>
        <v/>
      </c>
      <c r="F16" s="13" t="n"/>
      <c r="G16" s="13">
        <f>IF(AND(E16="",F16=""),"",E16-F16)</f>
        <v/>
      </c>
      <c r="H16" s="14">
        <f>IF(OR(F16="",F16=0),"",(E16-F16)/F16)</f>
        <v/>
      </c>
      <c r="I16" s="10" t="n"/>
    </row>
    <row r="17" ht="15" customHeight="1">
      <c r="A17" s="10" t="n"/>
      <c r="B17" s="10" t="n"/>
      <c r="C17" s="13" t="n"/>
      <c r="D17" s="13" t="n"/>
      <c r="E17" s="13">
        <f>IF(AND(C17="",D17=""),"",C17-D17)</f>
        <v/>
      </c>
      <c r="F17" s="13" t="n"/>
      <c r="G17" s="13">
        <f>IF(AND(E17="",F17=""),"",E17-F17)</f>
        <v/>
      </c>
      <c r="H17" s="14">
        <f>IF(OR(F17="",F17=0),"",(E17-F17)/F17)</f>
        <v/>
      </c>
      <c r="I17" s="10" t="n"/>
    </row>
    <row r="18" ht="15" customHeight="1">
      <c r="A18" s="10" t="n"/>
      <c r="B18" s="10" t="n"/>
      <c r="C18" s="13" t="n"/>
      <c r="D18" s="13" t="n"/>
      <c r="E18" s="13">
        <f>IF(AND(C18="",D18=""),"",C18-D18)</f>
        <v/>
      </c>
      <c r="F18" s="13" t="n"/>
      <c r="G18" s="13">
        <f>IF(AND(E18="",F18=""),"",E18-F18)</f>
        <v/>
      </c>
      <c r="H18" s="14">
        <f>IF(OR(F18="",F18=0),"",(E18-F18)/F18)</f>
        <v/>
      </c>
      <c r="I18" s="10" t="n"/>
    </row>
    <row r="19" ht="15" customHeight="1">
      <c r="A19" s="15" t="inlineStr">
        <is>
          <t>Total PPE</t>
        </is>
      </c>
      <c r="B19" s="15" t="n"/>
      <c r="C19" s="16">
        <f>SUM(C9:C18)</f>
        <v/>
      </c>
      <c r="D19" s="16">
        <f>SUM(D9:D18)</f>
        <v/>
      </c>
      <c r="E19" s="16">
        <f>SUM(E9:E18)</f>
        <v/>
      </c>
      <c r="F19" s="16">
        <f>SUM(F9:F18)</f>
        <v/>
      </c>
      <c r="G19" s="16">
        <f>SUM(G9:G18)</f>
        <v/>
      </c>
      <c r="H19" s="15" t="n"/>
      <c r="I19" s="15" t="n"/>
    </row>
    <row r="20"/>
    <row r="21" ht="15" customHeight="1">
      <c r="A21" s="17" t="inlineStr">
        <is>
          <t>Register-to-Trial-Balance Reconciliation</t>
        </is>
      </c>
    </row>
    <row r="22" ht="18" customHeight="1">
      <c r="A22" s="9" t="inlineStr">
        <is>
          <t>Item</t>
        </is>
      </c>
      <c r="B22" s="9" t="inlineStr">
        <is>
          <t>Per register</t>
        </is>
      </c>
      <c r="C22" s="9" t="inlineStr">
        <is>
          <t>Per trial balance</t>
        </is>
      </c>
      <c r="D22" s="9" t="inlineStr">
        <is>
          <t>Difference</t>
        </is>
      </c>
      <c r="E22" s="9" t="inlineStr">
        <is>
          <t>Note</t>
        </is>
      </c>
    </row>
    <row r="23" ht="15" customHeight="1">
      <c r="A23" s="10" t="inlineStr">
        <is>
          <t>Gross cost</t>
        </is>
      </c>
      <c r="B23" s="13" t="n"/>
      <c r="C23" s="13" t="n"/>
      <c r="D23" s="18">
        <f>IF(AND(B23="",C23=""),"",B23-C23)</f>
        <v/>
      </c>
      <c r="E23" s="10" t="inlineStr">
        <is>
          <t>should be 0</t>
        </is>
      </c>
    </row>
    <row r="24" ht="15" customHeight="1">
      <c r="A24" s="10" t="inlineStr">
        <is>
          <t>Accumulated depreciation</t>
        </is>
      </c>
      <c r="B24" s="13" t="n"/>
      <c r="C24" s="13" t="n"/>
      <c r="D24" s="18">
        <f>IF(AND(B24="",C24=""),"",B24-C24)</f>
        <v/>
      </c>
      <c r="E24" s="10" t="inlineStr">
        <is>
          <t>should be 0</t>
        </is>
      </c>
    </row>
    <row r="25" ht="15" customHeight="1">
      <c r="A25" s="10" t="inlineStr">
        <is>
          <t>Depreciation expense (period)</t>
        </is>
      </c>
      <c r="B25" s="13" t="n"/>
      <c r="C25" s="13" t="n"/>
      <c r="D25" s="18">
        <f>IF(AND(B25="",C25=""),"",B25-C25)</f>
        <v/>
      </c>
      <c r="E25" s="10" t="inlineStr">
        <is>
          <t>should be 0</t>
        </is>
      </c>
    </row>
    <row r="26"/>
    <row r="27" ht="25.5" customHeight="1">
      <c r="A27" s="2" t="inlineStr">
        <is>
          <t>Map the register asset classes to the GL cost accounts (crosswalk) and reconcile register cost, accumulated depreciation and depreciation expense to the TB. Verify title/ownership of significant assets and identify liens/pledged assets.</t>
        </is>
      </c>
    </row>
    <row r="28"/>
    <row r="29" ht="15" customHeight="1">
      <c r="A29" s="8" t="inlineStr">
        <is>
          <t>TM Legends</t>
        </is>
      </c>
    </row>
    <row r="30" ht="15" customHeight="1">
      <c r="A30" s="11" t="inlineStr">
        <is>
          <t>TB</t>
        </is>
      </c>
      <c r="B30" s="10" t="inlineStr">
        <is>
          <t>Agreed to trial balance</t>
        </is>
      </c>
      <c r="C30" s="28" t="n"/>
      <c r="D30" s="29" t="n"/>
    </row>
    <row r="31" ht="15" customHeight="1">
      <c r="A31" s="11" t="inlineStr">
        <is>
          <t>GL</t>
        </is>
      </c>
      <c r="B31" s="10" t="inlineStr">
        <is>
          <t>Agreed to general ledger</t>
        </is>
      </c>
      <c r="C31" s="28" t="n"/>
      <c r="D31" s="29" t="n"/>
    </row>
    <row r="32" ht="15" customHeight="1">
      <c r="A32" s="11" t="inlineStr">
        <is>
          <t>CF</t>
        </is>
      </c>
      <c r="B32" s="10" t="inlineStr">
        <is>
          <t>Confirmed with third party</t>
        </is>
      </c>
      <c r="C32" s="28" t="n"/>
      <c r="D32" s="29" t="n"/>
    </row>
    <row r="33" ht="15" customHeight="1">
      <c r="A33" s="11" t="inlineStr">
        <is>
          <t>V</t>
        </is>
      </c>
      <c r="B33" s="10" t="inlineStr">
        <is>
          <t>Vouched to source document</t>
        </is>
      </c>
      <c r="C33" s="28" t="n"/>
      <c r="D33" s="29" t="n"/>
    </row>
    <row r="34" ht="15" customHeight="1">
      <c r="A34" s="11" t="inlineStr">
        <is>
          <t>SR</t>
        </is>
      </c>
      <c r="B34" s="10" t="inlineStr">
        <is>
          <t>Agreed to subsequent bank-cleared receipt</t>
        </is>
      </c>
      <c r="C34" s="28" t="n"/>
      <c r="D34" s="29" t="n"/>
    </row>
    <row r="35" ht="15" customHeight="1">
      <c r="A35" s="11" t="inlineStr">
        <is>
          <t>R</t>
        </is>
      </c>
      <c r="B35" s="10" t="inlineStr">
        <is>
          <t>Recalculated independently</t>
        </is>
      </c>
      <c r="C35" s="28" t="n"/>
      <c r="D35" s="29" t="n"/>
    </row>
    <row r="36" ht="15" customHeight="1">
      <c r="A36" s="11" t="inlineStr">
        <is>
          <t>F</t>
        </is>
      </c>
      <c r="B36" s="10" t="inlineStr">
        <is>
          <t>Footed / cross-cast</t>
        </is>
      </c>
      <c r="C36" s="28" t="n"/>
      <c r="D36" s="29" t="n"/>
    </row>
    <row r="37" ht="15" customHeight="1">
      <c r="A37" s="11" t="inlineStr">
        <is>
          <t>T</t>
        </is>
      </c>
      <c r="B37" s="10" t="inlineStr">
        <is>
          <t>Traced to downstream record</t>
        </is>
      </c>
      <c r="C37" s="28" t="n"/>
      <c r="D37" s="29" t="n"/>
    </row>
    <row r="38" ht="15" customHeight="1">
      <c r="A38" s="11" t="inlineStr">
        <is>
          <t>PBC</t>
        </is>
      </c>
      <c r="B38" s="10" t="inlineStr">
        <is>
          <t>Prepared by client</t>
        </is>
      </c>
      <c r="C38" s="28" t="n"/>
      <c r="D38" s="29" t="n"/>
    </row>
    <row r="39"/>
    <row r="40" ht="25.5" customHeight="1">
      <c r="A40" s="2" t="inlineStr">
        <is>
          <t>Before sign-off complete Library Procedures 2-5 (lead sheet, register-to-TB reconciliation, class crosswalk, title/liens).</t>
        </is>
      </c>
    </row>
  </sheetData>
  <mergeCells count="14">
    <mergeCell ref="B33:D33"/>
    <mergeCell ref="B36:D36"/>
    <mergeCell ref="B37:D37"/>
    <mergeCell ref="B31:D31"/>
    <mergeCell ref="B6:I6"/>
    <mergeCell ref="B32:D32"/>
    <mergeCell ref="B35:D35"/>
    <mergeCell ref="A40:I40"/>
    <mergeCell ref="B5:I5"/>
    <mergeCell ref="A27:I27"/>
    <mergeCell ref="B30:D30"/>
    <mergeCell ref="B38:D38"/>
    <mergeCell ref="B4:I4"/>
    <mergeCell ref="B34:D34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34"/>
  <sheetViews>
    <sheetView showGridLines="0" zoomScale="85" zoomScaleNormal="100" workbookViewId="0">
      <pane xSplit="1" ySplit="8" topLeftCell="B9" activePane="bottomRight" state="frozen"/>
      <selection pane="topRight" activeCell="C1" sqref="C1"/>
      <selection pane="bottomLeft" activeCell="A9" sqref="A9"/>
      <selection pane="bottomRight" activeCell="A4" sqref="A4:L6"/>
    </sheetView>
  </sheetViews>
  <sheetFormatPr baseColWidth="8" defaultColWidth="8.6328125" defaultRowHeight="14.5"/>
  <cols>
    <col width="24" customWidth="1" min="1" max="1"/>
    <col width="15" customWidth="1" min="2" max="2"/>
    <col width="14" customWidth="1" min="3" max="3"/>
    <col width="15" customWidth="1" min="4" max="6"/>
    <col width="16" customWidth="1" min="7" max="7"/>
    <col width="15" customWidth="1" min="8" max="9"/>
    <col width="17" customWidth="1" min="10" max="10"/>
    <col width="15" customWidth="1" min="11" max="11"/>
    <col width="24" customWidth="1" min="12" max="12"/>
  </cols>
  <sheetData>
    <row r="1" ht="17.25" customHeight="1">
      <c r="A1" s="5" t="inlineStr">
        <is>
          <t>PPE Rollforward</t>
        </is>
      </c>
    </row>
    <row r="2" ht="15" customHeight="1">
      <c r="A2" s="6" t="inlineStr">
        <is>
          <t>Client / Entity</t>
        </is>
      </c>
      <c r="B2" s="7" t="inlineStr">
        <is>
          <t>[Client / Entity]</t>
        </is>
      </c>
      <c r="D2" s="6" t="inlineStr">
        <is>
          <t>Year-End</t>
        </is>
      </c>
      <c r="E2" s="7" t="inlineStr">
        <is>
          <t>[YYYY-MM-DD]</t>
        </is>
      </c>
      <c r="G2" s="6" t="inlineStr">
        <is>
          <t>Currency</t>
        </is>
      </c>
      <c r="H2" s="7" t="inlineStr">
        <is>
          <t>[CCY]</t>
        </is>
      </c>
    </row>
    <row r="3" ht="15" customHeight="1">
      <c r="A3" s="6" t="inlineStr">
        <is>
          <t>Performance Materiality</t>
        </is>
      </c>
      <c r="B3" s="7" t="inlineStr">
        <is>
          <t>[PM]</t>
        </is>
      </c>
      <c r="D3" s="6" t="inlineStr">
        <is>
          <t>Testing Threshold (SUM)</t>
        </is>
      </c>
      <c r="E3" s="7" t="inlineStr">
        <is>
          <t>[Threshold]</t>
        </is>
      </c>
    </row>
    <row r="4" ht="27.75" customHeight="1">
      <c r="A4" s="25" t="inlineStr">
        <is>
          <t>Purpose:</t>
        </is>
      </c>
      <c r="B4" s="26" t="inlineStr">
        <is>
          <t>Roll each asset class forward: beginning + additions − disposals ± transfers = ending cost; beginning A/D + depreciation − disposal A/D = ending A/D; agree endings to the lead sheet.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1" t="n"/>
    </row>
    <row r="5" ht="15" customHeight="1">
      <c r="A5" s="25" t="inlineStr">
        <is>
          <t>Scope:</t>
        </is>
      </c>
      <c r="B5" s="26" t="inlineStr">
        <is>
          <t>Every asset class; beginning balances bridged to the prior-year trial balance.</t>
        </is>
      </c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1" t="n"/>
    </row>
    <row r="6" ht="15" customHeight="1">
      <c r="A6" s="25" t="inlineStr">
        <is>
          <t>Assertions:</t>
        </is>
      </c>
      <c r="B6" s="26" t="inlineStr">
        <is>
          <t>Completeness; Valuation &amp; Allocation; Accuracy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1" t="n"/>
    </row>
    <row r="7" ht="31.5" customHeight="1">
      <c r="A7" s="24" t="inlineStr">
        <is>
          <t>Asset Class</t>
        </is>
      </c>
      <c r="B7" s="24" t="inlineStr">
        <is>
          <t>Beg Cost</t>
        </is>
      </c>
      <c r="C7" s="24" t="inlineStr">
        <is>
          <t>Additions</t>
        </is>
      </c>
      <c r="D7" s="24" t="inlineStr">
        <is>
          <t>Disposals (cost)</t>
        </is>
      </c>
      <c r="E7" s="24" t="inlineStr">
        <is>
          <t>Transfers (± CIP)</t>
        </is>
      </c>
      <c r="F7" s="24" t="inlineStr">
        <is>
          <t>End Cost</t>
        </is>
      </c>
      <c r="G7" s="24" t="inlineStr">
        <is>
          <t>Beg Accum Deprec</t>
        </is>
      </c>
      <c r="H7" s="24" t="inlineStr">
        <is>
          <t>Deprec Expense</t>
        </is>
      </c>
      <c r="I7" s="24" t="inlineStr">
        <is>
          <t>Disposals (A/D)</t>
        </is>
      </c>
      <c r="J7" s="24" t="inlineStr">
        <is>
          <t>End Accum Deprec</t>
        </is>
      </c>
      <c r="K7" s="24" t="inlineStr">
        <is>
          <t>End NBV</t>
        </is>
      </c>
      <c r="L7" s="24" t="inlineStr">
        <is>
          <t>Comments</t>
        </is>
      </c>
    </row>
    <row r="8" ht="15" customHeight="1">
      <c r="B8" s="12" t="inlineStr">
        <is>
          <t>PY</t>
        </is>
      </c>
      <c r="C8" s="12" t="inlineStr">
        <is>
          <t>T</t>
        </is>
      </c>
      <c r="D8" s="12" t="inlineStr">
        <is>
          <t>T</t>
        </is>
      </c>
      <c r="E8" s="12" t="inlineStr">
        <is>
          <t>T</t>
        </is>
      </c>
      <c r="H8" s="12" t="inlineStr">
        <is>
          <t>R</t>
        </is>
      </c>
    </row>
    <row r="9" ht="15" customHeight="1">
      <c r="A9" s="10" t="n"/>
      <c r="B9" s="13" t="n"/>
      <c r="C9" s="13" t="n"/>
      <c r="D9" s="13" t="n"/>
      <c r="E9" s="13" t="n"/>
      <c r="F9" s="13">
        <f>IF(COUNT(B9:E9)=0,"",B9+C9-D9+E9)</f>
        <v/>
      </c>
      <c r="G9" s="13" t="n"/>
      <c r="H9" s="13" t="n"/>
      <c r="I9" s="13" t="n"/>
      <c r="J9" s="13">
        <f>IF(COUNT(G9:I9)=0,"",G9+H9-I9)</f>
        <v/>
      </c>
      <c r="K9" s="13">
        <f>IF(AND(F9="",J9=""),"",F9-J9)</f>
        <v/>
      </c>
      <c r="L9" s="10" t="n"/>
    </row>
    <row r="10" ht="15" customHeight="1">
      <c r="A10" s="10" t="n"/>
      <c r="B10" s="13" t="n"/>
      <c r="C10" s="13" t="n"/>
      <c r="D10" s="13" t="n"/>
      <c r="E10" s="13" t="n"/>
      <c r="F10" s="13">
        <f>IF(COUNT(B10:E10)=0,"",B10+C10-D10+E10)</f>
        <v/>
      </c>
      <c r="G10" s="13" t="n"/>
      <c r="H10" s="13" t="n"/>
      <c r="I10" s="13" t="n"/>
      <c r="J10" s="13">
        <f>IF(COUNT(G10:I10)=0,"",G10+H10-I10)</f>
        <v/>
      </c>
      <c r="K10" s="13">
        <f>IF(AND(F10="",J10=""),"",F10-J10)</f>
        <v/>
      </c>
      <c r="L10" s="10" t="n"/>
    </row>
    <row r="11" ht="15" customHeight="1">
      <c r="A11" s="10" t="n"/>
      <c r="B11" s="13" t="n"/>
      <c r="C11" s="13" t="n"/>
      <c r="D11" s="13" t="n"/>
      <c r="E11" s="13" t="n"/>
      <c r="F11" s="13">
        <f>IF(COUNT(B11:E11)=0,"",B11+C11-D11+E11)</f>
        <v/>
      </c>
      <c r="G11" s="13" t="n"/>
      <c r="H11" s="13" t="n"/>
      <c r="I11" s="13" t="n"/>
      <c r="J11" s="13">
        <f>IF(COUNT(G11:I11)=0,"",G11+H11-I11)</f>
        <v/>
      </c>
      <c r="K11" s="13">
        <f>IF(AND(F11="",J11=""),"",F11-J11)</f>
        <v/>
      </c>
      <c r="L11" s="10" t="n"/>
    </row>
    <row r="12" ht="15" customHeight="1">
      <c r="A12" s="10" t="n"/>
      <c r="B12" s="13" t="n"/>
      <c r="C12" s="13" t="n"/>
      <c r="D12" s="13" t="n"/>
      <c r="E12" s="13" t="n"/>
      <c r="F12" s="13">
        <f>IF(COUNT(B12:E12)=0,"",B12+C12-D12+E12)</f>
        <v/>
      </c>
      <c r="G12" s="13" t="n"/>
      <c r="H12" s="13" t="n"/>
      <c r="I12" s="13" t="n"/>
      <c r="J12" s="13">
        <f>IF(COUNT(G12:I12)=0,"",G12+H12-I12)</f>
        <v/>
      </c>
      <c r="K12" s="13">
        <f>IF(AND(F12="",J12=""),"",F12-J12)</f>
        <v/>
      </c>
      <c r="L12" s="10" t="n"/>
    </row>
    <row r="13" ht="15" customHeight="1">
      <c r="A13" s="10" t="n"/>
      <c r="B13" s="13" t="n"/>
      <c r="C13" s="13" t="n"/>
      <c r="D13" s="13" t="n"/>
      <c r="E13" s="13" t="n"/>
      <c r="F13" s="13">
        <f>IF(COUNT(B13:E13)=0,"",B13+C13-D13+E13)</f>
        <v/>
      </c>
      <c r="G13" s="13" t="n"/>
      <c r="H13" s="13" t="n"/>
      <c r="I13" s="13" t="n"/>
      <c r="J13" s="13">
        <f>IF(COUNT(G13:I13)=0,"",G13+H13-I13)</f>
        <v/>
      </c>
      <c r="K13" s="13">
        <f>IF(AND(F13="",J13=""),"",F13-J13)</f>
        <v/>
      </c>
      <c r="L13" s="10" t="n"/>
    </row>
    <row r="14" ht="15" customHeight="1">
      <c r="A14" s="10" t="n"/>
      <c r="B14" s="13" t="n"/>
      <c r="C14" s="13" t="n"/>
      <c r="D14" s="13" t="n"/>
      <c r="E14" s="13" t="n"/>
      <c r="F14" s="13">
        <f>IF(COUNT(B14:E14)=0,"",B14+C14-D14+E14)</f>
        <v/>
      </c>
      <c r="G14" s="13" t="n"/>
      <c r="H14" s="13" t="n"/>
      <c r="I14" s="13" t="n"/>
      <c r="J14" s="13">
        <f>IF(COUNT(G14:I14)=0,"",G14+H14-I14)</f>
        <v/>
      </c>
      <c r="K14" s="13">
        <f>IF(AND(F14="",J14=""),"",F14-J14)</f>
        <v/>
      </c>
      <c r="L14" s="10" t="n"/>
    </row>
    <row r="15" ht="15" customHeight="1">
      <c r="A15" s="10" t="n"/>
      <c r="B15" s="13" t="n"/>
      <c r="C15" s="13" t="n"/>
      <c r="D15" s="13" t="n"/>
      <c r="E15" s="13" t="n"/>
      <c r="F15" s="13">
        <f>IF(COUNT(B15:E15)=0,"",B15+C15-D15+E15)</f>
        <v/>
      </c>
      <c r="G15" s="13" t="n"/>
      <c r="H15" s="13" t="n"/>
      <c r="I15" s="13" t="n"/>
      <c r="J15" s="13">
        <f>IF(COUNT(G15:I15)=0,"",G15+H15-I15)</f>
        <v/>
      </c>
      <c r="K15" s="13">
        <f>IF(AND(F15="",J15=""),"",F15-J15)</f>
        <v/>
      </c>
      <c r="L15" s="10" t="n"/>
    </row>
    <row r="16" ht="15" customHeight="1">
      <c r="A16" s="10" t="n"/>
      <c r="B16" s="13" t="n"/>
      <c r="C16" s="13" t="n"/>
      <c r="D16" s="13" t="n"/>
      <c r="E16" s="13" t="n"/>
      <c r="F16" s="13">
        <f>IF(COUNT(B16:E16)=0,"",B16+C16-D16+E16)</f>
        <v/>
      </c>
      <c r="G16" s="13" t="n"/>
      <c r="H16" s="13" t="n"/>
      <c r="I16" s="13" t="n"/>
      <c r="J16" s="13">
        <f>IF(COUNT(G16:I16)=0,"",G16+H16-I16)</f>
        <v/>
      </c>
      <c r="K16" s="13">
        <f>IF(AND(F16="",J16=""),"",F16-J16)</f>
        <v/>
      </c>
      <c r="L16" s="10" t="n"/>
    </row>
    <row r="17" ht="15" customHeight="1">
      <c r="A17" s="10" t="n"/>
      <c r="B17" s="13" t="n"/>
      <c r="C17" s="13" t="n"/>
      <c r="D17" s="13" t="n"/>
      <c r="E17" s="13" t="n"/>
      <c r="F17" s="13">
        <f>IF(COUNT(B17:E17)=0,"",B17+C17-D17+E17)</f>
        <v/>
      </c>
      <c r="G17" s="13" t="n"/>
      <c r="H17" s="13" t="n"/>
      <c r="I17" s="13" t="n"/>
      <c r="J17" s="13">
        <f>IF(COUNT(G17:I17)=0,"",G17+H17-I17)</f>
        <v/>
      </c>
      <c r="K17" s="13">
        <f>IF(AND(F17="",J17=""),"",F17-J17)</f>
        <v/>
      </c>
      <c r="L17" s="10" t="n"/>
    </row>
    <row r="18" ht="15" customHeight="1">
      <c r="A18" s="10" t="n"/>
      <c r="B18" s="13" t="n"/>
      <c r="C18" s="13" t="n"/>
      <c r="D18" s="13" t="n"/>
      <c r="E18" s="13" t="n"/>
      <c r="F18" s="13">
        <f>IF(COUNT(B18:E18)=0,"",B18+C18-D18+E18)</f>
        <v/>
      </c>
      <c r="G18" s="13" t="n"/>
      <c r="H18" s="13" t="n"/>
      <c r="I18" s="13" t="n"/>
      <c r="J18" s="13">
        <f>IF(COUNT(G18:I18)=0,"",G18+H18-I18)</f>
        <v/>
      </c>
      <c r="K18" s="13">
        <f>IF(AND(F18="",J18=""),"",F18-J18)</f>
        <v/>
      </c>
      <c r="L18" s="10" t="n"/>
    </row>
    <row r="19" ht="15" customHeight="1">
      <c r="A19" s="15" t="inlineStr">
        <is>
          <t>Total</t>
        </is>
      </c>
      <c r="B19" s="16">
        <f>SUM(B9:B18)</f>
        <v/>
      </c>
      <c r="C19" s="16">
        <f>SUM(C9:C18)</f>
        <v/>
      </c>
      <c r="D19" s="16">
        <f>SUM(D9:D18)</f>
        <v/>
      </c>
      <c r="E19" s="16">
        <f>SUM(E9:E18)</f>
        <v/>
      </c>
      <c r="F19" s="16">
        <f>SUM(F9:F18)</f>
        <v/>
      </c>
      <c r="G19" s="16">
        <f>SUM(G9:G18)</f>
        <v/>
      </c>
      <c r="H19" s="16">
        <f>SUM(H9:H18)</f>
        <v/>
      </c>
      <c r="I19" s="16">
        <f>SUM(I9:I18)</f>
        <v/>
      </c>
      <c r="J19" s="16">
        <f>SUM(J9:J18)</f>
        <v/>
      </c>
      <c r="K19" s="16">
        <f>SUM(K9:K18)</f>
        <v/>
      </c>
      <c r="L19" s="15" t="n"/>
    </row>
    <row r="20"/>
    <row r="21" ht="25.5" customHeight="1">
      <c r="A21" s="2" t="inlineStr">
        <is>
          <t>Ending cost ties to lead-sheet gross cost; ending A/D ties to lead-sheet accumulated depreciation. Additions/disposals tie to &lt;.3&gt;, transfers to/from CIP tie to &lt;.4&gt;, and depreciation expense ties to &lt;.5&gt;.</t>
        </is>
      </c>
    </row>
    <row r="22"/>
    <row r="23" ht="15" customHeight="1">
      <c r="A23" s="8" t="inlineStr">
        <is>
          <t>TM Legends</t>
        </is>
      </c>
    </row>
    <row r="24" ht="15" customHeight="1">
      <c r="A24" s="11" t="inlineStr">
        <is>
          <t>TB</t>
        </is>
      </c>
      <c r="B24" s="10" t="inlineStr">
        <is>
          <t>Agreed to trial balance</t>
        </is>
      </c>
      <c r="C24" s="28" t="n"/>
      <c r="D24" s="29" t="n"/>
    </row>
    <row r="25" ht="15" customHeight="1">
      <c r="A25" s="11" t="inlineStr">
        <is>
          <t>GL</t>
        </is>
      </c>
      <c r="B25" s="10" t="inlineStr">
        <is>
          <t>Agreed to general ledger</t>
        </is>
      </c>
      <c r="C25" s="28" t="n"/>
      <c r="D25" s="29" t="n"/>
    </row>
    <row r="26" ht="15" customHeight="1">
      <c r="A26" s="11" t="inlineStr">
        <is>
          <t>CF</t>
        </is>
      </c>
      <c r="B26" s="10" t="inlineStr">
        <is>
          <t>Confirmed with third party</t>
        </is>
      </c>
      <c r="C26" s="28" t="n"/>
      <c r="D26" s="29" t="n"/>
    </row>
    <row r="27" ht="15" customHeight="1">
      <c r="A27" s="11" t="inlineStr">
        <is>
          <t>V</t>
        </is>
      </c>
      <c r="B27" s="10" t="inlineStr">
        <is>
          <t>Vouched to source document</t>
        </is>
      </c>
      <c r="C27" s="28" t="n"/>
      <c r="D27" s="29" t="n"/>
    </row>
    <row r="28" ht="15" customHeight="1">
      <c r="A28" s="11" t="inlineStr">
        <is>
          <t>SR</t>
        </is>
      </c>
      <c r="B28" s="10" t="inlineStr">
        <is>
          <t>Agreed to subsequent bank-cleared receipt</t>
        </is>
      </c>
      <c r="C28" s="28" t="n"/>
      <c r="D28" s="29" t="n"/>
    </row>
    <row r="29" ht="15" customHeight="1">
      <c r="A29" s="11" t="inlineStr">
        <is>
          <t>R</t>
        </is>
      </c>
      <c r="B29" s="10" t="inlineStr">
        <is>
          <t>Recalculated independently</t>
        </is>
      </c>
      <c r="C29" s="28" t="n"/>
      <c r="D29" s="29" t="n"/>
    </row>
    <row r="30" ht="15" customHeight="1">
      <c r="A30" s="11" t="inlineStr">
        <is>
          <t>F</t>
        </is>
      </c>
      <c r="B30" s="10" t="inlineStr">
        <is>
          <t>Footed / cross-cast</t>
        </is>
      </c>
      <c r="C30" s="28" t="n"/>
      <c r="D30" s="29" t="n"/>
    </row>
    <row r="31" ht="15" customHeight="1">
      <c r="A31" s="11" t="inlineStr">
        <is>
          <t>T</t>
        </is>
      </c>
      <c r="B31" s="10" t="inlineStr">
        <is>
          <t>Traced to downstream record</t>
        </is>
      </c>
      <c r="C31" s="28" t="n"/>
      <c r="D31" s="29" t="n"/>
    </row>
    <row r="32" ht="15" customHeight="1">
      <c r="A32" s="11" t="inlineStr">
        <is>
          <t>PBC</t>
        </is>
      </c>
      <c r="B32" s="10" t="inlineStr">
        <is>
          <t>Prepared by client</t>
        </is>
      </c>
      <c r="C32" s="28" t="n"/>
      <c r="D32" s="29" t="n"/>
    </row>
    <row r="33"/>
    <row r="34" ht="25.5" customHeight="1">
      <c r="A34" s="2" t="inlineStr">
        <is>
          <t>Before sign-off complete Library Procedure 6 (rollforward &amp; PY bridge).</t>
        </is>
      </c>
    </row>
  </sheetData>
  <mergeCells count="14">
    <mergeCell ref="B28:D28"/>
    <mergeCell ref="B4:L4"/>
    <mergeCell ref="B6:L6"/>
    <mergeCell ref="B31:D31"/>
    <mergeCell ref="B32:D32"/>
    <mergeCell ref="B25:D25"/>
    <mergeCell ref="B26:D26"/>
    <mergeCell ref="B27:D27"/>
    <mergeCell ref="B5:L5"/>
    <mergeCell ref="B30:D30"/>
    <mergeCell ref="B29:D29"/>
    <mergeCell ref="A21:L21"/>
    <mergeCell ref="A34:L34"/>
    <mergeCell ref="B24:D24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L47"/>
  <sheetViews>
    <sheetView showGridLines="0" zoomScale="85" zoomScaleNormal="100" workbookViewId="0">
      <selection activeCell="A12" sqref="A12"/>
    </sheetView>
  </sheetViews>
  <sheetFormatPr baseColWidth="8" defaultColWidth="8.6328125" defaultRowHeight="14.5"/>
  <cols>
    <col width="24" customWidth="1" min="1" max="1"/>
    <col width="18" customWidth="1" min="2" max="2"/>
    <col width="20" customWidth="1" min="3" max="3"/>
    <col width="16" customWidth="1" min="4" max="4"/>
    <col width="13" customWidth="1" min="5" max="5"/>
    <col width="14" customWidth="1" min="6" max="7"/>
    <col width="18" customWidth="1" min="8" max="8"/>
    <col width="12" customWidth="1" min="9" max="9"/>
    <col width="14" customWidth="1" min="10" max="10"/>
    <col width="20" customWidth="1" min="11" max="11"/>
    <col width="22" customWidth="1" min="12" max="12"/>
  </cols>
  <sheetData>
    <row r="1" ht="17.25" customHeight="1">
      <c r="A1" s="5" t="inlineStr">
        <is>
          <t>Additions &amp; Disposals (PPE)</t>
        </is>
      </c>
    </row>
    <row r="2" ht="15" customHeight="1">
      <c r="A2" s="6" t="inlineStr">
        <is>
          <t>Client / Entity</t>
        </is>
      </c>
      <c r="B2" s="7" t="inlineStr">
        <is>
          <t>[Client / Entity]</t>
        </is>
      </c>
      <c r="D2" s="6" t="inlineStr">
        <is>
          <t>Year-End</t>
        </is>
      </c>
      <c r="E2" s="7" t="inlineStr">
        <is>
          <t>[YYYY-MM-DD]</t>
        </is>
      </c>
      <c r="G2" s="6" t="inlineStr">
        <is>
          <t>Currency</t>
        </is>
      </c>
      <c r="H2" s="7" t="inlineStr">
        <is>
          <t>[CCY]</t>
        </is>
      </c>
    </row>
    <row r="3" ht="15" customHeight="1">
      <c r="A3" s="6" t="inlineStr">
        <is>
          <t>Performance Materiality</t>
        </is>
      </c>
      <c r="B3" s="7" t="inlineStr">
        <is>
          <t>[PM]</t>
        </is>
      </c>
      <c r="D3" s="6" t="inlineStr">
        <is>
          <t>Testing Threshold (SUM)</t>
        </is>
      </c>
      <c r="E3" s="7" t="inlineStr">
        <is>
          <t>[Threshold]</t>
        </is>
      </c>
    </row>
    <row r="4" ht="27.75" customHeight="1">
      <c r="A4" s="25" t="inlineStr">
        <is>
          <t>Purpose:</t>
        </is>
      </c>
      <c r="B4" s="26" t="inlineStr">
        <is>
          <t>Test current-year PPE additions and disposals separately — vouch additions to support and policy; recompute gain/loss on disposals.</t>
        </is>
      </c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  <c r="L4" s="31" t="n"/>
    </row>
    <row r="5" ht="27.75" customHeight="1">
      <c r="A5" s="25" t="inlineStr">
        <is>
          <t>Scope:</t>
        </is>
      </c>
      <c r="B5" s="26" t="inlineStr">
        <is>
          <t>Current-year additions (excluding CIP) and the complete disposal/retirement listing, above the testing threshold.</t>
        </is>
      </c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1" t="n"/>
    </row>
    <row r="6" ht="15" customHeight="1">
      <c r="A6" s="25" t="inlineStr">
        <is>
          <t>Assertions:</t>
        </is>
      </c>
      <c r="B6" s="26" t="inlineStr">
        <is>
          <t>Existence; Rights &amp; Obligations; Accuracy; Classification</t>
        </is>
      </c>
      <c r="C6" s="30" t="n"/>
      <c r="D6" s="30" t="n"/>
      <c r="E6" s="30" t="n"/>
      <c r="F6" s="30" t="n"/>
      <c r="G6" s="30" t="n"/>
      <c r="H6" s="30" t="n"/>
      <c r="I6" s="30" t="n"/>
      <c r="J6" s="30" t="n"/>
      <c r="K6" s="30" t="n"/>
      <c r="L6" s="31" t="n"/>
    </row>
    <row r="7" ht="15" customHeight="1">
      <c r="A7" s="17" t="inlineStr">
        <is>
          <t>A. Additions testing</t>
        </is>
      </c>
    </row>
    <row r="8" ht="30" customHeight="1">
      <c r="A8" s="9" t="inlineStr">
        <is>
          <t>Asset / description</t>
        </is>
      </c>
      <c r="B8" s="9" t="inlineStr">
        <is>
          <t>Class</t>
        </is>
      </c>
      <c r="C8" s="9" t="inlineStr">
        <is>
          <t>Vendor</t>
        </is>
      </c>
      <c r="D8" s="9" t="inlineStr">
        <is>
          <t>Invoice / PO ref</t>
        </is>
      </c>
      <c r="E8" s="9" t="inlineStr">
        <is>
          <t>Invoice date</t>
        </is>
      </c>
      <c r="F8" s="9" t="inlineStr">
        <is>
          <t>In-service date</t>
        </is>
      </c>
      <c r="G8" s="9" t="inlineStr">
        <is>
          <t>Amount</t>
        </is>
      </c>
      <c r="H8" s="9" t="inlineStr">
        <is>
          <t>Capitalize per policy? (Y/N)</t>
        </is>
      </c>
      <c r="I8" s="9" t="inlineStr">
        <is>
          <t>Vouched (Y/N)</t>
        </is>
      </c>
      <c r="J8" s="9" t="inlineStr">
        <is>
          <t>Inspected (Y/N)</t>
        </is>
      </c>
      <c r="K8" s="9" t="inlineStr">
        <is>
          <t>Title / rights evidence</t>
        </is>
      </c>
      <c r="L8" s="9" t="inlineStr">
        <is>
          <t>Comments</t>
        </is>
      </c>
    </row>
    <row r="9" ht="15" customHeight="1">
      <c r="G9" s="12" t="inlineStr">
        <is>
          <t>V</t>
        </is>
      </c>
      <c r="I9" s="12" t="inlineStr">
        <is>
          <t>V</t>
        </is>
      </c>
      <c r="J9" s="12" t="inlineStr">
        <is>
          <t>V</t>
        </is>
      </c>
    </row>
    <row r="10" ht="15" customHeight="1">
      <c r="A10" s="10" t="n"/>
      <c r="B10" s="10" t="n"/>
      <c r="C10" s="10" t="n"/>
      <c r="D10" s="10" t="n"/>
      <c r="E10" s="10" t="n"/>
      <c r="F10" s="10" t="n"/>
      <c r="G10" s="13" t="n"/>
      <c r="H10" s="10" t="n"/>
      <c r="I10" s="10" t="n"/>
      <c r="J10" s="10" t="n"/>
      <c r="K10" s="10" t="n"/>
      <c r="L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3" t="n"/>
      <c r="H11" s="10" t="n"/>
      <c r="I11" s="10" t="n"/>
      <c r="J11" s="10" t="n"/>
      <c r="K11" s="10" t="n"/>
      <c r="L11" s="10" t="n"/>
    </row>
    <row r="12" ht="15" customHeight="1">
      <c r="A12" s="10" t="n"/>
      <c r="B12" s="10" t="n"/>
      <c r="C12" s="10" t="n"/>
      <c r="D12" s="10" t="n"/>
      <c r="E12" s="10" t="n"/>
      <c r="F12" s="10" t="n"/>
      <c r="G12" s="13" t="n"/>
      <c r="H12" s="10" t="n"/>
      <c r="I12" s="10" t="n"/>
      <c r="J12" s="10" t="n"/>
      <c r="K12" s="10" t="n"/>
      <c r="L12" s="10" t="n"/>
    </row>
    <row r="13" ht="15" customHeight="1">
      <c r="A13" s="10" t="n"/>
      <c r="B13" s="10" t="n"/>
      <c r="C13" s="10" t="n"/>
      <c r="D13" s="10" t="n"/>
      <c r="E13" s="10" t="n"/>
      <c r="F13" s="10" t="n"/>
      <c r="G13" s="13" t="n"/>
      <c r="H13" s="10" t="n"/>
      <c r="I13" s="10" t="n"/>
      <c r="J13" s="10" t="n"/>
      <c r="K13" s="10" t="n"/>
      <c r="L13" s="10" t="n"/>
    </row>
    <row r="14" ht="15" customHeight="1">
      <c r="A14" s="10" t="n"/>
      <c r="B14" s="10" t="n"/>
      <c r="C14" s="10" t="n"/>
      <c r="D14" s="10" t="n"/>
      <c r="E14" s="10" t="n"/>
      <c r="F14" s="10" t="n"/>
      <c r="G14" s="13" t="n"/>
      <c r="H14" s="10" t="n"/>
      <c r="I14" s="10" t="n"/>
      <c r="J14" s="10" t="n"/>
      <c r="K14" s="10" t="n"/>
      <c r="L14" s="10" t="n"/>
    </row>
    <row r="15" ht="15" customHeight="1">
      <c r="A15" s="10" t="n"/>
      <c r="B15" s="10" t="n"/>
      <c r="C15" s="10" t="n"/>
      <c r="D15" s="10" t="n"/>
      <c r="E15" s="10" t="n"/>
      <c r="F15" s="10" t="n"/>
      <c r="G15" s="13" t="n"/>
      <c r="H15" s="10" t="n"/>
      <c r="I15" s="10" t="n"/>
      <c r="J15" s="10" t="n"/>
      <c r="K15" s="10" t="n"/>
      <c r="L15" s="10" t="n"/>
    </row>
    <row r="16" ht="15" customHeight="1">
      <c r="A16" s="10" t="n"/>
      <c r="B16" s="10" t="n"/>
      <c r="C16" s="10" t="n"/>
      <c r="D16" s="10" t="n"/>
      <c r="E16" s="10" t="n"/>
      <c r="F16" s="10" t="n"/>
      <c r="G16" s="13" t="n"/>
      <c r="H16" s="10" t="n"/>
      <c r="I16" s="10" t="n"/>
      <c r="J16" s="10" t="n"/>
      <c r="K16" s="10" t="n"/>
      <c r="L16" s="10" t="n"/>
    </row>
    <row r="17" ht="15" customHeight="1">
      <c r="A17" s="10" t="n"/>
      <c r="B17" s="10" t="n"/>
      <c r="C17" s="10" t="n"/>
      <c r="D17" s="10" t="n"/>
      <c r="E17" s="10" t="n"/>
      <c r="F17" s="10" t="n"/>
      <c r="G17" s="13" t="n"/>
      <c r="H17" s="10" t="n"/>
      <c r="I17" s="10" t="n"/>
      <c r="J17" s="10" t="n"/>
      <c r="K17" s="10" t="n"/>
      <c r="L17" s="10" t="n"/>
    </row>
    <row r="18" ht="15" customHeight="1">
      <c r="A18" s="10" t="n"/>
      <c r="B18" s="10" t="n"/>
      <c r="C18" s="10" t="n"/>
      <c r="D18" s="10" t="n"/>
      <c r="E18" s="10" t="n"/>
      <c r="F18" s="10" t="n"/>
      <c r="G18" s="13" t="n"/>
      <c r="H18" s="10" t="n"/>
      <c r="I18" s="10" t="n"/>
      <c r="J18" s="10" t="n"/>
      <c r="K18" s="10" t="n"/>
      <c r="L18" s="10" t="n"/>
    </row>
    <row r="19" ht="15" customHeight="1">
      <c r="A19" s="10" t="n"/>
      <c r="B19" s="10" t="n"/>
      <c r="C19" s="10" t="n"/>
      <c r="D19" s="10" t="n"/>
      <c r="E19" s="10" t="n"/>
      <c r="F19" s="10" t="n"/>
      <c r="G19" s="13" t="n"/>
      <c r="H19" s="10" t="n"/>
      <c r="I19" s="10" t="n"/>
      <c r="J19" s="10" t="n"/>
      <c r="K19" s="10" t="n"/>
      <c r="L19" s="10" t="n"/>
    </row>
    <row r="20" ht="15" customHeight="1">
      <c r="A20" s="15" t="inlineStr">
        <is>
          <t>Total additions</t>
        </is>
      </c>
      <c r="B20" s="15" t="n"/>
      <c r="C20" s="15" t="n"/>
      <c r="D20" s="15" t="n"/>
      <c r="E20" s="15" t="n"/>
      <c r="F20" s="15" t="n"/>
      <c r="G20" s="16">
        <f>SUM(G10:G19)</f>
        <v/>
      </c>
      <c r="H20" s="15" t="n"/>
      <c r="I20" s="15" t="n"/>
      <c r="J20" s="15" t="n"/>
      <c r="K20" s="15" t="n"/>
      <c r="L20" s="15" t="n"/>
    </row>
    <row r="21"/>
    <row r="22" ht="15" customHeight="1">
      <c r="A22" s="17" t="inlineStr">
        <is>
          <t>B. Disposals / retirements testing</t>
        </is>
      </c>
    </row>
    <row r="23" ht="30" customHeight="1">
      <c r="A23" s="9" t="inlineStr">
        <is>
          <t>Asset / description</t>
        </is>
      </c>
      <c r="B23" s="9" t="inlineStr">
        <is>
          <t>Class</t>
        </is>
      </c>
      <c r="C23" s="9" t="inlineStr">
        <is>
          <t>Disposal date</t>
        </is>
      </c>
      <c r="D23" s="9" t="inlineStr">
        <is>
          <t>Original cost</t>
        </is>
      </c>
      <c r="E23" s="9" t="inlineStr">
        <is>
          <t>Accum deprec at disposal</t>
        </is>
      </c>
      <c r="F23" s="9" t="inlineStr">
        <is>
          <t>NBV at disposal</t>
        </is>
      </c>
      <c r="G23" s="9" t="inlineStr">
        <is>
          <t>Proceeds</t>
        </is>
      </c>
      <c r="H23" s="9" t="inlineStr">
        <is>
          <t>Gain / (loss)</t>
        </is>
      </c>
      <c r="I23" s="9" t="inlineStr">
        <is>
          <t>Cost &amp; A/D removed? (Y/N)</t>
        </is>
      </c>
      <c r="J23" s="9" t="n"/>
      <c r="K23" s="9" t="n"/>
      <c r="L23" s="9" t="inlineStr">
        <is>
          <t>Comments</t>
        </is>
      </c>
    </row>
    <row r="24" ht="15" customHeight="1">
      <c r="A24" s="10" t="n"/>
      <c r="B24" s="10" t="n"/>
      <c r="C24" s="10" t="n"/>
      <c r="D24" s="13" t="n"/>
      <c r="E24" s="13" t="n"/>
      <c r="F24" s="13">
        <f>IF(AND(D24="",E24=""),"",D24-E24)</f>
        <v/>
      </c>
      <c r="G24" s="13" t="n"/>
      <c r="H24" s="13">
        <f>IF(OR(G24="",F24=""),"",G24-F24)</f>
        <v/>
      </c>
      <c r="I24" s="10" t="n"/>
      <c r="J24" s="10" t="n"/>
      <c r="K24" s="10" t="n"/>
      <c r="L24" s="10" t="n"/>
    </row>
    <row r="25" ht="15" customHeight="1">
      <c r="A25" s="10" t="n"/>
      <c r="B25" s="10" t="n"/>
      <c r="C25" s="10" t="n"/>
      <c r="D25" s="13" t="n"/>
      <c r="E25" s="13" t="n"/>
      <c r="F25" s="13">
        <f>IF(AND(D25="",E25=""),"",D25-E25)</f>
        <v/>
      </c>
      <c r="G25" s="13" t="n"/>
      <c r="H25" s="13">
        <f>IF(OR(G25="",F25=""),"",G25-F25)</f>
        <v/>
      </c>
      <c r="I25" s="10" t="n"/>
      <c r="J25" s="10" t="n"/>
      <c r="K25" s="10" t="n"/>
      <c r="L25" s="10" t="n"/>
    </row>
    <row r="26" ht="15" customHeight="1">
      <c r="A26" s="10" t="n"/>
      <c r="B26" s="10" t="n"/>
      <c r="C26" s="10" t="n"/>
      <c r="D26" s="13" t="n"/>
      <c r="E26" s="13" t="n"/>
      <c r="F26" s="13">
        <f>IF(AND(D26="",E26=""),"",D26-E26)</f>
        <v/>
      </c>
      <c r="G26" s="13" t="n"/>
      <c r="H26" s="13">
        <f>IF(OR(G26="",F26=""),"",G26-F26)</f>
        <v/>
      </c>
      <c r="I26" s="10" t="n"/>
      <c r="J26" s="10" t="n"/>
      <c r="K26" s="10" t="n"/>
      <c r="L26" s="10" t="n"/>
    </row>
    <row r="27" ht="15" customHeight="1">
      <c r="A27" s="10" t="n"/>
      <c r="B27" s="10" t="n"/>
      <c r="C27" s="10" t="n"/>
      <c r="D27" s="13" t="n"/>
      <c r="E27" s="13" t="n"/>
      <c r="F27" s="13">
        <f>IF(AND(D27="",E27=""),"",D27-E27)</f>
        <v/>
      </c>
      <c r="G27" s="13" t="n"/>
      <c r="H27" s="13">
        <f>IF(OR(G27="",F27=""),"",G27-F27)</f>
        <v/>
      </c>
      <c r="I27" s="10" t="n"/>
      <c r="J27" s="10" t="n"/>
      <c r="K27" s="10" t="n"/>
      <c r="L27" s="10" t="n"/>
    </row>
    <row r="28" ht="15" customHeight="1">
      <c r="A28" s="10" t="n"/>
      <c r="B28" s="10" t="n"/>
      <c r="C28" s="10" t="n"/>
      <c r="D28" s="13" t="n"/>
      <c r="E28" s="13" t="n"/>
      <c r="F28" s="13">
        <f>IF(AND(D28="",E28=""),"",D28-E28)</f>
        <v/>
      </c>
      <c r="G28" s="13" t="n"/>
      <c r="H28" s="13">
        <f>IF(OR(G28="",F28=""),"",G28-F28)</f>
        <v/>
      </c>
      <c r="I28" s="10" t="n"/>
      <c r="J28" s="10" t="n"/>
      <c r="K28" s="10" t="n"/>
      <c r="L28" s="10" t="n"/>
    </row>
    <row r="29" ht="15" customHeight="1">
      <c r="A29" s="10" t="n"/>
      <c r="B29" s="10" t="n"/>
      <c r="C29" s="10" t="n"/>
      <c r="D29" s="13" t="n"/>
      <c r="E29" s="13" t="n"/>
      <c r="F29" s="13">
        <f>IF(AND(D29="",E29=""),"",D29-E29)</f>
        <v/>
      </c>
      <c r="G29" s="13" t="n"/>
      <c r="H29" s="13">
        <f>IF(OR(G29="",F29=""),"",G29-F29)</f>
        <v/>
      </c>
      <c r="I29" s="10" t="n"/>
      <c r="J29" s="10" t="n"/>
      <c r="K29" s="10" t="n"/>
      <c r="L29" s="10" t="n"/>
    </row>
    <row r="30" ht="15" customHeight="1">
      <c r="A30" s="10" t="n"/>
      <c r="B30" s="10" t="n"/>
      <c r="C30" s="10" t="n"/>
      <c r="D30" s="13" t="n"/>
      <c r="E30" s="13" t="n"/>
      <c r="F30" s="13">
        <f>IF(AND(D30="",E30=""),"",D30-E30)</f>
        <v/>
      </c>
      <c r="G30" s="13" t="n"/>
      <c r="H30" s="13">
        <f>IF(OR(G30="",F30=""),"",G30-F30)</f>
        <v/>
      </c>
      <c r="I30" s="10" t="n"/>
      <c r="J30" s="10" t="n"/>
      <c r="K30" s="10" t="n"/>
      <c r="L30" s="10" t="n"/>
    </row>
    <row r="31" ht="15" customHeight="1">
      <c r="A31" s="10" t="n"/>
      <c r="B31" s="10" t="n"/>
      <c r="C31" s="10" t="n"/>
      <c r="D31" s="13" t="n"/>
      <c r="E31" s="13" t="n"/>
      <c r="F31" s="13">
        <f>IF(AND(D31="",E31=""),"",D31-E31)</f>
        <v/>
      </c>
      <c r="G31" s="13" t="n"/>
      <c r="H31" s="13">
        <f>IF(OR(G31="",F31=""),"",G31-F31)</f>
        <v/>
      </c>
      <c r="I31" s="10" t="n"/>
      <c r="J31" s="10" t="n"/>
      <c r="K31" s="10" t="n"/>
      <c r="L31" s="10" t="n"/>
    </row>
    <row r="32" ht="15" customHeight="1">
      <c r="A32" s="15" t="inlineStr">
        <is>
          <t>Total disposals</t>
        </is>
      </c>
      <c r="B32" s="15" t="n"/>
      <c r="C32" s="15" t="n"/>
      <c r="D32" s="16">
        <f>SUM(D24:D31)</f>
        <v/>
      </c>
      <c r="E32" s="16">
        <f>SUM(E24:E31)</f>
        <v/>
      </c>
      <c r="F32" s="16">
        <f>SUM(F24:F31)</f>
        <v/>
      </c>
      <c r="G32" s="16">
        <f>SUM(G24:G31)</f>
        <v/>
      </c>
      <c r="H32" s="16">
        <f>SUM(H24:H31)</f>
        <v/>
      </c>
      <c r="I32" s="15" t="n"/>
      <c r="J32" s="15" t="n"/>
      <c r="K32" s="15" t="n"/>
      <c r="L32" s="15" t="n"/>
    </row>
    <row r="33"/>
    <row r="34" ht="25.5" customHeight="1">
      <c r="A34" s="2" t="inlineStr">
        <is>
          <t>Additions: vouch to invoice/PO/receiving/approval, confirm in-service date and capitalization per policy, inspect high-value items, and verify title/rights. Disposals: obtain the complete listing, remove cost and A/D, agree proceeds, and recompute the gain/loss. Also scan repairs &amp; maintenance for items that should be capitalized.</t>
        </is>
      </c>
    </row>
    <row r="35"/>
    <row r="36" ht="15" customHeight="1">
      <c r="A36" s="8" t="inlineStr">
        <is>
          <t>TM Legends</t>
        </is>
      </c>
    </row>
    <row r="37" ht="15" customHeight="1">
      <c r="A37" s="11" t="inlineStr">
        <is>
          <t>TB</t>
        </is>
      </c>
      <c r="B37" s="10" t="inlineStr">
        <is>
          <t>Agreed to trial balance</t>
        </is>
      </c>
      <c r="C37" s="28" t="n"/>
      <c r="D37" s="29" t="n"/>
    </row>
    <row r="38" ht="15" customHeight="1">
      <c r="A38" s="11" t="inlineStr">
        <is>
          <t>GL</t>
        </is>
      </c>
      <c r="B38" s="10" t="inlineStr">
        <is>
          <t>Agreed to general ledger</t>
        </is>
      </c>
      <c r="C38" s="28" t="n"/>
      <c r="D38" s="29" t="n"/>
    </row>
    <row r="39" ht="15" customHeight="1">
      <c r="A39" s="11" t="inlineStr">
        <is>
          <t>CF</t>
        </is>
      </c>
      <c r="B39" s="10" t="inlineStr">
        <is>
          <t>Confirmed with third party</t>
        </is>
      </c>
      <c r="C39" s="28" t="n"/>
      <c r="D39" s="29" t="n"/>
    </row>
    <row r="40" ht="15" customHeight="1">
      <c r="A40" s="11" t="inlineStr">
        <is>
          <t>V</t>
        </is>
      </c>
      <c r="B40" s="10" t="inlineStr">
        <is>
          <t>Vouched to source document</t>
        </is>
      </c>
      <c r="C40" s="28" t="n"/>
      <c r="D40" s="29" t="n"/>
    </row>
    <row r="41" ht="15" customHeight="1">
      <c r="A41" s="11" t="inlineStr">
        <is>
          <t>SR</t>
        </is>
      </c>
      <c r="B41" s="10" t="inlineStr">
        <is>
          <t>Agreed to subsequent bank-cleared receipt</t>
        </is>
      </c>
      <c r="C41" s="28" t="n"/>
      <c r="D41" s="29" t="n"/>
    </row>
    <row r="42" ht="15" customHeight="1">
      <c r="A42" s="11" t="inlineStr">
        <is>
          <t>R</t>
        </is>
      </c>
      <c r="B42" s="10" t="inlineStr">
        <is>
          <t>Recalculated independently</t>
        </is>
      </c>
      <c r="C42" s="28" t="n"/>
      <c r="D42" s="29" t="n"/>
    </row>
    <row r="43" ht="15" customHeight="1">
      <c r="A43" s="11" t="inlineStr">
        <is>
          <t>F</t>
        </is>
      </c>
      <c r="B43" s="10" t="inlineStr">
        <is>
          <t>Footed / cross-cast</t>
        </is>
      </c>
      <c r="C43" s="28" t="n"/>
      <c r="D43" s="29" t="n"/>
    </row>
    <row r="44" ht="15" customHeight="1">
      <c r="A44" s="11" t="inlineStr">
        <is>
          <t>T</t>
        </is>
      </c>
      <c r="B44" s="10" t="inlineStr">
        <is>
          <t>Traced to downstream record</t>
        </is>
      </c>
      <c r="C44" s="28" t="n"/>
      <c r="D44" s="29" t="n"/>
    </row>
    <row r="45" ht="15" customHeight="1">
      <c r="A45" s="11" t="inlineStr">
        <is>
          <t>PBC</t>
        </is>
      </c>
      <c r="B45" s="10" t="inlineStr">
        <is>
          <t>Prepared by client</t>
        </is>
      </c>
      <c r="C45" s="28" t="n"/>
      <c r="D45" s="29" t="n"/>
    </row>
    <row r="46"/>
    <row r="47" ht="25.5" customHeight="1">
      <c r="A47" s="2" t="inlineStr">
        <is>
          <t>Before sign-off complete Library Procedures 7-10 (additions vouching, physical inspection, R&amp;M scan, disposals).</t>
        </is>
      </c>
    </row>
  </sheetData>
  <mergeCells count="14">
    <mergeCell ref="B42:D42"/>
    <mergeCell ref="B4:L4"/>
    <mergeCell ref="B37:D37"/>
    <mergeCell ref="B6:L6"/>
    <mergeCell ref="B45:D45"/>
    <mergeCell ref="B41:D41"/>
    <mergeCell ref="A47:L47"/>
    <mergeCell ref="B40:D40"/>
    <mergeCell ref="B5:L5"/>
    <mergeCell ref="B38:D38"/>
    <mergeCell ref="B44:D44"/>
    <mergeCell ref="B43:D43"/>
    <mergeCell ref="B39:D39"/>
    <mergeCell ref="A34:L34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H45"/>
  <sheetViews>
    <sheetView showGridLines="0" zoomScale="85" zoomScaleNormal="100" workbookViewId="0">
      <selection activeCell="E18" sqref="E18"/>
    </sheetView>
  </sheetViews>
  <sheetFormatPr baseColWidth="8" defaultColWidth="8.6328125" defaultRowHeight="14.5"/>
  <cols>
    <col width="26" customWidth="1" min="1" max="2"/>
    <col width="16" customWidth="1" min="3" max="3"/>
    <col width="18" customWidth="1" min="4" max="4"/>
    <col width="16" customWidth="1" min="5" max="6"/>
    <col width="24" customWidth="1" min="7" max="7"/>
  </cols>
  <sheetData>
    <row r="1" ht="17.25" customHeight="1">
      <c r="A1" s="5" t="inlineStr">
        <is>
          <t>CIP Additions &amp; Transfers</t>
        </is>
      </c>
    </row>
    <row r="2" ht="15" customHeight="1">
      <c r="A2" s="6" t="inlineStr">
        <is>
          <t>Client / Entity</t>
        </is>
      </c>
      <c r="B2" s="7" t="inlineStr">
        <is>
          <t>[Client / Entity]</t>
        </is>
      </c>
      <c r="D2" s="6" t="inlineStr">
        <is>
          <t>Year-End</t>
        </is>
      </c>
      <c r="E2" s="7" t="inlineStr">
        <is>
          <t>[YYYY-MM-DD]</t>
        </is>
      </c>
      <c r="G2" s="6" t="inlineStr">
        <is>
          <t>Currency</t>
        </is>
      </c>
      <c r="H2" s="7" t="inlineStr">
        <is>
          <t>[CCY]</t>
        </is>
      </c>
    </row>
    <row r="3" ht="15" customHeight="1">
      <c r="A3" s="6" t="inlineStr">
        <is>
          <t>Performance Materiality</t>
        </is>
      </c>
      <c r="B3" s="7" t="inlineStr">
        <is>
          <t>[PM]</t>
        </is>
      </c>
      <c r="D3" s="6" t="inlineStr">
        <is>
          <t>Testing Threshold (SUM)</t>
        </is>
      </c>
      <c r="E3" s="7" t="inlineStr">
        <is>
          <t>[Threshold]</t>
        </is>
      </c>
    </row>
    <row r="4" ht="27.75" customHeight="1">
      <c r="A4" s="8" t="inlineStr">
        <is>
          <t>Purpose:</t>
        </is>
      </c>
      <c r="B4" s="4" t="inlineStr">
        <is>
          <t>Test construction-in-progress additions/transfers in and transfers from CIP to in-service PPE; confirm capitalization, placed-in-service date, and that no depreciation is recorded on CIP.</t>
        </is>
      </c>
    </row>
    <row r="5" ht="27.75" customHeight="1">
      <c r="A5" s="8" t="inlineStr">
        <is>
          <t>Scope:</t>
        </is>
      </c>
      <c r="B5" s="4" t="inlineStr">
        <is>
          <t>CIP project schedule: costs incurred in the year and transfers out to in-service asset classes.</t>
        </is>
      </c>
    </row>
    <row r="6" ht="15" customHeight="1">
      <c r="A6" s="8" t="inlineStr">
        <is>
          <t>Assertions:</t>
        </is>
      </c>
      <c r="B6" s="4" t="inlineStr">
        <is>
          <t>Existence; Accuracy; Classification; Completeness; Cutoff</t>
        </is>
      </c>
    </row>
    <row r="7" ht="15" customHeight="1">
      <c r="A7" s="17" t="inlineStr">
        <is>
          <t>A. CIP additions / transfers in</t>
        </is>
      </c>
    </row>
    <row r="8" ht="25.5" customHeight="1">
      <c r="A8" s="9" t="inlineStr">
        <is>
          <t>Project</t>
        </is>
      </c>
      <c r="B8" s="9" t="inlineStr">
        <is>
          <t>Description</t>
        </is>
      </c>
      <c r="C8" s="9" t="inlineStr">
        <is>
          <t>Cost incurred (CY)</t>
        </is>
      </c>
      <c r="D8" s="9" t="inlineStr">
        <is>
          <t>Vendor / PO ref</t>
        </is>
      </c>
      <c r="E8" s="9" t="inlineStr">
        <is>
          <t>Capitalizable? (Y/N)</t>
        </is>
      </c>
      <c r="F8" s="9" t="inlineStr">
        <is>
          <t>Interest capitalized</t>
        </is>
      </c>
      <c r="G8" s="9" t="inlineStr">
        <is>
          <t>Comments</t>
        </is>
      </c>
    </row>
    <row r="9" ht="15" customHeight="1">
      <c r="C9" s="12" t="inlineStr">
        <is>
          <t>V</t>
        </is>
      </c>
    </row>
    <row r="10" ht="15" customHeight="1">
      <c r="A10" s="10" t="n"/>
      <c r="B10" s="10" t="n"/>
      <c r="C10" s="13" t="n"/>
      <c r="D10" s="10" t="n"/>
      <c r="E10" s="10" t="n"/>
      <c r="F10" s="13" t="n"/>
      <c r="G10" s="10" t="n"/>
    </row>
    <row r="11" ht="15" customHeight="1">
      <c r="A11" s="10" t="n"/>
      <c r="B11" s="10" t="n"/>
      <c r="C11" s="13" t="n"/>
      <c r="D11" s="10" t="n"/>
      <c r="E11" s="10" t="n"/>
      <c r="F11" s="13" t="n"/>
      <c r="G11" s="10" t="n"/>
    </row>
    <row r="12" ht="15" customHeight="1">
      <c r="A12" s="10" t="n"/>
      <c r="B12" s="10" t="n"/>
      <c r="C12" s="13" t="n"/>
      <c r="D12" s="10" t="n"/>
      <c r="E12" s="10" t="n"/>
      <c r="F12" s="13" t="n"/>
      <c r="G12" s="10" t="n"/>
    </row>
    <row r="13" ht="15" customHeight="1">
      <c r="A13" s="10" t="n"/>
      <c r="B13" s="10" t="n"/>
      <c r="C13" s="13" t="n"/>
      <c r="D13" s="10" t="n"/>
      <c r="E13" s="10" t="n"/>
      <c r="F13" s="13" t="n"/>
      <c r="G13" s="10" t="n"/>
    </row>
    <row r="14" ht="15" customHeight="1">
      <c r="A14" s="10" t="n"/>
      <c r="B14" s="10" t="n"/>
      <c r="C14" s="13" t="n"/>
      <c r="D14" s="10" t="n"/>
      <c r="E14" s="10" t="n"/>
      <c r="F14" s="13" t="n"/>
      <c r="G14" s="10" t="n"/>
    </row>
    <row r="15" ht="15" customHeight="1">
      <c r="A15" s="10" t="n"/>
      <c r="B15" s="10" t="n"/>
      <c r="C15" s="13" t="n"/>
      <c r="D15" s="10" t="n"/>
      <c r="E15" s="10" t="n"/>
      <c r="F15" s="13" t="n"/>
      <c r="G15" s="10" t="n"/>
    </row>
    <row r="16" ht="15" customHeight="1">
      <c r="A16" s="10" t="n"/>
      <c r="B16" s="10" t="n"/>
      <c r="C16" s="13" t="n"/>
      <c r="D16" s="10" t="n"/>
      <c r="E16" s="10" t="n"/>
      <c r="F16" s="13" t="n"/>
      <c r="G16" s="10" t="n"/>
    </row>
    <row r="17" ht="15" customHeight="1">
      <c r="A17" s="10" t="n"/>
      <c r="B17" s="10" t="n"/>
      <c r="C17" s="13" t="n"/>
      <c r="D17" s="10" t="n"/>
      <c r="E17" s="10" t="n"/>
      <c r="F17" s="13" t="n"/>
      <c r="G17" s="10" t="n"/>
    </row>
    <row r="18" ht="15" customHeight="1">
      <c r="A18" s="15" t="inlineStr">
        <is>
          <t>Total CIP additions</t>
        </is>
      </c>
      <c r="B18" s="15" t="n"/>
      <c r="C18" s="15" t="n"/>
      <c r="D18" s="15" t="n"/>
      <c r="E18" s="16">
        <f>SUM(E10:E17)</f>
        <v/>
      </c>
      <c r="F18" s="15" t="n"/>
      <c r="G18" s="15" t="n"/>
      <c r="H18" s="27" t="n"/>
    </row>
    <row r="19"/>
    <row r="20" ht="15" customHeight="1">
      <c r="A20" s="17" t="inlineStr">
        <is>
          <t>B. Transfers from CIP to in-service PPE</t>
        </is>
      </c>
    </row>
    <row r="21" ht="25.5" customHeight="1">
      <c r="A21" s="9" t="inlineStr">
        <is>
          <t>Project</t>
        </is>
      </c>
      <c r="B21" s="9" t="inlineStr">
        <is>
          <t>Amount transferred out</t>
        </is>
      </c>
      <c r="C21" s="9" t="inlineStr">
        <is>
          <t>To asset class</t>
        </is>
      </c>
      <c r="D21" s="9" t="inlineStr">
        <is>
          <t>Placed-in-service date</t>
        </is>
      </c>
      <c r="E21" s="9" t="inlineStr">
        <is>
          <t>Depreciation commenced? (Y/N)</t>
        </is>
      </c>
      <c r="F21" s="9" t="n"/>
      <c r="G21" s="9" t="inlineStr">
        <is>
          <t>Comments</t>
        </is>
      </c>
    </row>
    <row r="22" ht="15" customHeight="1">
      <c r="A22" s="10" t="n"/>
      <c r="B22" s="13" t="n"/>
      <c r="C22" s="10" t="n"/>
      <c r="D22" s="10" t="n"/>
      <c r="E22" s="10" t="n"/>
      <c r="F22" s="10" t="n"/>
      <c r="G22" s="10" t="n"/>
    </row>
    <row r="23" ht="15" customHeight="1">
      <c r="A23" s="10" t="n"/>
      <c r="B23" s="13" t="n"/>
      <c r="C23" s="10" t="n"/>
      <c r="D23" s="10" t="n"/>
      <c r="E23" s="10" t="n"/>
      <c r="F23" s="10" t="n"/>
      <c r="G23" s="10" t="n"/>
    </row>
    <row r="24" ht="15" customHeight="1">
      <c r="A24" s="10" t="n"/>
      <c r="B24" s="13" t="n"/>
      <c r="C24" s="10" t="n"/>
      <c r="D24" s="10" t="n"/>
      <c r="E24" s="10" t="n"/>
      <c r="F24" s="10" t="n"/>
      <c r="G24" s="10" t="n"/>
    </row>
    <row r="25" ht="15" customHeight="1">
      <c r="A25" s="10" t="n"/>
      <c r="B25" s="13" t="n"/>
      <c r="C25" s="10" t="n"/>
      <c r="D25" s="10" t="n"/>
      <c r="E25" s="10" t="n"/>
      <c r="F25" s="10" t="n"/>
      <c r="G25" s="10" t="n"/>
    </row>
    <row r="26" ht="15" customHeight="1">
      <c r="A26" s="10" t="n"/>
      <c r="B26" s="13" t="n"/>
      <c r="C26" s="10" t="n"/>
      <c r="D26" s="10" t="n"/>
      <c r="E26" s="10" t="n"/>
      <c r="F26" s="10" t="n"/>
      <c r="G26" s="10" t="n"/>
    </row>
    <row r="27" ht="15" customHeight="1">
      <c r="A27" s="10" t="n"/>
      <c r="B27" s="13" t="n"/>
      <c r="C27" s="10" t="n"/>
      <c r="D27" s="10" t="n"/>
      <c r="E27" s="10" t="n"/>
      <c r="F27" s="10" t="n"/>
      <c r="G27" s="10" t="n"/>
    </row>
    <row r="28" ht="15" customHeight="1">
      <c r="A28" s="10" t="n"/>
      <c r="B28" s="13" t="n"/>
      <c r="C28" s="10" t="n"/>
      <c r="D28" s="10" t="n"/>
      <c r="E28" s="10" t="n"/>
      <c r="F28" s="10" t="n"/>
      <c r="G28" s="10" t="n"/>
    </row>
    <row r="29" ht="15" customHeight="1">
      <c r="A29" s="10" t="n"/>
      <c r="B29" s="13" t="n"/>
      <c r="C29" s="10" t="n"/>
      <c r="D29" s="10" t="n"/>
      <c r="E29" s="10" t="n"/>
      <c r="F29" s="10" t="n"/>
      <c r="G29" s="10" t="n"/>
    </row>
    <row r="30" ht="15" customHeight="1">
      <c r="A30" s="15" t="inlineStr">
        <is>
          <t>Total transfers out</t>
        </is>
      </c>
      <c r="B30" s="16">
        <f>SUM(B22:B29)</f>
        <v/>
      </c>
      <c r="C30" s="15" t="n"/>
      <c r="D30" s="15" t="n"/>
      <c r="E30" s="15" t="n"/>
      <c r="F30" s="15" t="n"/>
      <c r="G30" s="15" t="n"/>
    </row>
    <row r="31"/>
    <row r="32" ht="25.5" customHeight="1">
      <c r="A32" s="2" t="inlineStr">
        <is>
          <t>CIP is not depreciated. Vouch CIP additions and evaluate capitalizability (including capitalized interest). On transfer, confirm the placed-in-service date and that depreciation commenced when the asset was ready for use. Total transfers out flow to the Transfers column on &lt;.2&gt;.</t>
        </is>
      </c>
    </row>
    <row r="33"/>
    <row r="34" ht="15" customHeight="1">
      <c r="A34" s="8" t="inlineStr">
        <is>
          <t>TM Legends</t>
        </is>
      </c>
    </row>
    <row r="35" ht="15" customHeight="1">
      <c r="A35" s="11" t="inlineStr">
        <is>
          <t>TB</t>
        </is>
      </c>
      <c r="B35" s="10" t="inlineStr">
        <is>
          <t>Agreed to trial balance</t>
        </is>
      </c>
      <c r="C35" s="28" t="n"/>
      <c r="D35" s="29" t="n"/>
    </row>
    <row r="36" ht="15" customHeight="1">
      <c r="A36" s="11" t="inlineStr">
        <is>
          <t>GL</t>
        </is>
      </c>
      <c r="B36" s="10" t="inlineStr">
        <is>
          <t>Agreed to general ledger</t>
        </is>
      </c>
      <c r="C36" s="28" t="n"/>
      <c r="D36" s="29" t="n"/>
    </row>
    <row r="37" ht="15" customHeight="1">
      <c r="A37" s="11" t="inlineStr">
        <is>
          <t>CF</t>
        </is>
      </c>
      <c r="B37" s="10" t="inlineStr">
        <is>
          <t>Confirmed with third party</t>
        </is>
      </c>
      <c r="C37" s="28" t="n"/>
      <c r="D37" s="29" t="n"/>
    </row>
    <row r="38" ht="15" customHeight="1">
      <c r="A38" s="11" t="inlineStr">
        <is>
          <t>V</t>
        </is>
      </c>
      <c r="B38" s="10" t="inlineStr">
        <is>
          <t>Vouched to source document</t>
        </is>
      </c>
      <c r="C38" s="28" t="n"/>
      <c r="D38" s="29" t="n"/>
    </row>
    <row r="39" ht="15" customHeight="1">
      <c r="A39" s="11" t="inlineStr">
        <is>
          <t>SR</t>
        </is>
      </c>
      <c r="B39" s="10" t="inlineStr">
        <is>
          <t>Agreed to subsequent bank-cleared receipt</t>
        </is>
      </c>
      <c r="C39" s="28" t="n"/>
      <c r="D39" s="29" t="n"/>
    </row>
    <row r="40" ht="15" customHeight="1">
      <c r="A40" s="11" t="inlineStr">
        <is>
          <t>R</t>
        </is>
      </c>
      <c r="B40" s="10" t="inlineStr">
        <is>
          <t>Recalculated independently</t>
        </is>
      </c>
      <c r="C40" s="28" t="n"/>
      <c r="D40" s="29" t="n"/>
    </row>
    <row r="41" ht="15" customHeight="1">
      <c r="A41" s="11" t="inlineStr">
        <is>
          <t>F</t>
        </is>
      </c>
      <c r="B41" s="10" t="inlineStr">
        <is>
          <t>Footed / cross-cast</t>
        </is>
      </c>
      <c r="C41" s="28" t="n"/>
      <c r="D41" s="29" t="n"/>
    </row>
    <row r="42" ht="15" customHeight="1">
      <c r="A42" s="11" t="inlineStr">
        <is>
          <t>T</t>
        </is>
      </c>
      <c r="B42" s="10" t="inlineStr">
        <is>
          <t>Traced to downstream record</t>
        </is>
      </c>
      <c r="C42" s="28" t="n"/>
      <c r="D42" s="29" t="n"/>
    </row>
    <row r="43" ht="15" customHeight="1">
      <c r="A43" s="11" t="inlineStr">
        <is>
          <t>PBC</t>
        </is>
      </c>
      <c r="B43" s="10" t="inlineStr">
        <is>
          <t>Prepared by client</t>
        </is>
      </c>
      <c r="C43" s="28" t="n"/>
      <c r="D43" s="29" t="n"/>
    </row>
    <row r="44"/>
    <row r="45" ht="25.5" customHeight="1">
      <c r="A45" s="2" t="inlineStr">
        <is>
          <t>Before sign-off complete Library Procedures 11-12 (CIP additions and transfers to in-service).</t>
        </is>
      </c>
    </row>
  </sheetData>
  <mergeCells count="14">
    <mergeCell ref="A32:G32"/>
    <mergeCell ref="B42:D42"/>
    <mergeCell ref="B36:D36"/>
    <mergeCell ref="B37:D37"/>
    <mergeCell ref="B5:G5"/>
    <mergeCell ref="B41:D41"/>
    <mergeCell ref="B35:D35"/>
    <mergeCell ref="B40:D40"/>
    <mergeCell ref="B4:G4"/>
    <mergeCell ref="B43:D43"/>
    <mergeCell ref="B39:D39"/>
    <mergeCell ref="B38:D38"/>
    <mergeCell ref="A45:G45"/>
    <mergeCell ref="B6:G6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43"/>
  <sheetViews>
    <sheetView showGridLines="0" zoomScale="85" zoomScaleNormal="100" workbookViewId="0">
      <selection activeCell="A1" sqref="A1:A1048576"/>
    </sheetView>
  </sheetViews>
  <sheetFormatPr baseColWidth="8" defaultColWidth="8.6328125" defaultRowHeight="14.5"/>
  <cols>
    <col width="24" customWidth="1" min="1" max="1"/>
    <col width="18" customWidth="1" min="2" max="2"/>
    <col width="13" customWidth="1" min="3" max="3"/>
    <col width="18" customWidth="1" min="4" max="4"/>
    <col width="12" customWidth="1" min="5" max="5"/>
    <col width="18" customWidth="1" min="6" max="8"/>
    <col width="14" customWidth="1" min="9" max="9"/>
    <col width="24" customWidth="1" min="10" max="10"/>
  </cols>
  <sheetData>
    <row r="1" ht="17.25" customHeight="1">
      <c r="A1" s="5" t="inlineStr">
        <is>
          <t>Depreciation Recompute &amp; Analytics</t>
        </is>
      </c>
    </row>
    <row r="2" ht="15" customHeight="1">
      <c r="A2" s="6" t="inlineStr">
        <is>
          <t>Client / Entity</t>
        </is>
      </c>
      <c r="B2" s="7" t="inlineStr">
        <is>
          <t>[Client / Entity]</t>
        </is>
      </c>
      <c r="D2" s="6" t="inlineStr">
        <is>
          <t>Year-End</t>
        </is>
      </c>
      <c r="E2" s="7" t="inlineStr">
        <is>
          <t>[YYYY-MM-DD]</t>
        </is>
      </c>
      <c r="G2" s="6" t="inlineStr">
        <is>
          <t>Currency</t>
        </is>
      </c>
      <c r="H2" s="7" t="inlineStr">
        <is>
          <t>[CCY]</t>
        </is>
      </c>
    </row>
    <row r="3" ht="15" customHeight="1">
      <c r="A3" s="6" t="inlineStr">
        <is>
          <t>Performance Materiality</t>
        </is>
      </c>
      <c r="B3" s="7" t="inlineStr">
        <is>
          <t>[PM]</t>
        </is>
      </c>
      <c r="D3" s="6" t="inlineStr">
        <is>
          <t>Testing Threshold (SUM)</t>
        </is>
      </c>
      <c r="E3" s="7" t="inlineStr">
        <is>
          <t>[Threshold]</t>
        </is>
      </c>
    </row>
    <row r="4" ht="27.75" customHeight="1">
      <c r="A4" s="8" t="inlineStr">
        <is>
          <t>Purpose:</t>
        </is>
      </c>
      <c r="B4" s="4" t="inlineStr">
        <is>
          <t>Independently recompute depreciation by class and reconcile to the recorded expense; evaluate useful lives and perform depreciation analytics.</t>
        </is>
      </c>
    </row>
    <row r="5" ht="27.75" customHeight="1">
      <c r="A5" s="8" t="inlineStr">
        <is>
          <t>Scope:</t>
        </is>
      </c>
      <c r="B5" s="4" t="inlineStr">
        <is>
          <t>Depreciation by asset class using the depreciable base, useful life and partial-year convention; analytics over the period.</t>
        </is>
      </c>
    </row>
    <row r="6" ht="15" customHeight="1">
      <c r="A6" s="8" t="inlineStr">
        <is>
          <t>Assertions:</t>
        </is>
      </c>
      <c r="B6" s="4" t="inlineStr">
        <is>
          <t>Valuation &amp; Allocation; Accuracy</t>
        </is>
      </c>
    </row>
    <row r="7" ht="15" customHeight="1">
      <c r="A7" s="17" t="inlineStr">
        <is>
          <t>A. Depreciation recomputation by class</t>
        </is>
      </c>
    </row>
    <row r="8" ht="31.5" customHeight="1">
      <c r="A8" s="9" t="inlineStr">
        <is>
          <t>Asset Class</t>
        </is>
      </c>
      <c r="B8" s="9" t="inlineStr">
        <is>
          <t>Method</t>
        </is>
      </c>
      <c r="C8" s="9" t="inlineStr">
        <is>
          <t>Useful life (yrs)</t>
        </is>
      </c>
      <c r="D8" s="9" t="inlineStr">
        <is>
          <t>Depreciable base (cost − salvage)</t>
        </is>
      </c>
      <c r="E8" s="9" t="inlineStr">
        <is>
          <t>Annual rate</t>
        </is>
      </c>
      <c r="F8" s="9" t="inlineStr">
        <is>
          <t>Partial-year convention</t>
        </is>
      </c>
      <c r="G8" s="9" t="inlineStr">
        <is>
          <t>Recomputed depreciation</t>
        </is>
      </c>
      <c r="H8" s="9" t="inlineStr">
        <is>
          <t>Recorded depreciation</t>
        </is>
      </c>
      <c r="I8" s="9" t="inlineStr">
        <is>
          <t>Difference</t>
        </is>
      </c>
      <c r="J8" s="9" t="inlineStr">
        <is>
          <t>Comments</t>
        </is>
      </c>
    </row>
    <row r="9" ht="15" customHeight="1">
      <c r="G9" s="12" t="inlineStr">
        <is>
          <t>R</t>
        </is>
      </c>
      <c r="H9" s="12" t="inlineStr">
        <is>
          <t>TB</t>
        </is>
      </c>
    </row>
    <row r="10" ht="15" customHeight="1">
      <c r="A10" s="10" t="n"/>
      <c r="B10" s="10" t="n"/>
      <c r="C10" s="10" t="n"/>
      <c r="D10" s="13" t="n"/>
      <c r="E10" s="14">
        <f>IF(OR(C10="",C10=0),"",1/C10)</f>
        <v/>
      </c>
      <c r="F10" s="10" t="n"/>
      <c r="G10" s="13">
        <f>IF(OR(D10="",C10="",C10=0),"",D10/C10)</f>
        <v/>
      </c>
      <c r="H10" s="13" t="n"/>
      <c r="I10" s="13">
        <f>IF(OR(H10="",G10=""),"",H10-G10)</f>
        <v/>
      </c>
      <c r="J10" s="10" t="n"/>
    </row>
    <row r="11" ht="15" customHeight="1">
      <c r="A11" s="10" t="n"/>
      <c r="B11" s="10" t="n"/>
      <c r="C11" s="10" t="n"/>
      <c r="D11" s="13" t="n"/>
      <c r="E11" s="14">
        <f>IF(OR(C11="",C11=0),"",1/C11)</f>
        <v/>
      </c>
      <c r="F11" s="10" t="n"/>
      <c r="G11" s="13">
        <f>IF(OR(D11="",C11="",C11=0),"",D11/C11)</f>
        <v/>
      </c>
      <c r="H11" s="13" t="n"/>
      <c r="I11" s="13">
        <f>IF(OR(H11="",G11=""),"",H11-G11)</f>
        <v/>
      </c>
      <c r="J11" s="10" t="n"/>
    </row>
    <row r="12" ht="15" customHeight="1">
      <c r="A12" s="10" t="n"/>
      <c r="B12" s="10" t="n"/>
      <c r="C12" s="10" t="n"/>
      <c r="D12" s="13" t="n"/>
      <c r="E12" s="14">
        <f>IF(OR(C12="",C12=0),"",1/C12)</f>
        <v/>
      </c>
      <c r="F12" s="10" t="n"/>
      <c r="G12" s="13">
        <f>IF(OR(D12="",C12="",C12=0),"",D12/C12)</f>
        <v/>
      </c>
      <c r="H12" s="13" t="n"/>
      <c r="I12" s="13">
        <f>IF(OR(H12="",G12=""),"",H12-G12)</f>
        <v/>
      </c>
      <c r="J12" s="10" t="n"/>
    </row>
    <row r="13" ht="15" customHeight="1">
      <c r="A13" s="10" t="n"/>
      <c r="B13" s="10" t="n"/>
      <c r="C13" s="10" t="n"/>
      <c r="D13" s="13" t="n"/>
      <c r="E13" s="14">
        <f>IF(OR(C13="",C13=0),"",1/C13)</f>
        <v/>
      </c>
      <c r="F13" s="10" t="n"/>
      <c r="G13" s="13">
        <f>IF(OR(D13="",C13="",C13=0),"",D13/C13)</f>
        <v/>
      </c>
      <c r="H13" s="13" t="n"/>
      <c r="I13" s="13">
        <f>IF(OR(H13="",G13=""),"",H13-G13)</f>
        <v/>
      </c>
      <c r="J13" s="10" t="n"/>
    </row>
    <row r="14" ht="15" customHeight="1">
      <c r="A14" s="10" t="n"/>
      <c r="B14" s="10" t="n"/>
      <c r="C14" s="10" t="n"/>
      <c r="D14" s="13" t="n"/>
      <c r="E14" s="14">
        <f>IF(OR(C14="",C14=0),"",1/C14)</f>
        <v/>
      </c>
      <c r="F14" s="10" t="n"/>
      <c r="G14" s="13">
        <f>IF(OR(D14="",C14="",C14=0),"",D14/C14)</f>
        <v/>
      </c>
      <c r="H14" s="13" t="n"/>
      <c r="I14" s="13">
        <f>IF(OR(H14="",G14=""),"",H14-G14)</f>
        <v/>
      </c>
      <c r="J14" s="10" t="n"/>
    </row>
    <row r="15" ht="15" customHeight="1">
      <c r="A15" s="10" t="n"/>
      <c r="B15" s="10" t="n"/>
      <c r="C15" s="10" t="n"/>
      <c r="D15" s="13" t="n"/>
      <c r="E15" s="14">
        <f>IF(OR(C15="",C15=0),"",1/C15)</f>
        <v/>
      </c>
      <c r="F15" s="10" t="n"/>
      <c r="G15" s="13">
        <f>IF(OR(D15="",C15="",C15=0),"",D15/C15)</f>
        <v/>
      </c>
      <c r="H15" s="13" t="n"/>
      <c r="I15" s="13">
        <f>IF(OR(H15="",G15=""),"",H15-G15)</f>
        <v/>
      </c>
      <c r="J15" s="10" t="n"/>
    </row>
    <row r="16" ht="15" customHeight="1">
      <c r="A16" s="10" t="n"/>
      <c r="B16" s="10" t="n"/>
      <c r="C16" s="10" t="n"/>
      <c r="D16" s="13" t="n"/>
      <c r="E16" s="14">
        <f>IF(OR(C16="",C16=0),"",1/C16)</f>
        <v/>
      </c>
      <c r="F16" s="10" t="n"/>
      <c r="G16" s="13">
        <f>IF(OR(D16="",C16="",C16=0),"",D16/C16)</f>
        <v/>
      </c>
      <c r="H16" s="13" t="n"/>
      <c r="I16" s="13">
        <f>IF(OR(H16="",G16=""),"",H16-G16)</f>
        <v/>
      </c>
      <c r="J16" s="10" t="n"/>
    </row>
    <row r="17" ht="15" customHeight="1">
      <c r="A17" s="10" t="n"/>
      <c r="B17" s="10" t="n"/>
      <c r="C17" s="10" t="n"/>
      <c r="D17" s="13" t="n"/>
      <c r="E17" s="14">
        <f>IF(OR(C17="",C17=0),"",1/C17)</f>
        <v/>
      </c>
      <c r="F17" s="10" t="n"/>
      <c r="G17" s="13">
        <f>IF(OR(D17="",C17="",C17=0),"",D17/C17)</f>
        <v/>
      </c>
      <c r="H17" s="13" t="n"/>
      <c r="I17" s="13">
        <f>IF(OR(H17="",G17=""),"",H17-G17)</f>
        <v/>
      </c>
      <c r="J17" s="10" t="n"/>
    </row>
    <row r="18" ht="15" customHeight="1">
      <c r="A18" s="10" t="n"/>
      <c r="B18" s="10" t="n"/>
      <c r="C18" s="10" t="n"/>
      <c r="D18" s="13" t="n"/>
      <c r="E18" s="14">
        <f>IF(OR(C18="",C18=0),"",1/C18)</f>
        <v/>
      </c>
      <c r="F18" s="10" t="n"/>
      <c r="G18" s="13">
        <f>IF(OR(D18="",C18="",C18=0),"",D18/C18)</f>
        <v/>
      </c>
      <c r="H18" s="13" t="n"/>
      <c r="I18" s="13">
        <f>IF(OR(H18="",G18=""),"",H18-G18)</f>
        <v/>
      </c>
      <c r="J18" s="10" t="n"/>
    </row>
    <row r="19" ht="15" customHeight="1">
      <c r="A19" s="10" t="n"/>
      <c r="B19" s="10" t="n"/>
      <c r="C19" s="10" t="n"/>
      <c r="D19" s="13" t="n"/>
      <c r="E19" s="14">
        <f>IF(OR(C19="",C19=0),"",1/C19)</f>
        <v/>
      </c>
      <c r="F19" s="10" t="n"/>
      <c r="G19" s="13">
        <f>IF(OR(D19="",C19="",C19=0),"",D19/C19)</f>
        <v/>
      </c>
      <c r="H19" s="13" t="n"/>
      <c r="I19" s="13">
        <f>IF(OR(H19="",G19=""),"",H19-G19)</f>
        <v/>
      </c>
      <c r="J19" s="10" t="n"/>
    </row>
    <row r="20" ht="15" customHeight="1">
      <c r="A20" s="15" t="inlineStr">
        <is>
          <t>Total</t>
        </is>
      </c>
      <c r="B20" s="15" t="n"/>
      <c r="C20" s="15" t="n"/>
      <c r="D20" s="16">
        <f>SUM(D10:D19)</f>
        <v/>
      </c>
      <c r="E20" s="15" t="n"/>
      <c r="F20" s="15" t="n"/>
      <c r="G20" s="16">
        <f>SUM(G10:G19)</f>
        <v/>
      </c>
      <c r="H20" s="16">
        <f>SUM(H10:H19)</f>
        <v/>
      </c>
      <c r="I20" s="16">
        <f>SUM(I10:I19)</f>
        <v/>
      </c>
      <c r="J20" s="15" t="n"/>
    </row>
    <row r="21"/>
    <row r="22" ht="15" customHeight="1">
      <c r="A22" s="17" t="inlineStr">
        <is>
          <t>B. Analytics</t>
        </is>
      </c>
    </row>
    <row r="23" ht="18" customHeight="1">
      <c r="A23" s="9" t="inlineStr">
        <is>
          <t>Metric</t>
        </is>
      </c>
      <c r="B23" s="9" t="inlineStr">
        <is>
          <t>CY</t>
        </is>
      </c>
      <c r="C23" s="9" t="inlineStr">
        <is>
          <t>PY</t>
        </is>
      </c>
      <c r="D23" s="9" t="inlineStr">
        <is>
          <t>Change</t>
        </is>
      </c>
      <c r="E23" s="9" t="inlineStr">
        <is>
          <t>Note</t>
        </is>
      </c>
    </row>
    <row r="24" ht="15" customHeight="1">
      <c r="A24" s="10" t="inlineStr">
        <is>
          <t>Depreciation expense</t>
        </is>
      </c>
      <c r="B24" s="10" t="n"/>
      <c r="C24" s="10" t="n"/>
      <c r="D24" s="10">
        <f>IF(OR(B24="",C24=""),"",B24-C24)</f>
        <v/>
      </c>
      <c r="E24" s="10" t="n"/>
    </row>
    <row r="25" ht="15" customHeight="1">
      <c r="A25" s="10" t="inlineStr">
        <is>
          <t>Depreciation as % of gross cost</t>
        </is>
      </c>
      <c r="B25" s="10" t="n"/>
      <c r="C25" s="10" t="n"/>
      <c r="D25" s="10">
        <f>IF(OR(B25="",C25=""),"",B25-C25)</f>
        <v/>
      </c>
      <c r="E25" s="10" t="n"/>
    </row>
    <row r="26" ht="15" customHeight="1">
      <c r="A26" s="10" t="inlineStr">
        <is>
          <t>Accum. deprec. as % of gross cost</t>
        </is>
      </c>
      <c r="B26" s="10" t="n"/>
      <c r="C26" s="10" t="n"/>
      <c r="D26" s="10">
        <f>IF(OR(B26="",C26=""),"",B26-C26)</f>
        <v/>
      </c>
      <c r="E26" s="10" t="n"/>
    </row>
    <row r="27" ht="15" customHeight="1">
      <c r="A27" s="10" t="inlineStr">
        <is>
          <t>Average useful life (yrs)</t>
        </is>
      </c>
      <c r="B27" s="10" t="n"/>
      <c r="C27" s="10" t="n"/>
      <c r="D27" s="10">
        <f>IF(OR(B27="",C27=""),"",B27-C27)</f>
        <v/>
      </c>
      <c r="E27" s="10" t="n"/>
    </row>
    <row r="28" ht="15" customHeight="1">
      <c r="A28" s="10" t="inlineStr">
        <is>
          <t>Fully-depreciated assets still in use</t>
        </is>
      </c>
      <c r="B28" s="10" t="n"/>
      <c r="C28" s="10" t="n"/>
      <c r="D28" s="10">
        <f>IF(OR(B28="",C28=""),"",B28-C28)</f>
        <v/>
      </c>
      <c r="E28" s="10" t="n"/>
    </row>
    <row r="29"/>
    <row r="30" ht="25.5" customHeight="1">
      <c r="A30" s="2" t="inlineStr">
        <is>
          <t>Recomputation applies straight-line (base / useful life) as a baseline; adjust for the partial-year convention for additions/disposals and for other methods. Challenge a uniform useful life applied to dissimilar asset classes.</t>
        </is>
      </c>
    </row>
    <row r="31"/>
    <row r="32" ht="15" customHeight="1">
      <c r="A32" s="8" t="inlineStr">
        <is>
          <t>TM Legends</t>
        </is>
      </c>
    </row>
    <row r="33" ht="15" customHeight="1">
      <c r="A33" s="11" t="inlineStr">
        <is>
          <t>TB</t>
        </is>
      </c>
      <c r="B33" s="10" t="inlineStr">
        <is>
          <t>Agreed to trial balance</t>
        </is>
      </c>
      <c r="C33" s="28" t="n"/>
      <c r="D33" s="29" t="n"/>
    </row>
    <row r="34" ht="15" customHeight="1">
      <c r="A34" s="11" t="inlineStr">
        <is>
          <t>GL</t>
        </is>
      </c>
      <c r="B34" s="10" t="inlineStr">
        <is>
          <t>Agreed to general ledger</t>
        </is>
      </c>
      <c r="C34" s="28" t="n"/>
      <c r="D34" s="29" t="n"/>
    </row>
    <row r="35" ht="15" customHeight="1">
      <c r="A35" s="11" t="inlineStr">
        <is>
          <t>CF</t>
        </is>
      </c>
      <c r="B35" s="10" t="inlineStr">
        <is>
          <t>Confirmed with third party</t>
        </is>
      </c>
      <c r="C35" s="28" t="n"/>
      <c r="D35" s="29" t="n"/>
    </row>
    <row r="36" ht="15" customHeight="1">
      <c r="A36" s="11" t="inlineStr">
        <is>
          <t>V</t>
        </is>
      </c>
      <c r="B36" s="10" t="inlineStr">
        <is>
          <t>Vouched to source document</t>
        </is>
      </c>
      <c r="C36" s="28" t="n"/>
      <c r="D36" s="29" t="n"/>
    </row>
    <row r="37" ht="15" customHeight="1">
      <c r="A37" s="11" t="inlineStr">
        <is>
          <t>SR</t>
        </is>
      </c>
      <c r="B37" s="10" t="inlineStr">
        <is>
          <t>Agreed to subsequent bank-cleared receipt</t>
        </is>
      </c>
      <c r="C37" s="28" t="n"/>
      <c r="D37" s="29" t="n"/>
    </row>
    <row r="38" ht="15" customHeight="1">
      <c r="A38" s="11" t="inlineStr">
        <is>
          <t>R</t>
        </is>
      </c>
      <c r="B38" s="10" t="inlineStr">
        <is>
          <t>Recalculated independently</t>
        </is>
      </c>
      <c r="C38" s="28" t="n"/>
      <c r="D38" s="29" t="n"/>
    </row>
    <row r="39" ht="15" customHeight="1">
      <c r="A39" s="11" t="inlineStr">
        <is>
          <t>F</t>
        </is>
      </c>
      <c r="B39" s="10" t="inlineStr">
        <is>
          <t>Footed / cross-cast</t>
        </is>
      </c>
      <c r="C39" s="28" t="n"/>
      <c r="D39" s="29" t="n"/>
    </row>
    <row r="40" ht="15" customHeight="1">
      <c r="A40" s="11" t="inlineStr">
        <is>
          <t>T</t>
        </is>
      </c>
      <c r="B40" s="10" t="inlineStr">
        <is>
          <t>Traced to downstream record</t>
        </is>
      </c>
      <c r="C40" s="28" t="n"/>
      <c r="D40" s="29" t="n"/>
    </row>
    <row r="41" ht="15" customHeight="1">
      <c r="A41" s="11" t="inlineStr">
        <is>
          <t>PBC</t>
        </is>
      </c>
      <c r="B41" s="10" t="inlineStr">
        <is>
          <t>Prepared by client</t>
        </is>
      </c>
      <c r="C41" s="28" t="n"/>
      <c r="D41" s="29" t="n"/>
    </row>
    <row r="42"/>
    <row r="43" ht="25.5" customHeight="1">
      <c r="A43" s="2" t="inlineStr">
        <is>
          <t>Before sign-off complete Library Procedures 13-15 (recompute, useful-life reasonableness, analytics &amp; fully-depreciated).</t>
        </is>
      </c>
    </row>
  </sheetData>
  <mergeCells count="14">
    <mergeCell ref="B33:D33"/>
    <mergeCell ref="B36:D36"/>
    <mergeCell ref="B5:J5"/>
    <mergeCell ref="B37:D37"/>
    <mergeCell ref="B41:D41"/>
    <mergeCell ref="B35:D35"/>
    <mergeCell ref="A30:J30"/>
    <mergeCell ref="B40:D40"/>
    <mergeCell ref="B38:D38"/>
    <mergeCell ref="A43:J43"/>
    <mergeCell ref="B4:J4"/>
    <mergeCell ref="B39:D39"/>
    <mergeCell ref="B6:J6"/>
    <mergeCell ref="B34:D34"/>
  </mergeCells>
  <pageMargins left="0.3" right="0.3" top="0.4" bottom="0.4" header="0.2" footer="0.2"/>
  <pageSetup orientation="landscape" paperSize="1" fitToHeight="1" fitToWidth="1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showGridLines="0" zoomScale="85" zoomScaleNormal="100" workbookViewId="0">
      <selection activeCell="A4" sqref="A4"/>
    </sheetView>
  </sheetViews>
  <sheetFormatPr baseColWidth="8" defaultColWidth="8.6328125" defaultRowHeight="14.5"/>
  <cols>
    <col width="48" customWidth="1" min="1" max="1"/>
    <col width="14" customWidth="1" min="2" max="2"/>
    <col width="30" customWidth="1" min="3" max="3"/>
    <col width="22" customWidth="1" min="4" max="4"/>
    <col width="18" customWidth="1" min="5" max="5"/>
    <col width="26" customWidth="1" min="6" max="6"/>
  </cols>
  <sheetData>
    <row r="1" ht="17.25" customHeight="1">
      <c r="A1" s="5" t="inlineStr">
        <is>
          <t>Impairment — Triggering Events (ASC 360-10-35-21)</t>
        </is>
      </c>
    </row>
    <row r="2" ht="15" customHeight="1">
      <c r="A2" s="6" t="inlineStr">
        <is>
          <t>Client / Entity</t>
        </is>
      </c>
      <c r="B2" s="7" t="inlineStr">
        <is>
          <t>[Client / Entity]</t>
        </is>
      </c>
      <c r="D2" s="6" t="inlineStr">
        <is>
          <t>Year-End</t>
        </is>
      </c>
      <c r="E2" s="7" t="inlineStr">
        <is>
          <t>[YYYY-MM-DD]</t>
        </is>
      </c>
      <c r="G2" s="6" t="inlineStr">
        <is>
          <t>Currency</t>
        </is>
      </c>
      <c r="H2" s="7" t="inlineStr">
        <is>
          <t>[CCY]</t>
        </is>
      </c>
    </row>
    <row r="3" ht="15" customHeight="1">
      <c r="A3" s="6" t="inlineStr">
        <is>
          <t>Performance Materiality</t>
        </is>
      </c>
      <c r="B3" s="7" t="inlineStr">
        <is>
          <t>[PM]</t>
        </is>
      </c>
      <c r="D3" s="6" t="inlineStr">
        <is>
          <t>Testing Threshold (SUM)</t>
        </is>
      </c>
      <c r="E3" s="7" t="inlineStr">
        <is>
          <t>[Threshold]</t>
        </is>
      </c>
    </row>
    <row r="4" ht="27.75" customHeight="1">
      <c r="A4" s="25" t="inlineStr">
        <is>
          <t>Purpose:</t>
        </is>
      </c>
      <c r="B4" s="26" t="inlineStr">
        <is>
          <t>Evaluate whether any event or change in circumstances indicates the carrying amount of a long-lived asset (group) may not be recoverable.</t>
        </is>
      </c>
      <c r="C4" s="30" t="n"/>
      <c r="D4" s="30" t="n"/>
      <c r="E4" s="30" t="n"/>
      <c r="F4" s="31" t="n"/>
    </row>
    <row r="5" ht="15" customHeight="1">
      <c r="A5" s="25" t="inlineStr">
        <is>
          <t>Scope:</t>
        </is>
      </c>
      <c r="B5" s="26" t="inlineStr">
        <is>
          <t>All long-lived asset groups held and used; consider each impairment indicator.</t>
        </is>
      </c>
      <c r="C5" s="30" t="n"/>
      <c r="D5" s="30" t="n"/>
      <c r="E5" s="30" t="n"/>
      <c r="F5" s="31" t="n"/>
    </row>
    <row r="6" ht="15" customHeight="1">
      <c r="A6" s="25" t="inlineStr">
        <is>
          <t>Assertions:</t>
        </is>
      </c>
      <c r="B6" s="26" t="inlineStr">
        <is>
          <t>Valuation &amp; Allocation</t>
        </is>
      </c>
      <c r="C6" s="30" t="n"/>
      <c r="D6" s="30" t="n"/>
      <c r="E6" s="30" t="n"/>
      <c r="F6" s="31" t="n"/>
    </row>
    <row r="7" ht="27.75" customHeight="1">
      <c r="A7" s="24" t="inlineStr">
        <is>
          <t>Impairment indicator</t>
        </is>
      </c>
      <c r="B7" s="24" t="inlineStr">
        <is>
          <t>Present? (Y/N)</t>
        </is>
      </c>
      <c r="C7" s="24" t="inlineStr">
        <is>
          <t>Evidence / basis</t>
        </is>
      </c>
      <c r="D7" s="24" t="inlineStr">
        <is>
          <t>Asset(s) affected</t>
        </is>
      </c>
      <c r="E7" s="24" t="inlineStr">
        <is>
          <t>Recoverability test required? (Y/N)</t>
        </is>
      </c>
      <c r="F7" s="24" t="inlineStr">
        <is>
          <t>Comments</t>
        </is>
      </c>
    </row>
    <row r="8" ht="27.75" customHeight="1">
      <c r="A8" s="19" t="inlineStr">
        <is>
          <t>Significant decrease in market price of a long-lived asset (group)</t>
        </is>
      </c>
      <c r="B8" s="10" t="n"/>
      <c r="C8" s="10" t="n"/>
      <c r="D8" s="10" t="n"/>
      <c r="E8" s="10" t="n"/>
      <c r="F8" s="10" t="n"/>
    </row>
    <row r="9" ht="27.75" customHeight="1">
      <c r="A9" s="19" t="inlineStr">
        <is>
          <t>Significant adverse change in the extent/manner of use or physical condition</t>
        </is>
      </c>
      <c r="B9" s="10" t="n"/>
      <c r="C9" s="10" t="n"/>
      <c r="D9" s="10" t="n"/>
      <c r="E9" s="10" t="n"/>
      <c r="F9" s="10" t="n"/>
    </row>
    <row r="10" ht="27.75" customHeight="1">
      <c r="A10" s="19" t="inlineStr">
        <is>
          <t>Significant adverse change in legal factors or business climate / regulation</t>
        </is>
      </c>
      <c r="B10" s="10" t="n"/>
      <c r="C10" s="10" t="n"/>
      <c r="D10" s="10" t="n"/>
      <c r="E10" s="10" t="n"/>
      <c r="F10" s="10" t="n"/>
    </row>
    <row r="11" ht="27.75" customHeight="1">
      <c r="A11" s="19" t="inlineStr">
        <is>
          <t>Accumulated costs significantly exceed the amount originally expected (e.g. CIP overrun)</t>
        </is>
      </c>
      <c r="B11" s="10" t="n"/>
      <c r="C11" s="10" t="n"/>
      <c r="D11" s="10" t="n"/>
      <c r="E11" s="10" t="n"/>
      <c r="F11" s="10" t="n"/>
    </row>
    <row r="12" ht="27.75" customHeight="1">
      <c r="A12" s="19" t="inlineStr">
        <is>
          <t>Current-period operating loss or negative cash flows combined with a history / forecast of losses</t>
        </is>
      </c>
      <c r="B12" s="10" t="n"/>
      <c r="C12" s="10" t="n"/>
      <c r="D12" s="10" t="n"/>
      <c r="E12" s="10" t="n"/>
      <c r="F12" s="10" t="n"/>
    </row>
    <row r="13" ht="27.75" customHeight="1">
      <c r="A13" s="19" t="inlineStr">
        <is>
          <t>Expectation that the asset (group) will be sold or disposed of significantly before the end of its useful life</t>
        </is>
      </c>
      <c r="B13" s="10" t="n"/>
      <c r="C13" s="10" t="n"/>
      <c r="D13" s="10" t="n"/>
      <c r="E13" s="10" t="n"/>
      <c r="F13" s="10" t="n"/>
    </row>
    <row r="14" ht="15" customHeight="1">
      <c r="A14" s="15" t="inlineStr">
        <is>
          <t>Conclusion — triggering event exists? (Y/N)</t>
        </is>
      </c>
      <c r="B14" s="15" t="n"/>
      <c r="C14" s="15" t="n"/>
      <c r="D14" s="15" t="n"/>
      <c r="E14" s="15" t="n"/>
      <c r="F14" s="15" t="n"/>
    </row>
    <row r="15"/>
    <row r="16" ht="25.5" customHeight="1">
      <c r="A16" s="2" t="inlineStr">
        <is>
          <t>If any indicator is present, a recoverability test is required for the affected asset group — proceed to &lt;.7&gt; Impairment — Held &amp; Used.</t>
        </is>
      </c>
    </row>
    <row r="17"/>
    <row r="18" ht="15" customHeight="1">
      <c r="A18" s="8" t="inlineStr">
        <is>
          <t>TM Legends</t>
        </is>
      </c>
    </row>
    <row r="19" ht="15" customHeight="1">
      <c r="A19" s="11" t="inlineStr">
        <is>
          <t>TB</t>
        </is>
      </c>
      <c r="B19" s="10" t="inlineStr">
        <is>
          <t>Agreed to trial balance</t>
        </is>
      </c>
      <c r="C19" s="28" t="n"/>
      <c r="D19" s="29" t="n"/>
    </row>
    <row r="20" ht="15" customHeight="1">
      <c r="A20" s="11" t="inlineStr">
        <is>
          <t>GL</t>
        </is>
      </c>
      <c r="B20" s="10" t="inlineStr">
        <is>
          <t>Agreed to general ledger</t>
        </is>
      </c>
      <c r="C20" s="28" t="n"/>
      <c r="D20" s="29" t="n"/>
    </row>
    <row r="21" ht="15" customHeight="1">
      <c r="A21" s="11" t="inlineStr">
        <is>
          <t>CF</t>
        </is>
      </c>
      <c r="B21" s="10" t="inlineStr">
        <is>
          <t>Confirmed with third party</t>
        </is>
      </c>
      <c r="C21" s="28" t="n"/>
      <c r="D21" s="29" t="n"/>
    </row>
    <row r="22" ht="15" customHeight="1">
      <c r="A22" s="11" t="inlineStr">
        <is>
          <t>V</t>
        </is>
      </c>
      <c r="B22" s="10" t="inlineStr">
        <is>
          <t>Vouched to source document</t>
        </is>
      </c>
      <c r="C22" s="28" t="n"/>
      <c r="D22" s="29" t="n"/>
    </row>
    <row r="23" ht="15" customHeight="1">
      <c r="A23" s="11" t="inlineStr">
        <is>
          <t>SR</t>
        </is>
      </c>
      <c r="B23" s="10" t="inlineStr">
        <is>
          <t>Agreed to subsequent bank-cleared receipt</t>
        </is>
      </c>
      <c r="C23" s="28" t="n"/>
      <c r="D23" s="29" t="n"/>
    </row>
    <row r="24" ht="15" customHeight="1">
      <c r="A24" s="11" t="inlineStr">
        <is>
          <t>R</t>
        </is>
      </c>
      <c r="B24" s="10" t="inlineStr">
        <is>
          <t>Recalculated independently</t>
        </is>
      </c>
      <c r="C24" s="28" t="n"/>
      <c r="D24" s="29" t="n"/>
    </row>
    <row r="25" ht="15" customHeight="1">
      <c r="A25" s="11" t="inlineStr">
        <is>
          <t>F</t>
        </is>
      </c>
      <c r="B25" s="10" t="inlineStr">
        <is>
          <t>Footed / cross-cast</t>
        </is>
      </c>
      <c r="C25" s="28" t="n"/>
      <c r="D25" s="29" t="n"/>
    </row>
    <row r="26" ht="15" customHeight="1">
      <c r="A26" s="11" t="inlineStr">
        <is>
          <t>T</t>
        </is>
      </c>
      <c r="B26" s="10" t="inlineStr">
        <is>
          <t>Traced to downstream record</t>
        </is>
      </c>
      <c r="C26" s="28" t="n"/>
      <c r="D26" s="29" t="n"/>
    </row>
    <row r="27" ht="15" customHeight="1">
      <c r="A27" s="11" t="inlineStr">
        <is>
          <t>PBC</t>
        </is>
      </c>
      <c r="B27" s="10" t="inlineStr">
        <is>
          <t>Prepared by client</t>
        </is>
      </c>
      <c r="C27" s="28" t="n"/>
      <c r="D27" s="29" t="n"/>
    </row>
    <row r="28"/>
    <row r="29" ht="25.5" customHeight="1">
      <c r="A29" s="2" t="inlineStr">
        <is>
          <t>Before sign-off complete Library Procedure 16 (evaluate triggering events / impairment indicators).</t>
        </is>
      </c>
    </row>
  </sheetData>
  <mergeCells count="14">
    <mergeCell ref="B4:F4"/>
    <mergeCell ref="A16:F16"/>
    <mergeCell ref="B19:D19"/>
    <mergeCell ref="B6:F6"/>
    <mergeCell ref="B23:D23"/>
    <mergeCell ref="B22:D22"/>
    <mergeCell ref="B5:F5"/>
    <mergeCell ref="B26:D26"/>
    <mergeCell ref="B27:D27"/>
    <mergeCell ref="B21:D21"/>
    <mergeCell ref="B25:D25"/>
    <mergeCell ref="A29:F29"/>
    <mergeCell ref="B24:D24"/>
    <mergeCell ref="B20:D20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H32"/>
  <sheetViews>
    <sheetView showGridLines="0" zoomScale="85" zoomScaleNormal="100" workbookViewId="0">
      <selection activeCell="A4" sqref="A4:H6"/>
    </sheetView>
  </sheetViews>
  <sheetFormatPr baseColWidth="8" defaultColWidth="8.6328125" defaultRowHeight="14.5"/>
  <cols>
    <col width="26" customWidth="1" min="1" max="1"/>
    <col width="18" customWidth="1" min="2" max="2"/>
    <col width="24" customWidth="1" min="3" max="3"/>
    <col width="16" customWidth="1" min="4" max="4"/>
    <col width="18" customWidth="1" min="5" max="6"/>
    <col width="28" customWidth="1" min="7" max="7"/>
    <col width="24" customWidth="1" min="8" max="8"/>
  </cols>
  <sheetData>
    <row r="1" ht="17.25" customHeight="1">
      <c r="A1" s="5" t="inlineStr">
        <is>
          <t>Impairment — Assets Held &amp; Used (ASC 360)</t>
        </is>
      </c>
    </row>
    <row r="2" ht="15" customHeight="1">
      <c r="A2" s="6" t="inlineStr">
        <is>
          <t>Client / Entity</t>
        </is>
      </c>
      <c r="B2" s="7" t="inlineStr">
        <is>
          <t>[Client / Entity]</t>
        </is>
      </c>
      <c r="D2" s="6" t="inlineStr">
        <is>
          <t>Year-End</t>
        </is>
      </c>
      <c r="E2" s="7" t="inlineStr">
        <is>
          <t>[YYYY-MM-DD]</t>
        </is>
      </c>
      <c r="G2" s="6" t="inlineStr">
        <is>
          <t>Currency</t>
        </is>
      </c>
      <c r="H2" s="7" t="inlineStr">
        <is>
          <t>[CCY]</t>
        </is>
      </c>
    </row>
    <row r="3" ht="15" customHeight="1">
      <c r="A3" s="6" t="inlineStr">
        <is>
          <t>Performance Materiality</t>
        </is>
      </c>
      <c r="B3" s="7" t="inlineStr">
        <is>
          <t>[PM]</t>
        </is>
      </c>
      <c r="D3" s="6" t="inlineStr">
        <is>
          <t>Testing Threshold (SUM)</t>
        </is>
      </c>
      <c r="E3" s="7" t="inlineStr">
        <is>
          <t>[Threshold]</t>
        </is>
      </c>
    </row>
    <row r="4" ht="27.75" customHeight="1">
      <c r="A4" s="25" t="inlineStr">
        <is>
          <t>Purpose:</t>
        </is>
      </c>
      <c r="B4" s="26" t="inlineStr">
        <is>
          <t>For asset groups with a triggering event, perform the recoverability test (undiscounted cash flows vs carrying amount) and measure any impairment loss.</t>
        </is>
      </c>
      <c r="C4" s="30" t="n"/>
      <c r="D4" s="30" t="n"/>
      <c r="E4" s="30" t="n"/>
      <c r="F4" s="30" t="n"/>
      <c r="G4" s="30" t="n"/>
      <c r="H4" s="31" t="n"/>
    </row>
    <row r="5" ht="15" customHeight="1">
      <c r="A5" s="25" t="inlineStr">
        <is>
          <t>Scope:</t>
        </is>
      </c>
      <c r="B5" s="26" t="inlineStr">
        <is>
          <t>Asset groups identified on &lt;.6&gt; as having an impairment indicator.</t>
        </is>
      </c>
      <c r="C5" s="30" t="n"/>
      <c r="D5" s="30" t="n"/>
      <c r="E5" s="30" t="n"/>
      <c r="F5" s="30" t="n"/>
      <c r="G5" s="30" t="n"/>
      <c r="H5" s="31" t="n"/>
    </row>
    <row r="6" ht="15" customHeight="1">
      <c r="A6" s="25" t="inlineStr">
        <is>
          <t>Assertions:</t>
        </is>
      </c>
      <c r="B6" s="26" t="inlineStr">
        <is>
          <t>Valuation &amp; Allocation</t>
        </is>
      </c>
      <c r="C6" s="30" t="n"/>
      <c r="D6" s="30" t="n"/>
      <c r="E6" s="30" t="n"/>
      <c r="F6" s="30" t="n"/>
      <c r="G6" s="30" t="n"/>
      <c r="H6" s="31" t="n"/>
    </row>
    <row r="7" ht="39.75" customHeight="1">
      <c r="A7" s="24" t="inlineStr">
        <is>
          <t>Asset group</t>
        </is>
      </c>
      <c r="B7" s="24" t="inlineStr">
        <is>
          <t>Carrying amount</t>
        </is>
      </c>
      <c r="C7" s="24" t="inlineStr">
        <is>
          <t>Sum of undiscounted future cash flows</t>
        </is>
      </c>
      <c r="D7" s="24" t="inlineStr">
        <is>
          <t>Recoverable? (Y/N)</t>
        </is>
      </c>
      <c r="E7" s="24" t="inlineStr">
        <is>
          <t>Fair value (if not recoverable)</t>
        </is>
      </c>
      <c r="F7" s="24" t="inlineStr">
        <is>
          <t>Impairment loss</t>
        </is>
      </c>
      <c r="G7" s="24" t="inlineStr">
        <is>
          <t>Basis / key assumptions</t>
        </is>
      </c>
      <c r="H7" s="24" t="inlineStr">
        <is>
          <t>Conclusion</t>
        </is>
      </c>
    </row>
    <row r="8" ht="15" customHeight="1">
      <c r="B8" s="12" t="inlineStr">
        <is>
          <t>TB</t>
        </is>
      </c>
      <c r="F8" s="12" t="inlineStr">
        <is>
          <t>R</t>
        </is>
      </c>
    </row>
    <row r="9" ht="15" customHeight="1">
      <c r="A9" s="10" t="n"/>
      <c r="B9" s="13" t="n"/>
      <c r="C9" s="13" t="n"/>
      <c r="D9" s="10">
        <f>IF(OR(B9="",C9=""),"",IF(C9&gt;=B9,"Yes","No"))</f>
        <v/>
      </c>
      <c r="E9" s="13" t="n"/>
      <c r="F9" s="13">
        <f>IF(AND(D9="No",E9&lt;&gt;""),MAX(0,B9-E9),0)</f>
        <v/>
      </c>
      <c r="G9" s="10" t="n"/>
      <c r="H9" s="10" t="n"/>
    </row>
    <row r="10" ht="15" customHeight="1">
      <c r="A10" s="10" t="n"/>
      <c r="B10" s="13" t="n"/>
      <c r="C10" s="13" t="n"/>
      <c r="D10" s="10">
        <f>IF(OR(B10="",C10=""),"",IF(C10&gt;=B10,"Yes","No"))</f>
        <v/>
      </c>
      <c r="E10" s="13" t="n"/>
      <c r="F10" s="13">
        <f>IF(AND(D10="No",E10&lt;&gt;""),MAX(0,B10-E10),0)</f>
        <v/>
      </c>
      <c r="G10" s="10" t="n"/>
      <c r="H10" s="10" t="n"/>
    </row>
    <row r="11" ht="15" customHeight="1">
      <c r="A11" s="10" t="n"/>
      <c r="B11" s="13" t="n"/>
      <c r="C11" s="13" t="n"/>
      <c r="D11" s="10">
        <f>IF(OR(B11="",C11=""),"",IF(C11&gt;=B11,"Yes","No"))</f>
        <v/>
      </c>
      <c r="E11" s="13" t="n"/>
      <c r="F11" s="13">
        <f>IF(AND(D11="No",E11&lt;&gt;""),MAX(0,B11-E11),0)</f>
        <v/>
      </c>
      <c r="G11" s="10" t="n"/>
      <c r="H11" s="10" t="n"/>
    </row>
    <row r="12" ht="15" customHeight="1">
      <c r="A12" s="10" t="n"/>
      <c r="B12" s="13" t="n"/>
      <c r="C12" s="13" t="n"/>
      <c r="D12" s="10">
        <f>IF(OR(B12="",C12=""),"",IF(C12&gt;=B12,"Yes","No"))</f>
        <v/>
      </c>
      <c r="E12" s="13" t="n"/>
      <c r="F12" s="13">
        <f>IF(AND(D12="No",E12&lt;&gt;""),MAX(0,B12-E12),0)</f>
        <v/>
      </c>
      <c r="G12" s="10" t="n"/>
      <c r="H12" s="10" t="n"/>
    </row>
    <row r="13" ht="15" customHeight="1">
      <c r="A13" s="10" t="n"/>
      <c r="B13" s="13" t="n"/>
      <c r="C13" s="13" t="n"/>
      <c r="D13" s="10">
        <f>IF(OR(B13="",C13=""),"",IF(C13&gt;=B13,"Yes","No"))</f>
        <v/>
      </c>
      <c r="E13" s="13" t="n"/>
      <c r="F13" s="13">
        <f>IF(AND(D13="No",E13&lt;&gt;""),MAX(0,B13-E13),0)</f>
        <v/>
      </c>
      <c r="G13" s="10" t="n"/>
      <c r="H13" s="10" t="n"/>
    </row>
    <row r="14" ht="15" customHeight="1">
      <c r="A14" s="10" t="n"/>
      <c r="B14" s="13" t="n"/>
      <c r="C14" s="13" t="n"/>
      <c r="D14" s="10">
        <f>IF(OR(B14="",C14=""),"",IF(C14&gt;=B14,"Yes","No"))</f>
        <v/>
      </c>
      <c r="E14" s="13" t="n"/>
      <c r="F14" s="13">
        <f>IF(AND(D14="No",E14&lt;&gt;""),MAX(0,B14-E14),0)</f>
        <v/>
      </c>
      <c r="G14" s="10" t="n"/>
      <c r="H14" s="10" t="n"/>
    </row>
    <row r="15" ht="15" customHeight="1">
      <c r="A15" s="10" t="n"/>
      <c r="B15" s="13" t="n"/>
      <c r="C15" s="13" t="n"/>
      <c r="D15" s="10">
        <f>IF(OR(B15="",C15=""),"",IF(C15&gt;=B15,"Yes","No"))</f>
        <v/>
      </c>
      <c r="E15" s="13" t="n"/>
      <c r="F15" s="13">
        <f>IF(AND(D15="No",E15&lt;&gt;""),MAX(0,B15-E15),0)</f>
        <v/>
      </c>
      <c r="G15" s="10" t="n"/>
      <c r="H15" s="10" t="n"/>
    </row>
    <row r="16" ht="15" customHeight="1">
      <c r="A16" s="10" t="n"/>
      <c r="B16" s="13" t="n"/>
      <c r="C16" s="13" t="n"/>
      <c r="D16" s="10">
        <f>IF(OR(B16="",C16=""),"",IF(C16&gt;=B16,"Yes","No"))</f>
        <v/>
      </c>
      <c r="E16" s="13" t="n"/>
      <c r="F16" s="13">
        <f>IF(AND(D16="No",E16&lt;&gt;""),MAX(0,B16-E16),0)</f>
        <v/>
      </c>
      <c r="G16" s="10" t="n"/>
      <c r="H16" s="10" t="n"/>
    </row>
    <row r="17" ht="15" customHeight="1">
      <c r="A17" s="15" t="inlineStr">
        <is>
          <t>Total impairment loss</t>
        </is>
      </c>
      <c r="B17" s="15" t="n"/>
      <c r="C17" s="15" t="n"/>
      <c r="D17" s="15" t="n"/>
      <c r="E17" s="15" t="n"/>
      <c r="F17" s="16">
        <f>SUM(F9:F16)</f>
        <v/>
      </c>
      <c r="G17" s="15" t="n"/>
      <c r="H17" s="15" t="n"/>
    </row>
    <row r="18"/>
    <row r="19" ht="25.5" customHeight="1">
      <c r="A19" s="2" t="inlineStr">
        <is>
          <t>Step 1 (recoverability): the asset group is NOT recoverable if its carrying amount exceeds the sum of undiscounted future cash flows. Step 2 (measurement): recognize an impairment loss equal to carrying amount less fair value; do not write the asset below fair value.</t>
        </is>
      </c>
    </row>
    <row r="20"/>
    <row r="21" ht="15" customHeight="1">
      <c r="A21" s="8" t="inlineStr">
        <is>
          <t>TM Legends</t>
        </is>
      </c>
    </row>
    <row r="22" ht="15" customHeight="1">
      <c r="A22" s="11" t="inlineStr">
        <is>
          <t>TB</t>
        </is>
      </c>
      <c r="B22" s="10" t="inlineStr">
        <is>
          <t>Agreed to trial balance</t>
        </is>
      </c>
      <c r="C22" s="28" t="n"/>
      <c r="D22" s="29" t="n"/>
    </row>
    <row r="23" ht="15" customHeight="1">
      <c r="A23" s="11" t="inlineStr">
        <is>
          <t>GL</t>
        </is>
      </c>
      <c r="B23" s="10" t="inlineStr">
        <is>
          <t>Agreed to general ledger</t>
        </is>
      </c>
      <c r="C23" s="28" t="n"/>
      <c r="D23" s="29" t="n"/>
    </row>
    <row r="24" ht="15" customHeight="1">
      <c r="A24" s="11" t="inlineStr">
        <is>
          <t>CF</t>
        </is>
      </c>
      <c r="B24" s="10" t="inlineStr">
        <is>
          <t>Confirmed with third party</t>
        </is>
      </c>
      <c r="C24" s="28" t="n"/>
      <c r="D24" s="29" t="n"/>
    </row>
    <row r="25" ht="15" customHeight="1">
      <c r="A25" s="11" t="inlineStr">
        <is>
          <t>V</t>
        </is>
      </c>
      <c r="B25" s="10" t="inlineStr">
        <is>
          <t>Vouched to source document</t>
        </is>
      </c>
      <c r="C25" s="28" t="n"/>
      <c r="D25" s="29" t="n"/>
    </row>
    <row r="26" ht="15" customHeight="1">
      <c r="A26" s="11" t="inlineStr">
        <is>
          <t>SR</t>
        </is>
      </c>
      <c r="B26" s="10" t="inlineStr">
        <is>
          <t>Agreed to subsequent bank-cleared receipt</t>
        </is>
      </c>
      <c r="C26" s="28" t="n"/>
      <c r="D26" s="29" t="n"/>
    </row>
    <row r="27" ht="15" customHeight="1">
      <c r="A27" s="11" t="inlineStr">
        <is>
          <t>R</t>
        </is>
      </c>
      <c r="B27" s="10" t="inlineStr">
        <is>
          <t>Recalculated independently</t>
        </is>
      </c>
      <c r="C27" s="28" t="n"/>
      <c r="D27" s="29" t="n"/>
    </row>
    <row r="28" ht="15" customHeight="1">
      <c r="A28" s="11" t="inlineStr">
        <is>
          <t>F</t>
        </is>
      </c>
      <c r="B28" s="10" t="inlineStr">
        <is>
          <t>Footed / cross-cast</t>
        </is>
      </c>
      <c r="C28" s="28" t="n"/>
      <c r="D28" s="29" t="n"/>
    </row>
    <row r="29" ht="15" customHeight="1">
      <c r="A29" s="11" t="inlineStr">
        <is>
          <t>T</t>
        </is>
      </c>
      <c r="B29" s="10" t="inlineStr">
        <is>
          <t>Traced to downstream record</t>
        </is>
      </c>
      <c r="C29" s="28" t="n"/>
      <c r="D29" s="29" t="n"/>
    </row>
    <row r="30" ht="15" customHeight="1">
      <c r="A30" s="11" t="inlineStr">
        <is>
          <t>PBC</t>
        </is>
      </c>
      <c r="B30" s="10" t="inlineStr">
        <is>
          <t>Prepared by client</t>
        </is>
      </c>
      <c r="C30" s="28" t="n"/>
      <c r="D30" s="29" t="n"/>
    </row>
    <row r="31"/>
    <row r="32" ht="25.5" customHeight="1">
      <c r="A32" s="2" t="inlineStr">
        <is>
          <t>Before sign-off complete Library Procedures 17-18 (recoverability test and impairment measurement).</t>
        </is>
      </c>
    </row>
  </sheetData>
  <mergeCells count="14">
    <mergeCell ref="B28:D28"/>
    <mergeCell ref="B23:D23"/>
    <mergeCell ref="B4:H4"/>
    <mergeCell ref="B22:D22"/>
    <mergeCell ref="B25:D25"/>
    <mergeCell ref="B26:D26"/>
    <mergeCell ref="B27:D27"/>
    <mergeCell ref="B6:H6"/>
    <mergeCell ref="A19:H19"/>
    <mergeCell ref="B30:D30"/>
    <mergeCell ref="B29:D29"/>
    <mergeCell ref="A32:H32"/>
    <mergeCell ref="B5:H5"/>
    <mergeCell ref="B24:D24"/>
  </mergeCells>
  <pageMargins left="0.3" right="0.3" top="0.4" bottom="0.4" header="0.2" footer="0.2"/>
  <pageSetup orientation="portrait" paperSize="1" fitToHeight="1" fitToWidth="1" horizontalDpi="300" verticalDpi="300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zoomScale="85" zoomScaleNormal="100" workbookViewId="0">
      <selection activeCell="D8" sqref="D8"/>
    </sheetView>
  </sheetViews>
  <sheetFormatPr baseColWidth="8" defaultColWidth="8.6328125" defaultRowHeight="14.5"/>
  <cols>
    <col width="36" customWidth="1" min="1" max="1"/>
    <col width="18" customWidth="1" min="2" max="3"/>
    <col width="14" customWidth="1" min="4" max="4"/>
    <col width="32" customWidth="1" min="5" max="5"/>
  </cols>
  <sheetData>
    <row r="1" ht="17.25" customHeight="1">
      <c r="A1" s="5" t="inlineStr">
        <is>
          <t>Presentation &amp; Disclosures</t>
        </is>
      </c>
    </row>
    <row r="2" ht="15" customHeight="1">
      <c r="A2" s="6" t="inlineStr">
        <is>
          <t>Client / Entity</t>
        </is>
      </c>
      <c r="B2" s="7" t="inlineStr">
        <is>
          <t>[Client / Entity]</t>
        </is>
      </c>
      <c r="D2" s="6" t="inlineStr">
        <is>
          <t>Year-End</t>
        </is>
      </c>
      <c r="E2" s="7" t="inlineStr">
        <is>
          <t>[YYYY-MM-DD]</t>
        </is>
      </c>
      <c r="G2" s="6" t="inlineStr">
        <is>
          <t>Currency</t>
        </is>
      </c>
      <c r="H2" s="7" t="inlineStr">
        <is>
          <t>[CCY]</t>
        </is>
      </c>
    </row>
    <row r="3" ht="15" customHeight="1">
      <c r="A3" s="6" t="inlineStr">
        <is>
          <t>Performance Materiality</t>
        </is>
      </c>
      <c r="B3" s="7" t="inlineStr">
        <is>
          <t>[PM]</t>
        </is>
      </c>
      <c r="D3" s="6" t="inlineStr">
        <is>
          <t>Testing Threshold (SUM)</t>
        </is>
      </c>
      <c r="E3" s="7" t="inlineStr">
        <is>
          <t>[Threshold]</t>
        </is>
      </c>
    </row>
    <row r="4" ht="27.75" customHeight="1">
      <c r="A4" s="25" t="inlineStr">
        <is>
          <t>Purpose:</t>
        </is>
      </c>
      <c r="B4" s="26" t="inlineStr">
        <is>
          <t>Evaluate depreciation-method and useful-life disclosures and other PPE presentation and disclosure matters.</t>
        </is>
      </c>
      <c r="C4" s="30" t="n"/>
      <c r="D4" s="30" t="n"/>
      <c r="E4" s="31" t="n"/>
    </row>
    <row r="5" ht="15" customHeight="1">
      <c r="A5" s="25" t="inlineStr">
        <is>
          <t>Scope:</t>
        </is>
      </c>
      <c r="B5" s="26" t="inlineStr">
        <is>
          <t>Depreciation policy by class and PPE disclosure areas.</t>
        </is>
      </c>
      <c r="C5" s="30" t="n"/>
      <c r="D5" s="30" t="n"/>
      <c r="E5" s="31" t="n"/>
    </row>
    <row r="6" ht="15" customHeight="1">
      <c r="A6" s="25" t="inlineStr">
        <is>
          <t>Assertions:</t>
        </is>
      </c>
      <c r="B6" s="26" t="inlineStr">
        <is>
          <t>Presentation &amp; Disclosure; Classification</t>
        </is>
      </c>
      <c r="C6" s="30" t="n"/>
      <c r="D6" s="30" t="n"/>
      <c r="E6" s="31" t="n"/>
    </row>
    <row r="7" ht="15" customHeight="1">
      <c r="A7" s="17" t="inlineStr">
        <is>
          <t>A. Depreciation methods &amp; useful lives by class</t>
        </is>
      </c>
    </row>
    <row r="8" ht="22" customHeight="1">
      <c r="A8" s="9" t="inlineStr">
        <is>
          <t>Asset Class</t>
        </is>
      </c>
      <c r="B8" s="9" t="inlineStr">
        <is>
          <t>Method</t>
        </is>
      </c>
      <c r="C8" s="9" t="inlineStr">
        <is>
          <t>Useful life range</t>
        </is>
      </c>
      <c r="D8" s="9" t="inlineStr">
        <is>
          <t>Consistent w/ PY? (Y/N)</t>
        </is>
      </c>
      <c r="E8" s="9" t="inlineStr">
        <is>
          <t>Comments</t>
        </is>
      </c>
    </row>
    <row r="9" ht="15" customHeight="1">
      <c r="A9" s="10" t="n"/>
      <c r="B9" s="10" t="n"/>
      <c r="C9" s="10" t="n"/>
      <c r="D9" s="10" t="n"/>
      <c r="E9" s="10" t="n"/>
    </row>
    <row r="10" ht="15" customHeight="1">
      <c r="A10" s="10" t="n"/>
      <c r="B10" s="10" t="n"/>
      <c r="C10" s="10" t="n"/>
      <c r="D10" s="10" t="n"/>
      <c r="E10" s="10" t="n"/>
    </row>
    <row r="11" ht="15" customHeight="1">
      <c r="A11" s="10" t="n"/>
      <c r="B11" s="10" t="n"/>
      <c r="C11" s="10" t="n"/>
      <c r="D11" s="10" t="n"/>
      <c r="E11" s="10" t="n"/>
    </row>
    <row r="12" ht="15" customHeight="1">
      <c r="A12" s="10" t="n"/>
      <c r="B12" s="10" t="n"/>
      <c r="C12" s="10" t="n"/>
      <c r="D12" s="10" t="n"/>
      <c r="E12" s="10" t="n"/>
    </row>
    <row r="13" ht="15" customHeight="1">
      <c r="A13" s="10" t="n"/>
      <c r="B13" s="10" t="n"/>
      <c r="C13" s="10" t="n"/>
      <c r="D13" s="10" t="n"/>
      <c r="E13" s="10" t="n"/>
    </row>
    <row r="14" ht="15" customHeight="1">
      <c r="A14" s="10" t="n"/>
      <c r="B14" s="10" t="n"/>
      <c r="C14" s="10" t="n"/>
      <c r="D14" s="10" t="n"/>
      <c r="E14" s="10" t="n"/>
    </row>
    <row r="15" ht="15" customHeight="1">
      <c r="A15" s="10" t="n"/>
      <c r="B15" s="10" t="n"/>
      <c r="C15" s="10" t="n"/>
      <c r="D15" s="10" t="n"/>
      <c r="E15" s="10" t="n"/>
    </row>
    <row r="16" ht="15" customHeight="1">
      <c r="A16" s="17" t="inlineStr">
        <is>
          <t>B. Disclosure matters</t>
        </is>
      </c>
    </row>
    <row r="17" ht="18" customHeight="1">
      <c r="A17" s="9" t="inlineStr">
        <is>
          <t>Area</t>
        </is>
      </c>
      <c r="B17" s="9" t="inlineStr">
        <is>
          <t>Relevant? (Y/N)</t>
        </is>
      </c>
      <c r="C17" s="9" t="inlineStr">
        <is>
          <t>Support / source</t>
        </is>
      </c>
      <c r="D17" s="9" t="inlineStr">
        <is>
          <t>Conclusion</t>
        </is>
      </c>
      <c r="E17" s="9" t="inlineStr">
        <is>
          <t>Comments</t>
        </is>
      </c>
    </row>
    <row r="18" ht="15" customHeight="1">
      <c r="A18" s="10" t="inlineStr">
        <is>
          <t>Fully-depreciated assets still in use</t>
        </is>
      </c>
      <c r="B18" s="10" t="n"/>
      <c r="C18" s="10" t="n"/>
      <c r="D18" s="10" t="n"/>
      <c r="E18" s="10" t="n"/>
    </row>
    <row r="19" ht="15" customHeight="1">
      <c r="A19" s="10" t="inlineStr">
        <is>
          <t>Idle / held-for-sale assets (ASC 360-10-45)</t>
        </is>
      </c>
      <c r="B19" s="10" t="n"/>
      <c r="C19" s="10" t="n"/>
      <c r="D19" s="10" t="n"/>
      <c r="E19" s="10" t="n"/>
    </row>
    <row r="20" ht="15" customHeight="1">
      <c r="A20" s="10" t="inlineStr">
        <is>
          <t>Pledged assets / liens (title &amp; collateral)</t>
        </is>
      </c>
      <c r="B20" s="10" t="n"/>
      <c r="C20" s="10" t="n"/>
      <c r="D20" s="10" t="n"/>
      <c r="E20" s="10" t="n"/>
    </row>
    <row r="21" ht="15" customHeight="1">
      <c r="A21" s="10" t="inlineStr">
        <is>
          <t>Capital commitments / purchase obligations</t>
        </is>
      </c>
      <c r="B21" s="10" t="n"/>
      <c r="C21" s="10" t="n"/>
      <c r="D21" s="10" t="n"/>
      <c r="E21" s="10" t="n"/>
    </row>
    <row r="22" ht="15" customHeight="1">
      <c r="A22" s="10" t="inlineStr">
        <is>
          <t>Gains/losses on disposal presentation</t>
        </is>
      </c>
      <c r="B22" s="10" t="n"/>
      <c r="C22" s="10" t="n"/>
      <c r="D22" s="10" t="n"/>
      <c r="E22" s="10" t="n"/>
    </row>
    <row r="23" ht="15" customHeight="1">
      <c r="A23" s="10" t="inlineStr">
        <is>
          <t>Depreciation expense classification</t>
        </is>
      </c>
      <c r="B23" s="10" t="n"/>
      <c r="C23" s="10" t="n"/>
      <c r="D23" s="10" t="n"/>
      <c r="E23" s="10" t="n"/>
    </row>
    <row r="24"/>
    <row r="25" ht="15" customHeight="1">
      <c r="A25" s="8" t="inlineStr">
        <is>
          <t>TM Legends</t>
        </is>
      </c>
    </row>
    <row r="26" ht="15" customHeight="1">
      <c r="A26" s="11" t="inlineStr">
        <is>
          <t>TB</t>
        </is>
      </c>
      <c r="B26" s="10" t="inlineStr">
        <is>
          <t>Agreed to trial balance</t>
        </is>
      </c>
      <c r="C26" s="28" t="n"/>
      <c r="D26" s="29" t="n"/>
    </row>
    <row r="27" ht="15" customHeight="1">
      <c r="A27" s="11" t="inlineStr">
        <is>
          <t>GL</t>
        </is>
      </c>
      <c r="B27" s="10" t="inlineStr">
        <is>
          <t>Agreed to general ledger</t>
        </is>
      </c>
      <c r="C27" s="28" t="n"/>
      <c r="D27" s="29" t="n"/>
    </row>
    <row r="28" ht="15" customHeight="1">
      <c r="A28" s="11" t="inlineStr">
        <is>
          <t>CF</t>
        </is>
      </c>
      <c r="B28" s="10" t="inlineStr">
        <is>
          <t>Confirmed with third party</t>
        </is>
      </c>
      <c r="C28" s="28" t="n"/>
      <c r="D28" s="29" t="n"/>
    </row>
    <row r="29" ht="15" customHeight="1">
      <c r="A29" s="11" t="inlineStr">
        <is>
          <t>V</t>
        </is>
      </c>
      <c r="B29" s="10" t="inlineStr">
        <is>
          <t>Vouched to source document</t>
        </is>
      </c>
      <c r="C29" s="28" t="n"/>
      <c r="D29" s="29" t="n"/>
    </row>
    <row r="30" ht="15" customHeight="1">
      <c r="A30" s="11" t="inlineStr">
        <is>
          <t>SR</t>
        </is>
      </c>
      <c r="B30" s="10" t="inlineStr">
        <is>
          <t>Agreed to subsequent bank-cleared receipt</t>
        </is>
      </c>
      <c r="C30" s="28" t="n"/>
      <c r="D30" s="29" t="n"/>
    </row>
    <row r="31" ht="15" customHeight="1">
      <c r="A31" s="11" t="inlineStr">
        <is>
          <t>R</t>
        </is>
      </c>
      <c r="B31" s="10" t="inlineStr">
        <is>
          <t>Recalculated independently</t>
        </is>
      </c>
      <c r="C31" s="28" t="n"/>
      <c r="D31" s="29" t="n"/>
    </row>
    <row r="32" ht="15" customHeight="1">
      <c r="A32" s="11" t="inlineStr">
        <is>
          <t>F</t>
        </is>
      </c>
      <c r="B32" s="10" t="inlineStr">
        <is>
          <t>Footed / cross-cast</t>
        </is>
      </c>
      <c r="C32" s="28" t="n"/>
      <c r="D32" s="29" t="n"/>
    </row>
    <row r="33" ht="15" customHeight="1">
      <c r="A33" s="11" t="inlineStr">
        <is>
          <t>T</t>
        </is>
      </c>
      <c r="B33" s="10" t="inlineStr">
        <is>
          <t>Traced to downstream record</t>
        </is>
      </c>
      <c r="C33" s="28" t="n"/>
      <c r="D33" s="29" t="n"/>
    </row>
    <row r="34" ht="15" customHeight="1">
      <c r="A34" s="11" t="inlineStr">
        <is>
          <t>PBC</t>
        </is>
      </c>
      <c r="B34" s="10" t="inlineStr">
        <is>
          <t>Prepared by client</t>
        </is>
      </c>
      <c r="C34" s="28" t="n"/>
      <c r="D34" s="29" t="n"/>
    </row>
    <row r="35"/>
    <row r="36" ht="25.5" customHeight="1">
      <c r="A36" s="2" t="inlineStr">
        <is>
          <t>Before sign-off complete Library Procedures 19-20 (depreciation disclosures; PPE presentation &amp; disclosure).</t>
        </is>
      </c>
    </row>
  </sheetData>
  <mergeCells count="13">
    <mergeCell ref="B33:D33"/>
    <mergeCell ref="B28:D28"/>
    <mergeCell ref="B4:E4"/>
    <mergeCell ref="B31:D31"/>
    <mergeCell ref="B32:D32"/>
    <mergeCell ref="B6:E6"/>
    <mergeCell ref="B26:D26"/>
    <mergeCell ref="B27:D27"/>
    <mergeCell ref="B30:D30"/>
    <mergeCell ref="A36:E36"/>
    <mergeCell ref="B5:E5"/>
    <mergeCell ref="B29:D29"/>
    <mergeCell ref="B34:D34"/>
  </mergeCells>
  <pageMargins left="0.3" right="0.3" top="0.4" bottom="0.4" header="0.2" footer="0.2"/>
  <pageSetup orientation="portrait" paperSize="1" fitToHeight="1" fitToWidth="1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2026-07-01T10:26:19Z</dcterms:created>
  <dcterms:modified xmlns:dcterms="http://purl.org/dc/terms/" xmlns:xsi="http://www.w3.org/2001/XMLSchema-instance" xsi:type="dcterms:W3CDTF">2026-07-01T10:36:07Z</dcterms:modified>
  <cp:revision>0</cp:revision>
</cp:coreProperties>
</file>