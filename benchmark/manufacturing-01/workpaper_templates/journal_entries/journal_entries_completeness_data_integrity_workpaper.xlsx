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</sheets>
  <definedNames>
    <definedName name="_xlnm.Print_Area" localSheetId="0">'Library Procedures'!$A$1:$F$22</definedName>
    <definedName name="_xlnm.Print_Area" localSheetId="1">'&lt;.0&gt; Source Index'!$A$1:$H$32</definedName>
    <definedName name="_xlnm.Print_Area" localSheetId="2">'&lt;.1&gt; Scope &amp; Data Integrity'!$A$1:$H$63</definedName>
    <definedName name="_xlnm.Print_Area" localSheetId="3">'&lt;.2&gt; Completeness Rollforward'!$A$1:$K$75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tabSelected="1" zoomScale="85" zoomScaleNormal="100" workbookViewId="0">
      <selection activeCell="A1" sqref="A1"/>
    </sheetView>
  </sheetViews>
  <sheetFormatPr baseColWidth="8" defaultColWidth="8.6328125" defaultRowHeight="14.5"/>
  <cols>
    <col width="7.36328125" customWidth="1" min="1" max="1"/>
    <col width="102" customWidth="1" min="2" max="2"/>
    <col width="30" customWidth="1" min="3" max="3"/>
    <col width="13" customWidth="1" min="4" max="4"/>
    <col width="15" customWidth="1" min="5" max="5"/>
    <col width="12" customWidth="1" min="6" max="6"/>
  </cols>
  <sheetData>
    <row r="1" ht="17.5" customHeight="1">
      <c r="A1" s="5" t="inlineStr">
        <is>
          <t>Journal Entries (Completeness &amp; Data Integrity) — Library of Audit Procedures</t>
        </is>
      </c>
    </row>
    <row r="2">
      <c r="A2" s="7" t="inlineStr">
        <is>
          <t>Client / Entity: Whitmore Products Company</t>
        </is>
      </c>
    </row>
    <row r="3">
      <c r="A3" s="7" t="inlineStr">
        <is>
          <t>Prepared by: Audit Senior 8606 (assigned)      Reviewed by: Audit Manager A1DC (assigned)</t>
        </is>
      </c>
    </row>
    <row r="4" ht="25.5" customHeight="1">
      <c r="A4" s="2" t="inlineStr">
        <is>
          <t>Tick each procedure when complete; enter the W/P reference, performed-by initials and date. Work through ALL applicable procedures before concluding.</t>
        </is>
      </c>
    </row>
    <row r="5"/>
    <row r="6" ht="19.5" customHeight="1">
      <c r="A6" s="27" t="inlineStr">
        <is>
          <t>Done</t>
        </is>
      </c>
      <c r="B6" s="28" t="inlineStr">
        <is>
          <t>Procedure</t>
        </is>
      </c>
      <c r="C6" s="28" t="inlineStr">
        <is>
          <t>Assertion(s)</t>
        </is>
      </c>
      <c r="D6" s="27" t="inlineStr">
        <is>
          <t>W/P Ref</t>
        </is>
      </c>
      <c r="E6" s="27" t="inlineStr">
        <is>
          <t>Performed by</t>
        </is>
      </c>
      <c r="F6" s="27" t="inlineStr">
        <is>
          <t>Date</t>
        </is>
      </c>
    </row>
    <row r="7">
      <c r="A7" s="1" t="inlineStr">
        <is>
          <t>&lt;.0&gt; Source Index</t>
        </is>
      </c>
      <c r="B7" s="38" t="n"/>
      <c r="C7" s="38" t="n"/>
      <c r="D7" s="38" t="n"/>
      <c r="E7" s="38" t="n"/>
      <c r="F7" s="39" t="n"/>
    </row>
    <row r="8" ht="39" customHeight="1">
      <c r="A8" s="32" t="n"/>
      <c r="B8" s="18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C8" s="18" t="inlineStr">
        <is>
          <t>Completeness</t>
        </is>
      </c>
      <c r="D8" s="19" t="inlineStr">
        <is>
          <t>&lt;.0&gt;</t>
        </is>
      </c>
      <c r="E8" s="32" t="n"/>
      <c r="F8" s="32" t="n"/>
    </row>
    <row r="9">
      <c r="A9" s="1" t="inlineStr">
        <is>
          <t>&lt;.1&gt; Scope &amp; Data Integrity</t>
        </is>
      </c>
      <c r="B9" s="38" t="n"/>
      <c r="C9" s="38" t="n"/>
      <c r="D9" s="38" t="n"/>
      <c r="E9" s="38" t="n"/>
      <c r="F9" s="39" t="n"/>
    </row>
    <row r="10" ht="25.5" customHeight="1">
      <c r="A10" s="32" t="n"/>
      <c r="B10" s="18" t="inlineStr">
        <is>
          <t>2. Identify every JE / GL system, ledger and business unit in scope and document the extraction (date, report, parameters, who ran it).</t>
        </is>
      </c>
      <c r="C10" s="18" t="inlineStr">
        <is>
          <t>Completeness</t>
        </is>
      </c>
      <c r="D10" s="19" t="inlineStr">
        <is>
          <t>&lt;.1&gt;</t>
        </is>
      </c>
      <c r="E10" s="32" t="n"/>
      <c r="F10" s="32" t="n"/>
    </row>
    <row r="11" ht="25.5" customHeight="1">
      <c r="A11" s="32" t="n"/>
      <c r="B11" s="18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C11" s="18" t="inlineStr">
        <is>
          <t>Completeness; Accuracy</t>
        </is>
      </c>
      <c r="D11" s="19" t="inlineStr">
        <is>
          <t>&lt;.1&gt;</t>
        </is>
      </c>
      <c r="E11" s="32" t="n"/>
      <c r="F11" s="32" t="n"/>
    </row>
    <row r="12" ht="39" customHeight="1">
      <c r="A12" s="32" t="n"/>
      <c r="B12" s="18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C12" s="18" t="inlineStr">
        <is>
          <t>Accuracy; Completeness</t>
        </is>
      </c>
      <c r="D12" s="19" t="inlineStr">
        <is>
          <t>&lt;.1&gt;</t>
        </is>
      </c>
      <c r="E12" s="32" t="n"/>
      <c r="F12" s="32" t="n"/>
    </row>
    <row r="13" ht="39" customHeight="1">
      <c r="A13" s="32" t="n"/>
      <c r="B13" s="18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C13" s="18" t="inlineStr">
        <is>
          <t>Completeness</t>
        </is>
      </c>
      <c r="D13" s="19" t="inlineStr">
        <is>
          <t>&lt;.1&gt;</t>
        </is>
      </c>
      <c r="E13" s="32" t="n"/>
      <c r="F13" s="32" t="n"/>
    </row>
    <row r="14" ht="25.5" customHeight="1">
      <c r="A14" s="32" t="n"/>
      <c r="B14" s="18" t="inlineStr">
        <is>
          <t>6. Profile the population automated vs manual (system-generated, interface, manual standard, manual top-side) — the manual strata feed the risk-testing workpaper.</t>
        </is>
      </c>
      <c r="C14" s="18" t="inlineStr">
        <is>
          <t>Completeness; Classification</t>
        </is>
      </c>
      <c r="D14" s="19" t="inlineStr">
        <is>
          <t>&lt;.1&gt;</t>
        </is>
      </c>
      <c r="E14" s="32" t="n"/>
      <c r="F14" s="32" t="n"/>
    </row>
    <row r="15">
      <c r="A15" s="1" t="inlineStr">
        <is>
          <t>&lt;.2&gt; Completeness Rollforward</t>
        </is>
      </c>
      <c r="B15" s="38" t="n"/>
      <c r="C15" s="38" t="n"/>
      <c r="D15" s="38" t="n"/>
      <c r="E15" s="38" t="n"/>
      <c r="F15" s="39" t="n"/>
    </row>
    <row r="16" ht="39" customHeight="1">
      <c r="A16" s="32" t="n"/>
      <c r="B16" s="18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C16" s="18" t="inlineStr">
        <is>
          <t>Completeness; Accuracy</t>
        </is>
      </c>
      <c r="D16" s="19" t="inlineStr">
        <is>
          <t>&lt;.2&gt;</t>
        </is>
      </c>
      <c r="E16" s="32" t="n"/>
      <c r="F16" s="32" t="n"/>
    </row>
    <row r="17" ht="39" customHeight="1">
      <c r="A17" s="32" t="n"/>
      <c r="B17" s="18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C17" s="18" t="inlineStr">
        <is>
          <t>Completeness; Accuracy</t>
        </is>
      </c>
      <c r="D17" s="19" t="inlineStr">
        <is>
          <t>&lt;.2&gt;</t>
        </is>
      </c>
      <c r="E17" s="32" t="n"/>
      <c r="F17" s="32" t="n"/>
    </row>
    <row r="18">
      <c r="A18" s="1" t="inlineStr">
        <is>
          <t>Documentation &amp; Review</t>
        </is>
      </c>
      <c r="B18" s="38" t="n"/>
      <c r="C18" s="38" t="n"/>
      <c r="D18" s="38" t="n"/>
      <c r="E18" s="38" t="n"/>
      <c r="F18" s="39" t="n"/>
    </row>
    <row r="19" ht="15" customHeight="1">
      <c r="A19" s="32" t="n"/>
      <c r="B19" s="18" t="inlineStr">
        <is>
          <t>9. Cross-reference each procedure to its workpaper tab and link it to the relevant assertion(s).</t>
        </is>
      </c>
      <c r="C19" s="18" t="inlineStr">
        <is>
          <t>Overall</t>
        </is>
      </c>
      <c r="D19" s="19" t="inlineStr">
        <is>
          <t>&lt;.0&gt;-&lt;.2&gt;</t>
        </is>
      </c>
      <c r="E19" s="32" t="n"/>
      <c r="F19" s="32" t="n"/>
    </row>
    <row r="20" ht="25.5" customHeight="1">
      <c r="A20" s="32" t="n"/>
      <c r="B20" s="18" t="inlineStr">
        <is>
          <t>10. Verify control-count, integrity, rollforward and variance formulas foot correctly and the workbook source trail is complete.</t>
        </is>
      </c>
      <c r="C20" s="18" t="inlineStr">
        <is>
          <t>Accuracy; Completeness</t>
        </is>
      </c>
      <c r="D20" s="19" t="inlineStr">
        <is>
          <t>&lt;.1&gt;/&lt;.2&gt;</t>
        </is>
      </c>
      <c r="E20" s="32" t="n"/>
      <c r="F20" s="32" t="n"/>
    </row>
    <row r="21">
      <c r="A21" s="1" t="inlineStr">
        <is>
          <t>Conclusion</t>
        </is>
      </c>
      <c r="B21" s="38" t="n"/>
      <c r="C21" s="38" t="n"/>
      <c r="D21" s="38" t="n"/>
      <c r="E21" s="38" t="n"/>
      <c r="F21" s="39" t="n"/>
    </row>
    <row r="22" ht="39" customHeight="1">
      <c r="A22" s="32" t="n"/>
      <c r="B22" s="18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C22" s="18" t="inlineStr">
        <is>
          <t>Overall</t>
        </is>
      </c>
      <c r="D22" s="19" t="inlineStr">
        <is>
          <t>&lt;.0&gt;-&lt;.2&gt;</t>
        </is>
      </c>
      <c r="E22" s="32" t="n"/>
      <c r="F22" s="32" t="n"/>
    </row>
  </sheetData>
  <mergeCells count="6">
    <mergeCell ref="A9:F9"/>
    <mergeCell ref="A18:F18"/>
    <mergeCell ref="A4:F4"/>
    <mergeCell ref="A21:F21"/>
    <mergeCell ref="A15:F15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 ht="17.5" customHeight="1">
      <c r="A1" s="5" t="inlineStr">
        <is>
          <t>Source Index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8" t="inlineStr">
        <is>
          <t>Purpose:</t>
        </is>
      </c>
      <c r="B4" s="4" t="inlineStr">
        <is>
          <t>Map every journal-entry PBC source and its limitations so the evidence trail is complete and traceable.</t>
        </is>
      </c>
    </row>
    <row r="5" ht="42" customHeight="1">
      <c r="A5" s="8" t="inlineStr">
        <is>
          <t>Scope:</t>
        </is>
      </c>
      <c r="B5" s="4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</row>
    <row r="6" ht="15" customHeight="1">
      <c r="A6" s="8" t="inlineStr">
        <is>
          <t>Assertions:</t>
        </is>
      </c>
      <c r="B6" s="4" t="inlineStr">
        <is>
          <t>Completeness</t>
        </is>
      </c>
    </row>
    <row r="7" ht="30" customHeight="1">
      <c r="A7" s="9" t="inlineStr">
        <is>
          <t>Ref</t>
        </is>
      </c>
      <c r="B7" s="9" t="inlineStr">
        <is>
          <t>Source document / PBC</t>
        </is>
      </c>
      <c r="C7" s="9" t="inlineStr">
        <is>
          <t>Provided by</t>
        </is>
      </c>
      <c r="D7" s="9" t="inlineStr">
        <is>
          <t>Date received</t>
        </is>
      </c>
      <c r="E7" s="9" t="inlineStr">
        <is>
          <t>Format</t>
        </is>
      </c>
      <c r="F7" s="9" t="inlineStr">
        <is>
          <t>Used in tab(s)</t>
        </is>
      </c>
      <c r="G7" s="9" t="inlineStr">
        <is>
          <t>Limitations / notes</t>
        </is>
      </c>
    </row>
    <row r="8">
      <c r="A8" s="32" t="n"/>
      <c r="B8" s="32" t="n"/>
      <c r="C8" s="32" t="n"/>
      <c r="D8" s="32" t="n"/>
      <c r="E8" s="32" t="n"/>
      <c r="F8" s="32" t="n"/>
      <c r="G8" s="32" t="n"/>
    </row>
    <row r="9">
      <c r="A9" s="32" t="n"/>
      <c r="B9" s="32" t="n"/>
      <c r="C9" s="32" t="n"/>
      <c r="D9" s="32" t="n"/>
      <c r="E9" s="32" t="n"/>
      <c r="F9" s="32" t="n"/>
      <c r="G9" s="32" t="n"/>
    </row>
    <row r="10">
      <c r="A10" s="32" t="n"/>
      <c r="B10" s="32" t="n"/>
      <c r="C10" s="32" t="n"/>
      <c r="D10" s="32" t="n"/>
      <c r="E10" s="32" t="n"/>
      <c r="F10" s="32" t="n"/>
      <c r="G10" s="32" t="n"/>
    </row>
    <row r="11">
      <c r="A11" s="32" t="n"/>
      <c r="B11" s="32" t="n"/>
      <c r="C11" s="32" t="n"/>
      <c r="D11" s="32" t="n"/>
      <c r="E11" s="32" t="n"/>
      <c r="F11" s="32" t="n"/>
      <c r="G11" s="32" t="n"/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  <row r="18">
      <c r="A18" s="32" t="n"/>
      <c r="B18" s="32" t="n"/>
      <c r="C18" s="32" t="n"/>
      <c r="D18" s="32" t="n"/>
      <c r="E18" s="32" t="n"/>
      <c r="F18" s="32" t="n"/>
      <c r="G18" s="32" t="n"/>
    </row>
    <row r="19">
      <c r="A19" s="32" t="n"/>
      <c r="B19" s="32" t="n"/>
      <c r="C19" s="32" t="n"/>
      <c r="D19" s="32" t="n"/>
      <c r="E19" s="32" t="n"/>
      <c r="F19" s="32" t="n"/>
      <c r="G19" s="32" t="n"/>
    </row>
    <row r="20"/>
    <row r="21">
      <c r="A21" s="8" t="inlineStr">
        <is>
          <t>TM Legends</t>
        </is>
      </c>
    </row>
    <row r="22">
      <c r="A22" s="11" t="inlineStr">
        <is>
          <t>TB</t>
        </is>
      </c>
      <c r="B22" s="32" t="inlineStr">
        <is>
          <t>Agreed to trial balance</t>
        </is>
      </c>
      <c r="C22" s="38" t="n"/>
      <c r="D22" s="39" t="n"/>
    </row>
    <row r="23">
      <c r="A23" s="11" t="inlineStr">
        <is>
          <t>GL</t>
        </is>
      </c>
      <c r="B23" s="32" t="inlineStr">
        <is>
          <t>Agreed to general ledger</t>
        </is>
      </c>
      <c r="C23" s="38" t="n"/>
      <c r="D23" s="39" t="n"/>
    </row>
    <row r="24">
      <c r="A24" s="11" t="inlineStr">
        <is>
          <t>CF</t>
        </is>
      </c>
      <c r="B24" s="32" t="inlineStr">
        <is>
          <t>Confirmed with third party</t>
        </is>
      </c>
      <c r="C24" s="38" t="n"/>
      <c r="D24" s="39" t="n"/>
    </row>
    <row r="25">
      <c r="A25" s="11" t="inlineStr">
        <is>
          <t>V</t>
        </is>
      </c>
      <c r="B25" s="32" t="inlineStr">
        <is>
          <t>Vouched to source document</t>
        </is>
      </c>
      <c r="C25" s="38" t="n"/>
      <c r="D25" s="39" t="n"/>
    </row>
    <row r="26">
      <c r="A26" s="11" t="inlineStr">
        <is>
          <t>SR</t>
        </is>
      </c>
      <c r="B26" s="32" t="inlineStr">
        <is>
          <t>Agreed to subsequent bank-cleared receipt</t>
        </is>
      </c>
      <c r="C26" s="38" t="n"/>
      <c r="D26" s="39" t="n"/>
    </row>
    <row r="27">
      <c r="A27" s="11" t="inlineStr">
        <is>
          <t>R</t>
        </is>
      </c>
      <c r="B27" s="32" t="inlineStr">
        <is>
          <t>Recalculated independently</t>
        </is>
      </c>
      <c r="C27" s="38" t="n"/>
      <c r="D27" s="39" t="n"/>
    </row>
    <row r="28">
      <c r="A28" s="11" t="inlineStr">
        <is>
          <t>F</t>
        </is>
      </c>
      <c r="B28" s="32" t="inlineStr">
        <is>
          <t>Footed / cross-cast</t>
        </is>
      </c>
      <c r="C28" s="38" t="n"/>
      <c r="D28" s="39" t="n"/>
    </row>
    <row r="29">
      <c r="A29" s="11" t="inlineStr">
        <is>
          <t>T</t>
        </is>
      </c>
      <c r="B29" s="32" t="inlineStr">
        <is>
          <t>Traced to downstream record</t>
        </is>
      </c>
      <c r="C29" s="38" t="n"/>
      <c r="D29" s="39" t="n"/>
    </row>
    <row r="30">
      <c r="A30" s="11" t="inlineStr">
        <is>
          <t>PBC</t>
        </is>
      </c>
      <c r="B30" s="32" t="inlineStr">
        <is>
          <t>Prepared by client</t>
        </is>
      </c>
      <c r="C30" s="38" t="n"/>
      <c r="D30" s="39" t="n"/>
    </row>
    <row r="31"/>
    <row r="32" ht="27.75" customHeight="1">
      <c r="A32" s="2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zoomScale="85" zoomScaleNormal="100" workbookViewId="0">
      <selection activeCell="A4" sqref="A4:A6"/>
    </sheetView>
  </sheetViews>
  <sheetFormatPr baseColWidth="8" defaultColWidth="8.6328125" defaultRowHeight="14.5"/>
  <cols>
    <col width="32.6328125" customWidth="1" min="1" max="1"/>
    <col width="16" customWidth="1" min="2" max="3"/>
    <col width="12" customWidth="1" min="4" max="4"/>
    <col width="16" customWidth="1" min="5" max="5"/>
    <col width="12" customWidth="1" min="6" max="6"/>
    <col width="14" customWidth="1" min="7" max="7"/>
    <col width="26" customWidth="1" min="8" max="8"/>
  </cols>
  <sheetData>
    <row r="1" ht="17.5" customHeight="1">
      <c r="A1" s="5" t="inlineStr">
        <is>
          <t>Scope &amp; Data Integrity (Extraction Controls)</t>
        </is>
      </c>
    </row>
    <row r="2">
      <c r="A2" s="34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34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42" customHeight="1">
      <c r="A4" s="36" t="inlineStr">
        <is>
          <t>Purpose:</t>
        </is>
      </c>
      <c r="B4" s="31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40" t="n"/>
      <c r="D4" s="40" t="n"/>
      <c r="E4" s="40" t="n"/>
      <c r="F4" s="40" t="n"/>
      <c r="G4" s="40" t="n"/>
      <c r="H4" s="41" t="n"/>
    </row>
    <row r="5" ht="15" customHeight="1">
      <c r="A5" s="36" t="inlineStr">
        <is>
          <t>Scope:</t>
        </is>
      </c>
      <c r="B5" s="31" t="inlineStr">
        <is>
          <t>The full-period journal-entry population from every ledger / system in scope.</t>
        </is>
      </c>
      <c r="C5" s="40" t="n"/>
      <c r="D5" s="40" t="n"/>
      <c r="E5" s="40" t="n"/>
      <c r="F5" s="40" t="n"/>
      <c r="G5" s="40" t="n"/>
      <c r="H5" s="41" t="n"/>
    </row>
    <row r="6" ht="15" customHeight="1">
      <c r="A6" s="36" t="inlineStr">
        <is>
          <t>Assertions:</t>
        </is>
      </c>
      <c r="B6" s="31" t="inlineStr">
        <is>
          <t>Completeness; Accuracy</t>
        </is>
      </c>
      <c r="C6" s="40" t="n"/>
      <c r="D6" s="40" t="n"/>
      <c r="E6" s="40" t="n"/>
      <c r="F6" s="40" t="n"/>
      <c r="G6" s="40" t="n"/>
      <c r="H6" s="41" t="n"/>
    </row>
    <row r="7">
      <c r="A7" s="12" t="inlineStr">
        <is>
          <t>A. JE / GL sources &amp; systems</t>
        </is>
      </c>
    </row>
    <row r="8" ht="25.5" customHeight="1">
      <c r="A8" s="9" t="inlineStr">
        <is>
          <t>System / ledger</t>
        </is>
      </c>
      <c r="B8" s="9" t="inlineStr">
        <is>
          <t>Business unit</t>
        </is>
      </c>
      <c r="C8" s="9" t="inlineStr">
        <is>
          <t>Period covered</t>
        </is>
      </c>
      <c r="D8" s="9" t="inlineStr">
        <is>
          <t>Extract date</t>
        </is>
      </c>
      <c r="E8" s="9" t="inlineStr">
        <is>
          <t>Extracted by (client / auditor)</t>
        </is>
      </c>
      <c r="F8" s="9" t="inlineStr">
        <is>
          <t>Format</t>
        </is>
      </c>
      <c r="G8" s="9" t="inlineStr">
        <is>
          <t>Report / parameters</t>
        </is>
      </c>
      <c r="H8" s="9" t="inlineStr">
        <is>
          <t>Comments</t>
        </is>
      </c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</row>
    <row r="12"/>
    <row r="13">
      <c r="A13" s="12" t="inlineStr">
        <is>
          <t>B. Extraction control counts (source → extract → working file)</t>
        </is>
      </c>
    </row>
    <row r="14" ht="21.75" customHeight="1">
      <c r="A14" s="9" t="inlineStr">
        <is>
          <t>Control</t>
        </is>
      </c>
      <c r="B14" s="9" t="inlineStr">
        <is>
          <t>Per source system</t>
        </is>
      </c>
      <c r="C14" s="9" t="inlineStr">
        <is>
          <t>Per raw extract</t>
        </is>
      </c>
      <c r="D14" s="9" t="inlineStr">
        <is>
          <t>Match</t>
        </is>
      </c>
      <c r="E14" s="9" t="inlineStr">
        <is>
          <t>Per working file</t>
        </is>
      </c>
      <c r="F14" s="9" t="inlineStr">
        <is>
          <t>Match</t>
        </is>
      </c>
      <c r="G14" s="9" t="inlineStr">
        <is>
          <t>Comments</t>
        </is>
      </c>
    </row>
    <row r="15">
      <c r="B15" s="13" t="inlineStr">
        <is>
          <t>V</t>
        </is>
      </c>
      <c r="E15" s="13" t="inlineStr">
        <is>
          <t>F</t>
        </is>
      </c>
    </row>
    <row r="16">
      <c r="A16" s="32" t="inlineStr">
        <is>
          <t>Row / line count</t>
        </is>
      </c>
      <c r="B16" s="14" t="n"/>
      <c r="C16" s="14" t="n"/>
      <c r="D16" s="32">
        <f>IF(OR(B16="",C16=""),"",IF(B16=C16,"Pass","FAIL"))</f>
        <v/>
      </c>
      <c r="E16" s="14" t="n"/>
      <c r="F16" s="32">
        <f>IF(OR(C16="",E16=""),"",IF(C16=E16,"Pass","FAIL"))</f>
        <v/>
      </c>
      <c r="G16" s="32" t="n"/>
    </row>
    <row r="17">
      <c r="A17" s="32" t="inlineStr">
        <is>
          <t>Total debits</t>
        </is>
      </c>
      <c r="B17" s="15" t="n"/>
      <c r="C17" s="15" t="n"/>
      <c r="D17" s="32">
        <f>IF(OR(B17="",C17=""),"",IF(B17=C17,"Pass","FAIL"))</f>
        <v/>
      </c>
      <c r="E17" s="15" t="n"/>
      <c r="F17" s="32">
        <f>IF(OR(C17="",E17=""),"",IF(C17=E17,"Pass","FAIL"))</f>
        <v/>
      </c>
      <c r="G17" s="32" t="n"/>
    </row>
    <row r="18">
      <c r="A18" s="32" t="inlineStr">
        <is>
          <t>Total credits</t>
        </is>
      </c>
      <c r="B18" s="15" t="n"/>
      <c r="C18" s="15" t="n"/>
      <c r="D18" s="32">
        <f>IF(OR(B18="",C18=""),"",IF(B18=C18,"Pass","FAIL"))</f>
        <v/>
      </c>
      <c r="E18" s="15" t="n"/>
      <c r="F18" s="32">
        <f>IF(OR(C18="",E18=""),"",IF(C18=E18,"Pass","FAIL"))</f>
        <v/>
      </c>
      <c r="G18" s="32" t="n"/>
    </row>
    <row r="19">
      <c r="A19" s="16" t="inlineStr">
        <is>
          <t>Debits = credits (working file)</t>
        </is>
      </c>
      <c r="B19" s="32" t="n"/>
      <c r="C19" s="32" t="n"/>
      <c r="D19" s="32" t="n"/>
      <c r="E19" s="17">
        <f>IF(OR(E17="",E18=""),"",IF(ABS(E17-E18)&lt;0.01,"Pass","FAIL"))</f>
        <v/>
      </c>
      <c r="F19" s="32" t="n"/>
      <c r="G19" s="32" t="n"/>
    </row>
    <row r="20"/>
    <row r="21">
      <c r="A21" s="12" t="inlineStr">
        <is>
          <t>C. Data-integrity checks (expected result: 0)</t>
        </is>
      </c>
    </row>
    <row r="22" ht="21.75" customHeight="1">
      <c r="A22" s="9" t="inlineStr">
        <is>
          <t>Integrity check</t>
        </is>
      </c>
      <c r="B22" s="9" t="inlineStr">
        <is>
          <t>Result (count)</t>
        </is>
      </c>
      <c r="C22" s="9" t="inlineStr">
        <is>
          <t>Expected</t>
        </is>
      </c>
      <c r="D22" s="9" t="inlineStr">
        <is>
          <t>Pass / Fail</t>
        </is>
      </c>
      <c r="E22" s="9" t="inlineStr">
        <is>
          <t>Severity</t>
        </is>
      </c>
      <c r="F22" s="9" t="inlineStr">
        <is>
          <t>Resolution / ET action</t>
        </is>
      </c>
      <c r="G22" s="9" t="inlineStr">
        <is>
          <t>Comments</t>
        </is>
      </c>
    </row>
    <row r="23" ht="23" customHeight="1">
      <c r="A23" s="18" t="inlineStr">
        <is>
          <t>Unbalanced journal entries (Dr ≠ Cr by JE)</t>
        </is>
      </c>
      <c r="B23" s="14" t="n"/>
      <c r="C23" s="19" t="n">
        <v>0</v>
      </c>
      <c r="D23" s="19">
        <f>IF(B23="","",IF(B23=C23,"Pass","FAIL"))</f>
        <v/>
      </c>
      <c r="E23" s="19" t="inlineStr">
        <is>
          <t>A</t>
        </is>
      </c>
      <c r="F23" s="32" t="n"/>
      <c r="G23" s="32" t="n"/>
    </row>
    <row r="24">
      <c r="A24" s="18" t="inlineStr">
        <is>
          <t>Records with blank posting dates</t>
        </is>
      </c>
      <c r="B24" s="14" t="n"/>
      <c r="C24" s="19" t="n">
        <v>0</v>
      </c>
      <c r="D24" s="19">
        <f>IF(B24="","",IF(B24=C24,"Pass","FAIL"))</f>
        <v/>
      </c>
      <c r="E24" s="19" t="inlineStr">
        <is>
          <t>A</t>
        </is>
      </c>
      <c r="F24" s="32" t="n"/>
      <c r="G24" s="32" t="n"/>
    </row>
    <row r="25" ht="23" customHeight="1">
      <c r="A25" s="18" t="inlineStr">
        <is>
          <t>Records with blank GL account numbers</t>
        </is>
      </c>
      <c r="B25" s="14" t="n"/>
      <c r="C25" s="19" t="n">
        <v>0</v>
      </c>
      <c r="D25" s="19">
        <f>IF(B25="","",IF(B25=C25,"Pass","FAIL"))</f>
        <v/>
      </c>
      <c r="E25" s="19" t="inlineStr">
        <is>
          <t>A</t>
        </is>
      </c>
      <c r="F25" s="32" t="n"/>
      <c r="G25" s="32" t="n"/>
    </row>
    <row r="26">
      <c r="A26" s="18" t="inlineStr">
        <is>
          <t>Records with missing user ID</t>
        </is>
      </c>
      <c r="B26" s="14" t="n"/>
      <c r="C26" s="19" t="n">
        <v>0</v>
      </c>
      <c r="D26" s="19">
        <f>IF(B26="","",IF(B26=C26,"Pass","FAIL"))</f>
        <v/>
      </c>
      <c r="E26" s="19" t="inlineStr">
        <is>
          <t>B</t>
        </is>
      </c>
      <c r="F26" s="32" t="n"/>
      <c r="G26" s="32" t="n"/>
    </row>
    <row r="27">
      <c r="A27" s="18" t="inlineStr">
        <is>
          <t>Duplicate JE numbers / IDs</t>
        </is>
      </c>
      <c r="B27" s="14" t="n"/>
      <c r="C27" s="19" t="n">
        <v>0</v>
      </c>
      <c r="D27" s="19">
        <f>IF(B27="","",IF(B27=C27,"Pass","FAIL"))</f>
        <v/>
      </c>
      <c r="E27" s="19" t="inlineStr">
        <is>
          <t>B</t>
        </is>
      </c>
      <c r="F27" s="32" t="n"/>
      <c r="G27" s="32" t="n"/>
    </row>
    <row r="28">
      <c r="A28" s="18" t="inlineStr">
        <is>
          <t>Records dated outside the period</t>
        </is>
      </c>
      <c r="B28" s="14" t="n"/>
      <c r="C28" s="19" t="n">
        <v>0</v>
      </c>
      <c r="D28" s="19">
        <f>IF(B28="","",IF(B28=C28,"Pass","FAIL"))</f>
        <v/>
      </c>
      <c r="E28" s="19" t="inlineStr">
        <is>
          <t>A</t>
        </is>
      </c>
      <c r="F28" s="32" t="n"/>
      <c r="G28" s="32" t="n"/>
    </row>
    <row r="29">
      <c r="A29" s="18" t="inlineStr">
        <is>
          <t>Records with blank / zero amounts</t>
        </is>
      </c>
      <c r="B29" s="14" t="n"/>
      <c r="C29" s="19" t="n">
        <v>0</v>
      </c>
      <c r="D29" s="19">
        <f>IF(B29="","",IF(B29=C29,"Pass","FAIL"))</f>
        <v/>
      </c>
      <c r="E29" s="19" t="inlineStr">
        <is>
          <t>C</t>
        </is>
      </c>
      <c r="F29" s="32" t="n"/>
      <c r="G29" s="32" t="n"/>
    </row>
    <row r="30" ht="23" customHeight="1">
      <c r="A30" s="18" t="inlineStr">
        <is>
          <t>JE headers without detail lines (orphans)</t>
        </is>
      </c>
      <c r="B30" s="14" t="n"/>
      <c r="C30" s="19" t="n">
        <v>0</v>
      </c>
      <c r="D30" s="19">
        <f>IF(B30="","",IF(B30=C30,"Pass","FAIL"))</f>
        <v/>
      </c>
      <c r="E30" s="19" t="inlineStr">
        <is>
          <t>B</t>
        </is>
      </c>
      <c r="F30" s="32" t="n"/>
      <c r="G30" s="32" t="n"/>
    </row>
    <row r="31"/>
    <row r="32">
      <c r="A32" s="12" t="inlineStr">
        <is>
          <t>D. Expected-volume reasonableness (population plausibility)</t>
        </is>
      </c>
    </row>
    <row r="33"/>
    <row r="34" ht="24" customHeight="1">
      <c r="A34" s="35" t="inlineStr">
        <is>
          <t>Expected entries per month (basis: inquiry / PY / industry)</t>
        </is>
      </c>
      <c r="B34" s="14" t="n"/>
    </row>
    <row r="35">
      <c r="A35" s="32" t="inlineStr">
        <is>
          <t>Months in period</t>
        </is>
      </c>
      <c r="B35" s="20" t="n"/>
    </row>
    <row r="36">
      <c r="A36" s="16" t="inlineStr">
        <is>
          <t>Expected total entries</t>
        </is>
      </c>
      <c r="B36" s="21">
        <f>IF(OR(B34="",B35=""),"",B34*B35)</f>
        <v/>
      </c>
    </row>
    <row r="37" ht="24" customHeight="1">
      <c r="A37" s="35" t="inlineStr">
        <is>
          <t>Actual entries in population (per B row count)</t>
        </is>
      </c>
      <c r="B37" s="14" t="n"/>
    </row>
    <row r="38">
      <c r="A38" s="16" t="inlineStr">
        <is>
          <t>Variance</t>
        </is>
      </c>
      <c r="B38" s="21">
        <f>IF(OR(B36="",B37=""),"",B37-B36)</f>
        <v/>
      </c>
    </row>
    <row r="39" ht="24" customHeight="1">
      <c r="A39" s="35" t="inlineStr">
        <is>
          <t>Population plausible? (Y/N) — investigate implausibly low volumes</t>
        </is>
      </c>
      <c r="B39" s="32" t="n"/>
    </row>
    <row r="40"/>
    <row r="41">
      <c r="A41" s="12" t="inlineStr">
        <is>
          <t>E. Automated vs manual profile</t>
        </is>
      </c>
    </row>
    <row r="42" ht="21.75" customHeight="1">
      <c r="A42" s="9" t="inlineStr">
        <is>
          <t>Source / entry type</t>
        </is>
      </c>
      <c r="B42" s="9" t="inlineStr">
        <is>
          <t>Count</t>
        </is>
      </c>
      <c r="C42" s="9" t="inlineStr">
        <is>
          <t>Debits</t>
        </is>
      </c>
      <c r="D42" s="9" t="inlineStr">
        <is>
          <t>Credits</t>
        </is>
      </c>
      <c r="E42" s="9" t="inlineStr">
        <is>
          <t>% of count</t>
        </is>
      </c>
      <c r="F42" s="9" t="inlineStr">
        <is>
          <t>Comments</t>
        </is>
      </c>
    </row>
    <row r="43">
      <c r="A43" s="32" t="inlineStr">
        <is>
          <t>System-generated / automated</t>
        </is>
      </c>
      <c r="B43" s="14" t="n"/>
      <c r="C43" s="15" t="n"/>
      <c r="D43" s="15" t="n"/>
      <c r="E43" s="22">
        <f>IF(OR(B43="",$B$48="",$B$48=0),"",B43/$B$48)</f>
        <v/>
      </c>
      <c r="F43" s="32" t="n"/>
    </row>
    <row r="44">
      <c r="A44" s="32" t="inlineStr">
        <is>
          <t>Automated interface / subledger post</t>
        </is>
      </c>
      <c r="B44" s="14" t="n"/>
      <c r="C44" s="15" t="n"/>
      <c r="D44" s="15" t="n"/>
      <c r="E44" s="22">
        <f>IF(OR(B44="",$B$48="",$B$48=0),"",B44/$B$48)</f>
        <v/>
      </c>
      <c r="F44" s="32" t="n"/>
    </row>
    <row r="45">
      <c r="A45" s="32" t="inlineStr">
        <is>
          <t>Manual — standard</t>
        </is>
      </c>
      <c r="B45" s="14" t="n"/>
      <c r="C45" s="15" t="n"/>
      <c r="D45" s="15" t="n"/>
      <c r="E45" s="22">
        <f>IF(OR(B45="",$B$48="",$B$48=0),"",B45/$B$48)</f>
        <v/>
      </c>
      <c r="F45" s="32" t="n"/>
    </row>
    <row r="46">
      <c r="A46" s="32" t="inlineStr">
        <is>
          <t>Manual — top-side / adjusting</t>
        </is>
      </c>
      <c r="B46" s="14" t="n"/>
      <c r="C46" s="15" t="n"/>
      <c r="D46" s="15" t="n"/>
      <c r="E46" s="22">
        <f>IF(OR(B46="",$B$48="",$B$48=0),"",B46/$B$48)</f>
        <v/>
      </c>
      <c r="F46" s="32" t="n"/>
    </row>
    <row r="47">
      <c r="A47" s="32" t="inlineStr">
        <is>
          <t>Other</t>
        </is>
      </c>
      <c r="B47" s="14" t="n"/>
      <c r="C47" s="15" t="n"/>
      <c r="D47" s="15" t="n"/>
      <c r="E47" s="22">
        <f>IF(OR(B47="",$B$48="",$B$48=0),"",B47/$B$48)</f>
        <v/>
      </c>
      <c r="F47" s="32" t="n"/>
    </row>
    <row r="48">
      <c r="A48" s="23" t="inlineStr">
        <is>
          <t>Total</t>
        </is>
      </c>
      <c r="B48" s="24">
        <f>SUM(B43:B47)</f>
        <v/>
      </c>
      <c r="C48" s="25">
        <f>SUM(C43:C47)</f>
        <v/>
      </c>
      <c r="D48" s="25">
        <f>SUM(D43:D47)</f>
        <v/>
      </c>
      <c r="E48" s="23" t="n"/>
      <c r="F48" s="23" t="n"/>
    </row>
    <row r="49"/>
    <row r="50" ht="27.75" customHeight="1">
      <c r="A50" s="33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</row>
    <row r="51"/>
    <row r="52">
      <c r="A52" s="8" t="inlineStr">
        <is>
          <t>TM Legends</t>
        </is>
      </c>
    </row>
    <row r="53">
      <c r="A53" s="11" t="inlineStr">
        <is>
          <t>TB</t>
        </is>
      </c>
      <c r="B53" s="32" t="inlineStr">
        <is>
          <t>Agreed to trial balance</t>
        </is>
      </c>
      <c r="C53" s="38" t="n"/>
      <c r="D53" s="39" t="n"/>
    </row>
    <row r="54">
      <c r="A54" s="11" t="inlineStr">
        <is>
          <t>GL</t>
        </is>
      </c>
      <c r="B54" s="32" t="inlineStr">
        <is>
          <t>Agreed to general ledger</t>
        </is>
      </c>
      <c r="C54" s="38" t="n"/>
      <c r="D54" s="39" t="n"/>
    </row>
    <row r="55">
      <c r="A55" s="11" t="inlineStr">
        <is>
          <t>CF</t>
        </is>
      </c>
      <c r="B55" s="32" t="inlineStr">
        <is>
          <t>Confirmed with third party</t>
        </is>
      </c>
      <c r="C55" s="38" t="n"/>
      <c r="D55" s="39" t="n"/>
    </row>
    <row r="56">
      <c r="A56" s="11" t="inlineStr">
        <is>
          <t>V</t>
        </is>
      </c>
      <c r="B56" s="32" t="inlineStr">
        <is>
          <t>Vouched to source document</t>
        </is>
      </c>
      <c r="C56" s="38" t="n"/>
      <c r="D56" s="39" t="n"/>
    </row>
    <row r="57">
      <c r="A57" s="11" t="inlineStr">
        <is>
          <t>SR</t>
        </is>
      </c>
      <c r="B57" s="32" t="inlineStr">
        <is>
          <t>Agreed to subsequent bank-cleared receipt</t>
        </is>
      </c>
      <c r="C57" s="38" t="n"/>
      <c r="D57" s="39" t="n"/>
    </row>
    <row r="58">
      <c r="A58" s="11" t="inlineStr">
        <is>
          <t>R</t>
        </is>
      </c>
      <c r="B58" s="32" t="inlineStr">
        <is>
          <t>Recalculated independently</t>
        </is>
      </c>
      <c r="C58" s="38" t="n"/>
      <c r="D58" s="39" t="n"/>
    </row>
    <row r="59">
      <c r="A59" s="11" t="inlineStr">
        <is>
          <t>F</t>
        </is>
      </c>
      <c r="B59" s="32" t="inlineStr">
        <is>
          <t>Footed / cross-cast</t>
        </is>
      </c>
      <c r="C59" s="38" t="n"/>
      <c r="D59" s="39" t="n"/>
    </row>
    <row r="60">
      <c r="A60" s="11" t="inlineStr">
        <is>
          <t>T</t>
        </is>
      </c>
      <c r="B60" s="32" t="inlineStr">
        <is>
          <t>Traced to downstream record</t>
        </is>
      </c>
      <c r="C60" s="38" t="n"/>
      <c r="D60" s="39" t="n"/>
    </row>
    <row r="61">
      <c r="A61" s="11" t="inlineStr">
        <is>
          <t>PBC</t>
        </is>
      </c>
      <c r="B61" s="32" t="inlineStr">
        <is>
          <t>Prepared by client</t>
        </is>
      </c>
      <c r="C61" s="38" t="n"/>
      <c r="D61" s="39" t="n"/>
    </row>
    <row r="62"/>
    <row r="63" ht="27.75" customHeight="1">
      <c r="A63" s="2" t="inlineStr">
        <is>
          <t>Before sign-off complete Library Procedures 2-6 (systems &amp; scope; control counts; integrity checks; volume plausibility; automated/manual profile).</t>
        </is>
      </c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showGridLines="0" zoomScale="85" zoomScaleNormal="10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20" customWidth="1" min="1" max="1"/>
    <col width="9" customWidth="1" min="2" max="2"/>
    <col width="11" customWidth="1" min="3" max="3"/>
    <col width="24" customWidth="1" min="4" max="4"/>
    <col width="15" customWidth="1" min="5" max="7"/>
    <col width="20" customWidth="1" min="8" max="8"/>
    <col width="15" customWidth="1" min="9" max="9"/>
    <col width="13" customWidth="1" min="10" max="10"/>
    <col width="22" customWidth="1" min="11" max="11"/>
  </cols>
  <sheetData>
    <row r="1" ht="17.5" customHeight="1">
      <c r="A1" s="5" t="inlineStr">
        <is>
          <t>Completeness Rollforward (PY TB + JE Activity = CY TB)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42" customHeight="1">
      <c r="A4" s="30" t="inlineStr">
        <is>
          <t>Purpose:</t>
        </is>
      </c>
      <c r="B4" s="31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1" t="n"/>
    </row>
    <row r="5" ht="27.75" customHeight="1">
      <c r="A5" s="30" t="inlineStr">
        <is>
          <t>Scope:</t>
        </is>
      </c>
      <c r="B5" s="31" t="inlineStr">
        <is>
          <t>Every GL account on the trial balance; activity summed from the full JE population validated on &lt;.1&gt;.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1" t="n"/>
    </row>
    <row r="6" ht="15" customHeight="1">
      <c r="A6" s="30" t="inlineStr">
        <is>
          <t>Assertions:</t>
        </is>
      </c>
      <c r="B6" s="31" t="inlineStr">
        <is>
          <t>Completeness; Accuracy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1" t="n"/>
    </row>
    <row r="7" ht="39.75" customHeight="1">
      <c r="A7" s="37" t="inlineStr">
        <is>
          <t>FS mapping</t>
        </is>
      </c>
      <c r="B7" s="37" t="inlineStr">
        <is>
          <t>BS or PL</t>
        </is>
      </c>
      <c r="C7" s="37" t="inlineStr">
        <is>
          <t>GL account</t>
        </is>
      </c>
      <c r="D7" s="37" t="inlineStr">
        <is>
          <t>Account description</t>
        </is>
      </c>
      <c r="E7" s="37" t="inlineStr">
        <is>
          <t>Opening per PY audited TB</t>
        </is>
      </c>
      <c r="F7" s="37" t="inlineStr">
        <is>
          <t>Opening for rollforward (PL cleared to RE)</t>
        </is>
      </c>
      <c r="G7" s="37" t="inlineStr">
        <is>
          <t>JE activity (per JE data)</t>
        </is>
      </c>
      <c r="H7" s="37" t="inlineStr">
        <is>
          <t>Recalculated ending (= opening + activity)</t>
        </is>
      </c>
      <c r="I7" s="37" t="inlineStr">
        <is>
          <t>Ending per client TB</t>
        </is>
      </c>
      <c r="J7" s="37" t="inlineStr">
        <is>
          <t>Variance</t>
        </is>
      </c>
      <c r="K7" s="37" t="inlineStr">
        <is>
          <t>Comments</t>
        </is>
      </c>
    </row>
    <row r="8">
      <c r="E8" s="13" t="inlineStr">
        <is>
          <t>PY</t>
        </is>
      </c>
      <c r="G8" s="13" t="inlineStr">
        <is>
          <t>T</t>
        </is>
      </c>
      <c r="I8" s="13" t="inlineStr">
        <is>
          <t>TB</t>
        </is>
      </c>
      <c r="J8" s="13" t="inlineStr">
        <is>
          <t>R</t>
        </is>
      </c>
    </row>
    <row r="9">
      <c r="A9" s="32" t="n"/>
      <c r="B9" s="32" t="n"/>
      <c r="C9" s="32" t="n"/>
      <c r="D9" s="32" t="n"/>
      <c r="E9" s="15" t="n"/>
      <c r="F9" s="15">
        <f>IF(B9="","",IF(OR(B9="PL",B9="P&amp;L"),0,IF(E9="",0,E9)))</f>
        <v/>
      </c>
      <c r="G9" s="15" t="n"/>
      <c r="H9" s="15">
        <f>IF(F9="","",F9+IF(G9="",0,G9))</f>
        <v/>
      </c>
      <c r="I9" s="15" t="n"/>
      <c r="J9" s="15">
        <f>IF(OR(H9="",I9=""),"",H9-I9)</f>
        <v/>
      </c>
      <c r="K9" s="32" t="n"/>
    </row>
    <row r="10">
      <c r="A10" s="32" t="n"/>
      <c r="B10" s="32" t="n"/>
      <c r="C10" s="32" t="n"/>
      <c r="D10" s="32" t="n"/>
      <c r="E10" s="15" t="n"/>
      <c r="F10" s="15">
        <f>IF(B10="","",IF(OR(B10="PL",B10="P&amp;L"),0,IF(E10="",0,E10)))</f>
        <v/>
      </c>
      <c r="G10" s="15" t="n"/>
      <c r="H10" s="15">
        <f>IF(F10="","",F10+IF(G10="",0,G10))</f>
        <v/>
      </c>
      <c r="I10" s="15" t="n"/>
      <c r="J10" s="15">
        <f>IF(OR(H10="",I10=""),"",H10-I10)</f>
        <v/>
      </c>
      <c r="K10" s="32" t="n"/>
    </row>
    <row r="11">
      <c r="A11" s="32" t="n"/>
      <c r="B11" s="32" t="n"/>
      <c r="C11" s="32" t="n"/>
      <c r="D11" s="32" t="n"/>
      <c r="E11" s="15" t="n"/>
      <c r="F11" s="15">
        <f>IF(B11="","",IF(OR(B11="PL",B11="P&amp;L"),0,IF(E11="",0,E11)))</f>
        <v/>
      </c>
      <c r="G11" s="15" t="n"/>
      <c r="H11" s="15">
        <f>IF(F11="","",F11+IF(G11="",0,G11))</f>
        <v/>
      </c>
      <c r="I11" s="15" t="n"/>
      <c r="J11" s="15">
        <f>IF(OR(H11="",I11=""),"",H11-I11)</f>
        <v/>
      </c>
      <c r="K11" s="32" t="n"/>
    </row>
    <row r="12">
      <c r="A12" s="32" t="n"/>
      <c r="B12" s="32" t="n"/>
      <c r="C12" s="32" t="n"/>
      <c r="D12" s="32" t="n"/>
      <c r="E12" s="15" t="n"/>
      <c r="F12" s="15">
        <f>IF(B12="","",IF(OR(B12="PL",B12="P&amp;L"),0,IF(E12="",0,E12)))</f>
        <v/>
      </c>
      <c r="G12" s="15" t="n"/>
      <c r="H12" s="15">
        <f>IF(F12="","",F12+IF(G12="",0,G12))</f>
        <v/>
      </c>
      <c r="I12" s="15" t="n"/>
      <c r="J12" s="15">
        <f>IF(OR(H12="",I12=""),"",H12-I12)</f>
        <v/>
      </c>
      <c r="K12" s="32" t="n"/>
    </row>
    <row r="13">
      <c r="A13" s="32" t="n"/>
      <c r="B13" s="32" t="n"/>
      <c r="C13" s="32" t="n"/>
      <c r="D13" s="32" t="n"/>
      <c r="E13" s="15" t="n"/>
      <c r="F13" s="15">
        <f>IF(B13="","",IF(OR(B13="PL",B13="P&amp;L"),0,IF(E13="",0,E13)))</f>
        <v/>
      </c>
      <c r="G13" s="15" t="n"/>
      <c r="H13" s="15">
        <f>IF(F13="","",F13+IF(G13="",0,G13))</f>
        <v/>
      </c>
      <c r="I13" s="15" t="n"/>
      <c r="J13" s="15">
        <f>IF(OR(H13="",I13=""),"",H13-I13)</f>
        <v/>
      </c>
      <c r="K13" s="32" t="n"/>
    </row>
    <row r="14">
      <c r="A14" s="32" t="n"/>
      <c r="B14" s="32" t="n"/>
      <c r="C14" s="32" t="n"/>
      <c r="D14" s="32" t="n"/>
      <c r="E14" s="15" t="n"/>
      <c r="F14" s="15">
        <f>IF(B14="","",IF(OR(B14="PL",B14="P&amp;L"),0,IF(E14="",0,E14)))</f>
        <v/>
      </c>
      <c r="G14" s="15" t="n"/>
      <c r="H14" s="15">
        <f>IF(F14="","",F14+IF(G14="",0,G14))</f>
        <v/>
      </c>
      <c r="I14" s="15" t="n"/>
      <c r="J14" s="15">
        <f>IF(OR(H14="",I14=""),"",H14-I14)</f>
        <v/>
      </c>
      <c r="K14" s="32" t="n"/>
    </row>
    <row r="15">
      <c r="A15" s="32" t="n"/>
      <c r="B15" s="32" t="n"/>
      <c r="C15" s="32" t="n"/>
      <c r="D15" s="32" t="n"/>
      <c r="E15" s="15" t="n"/>
      <c r="F15" s="15">
        <f>IF(B15="","",IF(OR(B15="PL",B15="P&amp;L"),0,IF(E15="",0,E15)))</f>
        <v/>
      </c>
      <c r="G15" s="15" t="n"/>
      <c r="H15" s="15">
        <f>IF(F15="","",F15+IF(G15="",0,G15))</f>
        <v/>
      </c>
      <c r="I15" s="15" t="n"/>
      <c r="J15" s="15">
        <f>IF(OR(H15="",I15=""),"",H15-I15)</f>
        <v/>
      </c>
      <c r="K15" s="32" t="n"/>
    </row>
    <row r="16">
      <c r="A16" s="32" t="n"/>
      <c r="B16" s="32" t="n"/>
      <c r="C16" s="32" t="n"/>
      <c r="D16" s="32" t="n"/>
      <c r="E16" s="15" t="n"/>
      <c r="F16" s="15">
        <f>IF(B16="","",IF(OR(B16="PL",B16="P&amp;L"),0,IF(E16="",0,E16)))</f>
        <v/>
      </c>
      <c r="G16" s="15" t="n"/>
      <c r="H16" s="15">
        <f>IF(F16="","",F16+IF(G16="",0,G16))</f>
        <v/>
      </c>
      <c r="I16" s="15" t="n"/>
      <c r="J16" s="15">
        <f>IF(OR(H16="",I16=""),"",H16-I16)</f>
        <v/>
      </c>
      <c r="K16" s="32" t="n"/>
    </row>
    <row r="17">
      <c r="A17" s="32" t="n"/>
      <c r="B17" s="32" t="n"/>
      <c r="C17" s="32" t="n"/>
      <c r="D17" s="32" t="n"/>
      <c r="E17" s="15" t="n"/>
      <c r="F17" s="15">
        <f>IF(B17="","",IF(OR(B17="PL",B17="P&amp;L"),0,IF(E17="",0,E17)))</f>
        <v/>
      </c>
      <c r="G17" s="15" t="n"/>
      <c r="H17" s="15">
        <f>IF(F17="","",F17+IF(G17="",0,G17))</f>
        <v/>
      </c>
      <c r="I17" s="15" t="n"/>
      <c r="J17" s="15">
        <f>IF(OR(H17="",I17=""),"",H17-I17)</f>
        <v/>
      </c>
      <c r="K17" s="32" t="n"/>
    </row>
    <row r="18">
      <c r="A18" s="32" t="n"/>
      <c r="B18" s="32" t="n"/>
      <c r="C18" s="32" t="n"/>
      <c r="D18" s="32" t="n"/>
      <c r="E18" s="15" t="n"/>
      <c r="F18" s="15">
        <f>IF(B18="","",IF(OR(B18="PL",B18="P&amp;L"),0,IF(E18="",0,E18)))</f>
        <v/>
      </c>
      <c r="G18" s="15" t="n"/>
      <c r="H18" s="15">
        <f>IF(F18="","",F18+IF(G18="",0,G18))</f>
        <v/>
      </c>
      <c r="I18" s="15" t="n"/>
      <c r="J18" s="15">
        <f>IF(OR(H18="",I18=""),"",H18-I18)</f>
        <v/>
      </c>
      <c r="K18" s="32" t="n"/>
    </row>
    <row r="19">
      <c r="A19" s="32" t="n"/>
      <c r="B19" s="32" t="n"/>
      <c r="C19" s="32" t="n"/>
      <c r="D19" s="32" t="n"/>
      <c r="E19" s="15" t="n"/>
      <c r="F19" s="15">
        <f>IF(B19="","",IF(OR(B19="PL",B19="P&amp;L"),0,IF(E19="",0,E19)))</f>
        <v/>
      </c>
      <c r="G19" s="15" t="n"/>
      <c r="H19" s="15">
        <f>IF(F19="","",F19+IF(G19="",0,G19))</f>
        <v/>
      </c>
      <c r="I19" s="15" t="n"/>
      <c r="J19" s="15">
        <f>IF(OR(H19="",I19=""),"",H19-I19)</f>
        <v/>
      </c>
      <c r="K19" s="32" t="n"/>
    </row>
    <row r="20">
      <c r="A20" s="32" t="n"/>
      <c r="B20" s="32" t="n"/>
      <c r="C20" s="32" t="n"/>
      <c r="D20" s="32" t="n"/>
      <c r="E20" s="15" t="n"/>
      <c r="F20" s="15">
        <f>IF(B20="","",IF(OR(B20="PL",B20="P&amp;L"),0,IF(E20="",0,E20)))</f>
        <v/>
      </c>
      <c r="G20" s="15" t="n"/>
      <c r="H20" s="15">
        <f>IF(F20="","",F20+IF(G20="",0,G20))</f>
        <v/>
      </c>
      <c r="I20" s="15" t="n"/>
      <c r="J20" s="15">
        <f>IF(OR(H20="",I20=""),"",H20-I20)</f>
        <v/>
      </c>
      <c r="K20" s="32" t="n"/>
    </row>
    <row r="21">
      <c r="A21" s="32" t="n"/>
      <c r="B21" s="32" t="n"/>
      <c r="C21" s="32" t="n"/>
      <c r="D21" s="32" t="n"/>
      <c r="E21" s="15" t="n"/>
      <c r="F21" s="15">
        <f>IF(B21="","",IF(OR(B21="PL",B21="P&amp;L"),0,IF(E21="",0,E21)))</f>
        <v/>
      </c>
      <c r="G21" s="15" t="n"/>
      <c r="H21" s="15">
        <f>IF(F21="","",F21+IF(G21="",0,G21))</f>
        <v/>
      </c>
      <c r="I21" s="15" t="n"/>
      <c r="J21" s="15">
        <f>IF(OR(H21="",I21=""),"",H21-I21)</f>
        <v/>
      </c>
      <c r="K21" s="32" t="n"/>
    </row>
    <row r="22">
      <c r="A22" s="32" t="n"/>
      <c r="B22" s="32" t="n"/>
      <c r="C22" s="32" t="n"/>
      <c r="D22" s="32" t="n"/>
      <c r="E22" s="15" t="n"/>
      <c r="F22" s="15">
        <f>IF(B22="","",IF(OR(B22="PL",B22="P&amp;L"),0,IF(E22="",0,E22)))</f>
        <v/>
      </c>
      <c r="G22" s="15" t="n"/>
      <c r="H22" s="15">
        <f>IF(F22="","",F22+IF(G22="",0,G22))</f>
        <v/>
      </c>
      <c r="I22" s="15" t="n"/>
      <c r="J22" s="15">
        <f>IF(OR(H22="",I22=""),"",H22-I22)</f>
        <v/>
      </c>
      <c r="K22" s="32" t="n"/>
    </row>
    <row r="23">
      <c r="A23" s="32" t="n"/>
      <c r="B23" s="32" t="n"/>
      <c r="C23" s="32" t="n"/>
      <c r="D23" s="32" t="n"/>
      <c r="E23" s="15" t="n"/>
      <c r="F23" s="15">
        <f>IF(B23="","",IF(OR(B23="PL",B23="P&amp;L"),0,IF(E23="",0,E23)))</f>
        <v/>
      </c>
      <c r="G23" s="15" t="n"/>
      <c r="H23" s="15">
        <f>IF(F23="","",F23+IF(G23="",0,G23))</f>
        <v/>
      </c>
      <c r="I23" s="15" t="n"/>
      <c r="J23" s="15">
        <f>IF(OR(H23="",I23=""),"",H23-I23)</f>
        <v/>
      </c>
      <c r="K23" s="32" t="n"/>
    </row>
    <row r="24">
      <c r="A24" s="32" t="n"/>
      <c r="B24" s="32" t="n"/>
      <c r="C24" s="32" t="n"/>
      <c r="D24" s="32" t="n"/>
      <c r="E24" s="15" t="n"/>
      <c r="F24" s="15">
        <f>IF(B24="","",IF(OR(B24="PL",B24="P&amp;L"),0,IF(E24="",0,E24)))</f>
        <v/>
      </c>
      <c r="G24" s="15" t="n"/>
      <c r="H24" s="15">
        <f>IF(F24="","",F24+IF(G24="",0,G24))</f>
        <v/>
      </c>
      <c r="I24" s="15" t="n"/>
      <c r="J24" s="15">
        <f>IF(OR(H24="",I24=""),"",H24-I24)</f>
        <v/>
      </c>
      <c r="K24" s="32" t="n"/>
    </row>
    <row r="25">
      <c r="A25" s="32" t="n"/>
      <c r="B25" s="32" t="n"/>
      <c r="C25" s="32" t="n"/>
      <c r="D25" s="32" t="n"/>
      <c r="E25" s="15" t="n"/>
      <c r="F25" s="15">
        <f>IF(B25="","",IF(OR(B25="PL",B25="P&amp;L"),0,IF(E25="",0,E25)))</f>
        <v/>
      </c>
      <c r="G25" s="15" t="n"/>
      <c r="H25" s="15">
        <f>IF(F25="","",F25+IF(G25="",0,G25))</f>
        <v/>
      </c>
      <c r="I25" s="15" t="n"/>
      <c r="J25" s="15">
        <f>IF(OR(H25="",I25=""),"",H25-I25)</f>
        <v/>
      </c>
      <c r="K25" s="32" t="n"/>
    </row>
    <row r="26">
      <c r="A26" s="32" t="n"/>
      <c r="B26" s="32" t="n"/>
      <c r="C26" s="32" t="n"/>
      <c r="D26" s="32" t="n"/>
      <c r="E26" s="15" t="n"/>
      <c r="F26" s="15">
        <f>IF(B26="","",IF(OR(B26="PL",B26="P&amp;L"),0,IF(E26="",0,E26)))</f>
        <v/>
      </c>
      <c r="G26" s="15" t="n"/>
      <c r="H26" s="15">
        <f>IF(F26="","",F26+IF(G26="",0,G26))</f>
        <v/>
      </c>
      <c r="I26" s="15" t="n"/>
      <c r="J26" s="15">
        <f>IF(OR(H26="",I26=""),"",H26-I26)</f>
        <v/>
      </c>
      <c r="K26" s="32" t="n"/>
    </row>
    <row r="27">
      <c r="A27" s="32" t="n"/>
      <c r="B27" s="32" t="n"/>
      <c r="C27" s="32" t="n"/>
      <c r="D27" s="32" t="n"/>
      <c r="E27" s="15" t="n"/>
      <c r="F27" s="15">
        <f>IF(B27="","",IF(OR(B27="PL",B27="P&amp;L"),0,IF(E27="",0,E27)))</f>
        <v/>
      </c>
      <c r="G27" s="15" t="n"/>
      <c r="H27" s="15">
        <f>IF(F27="","",F27+IF(G27="",0,G27))</f>
        <v/>
      </c>
      <c r="I27" s="15" t="n"/>
      <c r="J27" s="15">
        <f>IF(OR(H27="",I27=""),"",H27-I27)</f>
        <v/>
      </c>
      <c r="K27" s="32" t="n"/>
    </row>
    <row r="28">
      <c r="A28" s="32" t="n"/>
      <c r="B28" s="32" t="n"/>
      <c r="C28" s="32" t="n"/>
      <c r="D28" s="32" t="n"/>
      <c r="E28" s="15" t="n"/>
      <c r="F28" s="15">
        <f>IF(B28="","",IF(OR(B28="PL",B28="P&amp;L"),0,IF(E28="",0,E28)))</f>
        <v/>
      </c>
      <c r="G28" s="15" t="n"/>
      <c r="H28" s="15">
        <f>IF(F28="","",F28+IF(G28="",0,G28))</f>
        <v/>
      </c>
      <c r="I28" s="15" t="n"/>
      <c r="J28" s="15">
        <f>IF(OR(H28="",I28=""),"",H28-I28)</f>
        <v/>
      </c>
      <c r="K28" s="32" t="n"/>
    </row>
    <row r="29">
      <c r="A29" s="32" t="n"/>
      <c r="B29" s="32" t="n"/>
      <c r="C29" s="32" t="n"/>
      <c r="D29" s="32" t="n"/>
      <c r="E29" s="15" t="n"/>
      <c r="F29" s="15">
        <f>IF(B29="","",IF(OR(B29="PL",B29="P&amp;L"),0,IF(E29="",0,E29)))</f>
        <v/>
      </c>
      <c r="G29" s="15" t="n"/>
      <c r="H29" s="15">
        <f>IF(F29="","",F29+IF(G29="",0,G29))</f>
        <v/>
      </c>
      <c r="I29" s="15" t="n"/>
      <c r="J29" s="15">
        <f>IF(OR(H29="",I29=""),"",H29-I29)</f>
        <v/>
      </c>
      <c r="K29" s="32" t="n"/>
    </row>
    <row r="30">
      <c r="A30" s="32" t="n"/>
      <c r="B30" s="32" t="n"/>
      <c r="C30" s="32" t="n"/>
      <c r="D30" s="32" t="n"/>
      <c r="E30" s="15" t="n"/>
      <c r="F30" s="15">
        <f>IF(B30="","",IF(OR(B30="PL",B30="P&amp;L"),0,IF(E30="",0,E30)))</f>
        <v/>
      </c>
      <c r="G30" s="15" t="n"/>
      <c r="H30" s="15">
        <f>IF(F30="","",F30+IF(G30="",0,G30))</f>
        <v/>
      </c>
      <c r="I30" s="15" t="n"/>
      <c r="J30" s="15">
        <f>IF(OR(H30="",I30=""),"",H30-I30)</f>
        <v/>
      </c>
      <c r="K30" s="32" t="n"/>
    </row>
    <row r="31">
      <c r="A31" s="32" t="n"/>
      <c r="B31" s="32" t="n"/>
      <c r="C31" s="32" t="n"/>
      <c r="D31" s="32" t="n"/>
      <c r="E31" s="15" t="n"/>
      <c r="F31" s="15">
        <f>IF(B31="","",IF(OR(B31="PL",B31="P&amp;L"),0,IF(E31="",0,E31)))</f>
        <v/>
      </c>
      <c r="G31" s="15" t="n"/>
      <c r="H31" s="15">
        <f>IF(F31="","",F31+IF(G31="",0,G31))</f>
        <v/>
      </c>
      <c r="I31" s="15" t="n"/>
      <c r="J31" s="15">
        <f>IF(OR(H31="",I31=""),"",H31-I31)</f>
        <v/>
      </c>
      <c r="K31" s="32" t="n"/>
    </row>
    <row r="32">
      <c r="A32" s="32" t="n"/>
      <c r="B32" s="32" t="n"/>
      <c r="C32" s="32" t="n"/>
      <c r="D32" s="32" t="n"/>
      <c r="E32" s="15" t="n"/>
      <c r="F32" s="15">
        <f>IF(B32="","",IF(OR(B32="PL",B32="P&amp;L"),0,IF(E32="",0,E32)))</f>
        <v/>
      </c>
      <c r="G32" s="15" t="n"/>
      <c r="H32" s="15">
        <f>IF(F32="","",F32+IF(G32="",0,G32))</f>
        <v/>
      </c>
      <c r="I32" s="15" t="n"/>
      <c r="J32" s="15">
        <f>IF(OR(H32="",I32=""),"",H32-I32)</f>
        <v/>
      </c>
      <c r="K32" s="32" t="n"/>
    </row>
    <row r="33">
      <c r="A33" s="32" t="n"/>
      <c r="B33" s="32" t="n"/>
      <c r="C33" s="32" t="n"/>
      <c r="D33" s="32" t="n"/>
      <c r="E33" s="15" t="n"/>
      <c r="F33" s="15">
        <f>IF(B33="","",IF(OR(B33="PL",B33="P&amp;L"),0,IF(E33="",0,E33)))</f>
        <v/>
      </c>
      <c r="G33" s="15" t="n"/>
      <c r="H33" s="15">
        <f>IF(F33="","",F33+IF(G33="",0,G33))</f>
        <v/>
      </c>
      <c r="I33" s="15" t="n"/>
      <c r="J33" s="15">
        <f>IF(OR(H33="",I33=""),"",H33-I33)</f>
        <v/>
      </c>
      <c r="K33" s="32" t="n"/>
    </row>
    <row r="34">
      <c r="A34" s="32" t="n"/>
      <c r="B34" s="32" t="n"/>
      <c r="C34" s="32" t="n"/>
      <c r="D34" s="32" t="n"/>
      <c r="E34" s="15" t="n"/>
      <c r="F34" s="15">
        <f>IF(B34="","",IF(OR(B34="PL",B34="P&amp;L"),0,IF(E34="",0,E34)))</f>
        <v/>
      </c>
      <c r="G34" s="15" t="n"/>
      <c r="H34" s="15">
        <f>IF(F34="","",F34+IF(G34="",0,G34))</f>
        <v/>
      </c>
      <c r="I34" s="15" t="n"/>
      <c r="J34" s="15">
        <f>IF(OR(H34="",I34=""),"",H34-I34)</f>
        <v/>
      </c>
      <c r="K34" s="32" t="n"/>
    </row>
    <row r="35">
      <c r="A35" s="32" t="n"/>
      <c r="B35" s="32" t="n"/>
      <c r="C35" s="32" t="n"/>
      <c r="D35" s="32" t="n"/>
      <c r="E35" s="15" t="n"/>
      <c r="F35" s="15">
        <f>IF(B35="","",IF(OR(B35="PL",B35="P&amp;L"),0,IF(E35="",0,E35)))</f>
        <v/>
      </c>
      <c r="G35" s="15" t="n"/>
      <c r="H35" s="15">
        <f>IF(F35="","",F35+IF(G35="",0,G35))</f>
        <v/>
      </c>
      <c r="I35" s="15" t="n"/>
      <c r="J35" s="15">
        <f>IF(OR(H35="",I35=""),"",H35-I35)</f>
        <v/>
      </c>
      <c r="K35" s="32" t="n"/>
    </row>
    <row r="36">
      <c r="A36" s="32" t="n"/>
      <c r="B36" s="32" t="n"/>
      <c r="C36" s="32" t="n"/>
      <c r="D36" s="32" t="n"/>
      <c r="E36" s="15" t="n"/>
      <c r="F36" s="15">
        <f>IF(B36="","",IF(OR(B36="PL",B36="P&amp;L"),0,IF(E36="",0,E36)))</f>
        <v/>
      </c>
      <c r="G36" s="15" t="n"/>
      <c r="H36" s="15">
        <f>IF(F36="","",F36+IF(G36="",0,G36))</f>
        <v/>
      </c>
      <c r="I36" s="15" t="n"/>
      <c r="J36" s="15">
        <f>IF(OR(H36="",I36=""),"",H36-I36)</f>
        <v/>
      </c>
      <c r="K36" s="32" t="n"/>
    </row>
    <row r="37">
      <c r="A37" s="32" t="n"/>
      <c r="B37" s="32" t="n"/>
      <c r="C37" s="32" t="n"/>
      <c r="D37" s="32" t="n"/>
      <c r="E37" s="15" t="n"/>
      <c r="F37" s="15">
        <f>IF(B37="","",IF(OR(B37="PL",B37="P&amp;L"),0,IF(E37="",0,E37)))</f>
        <v/>
      </c>
      <c r="G37" s="15" t="n"/>
      <c r="H37" s="15">
        <f>IF(F37="","",F37+IF(G37="",0,G37))</f>
        <v/>
      </c>
      <c r="I37" s="15" t="n"/>
      <c r="J37" s="15">
        <f>IF(OR(H37="",I37=""),"",H37-I37)</f>
        <v/>
      </c>
      <c r="K37" s="32" t="n"/>
    </row>
    <row r="38">
      <c r="A38" s="32" t="n"/>
      <c r="B38" s="32" t="n"/>
      <c r="C38" s="32" t="n"/>
      <c r="D38" s="32" t="n"/>
      <c r="E38" s="15" t="n"/>
      <c r="F38" s="15">
        <f>IF(B38="","",IF(OR(B38="PL",B38="P&amp;L"),0,IF(E38="",0,E38)))</f>
        <v/>
      </c>
      <c r="G38" s="15" t="n"/>
      <c r="H38" s="15">
        <f>IF(F38="","",F38+IF(G38="",0,G38))</f>
        <v/>
      </c>
      <c r="I38" s="15" t="n"/>
      <c r="J38" s="15">
        <f>IF(OR(H38="",I38=""),"",H38-I38)</f>
        <v/>
      </c>
      <c r="K38" s="32" t="n"/>
    </row>
    <row r="39">
      <c r="A39" s="32" t="n"/>
      <c r="B39" s="32" t="n"/>
      <c r="C39" s="32" t="n"/>
      <c r="D39" s="32" t="n"/>
      <c r="E39" s="15" t="n"/>
      <c r="F39" s="15">
        <f>IF(B39="","",IF(OR(B39="PL",B39="P&amp;L"),0,IF(E39="",0,E39)))</f>
        <v/>
      </c>
      <c r="G39" s="15" t="n"/>
      <c r="H39" s="15">
        <f>IF(F39="","",F39+IF(G39="",0,G39))</f>
        <v/>
      </c>
      <c r="I39" s="15" t="n"/>
      <c r="J39" s="15">
        <f>IF(OR(H39="",I39=""),"",H39-I39)</f>
        <v/>
      </c>
      <c r="K39" s="32" t="n"/>
    </row>
    <row r="40">
      <c r="A40" s="32" t="n"/>
      <c r="B40" s="32" t="n"/>
      <c r="C40" s="32" t="n"/>
      <c r="D40" s="32" t="n"/>
      <c r="E40" s="15" t="n"/>
      <c r="F40" s="15">
        <f>IF(B40="","",IF(OR(B40="PL",B40="P&amp;L"),0,IF(E40="",0,E40)))</f>
        <v/>
      </c>
      <c r="G40" s="15" t="n"/>
      <c r="H40" s="15">
        <f>IF(F40="","",F40+IF(G40="",0,G40))</f>
        <v/>
      </c>
      <c r="I40" s="15" t="n"/>
      <c r="J40" s="15">
        <f>IF(OR(H40="",I40=""),"",H40-I40)</f>
        <v/>
      </c>
      <c r="K40" s="32" t="n"/>
    </row>
    <row r="41">
      <c r="A41" s="32" t="n"/>
      <c r="B41" s="32" t="n"/>
      <c r="C41" s="32" t="n"/>
      <c r="D41" s="32" t="n"/>
      <c r="E41" s="15" t="n"/>
      <c r="F41" s="15">
        <f>IF(B41="","",IF(OR(B41="PL",B41="P&amp;L"),0,IF(E41="",0,E41)))</f>
        <v/>
      </c>
      <c r="G41" s="15" t="n"/>
      <c r="H41" s="15">
        <f>IF(F41="","",F41+IF(G41="",0,G41))</f>
        <v/>
      </c>
      <c r="I41" s="15" t="n"/>
      <c r="J41" s="15">
        <f>IF(OR(H41="",I41=""),"",H41-I41)</f>
        <v/>
      </c>
      <c r="K41" s="32" t="n"/>
    </row>
    <row r="42">
      <c r="A42" s="32" t="n"/>
      <c r="B42" s="32" t="n"/>
      <c r="C42" s="32" t="n"/>
      <c r="D42" s="32" t="n"/>
      <c r="E42" s="15" t="n"/>
      <c r="F42" s="15">
        <f>IF(B42="","",IF(OR(B42="PL",B42="P&amp;L"),0,IF(E42="",0,E42)))</f>
        <v/>
      </c>
      <c r="G42" s="15" t="n"/>
      <c r="H42" s="15">
        <f>IF(F42="","",F42+IF(G42="",0,G42))</f>
        <v/>
      </c>
      <c r="I42" s="15" t="n"/>
      <c r="J42" s="15">
        <f>IF(OR(H42="",I42=""),"",H42-I42)</f>
        <v/>
      </c>
      <c r="K42" s="32" t="n"/>
    </row>
    <row r="43">
      <c r="A43" s="32" t="n"/>
      <c r="B43" s="32" t="n"/>
      <c r="C43" s="32" t="n"/>
      <c r="D43" s="32" t="n"/>
      <c r="E43" s="15" t="n"/>
      <c r="F43" s="15">
        <f>IF(B43="","",IF(OR(B43="PL",B43="P&amp;L"),0,IF(E43="",0,E43)))</f>
        <v/>
      </c>
      <c r="G43" s="15" t="n"/>
      <c r="H43" s="15">
        <f>IF(F43="","",F43+IF(G43="",0,G43))</f>
        <v/>
      </c>
      <c r="I43" s="15" t="n"/>
      <c r="J43" s="15">
        <f>IF(OR(H43="",I43=""),"",H43-I43)</f>
        <v/>
      </c>
      <c r="K43" s="32" t="n"/>
    </row>
    <row r="44">
      <c r="A44" s="32" t="n"/>
      <c r="B44" s="32" t="n"/>
      <c r="C44" s="32" t="n"/>
      <c r="D44" s="32" t="n"/>
      <c r="E44" s="15" t="n"/>
      <c r="F44" s="15">
        <f>IF(B44="","",IF(OR(B44="PL",B44="P&amp;L"),0,IF(E44="",0,E44)))</f>
        <v/>
      </c>
      <c r="G44" s="15" t="n"/>
      <c r="H44" s="15">
        <f>IF(F44="","",F44+IF(G44="",0,G44))</f>
        <v/>
      </c>
      <c r="I44" s="15" t="n"/>
      <c r="J44" s="15">
        <f>IF(OR(H44="",I44=""),"",H44-I44)</f>
        <v/>
      </c>
      <c r="K44" s="32" t="n"/>
    </row>
    <row r="45">
      <c r="A45" s="32" t="n"/>
      <c r="B45" s="32" t="n"/>
      <c r="C45" s="32" t="n"/>
      <c r="D45" s="32" t="n"/>
      <c r="E45" s="15" t="n"/>
      <c r="F45" s="15">
        <f>IF(B45="","",IF(OR(B45="PL",B45="P&amp;L"),0,IF(E45="",0,E45)))</f>
        <v/>
      </c>
      <c r="G45" s="15" t="n"/>
      <c r="H45" s="15">
        <f>IF(F45="","",F45+IF(G45="",0,G45))</f>
        <v/>
      </c>
      <c r="I45" s="15" t="n"/>
      <c r="J45" s="15">
        <f>IF(OR(H45="",I45=""),"",H45-I45)</f>
        <v/>
      </c>
      <c r="K45" s="32" t="n"/>
    </row>
    <row r="46">
      <c r="A46" s="32" t="n"/>
      <c r="B46" s="32" t="n"/>
      <c r="C46" s="32" t="n"/>
      <c r="D46" s="32" t="n"/>
      <c r="E46" s="15" t="n"/>
      <c r="F46" s="15">
        <f>IF(B46="","",IF(OR(B46="PL",B46="P&amp;L"),0,IF(E46="",0,E46)))</f>
        <v/>
      </c>
      <c r="G46" s="15" t="n"/>
      <c r="H46" s="15">
        <f>IF(F46="","",F46+IF(G46="",0,G46))</f>
        <v/>
      </c>
      <c r="I46" s="15" t="n"/>
      <c r="J46" s="15">
        <f>IF(OR(H46="",I46=""),"",H46-I46)</f>
        <v/>
      </c>
      <c r="K46" s="32" t="n"/>
    </row>
    <row r="47">
      <c r="A47" s="32" t="n"/>
      <c r="B47" s="32" t="n"/>
      <c r="C47" s="32" t="n"/>
      <c r="D47" s="32" t="n"/>
      <c r="E47" s="15" t="n"/>
      <c r="F47" s="15">
        <f>IF(B47="","",IF(OR(B47="PL",B47="P&amp;L"),0,IF(E47="",0,E47)))</f>
        <v/>
      </c>
      <c r="G47" s="15" t="n"/>
      <c r="H47" s="15">
        <f>IF(F47="","",F47+IF(G47="",0,G47))</f>
        <v/>
      </c>
      <c r="I47" s="15" t="n"/>
      <c r="J47" s="15">
        <f>IF(OR(H47="",I47=""),"",H47-I47)</f>
        <v/>
      </c>
      <c r="K47" s="32" t="n"/>
    </row>
    <row r="48">
      <c r="A48" s="32" t="n"/>
      <c r="B48" s="32" t="n"/>
      <c r="C48" s="32" t="n"/>
      <c r="D48" s="32" t="n"/>
      <c r="E48" s="15" t="n"/>
      <c r="F48" s="15">
        <f>IF(B48="","",IF(OR(B48="PL",B48="P&amp;L"),0,IF(E48="",0,E48)))</f>
        <v/>
      </c>
      <c r="G48" s="15" t="n"/>
      <c r="H48" s="15">
        <f>IF(F48="","",F48+IF(G48="",0,G48))</f>
        <v/>
      </c>
      <c r="I48" s="15" t="n"/>
      <c r="J48" s="15">
        <f>IF(OR(H48="",I48=""),"",H48-I48)</f>
        <v/>
      </c>
      <c r="K48" s="32" t="n"/>
    </row>
    <row r="49">
      <c r="A49" s="32" t="n"/>
      <c r="B49" s="32" t="n"/>
      <c r="C49" s="32" t="n"/>
      <c r="D49" s="32" t="n"/>
      <c r="E49" s="15" t="n"/>
      <c r="F49" s="15">
        <f>IF(B49="","",IF(OR(B49="PL",B49="P&amp;L"),0,IF(E49="",0,E49)))</f>
        <v/>
      </c>
      <c r="G49" s="15" t="n"/>
      <c r="H49" s="15">
        <f>IF(F49="","",F49+IF(G49="",0,G49))</f>
        <v/>
      </c>
      <c r="I49" s="15" t="n"/>
      <c r="J49" s="15">
        <f>IF(OR(H49="",I49=""),"",H49-I49)</f>
        <v/>
      </c>
      <c r="K49" s="32" t="n"/>
    </row>
    <row r="50">
      <c r="A50" s="32" t="n"/>
      <c r="B50" s="32" t="n"/>
      <c r="C50" s="32" t="n"/>
      <c r="D50" s="32" t="n"/>
      <c r="E50" s="15" t="n"/>
      <c r="F50" s="15">
        <f>IF(B50="","",IF(OR(B50="PL",B50="P&amp;L"),0,IF(E50="",0,E50)))</f>
        <v/>
      </c>
      <c r="G50" s="15" t="n"/>
      <c r="H50" s="15">
        <f>IF(F50="","",F50+IF(G50="",0,G50))</f>
        <v/>
      </c>
      <c r="I50" s="15" t="n"/>
      <c r="J50" s="15">
        <f>IF(OR(H50="",I50=""),"",H50-I50)</f>
        <v/>
      </c>
      <c r="K50" s="32" t="n"/>
    </row>
    <row r="51">
      <c r="A51" s="32" t="n"/>
      <c r="B51" s="32" t="n"/>
      <c r="C51" s="32" t="n"/>
      <c r="D51" s="32" t="n"/>
      <c r="E51" s="15" t="n"/>
      <c r="F51" s="15">
        <f>IF(B51="","",IF(OR(B51="PL",B51="P&amp;L"),0,IF(E51="",0,E51)))</f>
        <v/>
      </c>
      <c r="G51" s="15" t="n"/>
      <c r="H51" s="15">
        <f>IF(F51="","",F51+IF(G51="",0,G51))</f>
        <v/>
      </c>
      <c r="I51" s="15" t="n"/>
      <c r="J51" s="15">
        <f>IF(OR(H51="",I51=""),"",H51-I51)</f>
        <v/>
      </c>
      <c r="K51" s="32" t="n"/>
    </row>
    <row r="52">
      <c r="A52" s="32" t="n"/>
      <c r="B52" s="32" t="n"/>
      <c r="C52" s="32" t="n"/>
      <c r="D52" s="32" t="n"/>
      <c r="E52" s="15" t="n"/>
      <c r="F52" s="15">
        <f>IF(B52="","",IF(OR(B52="PL",B52="P&amp;L"),0,IF(E52="",0,E52)))</f>
        <v/>
      </c>
      <c r="G52" s="15" t="n"/>
      <c r="H52" s="15">
        <f>IF(F52="","",F52+IF(G52="",0,G52))</f>
        <v/>
      </c>
      <c r="I52" s="15" t="n"/>
      <c r="J52" s="15">
        <f>IF(OR(H52="",I52=""),"",H52-I52)</f>
        <v/>
      </c>
      <c r="K52" s="32" t="n"/>
    </row>
    <row r="53">
      <c r="A53" s="32" t="n"/>
      <c r="B53" s="32" t="n"/>
      <c r="C53" s="32" t="n"/>
      <c r="D53" s="32" t="n"/>
      <c r="E53" s="15" t="n"/>
      <c r="F53" s="15">
        <f>IF(B53="","",IF(OR(B53="PL",B53="P&amp;L"),0,IF(E53="",0,E53)))</f>
        <v/>
      </c>
      <c r="G53" s="15" t="n"/>
      <c r="H53" s="15">
        <f>IF(F53="","",F53+IF(G53="",0,G53))</f>
        <v/>
      </c>
      <c r="I53" s="15" t="n"/>
      <c r="J53" s="15">
        <f>IF(OR(H53="",I53=""),"",H53-I53)</f>
        <v/>
      </c>
      <c r="K53" s="32" t="n"/>
    </row>
    <row r="54">
      <c r="A54" s="32" t="n"/>
      <c r="B54" s="32" t="n"/>
      <c r="C54" s="32" t="n"/>
      <c r="D54" s="32" t="n"/>
      <c r="E54" s="15" t="n"/>
      <c r="F54" s="15">
        <f>IF(B54="","",IF(OR(B54="PL",B54="P&amp;L"),0,IF(E54="",0,E54)))</f>
        <v/>
      </c>
      <c r="G54" s="15" t="n"/>
      <c r="H54" s="15">
        <f>IF(F54="","",F54+IF(G54="",0,G54))</f>
        <v/>
      </c>
      <c r="I54" s="15" t="n"/>
      <c r="J54" s="15">
        <f>IF(OR(H54="",I54=""),"",H54-I54)</f>
        <v/>
      </c>
      <c r="K54" s="32" t="n"/>
    </row>
    <row r="55">
      <c r="A55" s="32" t="n"/>
      <c r="B55" s="32" t="n"/>
      <c r="C55" s="32" t="n"/>
      <c r="D55" s="32" t="n"/>
      <c r="E55" s="15" t="n"/>
      <c r="F55" s="15">
        <f>IF(B55="","",IF(OR(B55="PL",B55="P&amp;L"),0,IF(E55="",0,E55)))</f>
        <v/>
      </c>
      <c r="G55" s="15" t="n"/>
      <c r="H55" s="15">
        <f>IF(F55="","",F55+IF(G55="",0,G55))</f>
        <v/>
      </c>
      <c r="I55" s="15" t="n"/>
      <c r="J55" s="15">
        <f>IF(OR(H55="",I55=""),"",H55-I55)</f>
        <v/>
      </c>
      <c r="K55" s="32" t="n"/>
    </row>
    <row r="56">
      <c r="A56" s="32" t="n"/>
      <c r="B56" s="32" t="n"/>
      <c r="C56" s="32" t="n"/>
      <c r="D56" s="32" t="n"/>
      <c r="E56" s="15" t="n"/>
      <c r="F56" s="15">
        <f>IF(B56="","",IF(OR(B56="PL",B56="P&amp;L"),0,IF(E56="",0,E56)))</f>
        <v/>
      </c>
      <c r="G56" s="15" t="n"/>
      <c r="H56" s="15">
        <f>IF(F56="","",F56+IF(G56="",0,G56))</f>
        <v/>
      </c>
      <c r="I56" s="15" t="n"/>
      <c r="J56" s="15">
        <f>IF(OR(H56="",I56=""),"",H56-I56)</f>
        <v/>
      </c>
      <c r="K56" s="32" t="n"/>
    </row>
    <row r="57">
      <c r="A57" s="32" t="n"/>
      <c r="B57" s="32" t="n"/>
      <c r="C57" s="32" t="n"/>
      <c r="D57" s="32" t="n"/>
      <c r="E57" s="15" t="n"/>
      <c r="F57" s="15">
        <f>IF(B57="","",IF(OR(B57="PL",B57="P&amp;L"),0,IF(E57="",0,E57)))</f>
        <v/>
      </c>
      <c r="G57" s="15" t="n"/>
      <c r="H57" s="15">
        <f>IF(F57="","",F57+IF(G57="",0,G57))</f>
        <v/>
      </c>
      <c r="I57" s="15" t="n"/>
      <c r="J57" s="15">
        <f>IF(OR(H57="",I57=""),"",H57-I57)</f>
        <v/>
      </c>
      <c r="K57" s="32" t="n"/>
    </row>
    <row r="58">
      <c r="A58" s="32" t="n"/>
      <c r="B58" s="32" t="n"/>
      <c r="C58" s="32" t="n"/>
      <c r="D58" s="32" t="n"/>
      <c r="E58" s="15" t="n"/>
      <c r="F58" s="15">
        <f>IF(B58="","",IF(OR(B58="PL",B58="P&amp;L"),0,IF(E58="",0,E58)))</f>
        <v/>
      </c>
      <c r="G58" s="15" t="n"/>
      <c r="H58" s="15">
        <f>IF(F58="","",F58+IF(G58="",0,G58))</f>
        <v/>
      </c>
      <c r="I58" s="15" t="n"/>
      <c r="J58" s="15">
        <f>IF(OR(H58="",I58=""),"",H58-I58)</f>
        <v/>
      </c>
      <c r="K58" s="32" t="n"/>
    </row>
    <row r="59">
      <c r="A59" s="23" t="inlineStr">
        <is>
          <t>Totals / check-sums</t>
        </is>
      </c>
      <c r="B59" s="23" t="n"/>
      <c r="C59" s="23" t="n"/>
      <c r="D59" s="23" t="n"/>
      <c r="E59" s="25">
        <f>SUM(E9:E58)</f>
        <v/>
      </c>
      <c r="F59" s="25">
        <f>SUM(F9:F58)</f>
        <v/>
      </c>
      <c r="G59" s="25">
        <f>SUM(G9:G58)</f>
        <v/>
      </c>
      <c r="H59" s="25">
        <f>SUM(H9:H58)</f>
        <v/>
      </c>
      <c r="I59" s="25">
        <f>SUM(I9:I58)</f>
        <v/>
      </c>
      <c r="J59" s="25">
        <f>SUM(J9:J58)</f>
        <v/>
      </c>
      <c r="K59" s="23" t="n"/>
    </row>
    <row r="60">
      <c r="A60" s="16" t="inlineStr">
        <is>
          <t>Accounts with variance (|K| &gt; 0.005)</t>
        </is>
      </c>
      <c r="B60" s="32" t="n"/>
      <c r="C60" s="32" t="n"/>
      <c r="D60" s="32" t="n"/>
      <c r="E60" s="32" t="n"/>
      <c r="F60" s="32" t="n"/>
      <c r="G60" s="32" t="n"/>
      <c r="H60" s="32" t="n"/>
      <c r="J60" s="26">
        <f>COUNTIF(J9:J58,"&gt;0.005")+COUNTIF(J9:J58,"&lt;-0.005")</f>
        <v/>
      </c>
      <c r="K60" s="32" t="n"/>
    </row>
    <row r="61"/>
    <row r="62" ht="27.75" customHeight="1">
      <c r="A62" s="33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</row>
    <row r="63"/>
    <row r="64">
      <c r="A64" s="8" t="inlineStr">
        <is>
          <t>TM Legends</t>
        </is>
      </c>
    </row>
    <row r="65">
      <c r="A65" s="11" t="inlineStr">
        <is>
          <t>TB</t>
        </is>
      </c>
      <c r="B65" s="32" t="inlineStr">
        <is>
          <t>Agreed to trial balance</t>
        </is>
      </c>
      <c r="C65" s="38" t="n"/>
      <c r="D65" s="39" t="n"/>
    </row>
    <row r="66">
      <c r="A66" s="11" t="inlineStr">
        <is>
          <t>GL</t>
        </is>
      </c>
      <c r="B66" s="32" t="inlineStr">
        <is>
          <t>Agreed to general ledger</t>
        </is>
      </c>
      <c r="C66" s="38" t="n"/>
      <c r="D66" s="39" t="n"/>
    </row>
    <row r="67">
      <c r="A67" s="11" t="inlineStr">
        <is>
          <t>CF</t>
        </is>
      </c>
      <c r="B67" s="32" t="inlineStr">
        <is>
          <t>Confirmed with third party</t>
        </is>
      </c>
      <c r="C67" s="38" t="n"/>
      <c r="D67" s="39" t="n"/>
    </row>
    <row r="68">
      <c r="A68" s="11" t="inlineStr">
        <is>
          <t>V</t>
        </is>
      </c>
      <c r="B68" s="32" t="inlineStr">
        <is>
          <t>Vouched to source document</t>
        </is>
      </c>
      <c r="C68" s="38" t="n"/>
      <c r="D68" s="39" t="n"/>
    </row>
    <row r="69">
      <c r="A69" s="11" t="inlineStr">
        <is>
          <t>SR</t>
        </is>
      </c>
      <c r="B69" s="32" t="inlineStr">
        <is>
          <t>Agreed to subsequent bank-cleared receipt</t>
        </is>
      </c>
      <c r="C69" s="38" t="n"/>
      <c r="D69" s="39" t="n"/>
    </row>
    <row r="70">
      <c r="A70" s="11" t="inlineStr">
        <is>
          <t>R</t>
        </is>
      </c>
      <c r="B70" s="32" t="inlineStr">
        <is>
          <t>Recalculated independently</t>
        </is>
      </c>
      <c r="C70" s="38" t="n"/>
      <c r="D70" s="39" t="n"/>
    </row>
    <row r="71">
      <c r="A71" s="11" t="inlineStr">
        <is>
          <t>F</t>
        </is>
      </c>
      <c r="B71" s="32" t="inlineStr">
        <is>
          <t>Footed / cross-cast</t>
        </is>
      </c>
      <c r="C71" s="38" t="n"/>
      <c r="D71" s="39" t="n"/>
    </row>
    <row r="72">
      <c r="A72" s="11" t="inlineStr">
        <is>
          <t>T</t>
        </is>
      </c>
      <c r="B72" s="32" t="inlineStr">
        <is>
          <t>Traced to downstream record</t>
        </is>
      </c>
      <c r="C72" s="38" t="n"/>
      <c r="D72" s="39" t="n"/>
    </row>
    <row r="73">
      <c r="A73" s="11" t="inlineStr">
        <is>
          <t>PBC</t>
        </is>
      </c>
      <c r="B73" s="32" t="inlineStr">
        <is>
          <t>Prepared by client</t>
        </is>
      </c>
      <c r="C73" s="38" t="n"/>
      <c r="D73" s="39" t="n"/>
    </row>
    <row r="74"/>
    <row r="75" ht="27.75" customHeight="1">
      <c r="A75" s="2" t="inlineStr">
        <is>
          <t>Before sign-off complete Library Procedures 7-8 (per-account rollforward; variance investigation &amp; limitations).</t>
        </is>
      </c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ageMargins left="0.3" right="0.3" top="0.4" bottom="0.4" header="0.2" footer="0.2"/>
  <pageSetup orientation="landscape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revision>0</cp:revision>
</cp:coreProperties>
</file>