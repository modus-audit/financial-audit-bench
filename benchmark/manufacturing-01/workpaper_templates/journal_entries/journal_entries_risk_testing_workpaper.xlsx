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500" firstSheet="0" activeTab="0" autoFilterDateGrouping="1"/>
  </bookViews>
  <sheets>
    <sheet xmlns:r="http://schemas.openxmlformats.org/officeDocument/2006/relationships" name="Library Procedures" sheetId="1" state="visible" r:id="rId1"/>
    <sheet xmlns:r="http://schemas.openxmlformats.org/officeDocument/2006/relationships" name="&lt;.0&gt; Source Index" sheetId="2" state="visible" r:id="rId2"/>
    <sheet xmlns:r="http://schemas.openxmlformats.org/officeDocument/2006/relationships" name="&lt;.1&gt; Population &amp; Risk Criteria" sheetId="3" state="visible" r:id="rId3"/>
    <sheet xmlns:r="http://schemas.openxmlformats.org/officeDocument/2006/relationships" name="&lt;.2&gt; Selected JE Testing" sheetId="4" state="visible" r:id="rId4"/>
    <sheet xmlns:r="http://schemas.openxmlformats.org/officeDocument/2006/relationships" name="&lt;.3&gt; Suspense &amp; Clearing" sheetId="5" state="visible" r:id="rId5"/>
    <sheet xmlns:r="http://schemas.openxmlformats.org/officeDocument/2006/relationships" name="&lt;.4&gt; Period-End &amp; Post-Close" sheetId="6" state="visible" r:id="rId6"/>
    <sheet xmlns:r="http://schemas.openxmlformats.org/officeDocument/2006/relationships" name="&lt;.5&gt; Analytics &amp; Conclusion" sheetId="7" state="visible" r:id="rId7"/>
  </sheets>
  <definedNames>
    <definedName name="_xlnm.Print_Area" localSheetId="0">'Library Procedures'!$A$1:$F$29</definedName>
    <definedName name="_xlnm.Print_Area" localSheetId="1">'&lt;.0&gt; Source Index'!$A$1:$H$32</definedName>
    <definedName name="_xlnm.Print_Area" localSheetId="2">'&lt;.1&gt; Population &amp; Risk Criteria'!$A$1:$H$48</definedName>
    <definedName name="_xlnm.Print_Area" localSheetId="3">'&lt;.2&gt; Selected JE Testing'!$A$1:$T$51</definedName>
    <definedName name="_xlnm.Print_Area" localSheetId="4">'&lt;.3&gt; Suspense &amp; Clearing'!$A$1:$J$30</definedName>
    <definedName name="_xlnm.Print_Area" localSheetId="5">'&lt;.4&gt; Period-End &amp; Post-Close'!$A$1:$I$45</definedName>
    <definedName name="_xlnm.Print_Area" localSheetId="6">'&lt;.5&gt; Analytics &amp; Conclusion'!$A$1:$H$42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0"/>
  <fonts count="12">
    <font>
      <name val="Calibri"/>
      <charset val="1"/>
      <family val="2"/>
      <color theme="1"/>
      <sz val="11"/>
    </font>
    <font>
      <name val="Georgia"/>
      <charset val="1"/>
      <b val="1"/>
      <color rgb="FFA32020"/>
      <sz val="14"/>
    </font>
    <font>
      <name val="Georgia"/>
      <charset val="1"/>
      <b val="1"/>
      <color rgb="FF1A1A1A"/>
      <sz val="9"/>
    </font>
    <font>
      <name val="Georgia"/>
      <charset val="1"/>
      <color rgb="FF1A1A1A"/>
      <sz val="9"/>
    </font>
    <font>
      <name val="Georgia"/>
      <charset val="1"/>
      <b val="1"/>
      <color rgb="FFA32020"/>
      <sz val="9"/>
    </font>
    <font>
      <name val="Georgia"/>
      <charset val="1"/>
      <b val="1"/>
      <color rgb="FFFFFFFF"/>
      <sz val="8.5"/>
    </font>
    <font>
      <name val="Georgia"/>
      <charset val="1"/>
      <b val="1"/>
      <color rgb="FFDC6900"/>
      <sz val="9"/>
    </font>
    <font>
      <name val="Georgia"/>
      <charset val="1"/>
      <color rgb="FF6E6E6E"/>
      <sz val="9"/>
    </font>
    <font>
      <name val="Georgia"/>
      <charset val="1"/>
      <b val="1"/>
      <color rgb="FFA32020"/>
      <sz val="10"/>
    </font>
    <font>
      <name val="Georgia"/>
      <charset val="1"/>
      <b val="1"/>
      <color rgb="FFDC6900"/>
      <sz val="8"/>
    </font>
    <font>
      <name val="Georgia"/>
      <charset val="1"/>
      <b val="1"/>
      <color rgb="FF1A1A1A"/>
      <sz val="10"/>
    </font>
    <font>
      <name val="Georgia"/>
      <charset val="1"/>
      <b val="1"/>
      <color rgb="FFFFFFFF"/>
      <sz val="9"/>
    </font>
  </fonts>
  <fills count="4">
    <fill>
      <patternFill/>
    </fill>
    <fill>
      <patternFill patternType="gray125"/>
    </fill>
    <fill>
      <patternFill patternType="solid">
        <fgColor rgb="FFA32020"/>
        <bgColor rgb="FF993366"/>
      </patternFill>
    </fill>
    <fill>
      <patternFill patternType="solid">
        <fgColor rgb="FFF4DCDC"/>
        <bgColor rgb="FFCCCCFF"/>
      </patternFill>
    </fill>
  </fills>
  <borders count="1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1" fillId="2" borderId="1" pivotButton="0" quotePrefix="0" xfId="0"/>
    <xf numFmtId="0" fontId="7" fillId="0" borderId="0" applyAlignment="1" pivotButton="0" quotePrefix="0" xfId="0">
      <alignment horizontal="left" vertical="center" wrapText="1"/>
    </xf>
    <xf numFmtId="0" fontId="2" fillId="0" borderId="1" pivotButton="0" quotePrefix="0" xfId="0"/>
    <xf numFmtId="0" fontId="7" fillId="0" borderId="0" pivotButton="0" quotePrefix="0" xfId="0"/>
    <xf numFmtId="0" fontId="3" fillId="0" borderId="1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6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applyAlignment="1" pivotButton="0" quotePrefix="0" xfId="0">
      <alignment horizontal="center" vertical="center"/>
    </xf>
    <xf numFmtId="3" fontId="3" fillId="0" borderId="1" pivotButton="0" quotePrefix="0" xfId="0"/>
    <xf numFmtId="4" fontId="3" fillId="0" borderId="1" pivotButton="0" quotePrefix="0" xfId="0"/>
    <xf numFmtId="0" fontId="10" fillId="3" borderId="1" pivotButton="0" quotePrefix="0" xfId="0"/>
    <xf numFmtId="3" fontId="10" fillId="3" borderId="1" pivotButton="0" quotePrefix="0" xfId="0"/>
    <xf numFmtId="4" fontId="10" fillId="3" borderId="1" pivotButton="0" quotePrefix="0" xfId="0"/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center" vertical="center"/>
    </xf>
    <xf numFmtId="0" fontId="5" fillId="2" borderId="3" applyAlignment="1" pivotButton="0" quotePrefix="0" xfId="0">
      <alignment horizontal="center" vertical="center" wrapText="1"/>
    </xf>
    <xf numFmtId="0" fontId="4" fillId="0" borderId="2" pivotButton="0" quotePrefix="0" xfId="0"/>
    <xf numFmtId="0" fontId="3" fillId="0" borderId="2" applyAlignment="1" pivotButton="0" quotePrefix="0" xfId="0">
      <alignment horizontal="left" vertical="center" wrapText="1"/>
    </xf>
    <xf numFmtId="0" fontId="3" fillId="0" borderId="1" pivotButton="0" quotePrefix="0" xfId="0"/>
    <xf numFmtId="0" fontId="7" fillId="0" borderId="0" applyAlignment="1" pivotButton="0" quotePrefix="0" xfId="0">
      <alignment wrapText="1"/>
    </xf>
    <xf numFmtId="0" fontId="7" fillId="0" borderId="0" applyAlignment="1" pivotButton="0" quotePrefix="0" xfId="0">
      <alignment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DCDC"/>
      <rgbColor rgb="FF3366FF"/>
      <rgbColor rgb="FF33CCCC"/>
      <rgbColor rgb="FF99CC00"/>
      <rgbColor rgb="FFFFCC00"/>
      <rgbColor rgb="FFFF9900"/>
      <rgbColor rgb="FFDC6900"/>
      <rgbColor rgb="FF6E6E6E"/>
      <rgbColor rgb="FF969696"/>
      <rgbColor rgb="FF003366"/>
      <rgbColor rgb="FF339966"/>
      <rgbColor rgb="FF003300"/>
      <rgbColor rgb="FF333300"/>
      <rgbColor rgb="FFA3202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showGridLines="0" tabSelected="1" zoomScale="85" zoomScaleNormal="100" workbookViewId="0">
      <selection activeCell="B14" sqref="B14"/>
    </sheetView>
  </sheetViews>
  <sheetFormatPr baseColWidth="8" defaultColWidth="8.6328125" defaultRowHeight="14.5"/>
  <cols>
    <col width="7.6328125" customWidth="1" min="1" max="1"/>
    <col width="102" customWidth="1" min="2" max="2"/>
    <col width="30" customWidth="1" min="3" max="3"/>
    <col width="13" customWidth="1" min="4" max="4"/>
    <col width="15" customWidth="1" min="5" max="5"/>
    <col width="12" customWidth="1" min="6" max="6"/>
  </cols>
  <sheetData>
    <row r="1" ht="17.5" customHeight="1">
      <c r="A1" s="6" t="inlineStr">
        <is>
          <t>Journal Entries (Risk Testing) — Library of Audit Procedures</t>
        </is>
      </c>
    </row>
    <row r="2">
      <c r="A2" s="8" t="inlineStr">
        <is>
          <t>Client / Entity: Whitmore Products Company</t>
        </is>
      </c>
    </row>
    <row r="3">
      <c r="A3" s="8" t="inlineStr">
        <is>
          <t>Prepared by: Audit Senior 8606 (assigned)      Reviewed by: Audit Manager A1DC (assigned)</t>
        </is>
      </c>
    </row>
    <row r="4" ht="25.5" customHeight="1">
      <c r="A4" s="4" t="inlineStr">
        <is>
          <t>Tick each procedure when complete; enter the W/P reference, performed-by initials and date. Work through ALL applicable procedures before concluding.</t>
        </is>
      </c>
    </row>
    <row r="5"/>
    <row r="6" ht="19.5" customHeight="1">
      <c r="A6" s="23" t="inlineStr">
        <is>
          <t>Done</t>
        </is>
      </c>
      <c r="B6" s="24" t="inlineStr">
        <is>
          <t>Procedure</t>
        </is>
      </c>
      <c r="C6" s="24" t="inlineStr">
        <is>
          <t>Assertion(s)</t>
        </is>
      </c>
      <c r="D6" s="23" t="inlineStr">
        <is>
          <t>W/P Ref</t>
        </is>
      </c>
      <c r="E6" s="23" t="inlineStr">
        <is>
          <t>Performed by</t>
        </is>
      </c>
      <c r="F6" s="23" t="inlineStr">
        <is>
          <t>Date</t>
        </is>
      </c>
    </row>
    <row r="7">
      <c r="A7" s="1" t="inlineStr">
        <is>
          <t>&lt;.0&gt; Source Index</t>
        </is>
      </c>
      <c r="B7" s="32" t="n"/>
      <c r="C7" s="32" t="n"/>
      <c r="D7" s="32" t="n"/>
      <c r="E7" s="32" t="n"/>
      <c r="F7" s="33" t="n"/>
    </row>
    <row r="8" ht="39" customHeight="1">
      <c r="A8" s="29" t="n"/>
      <c r="B8" s="21" t="inlineStr">
        <is>
          <t>1. Obtain and index all risk-testing sources (validated population, close checklist / approval workflow, user listing with roles, suspense GL detail, ERP source schedules, post-close listing); document limitations.</t>
        </is>
      </c>
      <c r="C8" s="21" t="inlineStr">
        <is>
          <t>Completeness</t>
        </is>
      </c>
      <c r="D8" s="22" t="inlineStr">
        <is>
          <t>&lt;.0&gt;</t>
        </is>
      </c>
      <c r="E8" s="29" t="n"/>
      <c r="F8" s="29" t="n"/>
    </row>
    <row r="9">
      <c r="A9" s="1" t="inlineStr">
        <is>
          <t>&lt;.1&gt; Population &amp; Risk Criteria</t>
        </is>
      </c>
      <c r="B9" s="32" t="n"/>
      <c r="C9" s="32" t="n"/>
      <c r="D9" s="32" t="n"/>
      <c r="E9" s="32" t="n"/>
      <c r="F9" s="33" t="n"/>
    </row>
    <row r="10" ht="25.5" customHeight="1">
      <c r="A10" s="29" t="n"/>
      <c r="B10" s="21" t="inlineStr">
        <is>
          <t>2. Profile the validated population by source / type (count, debits, credits, net) and confirm total debits equal total credits.</t>
        </is>
      </c>
      <c r="C10" s="21" t="inlineStr">
        <is>
          <t>Completeness</t>
        </is>
      </c>
      <c r="D10" s="22" t="inlineStr">
        <is>
          <t>&lt;.1&gt;</t>
        </is>
      </c>
      <c r="E10" s="29" t="n"/>
      <c r="F10" s="29" t="n"/>
    </row>
    <row r="11" ht="51.75" customHeight="1">
      <c r="A11" s="29" t="n"/>
      <c r="B11" s="21" t="inlineStr">
        <is>
          <t>3. Apply the standard AU-C 240 risk criteria to the FULL population — after-hours, weekend, round-dollar, manual, suspense, period-end, post-close / top-side, unusual users, seldom-used accounts, missing descriptions, revenue reversals, sub-threshold amounts, preparer-equals-approver — recording the count and amount per criterion and the selection basis.</t>
        </is>
      </c>
      <c r="C11" s="21" t="inlineStr">
        <is>
          <t>Completeness; Occurrence</t>
        </is>
      </c>
      <c r="D11" s="22" t="inlineStr">
        <is>
          <t>&lt;.1&gt;</t>
        </is>
      </c>
      <c r="E11" s="29" t="n"/>
      <c r="F11" s="29" t="n"/>
    </row>
    <row r="12">
      <c r="A12" s="1" t="inlineStr">
        <is>
          <t>&lt;.2&gt; Selected JE Testing</t>
        </is>
      </c>
      <c r="B12" s="32" t="n"/>
      <c r="C12" s="32" t="n"/>
      <c r="D12" s="32" t="n"/>
      <c r="E12" s="32" t="n"/>
      <c r="F12" s="33" t="n"/>
    </row>
    <row r="13" ht="25.5" customHeight="1">
      <c r="A13" s="29" t="n"/>
      <c r="B13" s="21" t="inlineStr">
        <is>
          <t>4. Agree each selected entry to supporting documentation (invoices, schedules, calculations, contracts) and recompute the entry — debits equal credits.</t>
        </is>
      </c>
      <c r="C13" s="21" t="inlineStr">
        <is>
          <t>Occurrence; Accuracy</t>
        </is>
      </c>
      <c r="D13" s="22" t="inlineStr">
        <is>
          <t>&lt;.2&gt;</t>
        </is>
      </c>
      <c r="E13" s="29" t="n"/>
      <c r="F13" s="29" t="n"/>
    </row>
    <row r="14" ht="25.5" customHeight="1">
      <c r="A14" s="29" t="n"/>
      <c r="B14" s="21" t="inlineStr">
        <is>
          <t>5. Obtain approval evidence (signed close checklist / workflow) and capture preparer and approver identities — investigate every same-person (SoD) flag as a potential override indicator.</t>
        </is>
      </c>
      <c r="C14" s="21" t="inlineStr">
        <is>
          <t>Authorization</t>
        </is>
      </c>
      <c r="D14" s="22" t="inlineStr">
        <is>
          <t>&lt;.2&gt;</t>
        </is>
      </c>
      <c r="E14" s="29" t="n"/>
      <c r="F14" s="29" t="n"/>
    </row>
    <row r="15" ht="25.5" customHeight="1">
      <c r="A15" s="29" t="n"/>
      <c r="B15" s="21" t="inlineStr">
        <is>
          <t>6. Confirm posting to the correct accounts and the correct period, and conclude per entry (S / U / N/A) with the client's explanation documented.</t>
        </is>
      </c>
      <c r="C15" s="21" t="inlineStr">
        <is>
          <t>Accuracy; Cutoff; Classification</t>
        </is>
      </c>
      <c r="D15" s="22" t="inlineStr">
        <is>
          <t>&lt;.2&gt;</t>
        </is>
      </c>
      <c r="E15" s="29" t="n"/>
      <c r="F15" s="29" t="n"/>
    </row>
    <row r="16">
      <c r="A16" s="1" t="inlineStr">
        <is>
          <t>&lt;.3&gt; Suspense &amp; Clearing</t>
        </is>
      </c>
      <c r="B16" s="32" t="n"/>
      <c r="C16" s="32" t="n"/>
      <c r="D16" s="32" t="n"/>
      <c r="E16" s="32" t="n"/>
      <c r="F16" s="33" t="n"/>
    </row>
    <row r="17" ht="39" customHeight="1">
      <c r="A17" s="29" t="n"/>
      <c r="B17" s="21" t="inlineStr">
        <is>
          <t>7. Investigate suspense / clearing accounts — roll activity forward, follow every period-end balance through to its subsequent clearing (date and destination), and evaluate aged items for concealed misstatement.</t>
        </is>
      </c>
      <c r="C17" s="21" t="inlineStr">
        <is>
          <t>Occurrence; Classification</t>
        </is>
      </c>
      <c r="D17" s="22" t="inlineStr">
        <is>
          <t>&lt;.3&gt;</t>
        </is>
      </c>
      <c r="E17" s="29" t="n"/>
      <c r="F17" s="29" t="n"/>
    </row>
    <row r="18">
      <c r="A18" s="1" t="inlineStr">
        <is>
          <t>&lt;.4&gt; Period-End &amp; Post-Close</t>
        </is>
      </c>
      <c r="B18" s="32" t="n"/>
      <c r="C18" s="32" t="n"/>
      <c r="D18" s="32" t="n"/>
      <c r="E18" s="32" t="n"/>
      <c r="F18" s="33" t="n"/>
    </row>
    <row r="19" ht="15" customHeight="1">
      <c r="A19" s="29" t="n"/>
      <c r="B19" s="21" t="inlineStr">
        <is>
          <t>8. Test entries recorded in the period-end window — business rationale, support and period propriety.</t>
        </is>
      </c>
      <c r="C19" s="21" t="inlineStr">
        <is>
          <t>Cutoff; Occurrence</t>
        </is>
      </c>
      <c r="D19" s="22" t="inlineStr">
        <is>
          <t>&lt;.4&gt;</t>
        </is>
      </c>
      <c r="E19" s="29" t="n"/>
      <c r="F19" s="29" t="n"/>
    </row>
    <row r="20" ht="25.5" customHeight="1">
      <c r="A20" s="29" t="n"/>
      <c r="B20" s="21" t="inlineStr">
        <is>
          <t>9. Test post-close and top-side / consolidation adjustments — authorization, FS impact and support — as the highest-override-risk stratum.</t>
        </is>
      </c>
      <c r="C20" s="21" t="inlineStr">
        <is>
          <t>Authorization; Accuracy</t>
        </is>
      </c>
      <c r="D20" s="22" t="inlineStr">
        <is>
          <t>&lt;.4&gt;</t>
        </is>
      </c>
      <c r="E20" s="29" t="n"/>
      <c r="F20" s="29" t="n"/>
    </row>
    <row r="21" ht="25.5" customHeight="1">
      <c r="A21" s="29" t="n"/>
      <c r="B21" s="21" t="inlineStr">
        <is>
          <t>10. Agree estimate-related entries to their ERP / source schedules and feed the engagement's retrospective review of estimates for management bias.</t>
        </is>
      </c>
      <c r="C21" s="21" t="inlineStr">
        <is>
          <t>Accuracy</t>
        </is>
      </c>
      <c r="D21" s="22" t="inlineStr">
        <is>
          <t>&lt;.4&gt;</t>
        </is>
      </c>
      <c r="E21" s="29" t="n"/>
      <c r="F21" s="29" t="n"/>
    </row>
    <row r="22">
      <c r="A22" s="1" t="inlineStr">
        <is>
          <t>&lt;.5&gt; Analytics &amp; Conclusion</t>
        </is>
      </c>
      <c r="B22" s="32" t="n"/>
      <c r="C22" s="32" t="n"/>
      <c r="D22" s="32" t="n"/>
      <c r="E22" s="32" t="n"/>
      <c r="F22" s="33" t="n"/>
    </row>
    <row r="23" ht="39" customHeight="1">
      <c r="A23" s="29" t="n"/>
      <c r="B23" s="21" t="inlineStr">
        <is>
          <t>11. Complete the standard fraud-risk analytics checklist over the full population (by user, hour, day, round-dollar, source, credits to revenue, seldom-used accounts, imbalance scan) and follow up anomalies.</t>
        </is>
      </c>
      <c r="C23" s="21" t="inlineStr">
        <is>
          <t>Completeness; Occurrence</t>
        </is>
      </c>
      <c r="D23" s="22" t="inlineStr">
        <is>
          <t>&lt;.5&gt;</t>
        </is>
      </c>
      <c r="E23" s="29" t="n"/>
      <c r="F23" s="29" t="n"/>
    </row>
    <row r="24" ht="25.5" customHeight="1">
      <c r="A24" s="29" t="n"/>
      <c r="B24" s="21" t="inlineStr">
        <is>
          <t>12. Evaluate the management-override indicators collectively (SoD, top-side, suspense, estimates, criteria counts) and conclude on the journal-entry work (AU-C 240.32).</t>
        </is>
      </c>
      <c r="C24" s="21" t="inlineStr">
        <is>
          <t>Overall</t>
        </is>
      </c>
      <c r="D24" s="22" t="inlineStr">
        <is>
          <t>&lt;.5&gt;</t>
        </is>
      </c>
      <c r="E24" s="29" t="n"/>
      <c r="F24" s="29" t="n"/>
    </row>
    <row r="25">
      <c r="A25" s="1" t="inlineStr">
        <is>
          <t>Documentation &amp; Review</t>
        </is>
      </c>
      <c r="B25" s="32" t="n"/>
      <c r="C25" s="32" t="n"/>
      <c r="D25" s="32" t="n"/>
      <c r="E25" s="32" t="n"/>
      <c r="F25" s="33" t="n"/>
    </row>
    <row r="26" ht="15" customHeight="1">
      <c r="A26" s="29" t="n"/>
      <c r="B26" s="21" t="inlineStr">
        <is>
          <t>13. Cross-reference each procedure to its workpaper tab and link it to the relevant assertion(s).</t>
        </is>
      </c>
      <c r="C26" s="21" t="inlineStr">
        <is>
          <t>Overall</t>
        </is>
      </c>
      <c r="D26" s="22" t="inlineStr">
        <is>
          <t>&lt;.0&gt;-&lt;.5&gt;</t>
        </is>
      </c>
      <c r="E26" s="29" t="n"/>
      <c r="F26" s="29" t="n"/>
    </row>
    <row r="27" ht="25.5" customHeight="1">
      <c r="A27" s="29" t="n"/>
      <c r="B27" s="21" t="inlineStr">
        <is>
          <t>14. Verify population, selection, balance-check and exception-count formulas foot correctly and the workbook source trail is complete.</t>
        </is>
      </c>
      <c r="C27" s="21" t="inlineStr">
        <is>
          <t>Accuracy; Completeness</t>
        </is>
      </c>
      <c r="D27" s="22" t="inlineStr">
        <is>
          <t>&lt;.1&gt;-&lt;.4&gt;</t>
        </is>
      </c>
      <c r="E27" s="29" t="n"/>
      <c r="F27" s="29" t="n"/>
    </row>
    <row r="28">
      <c r="A28" s="1" t="inlineStr">
        <is>
          <t>Conclusion</t>
        </is>
      </c>
      <c r="B28" s="32" t="n"/>
      <c r="C28" s="32" t="n"/>
      <c r="D28" s="32" t="n"/>
      <c r="E28" s="32" t="n"/>
      <c r="F28" s="33" t="n"/>
    </row>
    <row r="29" ht="39" customHeight="1">
      <c r="A29" s="29" t="n"/>
      <c r="B29" s="21" t="inlineStr">
        <is>
          <t>15. All planned risk-based journal-entry procedures above were performed on a population proven complete on the companion workpaper; results support the conclusion on management override and material misstatement, subject to documented open items.</t>
        </is>
      </c>
      <c r="C29" s="21" t="inlineStr">
        <is>
          <t>Overall</t>
        </is>
      </c>
      <c r="D29" s="22" t="inlineStr">
        <is>
          <t>&lt;.0&gt;-&lt;.5&gt;</t>
        </is>
      </c>
      <c r="E29" s="29" t="n"/>
      <c r="F29" s="29" t="n"/>
    </row>
  </sheetData>
  <mergeCells count="9">
    <mergeCell ref="A16:F16"/>
    <mergeCell ref="A28:F28"/>
    <mergeCell ref="A9:F9"/>
    <mergeCell ref="A22:F22"/>
    <mergeCell ref="A18:F18"/>
    <mergeCell ref="A4:F4"/>
    <mergeCell ref="A12:F12"/>
    <mergeCell ref="A7:F7"/>
    <mergeCell ref="A25:F25"/>
  </mergeCells>
  <pageMargins left="0.3" right="0.3" top="0.4" bottom="0.4" header="0.2" footer="0.2"/>
  <pageSetup orientation="portrait" paperSize="1" fitToHeight="1" fitToWidth="1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2"/>
  <sheetViews>
    <sheetView showGridLines="0" zoomScale="85" zoomScaleNormal="100" workbookViewId="0">
      <selection activeCell="A3" sqref="A3"/>
    </sheetView>
  </sheetViews>
  <sheetFormatPr baseColWidth="8" defaultColWidth="8.6328125" defaultRowHeight="14.5"/>
  <cols>
    <col width="21.90625" bestFit="1" customWidth="1" min="1" max="1"/>
    <col width="38" customWidth="1" min="2" max="2"/>
    <col width="20" customWidth="1" min="3" max="3"/>
    <col width="14" customWidth="1" min="4" max="4"/>
    <col width="12" customWidth="1" min="5" max="5"/>
    <col width="24" customWidth="1" min="6" max="6"/>
    <col width="34" customWidth="1" min="7" max="7"/>
  </cols>
  <sheetData>
    <row r="1" ht="17.5" customHeight="1">
      <c r="A1" s="6" t="inlineStr">
        <is>
          <t>Source Index</t>
        </is>
      </c>
    </row>
    <row r="2">
      <c r="A2" s="7" t="inlineStr">
        <is>
          <t>Client / Entity</t>
        </is>
      </c>
      <c r="B2" s="8" t="inlineStr">
        <is>
          <t>[Client / Entity]</t>
        </is>
      </c>
      <c r="D2" s="7" t="inlineStr">
        <is>
          <t>Year-End</t>
        </is>
      </c>
      <c r="E2" s="8" t="inlineStr">
        <is>
          <t>[YYYY-MM-DD]</t>
        </is>
      </c>
      <c r="G2" s="7" t="inlineStr">
        <is>
          <t>Currency</t>
        </is>
      </c>
      <c r="H2" s="8" t="inlineStr">
        <is>
          <t>[CCY]</t>
        </is>
      </c>
    </row>
    <row r="3">
      <c r="A3" s="7" t="inlineStr">
        <is>
          <t>Performance Materiality</t>
        </is>
      </c>
      <c r="B3" s="8" t="inlineStr">
        <is>
          <t>[PM]</t>
        </is>
      </c>
      <c r="D3" s="7" t="inlineStr">
        <is>
          <t>Testing Threshold (SUM)</t>
        </is>
      </c>
      <c r="E3" s="8" t="inlineStr">
        <is>
          <t>[Threshold]</t>
        </is>
      </c>
    </row>
    <row r="4" ht="27.75" customHeight="1">
      <c r="A4" s="27" t="inlineStr">
        <is>
          <t>Purpose:</t>
        </is>
      </c>
      <c r="B4" s="28" t="inlineStr">
        <is>
          <t>Map every risk-testing PBC source and its limitations so the evidence trail is complete and traceable.</t>
        </is>
      </c>
      <c r="C4" s="34" t="n"/>
      <c r="D4" s="34" t="n"/>
      <c r="E4" s="34" t="n"/>
      <c r="F4" s="34" t="n"/>
      <c r="G4" s="35" t="n"/>
    </row>
    <row r="5" ht="42" customHeight="1">
      <c r="A5" s="27" t="inlineStr">
        <is>
          <t>Scope:</t>
        </is>
      </c>
      <c r="B5" s="28" t="inlineStr">
        <is>
          <t>Validated JE population (from the Completeness &amp; Data Integrity workpaper), close checklist / approval workflow evidence, user listing with roles, suspense / clearing GL detail (e.g., 9000 / 2999), ERP source schedules for estimate entries, post-close / top-side entries listing.</t>
        </is>
      </c>
      <c r="C5" s="34" t="n"/>
      <c r="D5" s="34" t="n"/>
      <c r="E5" s="34" t="n"/>
      <c r="F5" s="34" t="n"/>
      <c r="G5" s="35" t="n"/>
    </row>
    <row r="6" ht="15" customHeight="1">
      <c r="A6" s="27" t="inlineStr">
        <is>
          <t>Assertions:</t>
        </is>
      </c>
      <c r="B6" s="28" t="inlineStr">
        <is>
          <t>Completeness</t>
        </is>
      </c>
      <c r="C6" s="34" t="n"/>
      <c r="D6" s="34" t="n"/>
      <c r="E6" s="34" t="n"/>
      <c r="F6" s="34" t="n"/>
      <c r="G6" s="35" t="n"/>
    </row>
    <row r="7" ht="30" customHeight="1">
      <c r="A7" s="26" t="inlineStr">
        <is>
          <t>Ref</t>
        </is>
      </c>
      <c r="B7" s="26" t="inlineStr">
        <is>
          <t>Source document / PBC</t>
        </is>
      </c>
      <c r="C7" s="26" t="inlineStr">
        <is>
          <t>Provided by</t>
        </is>
      </c>
      <c r="D7" s="26" t="inlineStr">
        <is>
          <t>Date received</t>
        </is>
      </c>
      <c r="E7" s="26" t="inlineStr">
        <is>
          <t>Format</t>
        </is>
      </c>
      <c r="F7" s="26" t="inlineStr">
        <is>
          <t>Used in tab(s)</t>
        </is>
      </c>
      <c r="G7" s="26" t="inlineStr">
        <is>
          <t>Limitations / notes</t>
        </is>
      </c>
    </row>
    <row r="8">
      <c r="A8" s="29" t="n"/>
      <c r="B8" s="29" t="n"/>
      <c r="C8" s="29" t="n"/>
      <c r="D8" s="29" t="n"/>
      <c r="E8" s="29" t="n"/>
      <c r="F8" s="29" t="n"/>
      <c r="G8" s="29" t="n"/>
    </row>
    <row r="9">
      <c r="A9" s="29" t="n"/>
      <c r="B9" s="29" t="n"/>
      <c r="C9" s="29" t="n"/>
      <c r="D9" s="29" t="n"/>
      <c r="E9" s="29" t="n"/>
      <c r="F9" s="29" t="n"/>
      <c r="G9" s="29" t="n"/>
    </row>
    <row r="10">
      <c r="A10" s="29" t="n"/>
      <c r="B10" s="29" t="n"/>
      <c r="C10" s="29" t="n"/>
      <c r="D10" s="29" t="n"/>
      <c r="E10" s="29" t="n"/>
      <c r="F10" s="29" t="n"/>
      <c r="G10" s="29" t="n"/>
    </row>
    <row r="11">
      <c r="A11" s="29" t="n"/>
      <c r="B11" s="29" t="n"/>
      <c r="C11" s="29" t="n"/>
      <c r="D11" s="29" t="n"/>
      <c r="E11" s="29" t="n"/>
      <c r="F11" s="29" t="n"/>
      <c r="G11" s="29" t="n"/>
    </row>
    <row r="12">
      <c r="A12" s="29" t="n"/>
      <c r="B12" s="29" t="n"/>
      <c r="C12" s="29" t="n"/>
      <c r="D12" s="29" t="n"/>
      <c r="E12" s="29" t="n"/>
      <c r="F12" s="29" t="n"/>
      <c r="G12" s="29" t="n"/>
    </row>
    <row r="13">
      <c r="A13" s="29" t="n"/>
      <c r="B13" s="29" t="n"/>
      <c r="C13" s="29" t="n"/>
      <c r="D13" s="29" t="n"/>
      <c r="E13" s="29" t="n"/>
      <c r="F13" s="29" t="n"/>
      <c r="G13" s="29" t="n"/>
    </row>
    <row r="14">
      <c r="A14" s="29" t="n"/>
      <c r="B14" s="29" t="n"/>
      <c r="C14" s="29" t="n"/>
      <c r="D14" s="29" t="n"/>
      <c r="E14" s="29" t="n"/>
      <c r="F14" s="29" t="n"/>
      <c r="G14" s="29" t="n"/>
    </row>
    <row r="15">
      <c r="A15" s="29" t="n"/>
      <c r="B15" s="29" t="n"/>
      <c r="C15" s="29" t="n"/>
      <c r="D15" s="29" t="n"/>
      <c r="E15" s="29" t="n"/>
      <c r="F15" s="29" t="n"/>
      <c r="G15" s="29" t="n"/>
    </row>
    <row r="16">
      <c r="A16" s="29" t="n"/>
      <c r="B16" s="29" t="n"/>
      <c r="C16" s="29" t="n"/>
      <c r="D16" s="29" t="n"/>
      <c r="E16" s="29" t="n"/>
      <c r="F16" s="29" t="n"/>
      <c r="G16" s="29" t="n"/>
    </row>
    <row r="17">
      <c r="A17" s="29" t="n"/>
      <c r="B17" s="29" t="n"/>
      <c r="C17" s="29" t="n"/>
      <c r="D17" s="29" t="n"/>
      <c r="E17" s="29" t="n"/>
      <c r="F17" s="29" t="n"/>
      <c r="G17" s="29" t="n"/>
    </row>
    <row r="18">
      <c r="A18" s="29" t="n"/>
      <c r="B18" s="29" t="n"/>
      <c r="C18" s="29" t="n"/>
      <c r="D18" s="29" t="n"/>
      <c r="E18" s="29" t="n"/>
      <c r="F18" s="29" t="n"/>
      <c r="G18" s="29" t="n"/>
    </row>
    <row r="19">
      <c r="A19" s="29" t="n"/>
      <c r="B19" s="29" t="n"/>
      <c r="C19" s="29" t="n"/>
      <c r="D19" s="29" t="n"/>
      <c r="E19" s="29" t="n"/>
      <c r="F19" s="29" t="n"/>
      <c r="G19" s="29" t="n"/>
    </row>
    <row r="20"/>
    <row r="21">
      <c r="A21" s="9" t="inlineStr">
        <is>
          <t>TM Legends</t>
        </is>
      </c>
    </row>
    <row r="22">
      <c r="A22" s="12" t="inlineStr">
        <is>
          <t>TB</t>
        </is>
      </c>
      <c r="B22" s="29" t="inlineStr">
        <is>
          <t>Agreed to trial balance</t>
        </is>
      </c>
      <c r="C22" s="32" t="n"/>
      <c r="D22" s="33" t="n"/>
    </row>
    <row r="23">
      <c r="A23" s="12" t="inlineStr">
        <is>
          <t>GL</t>
        </is>
      </c>
      <c r="B23" s="29" t="inlineStr">
        <is>
          <t>Agreed to general ledger</t>
        </is>
      </c>
      <c r="C23" s="32" t="n"/>
      <c r="D23" s="33" t="n"/>
    </row>
    <row r="24">
      <c r="A24" s="12" t="inlineStr">
        <is>
          <t>CF</t>
        </is>
      </c>
      <c r="B24" s="29" t="inlineStr">
        <is>
          <t>Confirmed with third party</t>
        </is>
      </c>
      <c r="C24" s="32" t="n"/>
      <c r="D24" s="33" t="n"/>
    </row>
    <row r="25">
      <c r="A25" s="12" t="inlineStr">
        <is>
          <t>V</t>
        </is>
      </c>
      <c r="B25" s="29" t="inlineStr">
        <is>
          <t>Vouched to source document</t>
        </is>
      </c>
      <c r="C25" s="32" t="n"/>
      <c r="D25" s="33" t="n"/>
    </row>
    <row r="26">
      <c r="A26" s="12" t="inlineStr">
        <is>
          <t>SR</t>
        </is>
      </c>
      <c r="B26" s="29" t="inlineStr">
        <is>
          <t>Agreed to subsequent bank-cleared receipt</t>
        </is>
      </c>
      <c r="C26" s="32" t="n"/>
      <c r="D26" s="33" t="n"/>
    </row>
    <row r="27">
      <c r="A27" s="12" t="inlineStr">
        <is>
          <t>R</t>
        </is>
      </c>
      <c r="B27" s="29" t="inlineStr">
        <is>
          <t>Recalculated independently</t>
        </is>
      </c>
      <c r="C27" s="32" t="n"/>
      <c r="D27" s="33" t="n"/>
    </row>
    <row r="28">
      <c r="A28" s="12" t="inlineStr">
        <is>
          <t>F</t>
        </is>
      </c>
      <c r="B28" s="29" t="inlineStr">
        <is>
          <t>Footed / cross-cast</t>
        </is>
      </c>
      <c r="C28" s="32" t="n"/>
      <c r="D28" s="33" t="n"/>
    </row>
    <row r="29">
      <c r="A29" s="12" t="inlineStr">
        <is>
          <t>T</t>
        </is>
      </c>
      <c r="B29" s="29" t="inlineStr">
        <is>
          <t>Traced to downstream record</t>
        </is>
      </c>
      <c r="C29" s="32" t="n"/>
      <c r="D29" s="33" t="n"/>
    </row>
    <row r="30">
      <c r="A30" s="12" t="inlineStr">
        <is>
          <t>PBC</t>
        </is>
      </c>
      <c r="B30" s="29" t="inlineStr">
        <is>
          <t>Prepared by client</t>
        </is>
      </c>
      <c r="C30" s="32" t="n"/>
      <c r="D30" s="33" t="n"/>
    </row>
    <row r="31"/>
    <row r="32" ht="27.75" customHeight="1">
      <c r="A32" s="4" t="inlineStr">
        <is>
          <t>Before sign-off complete Library Procedure 1 (source completeness &amp; limitations). The population itself is validated on the companion Completeness &amp; Data Integrity workpaper.</t>
        </is>
      </c>
    </row>
  </sheetData>
  <mergeCells count="13">
    <mergeCell ref="A32:G32"/>
    <mergeCell ref="B28:D28"/>
    <mergeCell ref="B5:G5"/>
    <mergeCell ref="B23:D23"/>
    <mergeCell ref="B22:D22"/>
    <mergeCell ref="B26:D26"/>
    <mergeCell ref="B27:D27"/>
    <mergeCell ref="B4:G4"/>
    <mergeCell ref="B30:D30"/>
    <mergeCell ref="B29:D29"/>
    <mergeCell ref="B25:D25"/>
    <mergeCell ref="B24:D24"/>
    <mergeCell ref="B6:G6"/>
  </mergeCells>
  <pageMargins left="0.3" right="0.3" top="0.4" bottom="0.4" header="0.2" footer="0.2"/>
  <pageSetup orientation="portrait" paperSize="1" fitToHeight="1" fitToWidth="1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48"/>
  <sheetViews>
    <sheetView showGridLines="0" zoomScale="85" zoomScaleNormal="100" workbookViewId="0">
      <selection activeCell="G8" sqref="G8"/>
    </sheetView>
  </sheetViews>
  <sheetFormatPr baseColWidth="8" defaultColWidth="8.6328125" defaultRowHeight="14.5"/>
  <cols>
    <col width="34" customWidth="1" min="1" max="1"/>
    <col width="11" customWidth="1" min="2" max="2"/>
    <col width="15" customWidth="1" min="3" max="5"/>
    <col width="12" customWidth="1" min="6" max="6"/>
    <col width="14" customWidth="1" min="7" max="7"/>
    <col width="26" customWidth="1" min="8" max="8"/>
  </cols>
  <sheetData>
    <row r="1" ht="17.5" customHeight="1">
      <c r="A1" s="6" t="inlineStr">
        <is>
          <t>Population Profile &amp; Risk-Based Selection Criteria</t>
        </is>
      </c>
    </row>
    <row r="2">
      <c r="A2" s="7" t="inlineStr">
        <is>
          <t>Client / Entity</t>
        </is>
      </c>
      <c r="B2" s="8" t="inlineStr">
        <is>
          <t>[Client / Entity]</t>
        </is>
      </c>
      <c r="D2" s="7" t="inlineStr">
        <is>
          <t>Year-End</t>
        </is>
      </c>
      <c r="E2" s="8" t="inlineStr">
        <is>
          <t>[YYYY-MM-DD]</t>
        </is>
      </c>
      <c r="G2" s="7" t="inlineStr">
        <is>
          <t>Currency</t>
        </is>
      </c>
      <c r="H2" s="8" t="inlineStr">
        <is>
          <t>[CCY]</t>
        </is>
      </c>
    </row>
    <row r="3">
      <c r="A3" s="7" t="inlineStr">
        <is>
          <t>Performance Materiality</t>
        </is>
      </c>
      <c r="B3" s="8" t="inlineStr">
        <is>
          <t>[PM]</t>
        </is>
      </c>
      <c r="D3" s="7" t="inlineStr">
        <is>
          <t>Testing Threshold (SUM)</t>
        </is>
      </c>
      <c r="E3" s="8" t="inlineStr">
        <is>
          <t>[Threshold]</t>
        </is>
      </c>
    </row>
    <row r="4" ht="27.75" customHeight="1">
      <c r="A4" s="27" t="inlineStr">
        <is>
          <t>Purpose:</t>
        </is>
      </c>
      <c r="B4" s="28" t="inlineStr">
        <is>
          <t>Profile the validated JE population by source / type, then apply the standard AU-C 240 fraud-risk criteria with population counts and select entries for testing.</t>
        </is>
      </c>
      <c r="C4" s="34" t="n"/>
      <c r="D4" s="34" t="n"/>
      <c r="E4" s="34" t="n"/>
      <c r="F4" s="34" t="n"/>
      <c r="G4" s="34" t="n"/>
      <c r="H4" s="35" t="n"/>
    </row>
    <row r="5" ht="27.75" customHeight="1">
      <c r="A5" s="27" t="inlineStr">
        <is>
          <t>Scope:</t>
        </is>
      </c>
      <c r="B5" s="28" t="inlineStr">
        <is>
          <t>The full validated JE population; every criterion applied against the whole population (AU-C 240.32).</t>
        </is>
      </c>
      <c r="C5" s="34" t="n"/>
      <c r="D5" s="34" t="n"/>
      <c r="E5" s="34" t="n"/>
      <c r="F5" s="34" t="n"/>
      <c r="G5" s="34" t="n"/>
      <c r="H5" s="35" t="n"/>
    </row>
    <row r="6" ht="15" customHeight="1">
      <c r="A6" s="27" t="inlineStr">
        <is>
          <t>Assertions:</t>
        </is>
      </c>
      <c r="B6" s="28" t="inlineStr">
        <is>
          <t>Completeness; Occurrence</t>
        </is>
      </c>
      <c r="C6" s="34" t="n"/>
      <c r="D6" s="34" t="n"/>
      <c r="E6" s="34" t="n"/>
      <c r="F6" s="34" t="n"/>
      <c r="G6" s="34" t="n"/>
      <c r="H6" s="35" t="n"/>
    </row>
    <row r="7">
      <c r="A7" s="13" t="inlineStr">
        <is>
          <t>A. Population by source / type</t>
        </is>
      </c>
    </row>
    <row r="8" ht="21.75" customHeight="1">
      <c r="A8" s="10" t="inlineStr">
        <is>
          <t>Source / type</t>
        </is>
      </c>
      <c r="B8" s="10" t="inlineStr">
        <is>
          <t>Count</t>
        </is>
      </c>
      <c r="C8" s="10" t="inlineStr">
        <is>
          <t>Debits</t>
        </is>
      </c>
      <c r="D8" s="10" t="inlineStr">
        <is>
          <t>Credits</t>
        </is>
      </c>
      <c r="E8" s="10" t="inlineStr">
        <is>
          <t>Net</t>
        </is>
      </c>
      <c r="F8" s="10" t="inlineStr">
        <is>
          <t>Comments</t>
        </is>
      </c>
    </row>
    <row r="9">
      <c r="C9" s="14" t="inlineStr">
        <is>
          <t>T</t>
        </is>
      </c>
    </row>
    <row r="10">
      <c r="A10" s="29" t="inlineStr">
        <is>
          <t>Receivable / sales entries</t>
        </is>
      </c>
      <c r="B10" s="15" t="n"/>
      <c r="C10" s="16" t="n"/>
      <c r="D10" s="16" t="n"/>
      <c r="E10" s="16">
        <f>IF(AND(C10="",D10=""),"",IF(C10="",0,C10)-IF(D10="",0,D10))</f>
        <v/>
      </c>
      <c r="F10" s="29" t="n"/>
    </row>
    <row r="11">
      <c r="A11" s="29" t="inlineStr">
        <is>
          <t>Payment / receipt entries</t>
        </is>
      </c>
      <c r="B11" s="15" t="n"/>
      <c r="C11" s="16" t="n"/>
      <c r="D11" s="16" t="n"/>
      <c r="E11" s="16">
        <f>IF(AND(C11="",D11=""),"",IF(C11="",0,C11)-IF(D11="",0,D11))</f>
        <v/>
      </c>
      <c r="F11" s="29" t="n"/>
    </row>
    <row r="12">
      <c r="A12" s="29" t="inlineStr">
        <is>
          <t>Purchase / payable entries</t>
        </is>
      </c>
      <c r="B12" s="15" t="n"/>
      <c r="C12" s="16" t="n"/>
      <c r="D12" s="16" t="n"/>
      <c r="E12" s="16">
        <f>IF(AND(C12="",D12=""),"",IF(C12="",0,C12)-IF(D12="",0,D12))</f>
        <v/>
      </c>
      <c r="F12" s="29" t="n"/>
    </row>
    <row r="13">
      <c r="A13" s="29" t="inlineStr">
        <is>
          <t>Manual journal entries</t>
        </is>
      </c>
      <c r="B13" s="15" t="n"/>
      <c r="C13" s="16" t="n"/>
      <c r="D13" s="16" t="n"/>
      <c r="E13" s="16">
        <f>IF(AND(C13="",D13=""),"",IF(C13="",0,C13)-IF(D13="",0,D13))</f>
        <v/>
      </c>
      <c r="F13" s="29" t="n"/>
    </row>
    <row r="14">
      <c r="A14" s="29" t="inlineStr">
        <is>
          <t>System / automated entries</t>
        </is>
      </c>
      <c r="B14" s="15" t="n"/>
      <c r="C14" s="16" t="n"/>
      <c r="D14" s="16" t="n"/>
      <c r="E14" s="16">
        <f>IF(AND(C14="",D14=""),"",IF(C14="",0,C14)-IF(D14="",0,D14))</f>
        <v/>
      </c>
      <c r="F14" s="29" t="n"/>
    </row>
    <row r="15">
      <c r="A15" s="29" t="inlineStr">
        <is>
          <t>Other</t>
        </is>
      </c>
      <c r="B15" s="15" t="n"/>
      <c r="C15" s="16" t="n"/>
      <c r="D15" s="16" t="n"/>
      <c r="E15" s="16">
        <f>IF(AND(C15="",D15=""),"",IF(C15="",0,C15)-IF(D15="",0,D15))</f>
        <v/>
      </c>
      <c r="F15" s="29" t="n"/>
    </row>
    <row r="16">
      <c r="A16" s="17" t="inlineStr">
        <is>
          <t>Total population</t>
        </is>
      </c>
      <c r="B16" s="18">
        <f>SUM(B10:B15)</f>
        <v/>
      </c>
      <c r="C16" s="19">
        <f>SUM(C10:C15)</f>
        <v/>
      </c>
      <c r="D16" s="19">
        <f>SUM(D10:D15)</f>
        <v/>
      </c>
      <c r="E16" s="19">
        <f>SUM(E10:E15)</f>
        <v/>
      </c>
      <c r="F16" s="17" t="n"/>
    </row>
    <row r="17"/>
    <row r="18">
      <c r="A18" s="13" t="inlineStr">
        <is>
          <t>B. AU-C 240 risk criteria — applied to the full population</t>
        </is>
      </c>
    </row>
    <row r="19" ht="25.5" customHeight="1">
      <c r="A19" s="10" t="inlineStr">
        <is>
          <t>Criterion</t>
        </is>
      </c>
      <c r="B19" s="10" t="inlineStr">
        <is>
          <t>Count in population</t>
        </is>
      </c>
      <c r="C19" s="10" t="inlineStr">
        <is>
          <t>Amount</t>
        </is>
      </c>
      <c r="D19" s="10" t="inlineStr">
        <is>
          <t># Selected</t>
        </is>
      </c>
      <c r="E19" s="10" t="inlineStr">
        <is>
          <t>Selection basis (all / sample)</t>
        </is>
      </c>
      <c r="F19" s="10" t="inlineStr">
        <is>
          <t>Tested on</t>
        </is>
      </c>
      <c r="G19" s="10" t="inlineStr">
        <is>
          <t>Comments</t>
        </is>
      </c>
    </row>
    <row r="20" ht="21.75" customHeight="1">
      <c r="A20" s="21" t="inlineStr">
        <is>
          <t>Entries posted after business hours</t>
        </is>
      </c>
      <c r="B20" s="15" t="n"/>
      <c r="C20" s="16" t="n"/>
      <c r="D20" s="15" t="n"/>
      <c r="E20" s="29" t="n"/>
      <c r="F20" s="29" t="n"/>
      <c r="G20" s="29" t="n"/>
    </row>
    <row r="21" ht="21.75" customHeight="1">
      <c r="A21" s="21" t="inlineStr">
        <is>
          <t>Entries posted on weekends / holidays</t>
        </is>
      </c>
      <c r="B21" s="15" t="n"/>
      <c r="C21" s="16" t="n"/>
      <c r="D21" s="15" t="n"/>
      <c r="E21" s="29" t="n"/>
      <c r="F21" s="29" t="n"/>
      <c r="G21" s="29" t="n"/>
    </row>
    <row r="22" ht="21.75" customHeight="1">
      <c r="A22" s="21" t="inlineStr">
        <is>
          <t>Round-dollar amounts (e.g., 000s)</t>
        </is>
      </c>
      <c r="B22" s="15" t="n"/>
      <c r="C22" s="16" t="n"/>
      <c r="D22" s="15" t="n"/>
      <c r="E22" s="29" t="n"/>
      <c r="F22" s="29" t="n"/>
      <c r="G22" s="29" t="n"/>
    </row>
    <row r="23" ht="21.75" customHeight="1">
      <c r="A23" s="21" t="inlineStr">
        <is>
          <t>Manual (non-system) entries</t>
        </is>
      </c>
      <c r="B23" s="15" t="n"/>
      <c r="C23" s="16" t="n"/>
      <c r="D23" s="15" t="n"/>
      <c r="E23" s="29" t="n"/>
      <c r="F23" s="29" t="n"/>
      <c r="G23" s="29" t="n"/>
    </row>
    <row r="24" ht="21.75" customHeight="1">
      <c r="A24" s="21" t="inlineStr">
        <is>
          <t>Entries to suspense / clearing accounts</t>
        </is>
      </c>
      <c r="B24" s="15" t="n"/>
      <c r="C24" s="16" t="n"/>
      <c r="D24" s="15" t="n"/>
      <c r="E24" s="29" t="n"/>
      <c r="F24" s="29" t="n"/>
      <c r="G24" s="29" t="n"/>
    </row>
    <row r="25" ht="21.75" customHeight="1">
      <c r="A25" s="21" t="inlineStr">
        <is>
          <t>Period-end entries (last days of period)</t>
        </is>
      </c>
      <c r="B25" s="15" t="n"/>
      <c r="C25" s="16" t="n"/>
      <c r="D25" s="15" t="n"/>
      <c r="E25" s="29" t="n"/>
      <c r="F25" s="29" t="n"/>
      <c r="G25" s="29" t="n"/>
    </row>
    <row r="26" ht="21.75" customHeight="1">
      <c r="A26" s="21" t="inlineStr">
        <is>
          <t>Post-close / top-side adjustments</t>
        </is>
      </c>
      <c r="B26" s="15" t="n"/>
      <c r="C26" s="16" t="n"/>
      <c r="D26" s="15" t="n"/>
      <c r="E26" s="29" t="n"/>
      <c r="F26" s="29" t="n"/>
      <c r="G26" s="29" t="n"/>
    </row>
    <row r="27" ht="21.75" customHeight="1">
      <c r="A27" s="21" t="inlineStr">
        <is>
          <t>Entries by unusual or unexpected users (incl. IT / executives)</t>
        </is>
      </c>
      <c r="B27" s="15" t="n"/>
      <c r="C27" s="16" t="n"/>
      <c r="D27" s="15" t="n"/>
      <c r="E27" s="29" t="n"/>
      <c r="F27" s="29" t="n"/>
      <c r="G27" s="29" t="n"/>
    </row>
    <row r="28" ht="21.75" customHeight="1">
      <c r="A28" s="21" t="inlineStr">
        <is>
          <t>Seldom-used account combinations</t>
        </is>
      </c>
      <c r="B28" s="15" t="n"/>
      <c r="C28" s="16" t="n"/>
      <c r="D28" s="15" t="n"/>
      <c r="E28" s="29" t="n"/>
      <c r="F28" s="29" t="n"/>
      <c r="G28" s="29" t="n"/>
    </row>
    <row r="29" ht="21.75" customHeight="1">
      <c r="A29" s="21" t="inlineStr">
        <is>
          <t>Missing / blank descriptions or references</t>
        </is>
      </c>
      <c r="B29" s="15" t="n"/>
      <c r="C29" s="16" t="n"/>
      <c r="D29" s="15" t="n"/>
      <c r="E29" s="29" t="n"/>
      <c r="F29" s="29" t="n"/>
      <c r="G29" s="29" t="n"/>
    </row>
    <row r="30" ht="21.75" customHeight="1">
      <c r="A30" s="21" t="inlineStr">
        <is>
          <t>Revenue debits / reversals</t>
        </is>
      </c>
      <c r="B30" s="15" t="n"/>
      <c r="C30" s="16" t="n"/>
      <c r="D30" s="15" t="n"/>
      <c r="E30" s="29" t="n"/>
      <c r="F30" s="29" t="n"/>
      <c r="G30" s="29" t="n"/>
    </row>
    <row r="31" ht="21.75" customHeight="1">
      <c r="A31" s="21" t="inlineStr">
        <is>
          <t>Amounts just under approval thresholds</t>
        </is>
      </c>
      <c r="B31" s="15" t="n"/>
      <c r="C31" s="16" t="n"/>
      <c r="D31" s="15" t="n"/>
      <c r="E31" s="29" t="n"/>
      <c r="F31" s="29" t="n"/>
      <c r="G31" s="29" t="n"/>
    </row>
    <row r="32" ht="21.75" customHeight="1">
      <c r="A32" s="21" t="inlineStr">
        <is>
          <t>Preparer = approver (SoD conflict)</t>
        </is>
      </c>
      <c r="B32" s="15" t="n"/>
      <c r="C32" s="16" t="n"/>
      <c r="D32" s="15" t="n"/>
      <c r="E32" s="29" t="n"/>
      <c r="F32" s="29" t="n"/>
      <c r="G32" s="29" t="n"/>
    </row>
    <row r="33">
      <c r="A33" s="17" t="inlineStr">
        <is>
          <t>Total selections (may overlap across criteria)</t>
        </is>
      </c>
      <c r="B33" s="17" t="n"/>
      <c r="C33" s="17" t="n"/>
      <c r="D33" s="18">
        <f>SUM(D20:D32)</f>
        <v/>
      </c>
      <c r="E33" s="17" t="n"/>
      <c r="F33" s="17" t="n"/>
      <c r="G33" s="17" t="n"/>
    </row>
    <row r="34"/>
    <row r="35" ht="27.75" customHeight="1">
      <c r="A35" s="31" t="inlineStr">
        <is>
          <t>Every criterion is run against the WHOLE validated population with the resulting count and amount recorded — a zero count is a documented result, not a skipped test. Entries meeting multiple criteria are higher risk; selections flow to &lt;.2&gt; with the triggering criterion carried through.</t>
        </is>
      </c>
    </row>
    <row r="36"/>
    <row r="37">
      <c r="A37" s="9" t="inlineStr">
        <is>
          <t>TM Legends</t>
        </is>
      </c>
    </row>
    <row r="38">
      <c r="A38" s="12" t="inlineStr">
        <is>
          <t>TB</t>
        </is>
      </c>
      <c r="B38" s="29" t="inlineStr">
        <is>
          <t>Agreed to trial balance</t>
        </is>
      </c>
      <c r="C38" s="32" t="n"/>
      <c r="D38" s="33" t="n"/>
    </row>
    <row r="39">
      <c r="A39" s="12" t="inlineStr">
        <is>
          <t>GL</t>
        </is>
      </c>
      <c r="B39" s="29" t="inlineStr">
        <is>
          <t>Agreed to general ledger</t>
        </is>
      </c>
      <c r="C39" s="32" t="n"/>
      <c r="D39" s="33" t="n"/>
    </row>
    <row r="40">
      <c r="A40" s="12" t="inlineStr">
        <is>
          <t>CF</t>
        </is>
      </c>
      <c r="B40" s="29" t="inlineStr">
        <is>
          <t>Confirmed with third party</t>
        </is>
      </c>
      <c r="C40" s="32" t="n"/>
      <c r="D40" s="33" t="n"/>
    </row>
    <row r="41">
      <c r="A41" s="12" t="inlineStr">
        <is>
          <t>V</t>
        </is>
      </c>
      <c r="B41" s="29" t="inlineStr">
        <is>
          <t>Vouched to source document</t>
        </is>
      </c>
      <c r="C41" s="32" t="n"/>
      <c r="D41" s="33" t="n"/>
    </row>
    <row r="42">
      <c r="A42" s="12" t="inlineStr">
        <is>
          <t>SR</t>
        </is>
      </c>
      <c r="B42" s="29" t="inlineStr">
        <is>
          <t>Agreed to subsequent bank-cleared receipt</t>
        </is>
      </c>
      <c r="C42" s="32" t="n"/>
      <c r="D42" s="33" t="n"/>
    </row>
    <row r="43">
      <c r="A43" s="12" t="inlineStr">
        <is>
          <t>R</t>
        </is>
      </c>
      <c r="B43" s="29" t="inlineStr">
        <is>
          <t>Recalculated independently</t>
        </is>
      </c>
      <c r="C43" s="32" t="n"/>
      <c r="D43" s="33" t="n"/>
    </row>
    <row r="44">
      <c r="A44" s="12" t="inlineStr">
        <is>
          <t>F</t>
        </is>
      </c>
      <c r="B44" s="29" t="inlineStr">
        <is>
          <t>Footed / cross-cast</t>
        </is>
      </c>
      <c r="C44" s="32" t="n"/>
      <c r="D44" s="33" t="n"/>
    </row>
    <row r="45">
      <c r="A45" s="12" t="inlineStr">
        <is>
          <t>T</t>
        </is>
      </c>
      <c r="B45" s="29" t="inlineStr">
        <is>
          <t>Traced to downstream record</t>
        </is>
      </c>
      <c r="C45" s="32" t="n"/>
      <c r="D45" s="33" t="n"/>
    </row>
    <row r="46">
      <c r="A46" s="12" t="inlineStr">
        <is>
          <t>PBC</t>
        </is>
      </c>
      <c r="B46" s="29" t="inlineStr">
        <is>
          <t>Prepared by client</t>
        </is>
      </c>
      <c r="C46" s="32" t="n"/>
      <c r="D46" s="33" t="n"/>
    </row>
    <row r="47"/>
    <row r="48" ht="27.75" customHeight="1">
      <c r="A48" s="4" t="inlineStr">
        <is>
          <t>Before sign-off complete Library Procedures 2-3 (population profile; risk criteria &amp; selection).</t>
        </is>
      </c>
    </row>
  </sheetData>
  <mergeCells count="14">
    <mergeCell ref="B42:D42"/>
    <mergeCell ref="A48:H48"/>
    <mergeCell ref="A35:H35"/>
    <mergeCell ref="B45:D45"/>
    <mergeCell ref="B46:D46"/>
    <mergeCell ref="B41:D41"/>
    <mergeCell ref="B4:H4"/>
    <mergeCell ref="B40:D40"/>
    <mergeCell ref="B6:H6"/>
    <mergeCell ref="B44:D44"/>
    <mergeCell ref="B43:D43"/>
    <mergeCell ref="B39:D39"/>
    <mergeCell ref="B5:H5"/>
    <mergeCell ref="B38:D38"/>
  </mergeCells>
  <pageMargins left="0.3" right="0.3" top="0.4" bottom="0.4" header="0.2" footer="0.2"/>
  <pageSetup orientation="portrait" paperSize="1" fitToHeight="1" fitToWidth="1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T51"/>
  <sheetViews>
    <sheetView showGridLines="0" zoomScale="85" zoomScaleNormal="100" workbookViewId="0">
      <pane xSplit="3" ySplit="8" topLeftCell="D9" activePane="bottomRight" state="frozen"/>
      <selection pane="topRight" activeCell="E1" sqref="E1"/>
      <selection pane="bottomLeft" activeCell="A9" sqref="A9"/>
      <selection pane="bottomRight" activeCell="A21" sqref="A21"/>
    </sheetView>
  </sheetViews>
  <sheetFormatPr baseColWidth="8" defaultColWidth="8.6328125" defaultRowHeight="14.5"/>
  <cols>
    <col width="21.90625" bestFit="1" customWidth="1" min="1" max="1"/>
    <col width="7" customWidth="1" min="2" max="2"/>
    <col width="12" customWidth="1" min="3" max="3"/>
    <col width="11" customWidth="1" min="4" max="4"/>
    <col width="13" customWidth="1" min="5" max="5"/>
    <col width="16" customWidth="1" min="6" max="6"/>
    <col width="18" customWidth="1" min="7" max="7"/>
    <col width="15" customWidth="1" min="8" max="8"/>
    <col width="13" customWidth="1" min="9" max="10"/>
    <col width="11" customWidth="1" min="11" max="11"/>
    <col width="18" customWidth="1" min="12" max="12"/>
    <col width="11" customWidth="1" min="13" max="14"/>
    <col width="12" customWidth="1" min="15" max="16"/>
    <col width="10" customWidth="1" min="17" max="17"/>
    <col width="20" customWidth="1" min="18" max="18"/>
    <col width="11" customWidth="1" min="19" max="19"/>
    <col width="20" customWidth="1" min="20" max="20"/>
  </cols>
  <sheetData>
    <row r="1" ht="17.5" customHeight="1">
      <c r="A1" s="6" t="inlineStr">
        <is>
          <t>Selected Journal Entry Testing</t>
        </is>
      </c>
    </row>
    <row r="2">
      <c r="A2" s="7" t="inlineStr">
        <is>
          <t>Client / Entity</t>
        </is>
      </c>
      <c r="B2" s="8" t="inlineStr">
        <is>
          <t>[Client / Entity]</t>
        </is>
      </c>
      <c r="D2" s="7" t="inlineStr">
        <is>
          <t>Year-End</t>
        </is>
      </c>
      <c r="E2" s="8" t="inlineStr">
        <is>
          <t>[YYYY-MM-DD]</t>
        </is>
      </c>
      <c r="G2" s="7" t="inlineStr">
        <is>
          <t>Currency</t>
        </is>
      </c>
      <c r="H2" s="8" t="inlineStr">
        <is>
          <t>[CCY]</t>
        </is>
      </c>
    </row>
    <row r="3">
      <c r="A3" s="7" t="inlineStr">
        <is>
          <t>Performance Materiality</t>
        </is>
      </c>
      <c r="B3" s="8" t="inlineStr">
        <is>
          <t>[PM]</t>
        </is>
      </c>
      <c r="D3" s="7" t="inlineStr">
        <is>
          <t>Testing Threshold (SUM)</t>
        </is>
      </c>
      <c r="E3" s="8" t="inlineStr">
        <is>
          <t>[Threshold]</t>
        </is>
      </c>
    </row>
    <row r="4" ht="42" customHeight="1">
      <c r="A4" s="27" t="inlineStr">
        <is>
          <t>Purpose:</t>
        </is>
      </c>
      <c r="B4" s="28" t="inlineStr">
        <is>
          <t>Test each selected entry: agree to supporting documentation, evidence of approval, preparer / approver identities (segregation of duties), correct accounts and period, and conclude per entry.</t>
        </is>
      </c>
      <c r="C4" s="34" t="n"/>
      <c r="D4" s="34" t="n"/>
      <c r="E4" s="34" t="n"/>
      <c r="F4" s="34" t="n"/>
      <c r="G4" s="34" t="n"/>
      <c r="H4" s="34" t="n"/>
      <c r="I4" s="34" t="n"/>
      <c r="J4" s="34" t="n"/>
      <c r="K4" s="34" t="n"/>
      <c r="L4" s="34" t="n"/>
      <c r="M4" s="34" t="n"/>
      <c r="N4" s="34" t="n"/>
      <c r="O4" s="34" t="n"/>
      <c r="P4" s="34" t="n"/>
      <c r="Q4" s="34" t="n"/>
      <c r="R4" s="34" t="n"/>
      <c r="S4" s="34" t="n"/>
      <c r="T4" s="35" t="n"/>
    </row>
    <row r="5" ht="15" customHeight="1">
      <c r="A5" s="27" t="inlineStr">
        <is>
          <t>Scope:</t>
        </is>
      </c>
      <c r="B5" s="28" t="inlineStr">
        <is>
          <t>All entries selected on &lt;.1&gt;; 25 selection rows with the triggering criterion carried through.</t>
        </is>
      </c>
      <c r="C5" s="34" t="n"/>
      <c r="D5" s="34" t="n"/>
      <c r="E5" s="34" t="n"/>
      <c r="F5" s="34" t="n"/>
      <c r="G5" s="34" t="n"/>
      <c r="H5" s="34" t="n"/>
      <c r="I5" s="34" t="n"/>
      <c r="J5" s="34" t="n"/>
      <c r="K5" s="34" t="n"/>
      <c r="L5" s="34" t="n"/>
      <c r="M5" s="34" t="n"/>
      <c r="N5" s="34" t="n"/>
      <c r="O5" s="34" t="n"/>
      <c r="P5" s="34" t="n"/>
      <c r="Q5" s="34" t="n"/>
      <c r="R5" s="34" t="n"/>
      <c r="S5" s="34" t="n"/>
      <c r="T5" s="35" t="n"/>
    </row>
    <row r="6" ht="15" customHeight="1">
      <c r="A6" s="27" t="inlineStr">
        <is>
          <t>Assertions:</t>
        </is>
      </c>
      <c r="B6" s="28" t="inlineStr">
        <is>
          <t>Occurrence; Accuracy; Cutoff; Classification; Authorization</t>
        </is>
      </c>
      <c r="C6" s="34" t="n"/>
      <c r="D6" s="34" t="n"/>
      <c r="E6" s="34" t="n"/>
      <c r="F6" s="34" t="n"/>
      <c r="G6" s="34" t="n"/>
      <c r="H6" s="34" t="n"/>
      <c r="I6" s="34" t="n"/>
      <c r="J6" s="34" t="n"/>
      <c r="K6" s="34" t="n"/>
      <c r="L6" s="34" t="n"/>
      <c r="M6" s="34" t="n"/>
      <c r="N6" s="34" t="n"/>
      <c r="O6" s="34" t="n"/>
      <c r="P6" s="34" t="n"/>
      <c r="Q6" s="34" t="n"/>
      <c r="R6" s="34" t="n"/>
      <c r="S6" s="34" t="n"/>
      <c r="T6" s="35" t="n"/>
    </row>
    <row r="7" ht="43.5" customHeight="1">
      <c r="A7" s="26" t="inlineStr">
        <is>
          <t>Risk (H/M/L)</t>
        </is>
      </c>
      <c r="B7" s="26" t="inlineStr">
        <is>
          <t>Sel #</t>
        </is>
      </c>
      <c r="C7" s="26" t="inlineStr">
        <is>
          <t>JE ref</t>
        </is>
      </c>
      <c r="D7" s="26" t="inlineStr">
        <is>
          <t>Date</t>
        </is>
      </c>
      <c r="E7" s="26" t="inlineStr">
        <is>
          <t>Source / type</t>
        </is>
      </c>
      <c r="F7" s="26" t="inlineStr">
        <is>
          <t>Criterion triggering selection</t>
        </is>
      </c>
      <c r="G7" s="26" t="inlineStr">
        <is>
          <t>Description</t>
        </is>
      </c>
      <c r="H7" s="26" t="inlineStr">
        <is>
          <t>Account(s) / FSLI</t>
        </is>
      </c>
      <c r="I7" s="26" t="inlineStr">
        <is>
          <t>Debit</t>
        </is>
      </c>
      <c r="J7" s="26" t="inlineStr">
        <is>
          <t>Credit</t>
        </is>
      </c>
      <c r="K7" s="26" t="inlineStr">
        <is>
          <t>Balanced (Dr − Cr)</t>
        </is>
      </c>
      <c r="L7" s="26" t="inlineStr">
        <is>
          <t>Investigation focus</t>
        </is>
      </c>
      <c r="M7" s="26" t="inlineStr">
        <is>
          <t>Support obtained (Y/N)</t>
        </is>
      </c>
      <c r="N7" s="26" t="inlineStr">
        <is>
          <t>Approval evidence (Y/N)</t>
        </is>
      </c>
      <c r="O7" s="26" t="inlineStr">
        <is>
          <t>Prepared by</t>
        </is>
      </c>
      <c r="P7" s="26" t="inlineStr">
        <is>
          <t>Approved by</t>
        </is>
      </c>
      <c r="Q7" s="26" t="inlineStr">
        <is>
          <t>SoD check</t>
        </is>
      </c>
      <c r="R7" s="26" t="inlineStr">
        <is>
          <t>Client explanation</t>
        </is>
      </c>
      <c r="S7" s="26" t="inlineStr">
        <is>
          <t>Conclusion (S / U / N/A)</t>
        </is>
      </c>
      <c r="T7" s="26" t="inlineStr">
        <is>
          <t>Comments</t>
        </is>
      </c>
    </row>
    <row r="8">
      <c r="C8" s="14" t="inlineStr">
        <is>
          <t>PBC</t>
        </is>
      </c>
      <c r="I8" s="14" t="inlineStr">
        <is>
          <t>T</t>
        </is>
      </c>
      <c r="M8" s="14" t="inlineStr">
        <is>
          <t>V</t>
        </is>
      </c>
      <c r="N8" s="14" t="inlineStr">
        <is>
          <t>V</t>
        </is>
      </c>
    </row>
    <row r="9">
      <c r="A9" s="29" t="n"/>
      <c r="B9" s="22" t="n">
        <v>1</v>
      </c>
      <c r="C9" s="29" t="n"/>
      <c r="D9" s="29" t="n"/>
      <c r="E9" s="29" t="n"/>
      <c r="F9" s="29" t="n"/>
      <c r="G9" s="29" t="n"/>
      <c r="H9" s="29" t="n"/>
      <c r="I9" s="16" t="n"/>
      <c r="J9" s="16" t="n"/>
      <c r="K9" s="16">
        <f>IF(AND(I9="",J9=""),"",IF(I9="",0,I9)-IF(J9="",0,J9))</f>
        <v/>
      </c>
      <c r="L9" s="29" t="n"/>
      <c r="M9" s="29" t="n"/>
      <c r="N9" s="29" t="n"/>
      <c r="O9" s="29" t="n"/>
      <c r="P9" s="29" t="n"/>
      <c r="Q9" s="29">
        <f>IF(OR(O9="",P9=""),"",IF(O9=P9,"FLAG","OK"))</f>
        <v/>
      </c>
      <c r="R9" s="29" t="n"/>
      <c r="S9" s="29" t="n"/>
      <c r="T9" s="29" t="n"/>
    </row>
    <row r="10">
      <c r="A10" s="29" t="n"/>
      <c r="B10" s="22" t="n">
        <v>2</v>
      </c>
      <c r="C10" s="29" t="n"/>
      <c r="D10" s="29" t="n"/>
      <c r="E10" s="29" t="n"/>
      <c r="F10" s="29" t="n"/>
      <c r="G10" s="29" t="n"/>
      <c r="H10" s="29" t="n"/>
      <c r="I10" s="16" t="n"/>
      <c r="J10" s="16" t="n"/>
      <c r="K10" s="16">
        <f>IF(AND(I10="",J10=""),"",IF(I10="",0,I10)-IF(J10="",0,J10))</f>
        <v/>
      </c>
      <c r="L10" s="29" t="n"/>
      <c r="M10" s="29" t="n"/>
      <c r="N10" s="29" t="n"/>
      <c r="O10" s="29" t="n"/>
      <c r="P10" s="29" t="n"/>
      <c r="Q10" s="29">
        <f>IF(OR(O10="",P10=""),"",IF(O10=P10,"FLAG","OK"))</f>
        <v/>
      </c>
      <c r="R10" s="29" t="n"/>
      <c r="S10" s="29" t="n"/>
      <c r="T10" s="29" t="n"/>
    </row>
    <row r="11">
      <c r="A11" s="29" t="n"/>
      <c r="B11" s="22" t="n">
        <v>3</v>
      </c>
      <c r="C11" s="29" t="n"/>
      <c r="D11" s="29" t="n"/>
      <c r="E11" s="29" t="n"/>
      <c r="F11" s="29" t="n"/>
      <c r="G11" s="29" t="n"/>
      <c r="H11" s="29" t="n"/>
      <c r="I11" s="16" t="n"/>
      <c r="J11" s="16" t="n"/>
      <c r="K11" s="16">
        <f>IF(AND(I11="",J11=""),"",IF(I11="",0,I11)-IF(J11="",0,J11))</f>
        <v/>
      </c>
      <c r="L11" s="29" t="n"/>
      <c r="M11" s="29" t="n"/>
      <c r="N11" s="29" t="n"/>
      <c r="O11" s="29" t="n"/>
      <c r="P11" s="29" t="n"/>
      <c r="Q11" s="29">
        <f>IF(OR(O11="",P11=""),"",IF(O11=P11,"FLAG","OK"))</f>
        <v/>
      </c>
      <c r="R11" s="29" t="n"/>
      <c r="S11" s="29" t="n"/>
      <c r="T11" s="29" t="n"/>
    </row>
    <row r="12">
      <c r="A12" s="29" t="n"/>
      <c r="B12" s="22" t="n">
        <v>4</v>
      </c>
      <c r="C12" s="29" t="n"/>
      <c r="D12" s="29" t="n"/>
      <c r="E12" s="29" t="n"/>
      <c r="F12" s="29" t="n"/>
      <c r="G12" s="29" t="n"/>
      <c r="H12" s="29" t="n"/>
      <c r="I12" s="16" t="n"/>
      <c r="J12" s="16" t="n"/>
      <c r="K12" s="16">
        <f>IF(AND(I12="",J12=""),"",IF(I12="",0,I12)-IF(J12="",0,J12))</f>
        <v/>
      </c>
      <c r="L12" s="29" t="n"/>
      <c r="M12" s="29" t="n"/>
      <c r="N12" s="29" t="n"/>
      <c r="O12" s="29" t="n"/>
      <c r="P12" s="29" t="n"/>
      <c r="Q12" s="29">
        <f>IF(OR(O12="",P12=""),"",IF(O12=P12,"FLAG","OK"))</f>
        <v/>
      </c>
      <c r="R12" s="29" t="n"/>
      <c r="S12" s="29" t="n"/>
      <c r="T12" s="29" t="n"/>
    </row>
    <row r="13">
      <c r="A13" s="29" t="n"/>
      <c r="B13" s="22" t="n">
        <v>5</v>
      </c>
      <c r="C13" s="29" t="n"/>
      <c r="D13" s="29" t="n"/>
      <c r="E13" s="29" t="n"/>
      <c r="F13" s="29" t="n"/>
      <c r="G13" s="29" t="n"/>
      <c r="H13" s="29" t="n"/>
      <c r="I13" s="16" t="n"/>
      <c r="J13" s="16" t="n"/>
      <c r="K13" s="16">
        <f>IF(AND(I13="",J13=""),"",IF(I13="",0,I13)-IF(J13="",0,J13))</f>
        <v/>
      </c>
      <c r="L13" s="29" t="n"/>
      <c r="M13" s="29" t="n"/>
      <c r="N13" s="29" t="n"/>
      <c r="O13" s="29" t="n"/>
      <c r="P13" s="29" t="n"/>
      <c r="Q13" s="29">
        <f>IF(OR(O13="",P13=""),"",IF(O13=P13,"FLAG","OK"))</f>
        <v/>
      </c>
      <c r="R13" s="29" t="n"/>
      <c r="S13" s="29" t="n"/>
      <c r="T13" s="29" t="n"/>
    </row>
    <row r="14">
      <c r="A14" s="29" t="n"/>
      <c r="B14" s="22" t="n">
        <v>6</v>
      </c>
      <c r="C14" s="29" t="n"/>
      <c r="D14" s="29" t="n"/>
      <c r="E14" s="29" t="n"/>
      <c r="F14" s="29" t="n"/>
      <c r="G14" s="29" t="n"/>
      <c r="H14" s="29" t="n"/>
      <c r="I14" s="16" t="n"/>
      <c r="J14" s="16" t="n"/>
      <c r="K14" s="16">
        <f>IF(AND(I14="",J14=""),"",IF(I14="",0,I14)-IF(J14="",0,J14))</f>
        <v/>
      </c>
      <c r="L14" s="29" t="n"/>
      <c r="M14" s="29" t="n"/>
      <c r="N14" s="29" t="n"/>
      <c r="O14" s="29" t="n"/>
      <c r="P14" s="29" t="n"/>
      <c r="Q14" s="29">
        <f>IF(OR(O14="",P14=""),"",IF(O14=P14,"FLAG","OK"))</f>
        <v/>
      </c>
      <c r="R14" s="29" t="n"/>
      <c r="S14" s="29" t="n"/>
      <c r="T14" s="29" t="n"/>
    </row>
    <row r="15">
      <c r="A15" s="29" t="n"/>
      <c r="B15" s="22" t="n">
        <v>7</v>
      </c>
      <c r="C15" s="29" t="n"/>
      <c r="D15" s="29" t="n"/>
      <c r="E15" s="29" t="n"/>
      <c r="F15" s="29" t="n"/>
      <c r="G15" s="29" t="n"/>
      <c r="H15" s="29" t="n"/>
      <c r="I15" s="16" t="n"/>
      <c r="J15" s="16" t="n"/>
      <c r="K15" s="16">
        <f>IF(AND(I15="",J15=""),"",IF(I15="",0,I15)-IF(J15="",0,J15))</f>
        <v/>
      </c>
      <c r="L15" s="29" t="n"/>
      <c r="M15" s="29" t="n"/>
      <c r="N15" s="29" t="n"/>
      <c r="O15" s="29" t="n"/>
      <c r="P15" s="29" t="n"/>
      <c r="Q15" s="29">
        <f>IF(OR(O15="",P15=""),"",IF(O15=P15,"FLAG","OK"))</f>
        <v/>
      </c>
      <c r="R15" s="29" t="n"/>
      <c r="S15" s="29" t="n"/>
      <c r="T15" s="29" t="n"/>
    </row>
    <row r="16">
      <c r="A16" s="29" t="n"/>
      <c r="B16" s="22" t="n">
        <v>8</v>
      </c>
      <c r="C16" s="29" t="n"/>
      <c r="D16" s="29" t="n"/>
      <c r="E16" s="29" t="n"/>
      <c r="F16" s="29" t="n"/>
      <c r="G16" s="29" t="n"/>
      <c r="H16" s="29" t="n"/>
      <c r="I16" s="16" t="n"/>
      <c r="J16" s="16" t="n"/>
      <c r="K16" s="16">
        <f>IF(AND(I16="",J16=""),"",IF(I16="",0,I16)-IF(J16="",0,J16))</f>
        <v/>
      </c>
      <c r="L16" s="29" t="n"/>
      <c r="M16" s="29" t="n"/>
      <c r="N16" s="29" t="n"/>
      <c r="O16" s="29" t="n"/>
      <c r="P16" s="29" t="n"/>
      <c r="Q16" s="29">
        <f>IF(OR(O16="",P16=""),"",IF(O16=P16,"FLAG","OK"))</f>
        <v/>
      </c>
      <c r="R16" s="29" t="n"/>
      <c r="S16" s="29" t="n"/>
      <c r="T16" s="29" t="n"/>
    </row>
    <row r="17">
      <c r="A17" s="29" t="n"/>
      <c r="B17" s="22" t="n">
        <v>9</v>
      </c>
      <c r="C17" s="29" t="n"/>
      <c r="D17" s="29" t="n"/>
      <c r="E17" s="29" t="n"/>
      <c r="F17" s="29" t="n"/>
      <c r="G17" s="29" t="n"/>
      <c r="H17" s="29" t="n"/>
      <c r="I17" s="16" t="n"/>
      <c r="J17" s="16" t="n"/>
      <c r="K17" s="16">
        <f>IF(AND(I17="",J17=""),"",IF(I17="",0,I17)-IF(J17="",0,J17))</f>
        <v/>
      </c>
      <c r="L17" s="29" t="n"/>
      <c r="M17" s="29" t="n"/>
      <c r="N17" s="29" t="n"/>
      <c r="O17" s="29" t="n"/>
      <c r="P17" s="29" t="n"/>
      <c r="Q17" s="29">
        <f>IF(OR(O17="",P17=""),"",IF(O17=P17,"FLAG","OK"))</f>
        <v/>
      </c>
      <c r="R17" s="29" t="n"/>
      <c r="S17" s="29" t="n"/>
      <c r="T17" s="29" t="n"/>
    </row>
    <row r="18">
      <c r="A18" s="29" t="n"/>
      <c r="B18" s="22" t="n">
        <v>10</v>
      </c>
      <c r="C18" s="29" t="n"/>
      <c r="D18" s="29" t="n"/>
      <c r="E18" s="29" t="n"/>
      <c r="F18" s="29" t="n"/>
      <c r="G18" s="29" t="n"/>
      <c r="H18" s="29" t="n"/>
      <c r="I18" s="16" t="n"/>
      <c r="J18" s="16" t="n"/>
      <c r="K18" s="16">
        <f>IF(AND(I18="",J18=""),"",IF(I18="",0,I18)-IF(J18="",0,J18))</f>
        <v/>
      </c>
      <c r="L18" s="29" t="n"/>
      <c r="M18" s="29" t="n"/>
      <c r="N18" s="29" t="n"/>
      <c r="O18" s="29" t="n"/>
      <c r="P18" s="29" t="n"/>
      <c r="Q18" s="29">
        <f>IF(OR(O18="",P18=""),"",IF(O18=P18,"FLAG","OK"))</f>
        <v/>
      </c>
      <c r="R18" s="29" t="n"/>
      <c r="S18" s="29" t="n"/>
      <c r="T18" s="29" t="n"/>
    </row>
    <row r="19">
      <c r="A19" s="29" t="n"/>
      <c r="B19" s="22" t="n">
        <v>11</v>
      </c>
      <c r="C19" s="29" t="n"/>
      <c r="D19" s="29" t="n"/>
      <c r="E19" s="29" t="n"/>
      <c r="F19" s="29" t="n"/>
      <c r="G19" s="29" t="n"/>
      <c r="H19" s="29" t="n"/>
      <c r="I19" s="16" t="n"/>
      <c r="J19" s="16" t="n"/>
      <c r="K19" s="16">
        <f>IF(AND(I19="",J19=""),"",IF(I19="",0,I19)-IF(J19="",0,J19))</f>
        <v/>
      </c>
      <c r="L19" s="29" t="n"/>
      <c r="M19" s="29" t="n"/>
      <c r="N19" s="29" t="n"/>
      <c r="O19" s="29" t="n"/>
      <c r="P19" s="29" t="n"/>
      <c r="Q19" s="29">
        <f>IF(OR(O19="",P19=""),"",IF(O19=P19,"FLAG","OK"))</f>
        <v/>
      </c>
      <c r="R19" s="29" t="n"/>
      <c r="S19" s="29" t="n"/>
      <c r="T19" s="29" t="n"/>
    </row>
    <row r="20">
      <c r="A20" s="29" t="n"/>
      <c r="B20" s="22" t="n">
        <v>12</v>
      </c>
      <c r="C20" s="29" t="n"/>
      <c r="D20" s="29" t="n"/>
      <c r="E20" s="29" t="n"/>
      <c r="F20" s="29" t="n"/>
      <c r="G20" s="29" t="n"/>
      <c r="H20" s="29" t="n"/>
      <c r="I20" s="16" t="n"/>
      <c r="J20" s="16" t="n"/>
      <c r="K20" s="16">
        <f>IF(AND(I20="",J20=""),"",IF(I20="",0,I20)-IF(J20="",0,J20))</f>
        <v/>
      </c>
      <c r="L20" s="29" t="n"/>
      <c r="M20" s="29" t="n"/>
      <c r="N20" s="29" t="n"/>
      <c r="O20" s="29" t="n"/>
      <c r="P20" s="29" t="n"/>
      <c r="Q20" s="29">
        <f>IF(OR(O20="",P20=""),"",IF(O20=P20,"FLAG","OK"))</f>
        <v/>
      </c>
      <c r="R20" s="29" t="n"/>
      <c r="S20" s="29" t="n"/>
      <c r="T20" s="29" t="n"/>
    </row>
    <row r="21">
      <c r="A21" s="29" t="n"/>
      <c r="B21" s="22" t="n">
        <v>13</v>
      </c>
      <c r="C21" s="29" t="n"/>
      <c r="D21" s="29" t="n"/>
      <c r="E21" s="29" t="n"/>
      <c r="F21" s="29" t="n"/>
      <c r="G21" s="29" t="n"/>
      <c r="H21" s="29" t="n"/>
      <c r="I21" s="16" t="n"/>
      <c r="J21" s="16" t="n"/>
      <c r="K21" s="16">
        <f>IF(AND(I21="",J21=""),"",IF(I21="",0,I21)-IF(J21="",0,J21))</f>
        <v/>
      </c>
      <c r="L21" s="29" t="n"/>
      <c r="M21" s="29" t="n"/>
      <c r="N21" s="29" t="n"/>
      <c r="O21" s="29" t="n"/>
      <c r="P21" s="29" t="n"/>
      <c r="Q21" s="29">
        <f>IF(OR(O21="",P21=""),"",IF(O21=P21,"FLAG","OK"))</f>
        <v/>
      </c>
      <c r="R21" s="29" t="n"/>
      <c r="S21" s="29" t="n"/>
      <c r="T21" s="29" t="n"/>
    </row>
    <row r="22">
      <c r="A22" s="29" t="n"/>
      <c r="B22" s="22" t="n">
        <v>14</v>
      </c>
      <c r="C22" s="29" t="n"/>
      <c r="D22" s="29" t="n"/>
      <c r="E22" s="29" t="n"/>
      <c r="F22" s="29" t="n"/>
      <c r="G22" s="29" t="n"/>
      <c r="H22" s="29" t="n"/>
      <c r="I22" s="16" t="n"/>
      <c r="J22" s="16" t="n"/>
      <c r="K22" s="16">
        <f>IF(AND(I22="",J22=""),"",IF(I22="",0,I22)-IF(J22="",0,J22))</f>
        <v/>
      </c>
      <c r="L22" s="29" t="n"/>
      <c r="M22" s="29" t="n"/>
      <c r="N22" s="29" t="n"/>
      <c r="O22" s="29" t="n"/>
      <c r="P22" s="29" t="n"/>
      <c r="Q22" s="29">
        <f>IF(OR(O22="",P22=""),"",IF(O22=P22,"FLAG","OK"))</f>
        <v/>
      </c>
      <c r="R22" s="29" t="n"/>
      <c r="S22" s="29" t="n"/>
      <c r="T22" s="29" t="n"/>
    </row>
    <row r="23">
      <c r="A23" s="29" t="n"/>
      <c r="B23" s="22" t="n">
        <v>15</v>
      </c>
      <c r="C23" s="29" t="n"/>
      <c r="D23" s="29" t="n"/>
      <c r="E23" s="29" t="n"/>
      <c r="F23" s="29" t="n"/>
      <c r="G23" s="29" t="n"/>
      <c r="H23" s="29" t="n"/>
      <c r="I23" s="16" t="n"/>
      <c r="J23" s="16" t="n"/>
      <c r="K23" s="16">
        <f>IF(AND(I23="",J23=""),"",IF(I23="",0,I23)-IF(J23="",0,J23))</f>
        <v/>
      </c>
      <c r="L23" s="29" t="n"/>
      <c r="M23" s="29" t="n"/>
      <c r="N23" s="29" t="n"/>
      <c r="O23" s="29" t="n"/>
      <c r="P23" s="29" t="n"/>
      <c r="Q23" s="29">
        <f>IF(OR(O23="",P23=""),"",IF(O23=P23,"FLAG","OK"))</f>
        <v/>
      </c>
      <c r="R23" s="29" t="n"/>
      <c r="S23" s="29" t="n"/>
      <c r="T23" s="29" t="n"/>
    </row>
    <row r="24">
      <c r="A24" s="29" t="n"/>
      <c r="B24" s="22" t="n">
        <v>16</v>
      </c>
      <c r="C24" s="29" t="n"/>
      <c r="D24" s="29" t="n"/>
      <c r="E24" s="29" t="n"/>
      <c r="F24" s="29" t="n"/>
      <c r="G24" s="29" t="n"/>
      <c r="H24" s="29" t="n"/>
      <c r="I24" s="16" t="n"/>
      <c r="J24" s="16" t="n"/>
      <c r="K24" s="16">
        <f>IF(AND(I24="",J24=""),"",IF(I24="",0,I24)-IF(J24="",0,J24))</f>
        <v/>
      </c>
      <c r="L24" s="29" t="n"/>
      <c r="M24" s="29" t="n"/>
      <c r="N24" s="29" t="n"/>
      <c r="O24" s="29" t="n"/>
      <c r="P24" s="29" t="n"/>
      <c r="Q24" s="29">
        <f>IF(OR(O24="",P24=""),"",IF(O24=P24,"FLAG","OK"))</f>
        <v/>
      </c>
      <c r="R24" s="29" t="n"/>
      <c r="S24" s="29" t="n"/>
      <c r="T24" s="29" t="n"/>
    </row>
    <row r="25">
      <c r="A25" s="29" t="n"/>
      <c r="B25" s="22" t="n">
        <v>17</v>
      </c>
      <c r="C25" s="29" t="n"/>
      <c r="D25" s="29" t="n"/>
      <c r="E25" s="29" t="n"/>
      <c r="F25" s="29" t="n"/>
      <c r="G25" s="29" t="n"/>
      <c r="H25" s="29" t="n"/>
      <c r="I25" s="16" t="n"/>
      <c r="J25" s="16" t="n"/>
      <c r="K25" s="16">
        <f>IF(AND(I25="",J25=""),"",IF(I25="",0,I25)-IF(J25="",0,J25))</f>
        <v/>
      </c>
      <c r="L25" s="29" t="n"/>
      <c r="M25" s="29" t="n"/>
      <c r="N25" s="29" t="n"/>
      <c r="O25" s="29" t="n"/>
      <c r="P25" s="29" t="n"/>
      <c r="Q25" s="29">
        <f>IF(OR(O25="",P25=""),"",IF(O25=P25,"FLAG","OK"))</f>
        <v/>
      </c>
      <c r="R25" s="29" t="n"/>
      <c r="S25" s="29" t="n"/>
      <c r="T25" s="29" t="n"/>
    </row>
    <row r="26">
      <c r="A26" s="29" t="n"/>
      <c r="B26" s="22" t="n">
        <v>18</v>
      </c>
      <c r="C26" s="29" t="n"/>
      <c r="D26" s="29" t="n"/>
      <c r="E26" s="29" t="n"/>
      <c r="F26" s="29" t="n"/>
      <c r="G26" s="29" t="n"/>
      <c r="H26" s="29" t="n"/>
      <c r="I26" s="16" t="n"/>
      <c r="J26" s="16" t="n"/>
      <c r="K26" s="16">
        <f>IF(AND(I26="",J26=""),"",IF(I26="",0,I26)-IF(J26="",0,J26))</f>
        <v/>
      </c>
      <c r="L26" s="29" t="n"/>
      <c r="M26" s="29" t="n"/>
      <c r="N26" s="29" t="n"/>
      <c r="O26" s="29" t="n"/>
      <c r="P26" s="29" t="n"/>
      <c r="Q26" s="29">
        <f>IF(OR(O26="",P26=""),"",IF(O26=P26,"FLAG","OK"))</f>
        <v/>
      </c>
      <c r="R26" s="29" t="n"/>
      <c r="S26" s="29" t="n"/>
      <c r="T26" s="29" t="n"/>
    </row>
    <row r="27">
      <c r="A27" s="29" t="n"/>
      <c r="B27" s="22" t="n">
        <v>19</v>
      </c>
      <c r="C27" s="29" t="n"/>
      <c r="D27" s="29" t="n"/>
      <c r="E27" s="29" t="n"/>
      <c r="F27" s="29" t="n"/>
      <c r="G27" s="29" t="n"/>
      <c r="H27" s="29" t="n"/>
      <c r="I27" s="16" t="n"/>
      <c r="J27" s="16" t="n"/>
      <c r="K27" s="16">
        <f>IF(AND(I27="",J27=""),"",IF(I27="",0,I27)-IF(J27="",0,J27))</f>
        <v/>
      </c>
      <c r="L27" s="29" t="n"/>
      <c r="M27" s="29" t="n"/>
      <c r="N27" s="29" t="n"/>
      <c r="O27" s="29" t="n"/>
      <c r="P27" s="29" t="n"/>
      <c r="Q27" s="29">
        <f>IF(OR(O27="",P27=""),"",IF(O27=P27,"FLAG","OK"))</f>
        <v/>
      </c>
      <c r="R27" s="29" t="n"/>
      <c r="S27" s="29" t="n"/>
      <c r="T27" s="29" t="n"/>
    </row>
    <row r="28">
      <c r="A28" s="29" t="n"/>
      <c r="B28" s="22" t="n">
        <v>20</v>
      </c>
      <c r="C28" s="29" t="n"/>
      <c r="D28" s="29" t="n"/>
      <c r="E28" s="29" t="n"/>
      <c r="F28" s="29" t="n"/>
      <c r="G28" s="29" t="n"/>
      <c r="H28" s="29" t="n"/>
      <c r="I28" s="16" t="n"/>
      <c r="J28" s="16" t="n"/>
      <c r="K28" s="16">
        <f>IF(AND(I28="",J28=""),"",IF(I28="",0,I28)-IF(J28="",0,J28))</f>
        <v/>
      </c>
      <c r="L28" s="29" t="n"/>
      <c r="M28" s="29" t="n"/>
      <c r="N28" s="29" t="n"/>
      <c r="O28" s="29" t="n"/>
      <c r="P28" s="29" t="n"/>
      <c r="Q28" s="29">
        <f>IF(OR(O28="",P28=""),"",IF(O28=P28,"FLAG","OK"))</f>
        <v/>
      </c>
      <c r="R28" s="29" t="n"/>
      <c r="S28" s="29" t="n"/>
      <c r="T28" s="29" t="n"/>
    </row>
    <row r="29">
      <c r="A29" s="29" t="n"/>
      <c r="B29" s="22" t="n">
        <v>21</v>
      </c>
      <c r="C29" s="29" t="n"/>
      <c r="D29" s="29" t="n"/>
      <c r="E29" s="29" t="n"/>
      <c r="F29" s="29" t="n"/>
      <c r="G29" s="29" t="n"/>
      <c r="H29" s="29" t="n"/>
      <c r="I29" s="16" t="n"/>
      <c r="J29" s="16" t="n"/>
      <c r="K29" s="16">
        <f>IF(AND(I29="",J29=""),"",IF(I29="",0,I29)-IF(J29="",0,J29))</f>
        <v/>
      </c>
      <c r="L29" s="29" t="n"/>
      <c r="M29" s="29" t="n"/>
      <c r="N29" s="29" t="n"/>
      <c r="O29" s="29" t="n"/>
      <c r="P29" s="29" t="n"/>
      <c r="Q29" s="29">
        <f>IF(OR(O29="",P29=""),"",IF(O29=P29,"FLAG","OK"))</f>
        <v/>
      </c>
      <c r="R29" s="29" t="n"/>
      <c r="S29" s="29" t="n"/>
      <c r="T29" s="29" t="n"/>
    </row>
    <row r="30">
      <c r="A30" s="29" t="n"/>
      <c r="B30" s="22" t="n">
        <v>22</v>
      </c>
      <c r="C30" s="29" t="n"/>
      <c r="D30" s="29" t="n"/>
      <c r="E30" s="29" t="n"/>
      <c r="F30" s="29" t="n"/>
      <c r="G30" s="29" t="n"/>
      <c r="H30" s="29" t="n"/>
      <c r="I30" s="16" t="n"/>
      <c r="J30" s="16" t="n"/>
      <c r="K30" s="16">
        <f>IF(AND(I30="",J30=""),"",IF(I30="",0,I30)-IF(J30="",0,J30))</f>
        <v/>
      </c>
      <c r="L30" s="29" t="n"/>
      <c r="M30" s="29" t="n"/>
      <c r="N30" s="29" t="n"/>
      <c r="O30" s="29" t="n"/>
      <c r="P30" s="29" t="n"/>
      <c r="Q30" s="29">
        <f>IF(OR(O30="",P30=""),"",IF(O30=P30,"FLAG","OK"))</f>
        <v/>
      </c>
      <c r="R30" s="29" t="n"/>
      <c r="S30" s="29" t="n"/>
      <c r="T30" s="29" t="n"/>
    </row>
    <row r="31">
      <c r="A31" s="29" t="n"/>
      <c r="B31" s="22" t="n">
        <v>23</v>
      </c>
      <c r="C31" s="29" t="n"/>
      <c r="D31" s="29" t="n"/>
      <c r="E31" s="29" t="n"/>
      <c r="F31" s="29" t="n"/>
      <c r="G31" s="29" t="n"/>
      <c r="H31" s="29" t="n"/>
      <c r="I31" s="16" t="n"/>
      <c r="J31" s="16" t="n"/>
      <c r="K31" s="16">
        <f>IF(AND(I31="",J31=""),"",IF(I31="",0,I31)-IF(J31="",0,J31))</f>
        <v/>
      </c>
      <c r="L31" s="29" t="n"/>
      <c r="M31" s="29" t="n"/>
      <c r="N31" s="29" t="n"/>
      <c r="O31" s="29" t="n"/>
      <c r="P31" s="29" t="n"/>
      <c r="Q31" s="29">
        <f>IF(OR(O31="",P31=""),"",IF(O31=P31,"FLAG","OK"))</f>
        <v/>
      </c>
      <c r="R31" s="29" t="n"/>
      <c r="S31" s="29" t="n"/>
      <c r="T31" s="29" t="n"/>
    </row>
    <row r="32">
      <c r="A32" s="29" t="n"/>
      <c r="B32" s="22" t="n">
        <v>24</v>
      </c>
      <c r="C32" s="29" t="n"/>
      <c r="D32" s="29" t="n"/>
      <c r="E32" s="29" t="n"/>
      <c r="F32" s="29" t="n"/>
      <c r="G32" s="29" t="n"/>
      <c r="H32" s="29" t="n"/>
      <c r="I32" s="16" t="n"/>
      <c r="J32" s="16" t="n"/>
      <c r="K32" s="16">
        <f>IF(AND(I32="",J32=""),"",IF(I32="",0,I32)-IF(J32="",0,J32))</f>
        <v/>
      </c>
      <c r="L32" s="29" t="n"/>
      <c r="M32" s="29" t="n"/>
      <c r="N32" s="29" t="n"/>
      <c r="O32" s="29" t="n"/>
      <c r="P32" s="29" t="n"/>
      <c r="Q32" s="29">
        <f>IF(OR(O32="",P32=""),"",IF(O32=P32,"FLAG","OK"))</f>
        <v/>
      </c>
      <c r="R32" s="29" t="n"/>
      <c r="S32" s="29" t="n"/>
      <c r="T32" s="29" t="n"/>
    </row>
    <row r="33">
      <c r="A33" s="29" t="n"/>
      <c r="B33" s="22" t="n">
        <v>25</v>
      </c>
      <c r="C33" s="29" t="n"/>
      <c r="D33" s="29" t="n"/>
      <c r="E33" s="29" t="n"/>
      <c r="F33" s="29" t="n"/>
      <c r="G33" s="29" t="n"/>
      <c r="H33" s="29" t="n"/>
      <c r="I33" s="16" t="n"/>
      <c r="J33" s="16" t="n"/>
      <c r="K33" s="16">
        <f>IF(AND(I33="",J33=""),"",IF(I33="",0,I33)-IF(J33="",0,J33))</f>
        <v/>
      </c>
      <c r="L33" s="29" t="n"/>
      <c r="M33" s="29" t="n"/>
      <c r="N33" s="29" t="n"/>
      <c r="O33" s="29" t="n"/>
      <c r="P33" s="29" t="n"/>
      <c r="Q33" s="29">
        <f>IF(OR(O33="",P33=""),"",IF(O33=P33,"FLAG","OK"))</f>
        <v/>
      </c>
      <c r="R33" s="29" t="n"/>
      <c r="S33" s="29" t="n"/>
      <c r="T33" s="29" t="n"/>
    </row>
    <row r="34">
      <c r="A34" s="17" t="inlineStr">
        <is>
          <t>Totals</t>
        </is>
      </c>
      <c r="B34" s="17" t="n"/>
      <c r="C34" s="17" t="n"/>
      <c r="D34" s="17" t="n"/>
      <c r="E34" s="17" t="n"/>
      <c r="F34" s="17" t="n"/>
      <c r="G34" s="17" t="n"/>
      <c r="H34" s="17" t="n"/>
      <c r="I34" s="19">
        <f>SUM(I9:I33)</f>
        <v/>
      </c>
      <c r="J34" s="19">
        <f>SUM(J9:J33)</f>
        <v/>
      </c>
      <c r="K34" s="19">
        <f>SUM(K9:K33)</f>
        <v/>
      </c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</row>
    <row r="35">
      <c r="A35" s="3" t="inlineStr">
        <is>
          <t>SoD conflicts flagged</t>
        </is>
      </c>
      <c r="B35" s="33" t="n"/>
      <c r="Q35" s="20">
        <f>COUNTIF(Q9:Q33,"FLAG")</f>
        <v/>
      </c>
    </row>
    <row r="36">
      <c r="A36" s="3" t="inlineStr">
        <is>
          <t>Unsatisfactory conclusions (U)</t>
        </is>
      </c>
      <c r="B36" s="33" t="n"/>
      <c r="S36" s="20">
        <f>COUNTIF(S9:S33,"U")</f>
        <v/>
      </c>
    </row>
    <row r="37"/>
    <row r="38" ht="42" customHeight="1">
      <c r="A38" s="31" t="inlineStr">
        <is>
          <t>Each entry: agree amounts and accounts to source documentation, obtain approval evidence (signed close checklist / workflow), capture preparer and approver — the SoD check auto-flags the same person in both roles — confirm posting to the correct accounts and period, and conclude S / U / N/A with the client's explanation documented. Suspense-account entries also follow through on &lt;.3&gt;.</t>
        </is>
      </c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</row>
    <row r="39"/>
    <row r="40">
      <c r="A40" s="9" t="inlineStr">
        <is>
          <t>TM Legends</t>
        </is>
      </c>
    </row>
    <row r="41">
      <c r="A41" s="12" t="inlineStr">
        <is>
          <t>TB</t>
        </is>
      </c>
      <c r="B41" s="29" t="inlineStr">
        <is>
          <t>Agreed to trial balance</t>
        </is>
      </c>
      <c r="C41" s="32" t="n"/>
      <c r="D41" s="33" t="n"/>
    </row>
    <row r="42">
      <c r="A42" s="12" t="inlineStr">
        <is>
          <t>GL</t>
        </is>
      </c>
      <c r="B42" s="29" t="inlineStr">
        <is>
          <t>Agreed to general ledger</t>
        </is>
      </c>
      <c r="C42" s="32" t="n"/>
      <c r="D42" s="33" t="n"/>
    </row>
    <row r="43">
      <c r="A43" s="12" t="inlineStr">
        <is>
          <t>CF</t>
        </is>
      </c>
      <c r="B43" s="29" t="inlineStr">
        <is>
          <t>Confirmed with third party</t>
        </is>
      </c>
      <c r="C43" s="32" t="n"/>
      <c r="D43" s="33" t="n"/>
    </row>
    <row r="44">
      <c r="A44" s="12" t="inlineStr">
        <is>
          <t>V</t>
        </is>
      </c>
      <c r="B44" s="29" t="inlineStr">
        <is>
          <t>Vouched to source document</t>
        </is>
      </c>
      <c r="C44" s="32" t="n"/>
      <c r="D44" s="33" t="n"/>
    </row>
    <row r="45">
      <c r="A45" s="12" t="inlineStr">
        <is>
          <t>SR</t>
        </is>
      </c>
      <c r="B45" s="29" t="inlineStr">
        <is>
          <t>Agreed to subsequent bank-cleared receipt</t>
        </is>
      </c>
      <c r="C45" s="32" t="n"/>
      <c r="D45" s="33" t="n"/>
    </row>
    <row r="46">
      <c r="A46" s="12" t="inlineStr">
        <is>
          <t>R</t>
        </is>
      </c>
      <c r="B46" s="29" t="inlineStr">
        <is>
          <t>Recalculated independently</t>
        </is>
      </c>
      <c r="C46" s="32" t="n"/>
      <c r="D46" s="33" t="n"/>
    </row>
    <row r="47">
      <c r="A47" s="12" t="inlineStr">
        <is>
          <t>F</t>
        </is>
      </c>
      <c r="B47" s="29" t="inlineStr">
        <is>
          <t>Footed / cross-cast</t>
        </is>
      </c>
      <c r="C47" s="32" t="n"/>
      <c r="D47" s="33" t="n"/>
    </row>
    <row r="48">
      <c r="A48" s="12" t="inlineStr">
        <is>
          <t>T</t>
        </is>
      </c>
      <c r="B48" s="29" t="inlineStr">
        <is>
          <t>Traced to downstream record</t>
        </is>
      </c>
      <c r="C48" s="32" t="n"/>
      <c r="D48" s="33" t="n"/>
    </row>
    <row r="49">
      <c r="A49" s="12" t="inlineStr">
        <is>
          <t>PBC</t>
        </is>
      </c>
      <c r="B49" s="29" t="inlineStr">
        <is>
          <t>Prepared by client</t>
        </is>
      </c>
      <c r="C49" s="32" t="n"/>
      <c r="D49" s="33" t="n"/>
    </row>
    <row r="50"/>
    <row r="51" ht="27.75" customHeight="1">
      <c r="A51" s="4" t="inlineStr">
        <is>
          <t>Before sign-off complete Library Procedures 4-6 (support; approval &amp; SoD; accounts &amp; period).</t>
        </is>
      </c>
    </row>
  </sheetData>
  <mergeCells count="16">
    <mergeCell ref="B42:D42"/>
    <mergeCell ref="B5:T5"/>
    <mergeCell ref="B45:D45"/>
    <mergeCell ref="B46:D46"/>
    <mergeCell ref="B41:D41"/>
    <mergeCell ref="B49:D49"/>
    <mergeCell ref="A36:B36"/>
    <mergeCell ref="B4:T4"/>
    <mergeCell ref="B44:D44"/>
    <mergeCell ref="A51:T51"/>
    <mergeCell ref="B43:D43"/>
    <mergeCell ref="B6:T6"/>
    <mergeCell ref="A38:I38"/>
    <mergeCell ref="B47:D47"/>
    <mergeCell ref="B48:D48"/>
    <mergeCell ref="A35:B35"/>
  </mergeCells>
  <pageMargins left="0.3" right="0.3" top="0.4" bottom="0.4" header="0.2" footer="0.2"/>
  <pageSetup orientation="landscape" paperSize="1" fitToHeight="1" fitToWidth="2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30"/>
  <sheetViews>
    <sheetView showGridLines="0" zoomScale="85" zoomScaleNormal="100" workbookViewId="0">
      <selection activeCell="A4" sqref="A4:J6"/>
    </sheetView>
  </sheetViews>
  <sheetFormatPr baseColWidth="8" defaultColWidth="8.6328125" defaultRowHeight="14.5"/>
  <cols>
    <col width="21.90625" bestFit="1" customWidth="1" min="1" max="1"/>
    <col width="22" customWidth="1" min="2" max="2"/>
    <col width="14" customWidth="1" min="3" max="6"/>
    <col width="16" customWidth="1" min="7" max="7"/>
    <col width="13" customWidth="1" min="8" max="8"/>
    <col width="15" customWidth="1" min="9" max="9"/>
    <col width="26" customWidth="1" min="10" max="10"/>
  </cols>
  <sheetData>
    <row r="1" ht="17.5" customHeight="1">
      <c r="A1" s="6" t="inlineStr">
        <is>
          <t>Suspense &amp; Clearing Accounts</t>
        </is>
      </c>
    </row>
    <row r="2">
      <c r="A2" s="7" t="inlineStr">
        <is>
          <t>Client / Entity</t>
        </is>
      </c>
      <c r="B2" s="8" t="inlineStr">
        <is>
          <t>[Client / Entity]</t>
        </is>
      </c>
      <c r="D2" s="7" t="inlineStr">
        <is>
          <t>Year-End</t>
        </is>
      </c>
      <c r="E2" s="8" t="inlineStr">
        <is>
          <t>[YYYY-MM-DD]</t>
        </is>
      </c>
      <c r="G2" s="7" t="inlineStr">
        <is>
          <t>Currency</t>
        </is>
      </c>
      <c r="H2" s="8" t="inlineStr">
        <is>
          <t>[CCY]</t>
        </is>
      </c>
    </row>
    <row r="3">
      <c r="A3" s="7" t="inlineStr">
        <is>
          <t>Performance Materiality</t>
        </is>
      </c>
      <c r="B3" s="8" t="inlineStr">
        <is>
          <t>[PM]</t>
        </is>
      </c>
      <c r="D3" s="7" t="inlineStr">
        <is>
          <t>Testing Threshold (SUM)</t>
        </is>
      </c>
      <c r="E3" s="8" t="inlineStr">
        <is>
          <t>[Threshold]</t>
        </is>
      </c>
    </row>
    <row r="4" ht="27.75" customHeight="1">
      <c r="A4" s="27" t="inlineStr">
        <is>
          <t>Purpose:</t>
        </is>
      </c>
      <c r="B4" s="28" t="inlineStr">
        <is>
          <t>Investigate suspense / clearing accounts (e.g., 9000 / 2999): roll activity forward, confirm period-end balances subsequently cleared, and evaluate the nature of items parked there.</t>
        </is>
      </c>
      <c r="C4" s="34" t="n"/>
      <c r="D4" s="34" t="n"/>
      <c r="E4" s="34" t="n"/>
      <c r="F4" s="34" t="n"/>
      <c r="G4" s="34" t="n"/>
      <c r="H4" s="34" t="n"/>
      <c r="I4" s="34" t="n"/>
      <c r="J4" s="35" t="n"/>
    </row>
    <row r="5" ht="15" customHeight="1">
      <c r="A5" s="27" t="inlineStr">
        <is>
          <t>Scope:</t>
        </is>
      </c>
      <c r="B5" s="28" t="inlineStr">
        <is>
          <t>GL detail for every suspense / clearing account used in the period.</t>
        </is>
      </c>
      <c r="C5" s="34" t="n"/>
      <c r="D5" s="34" t="n"/>
      <c r="E5" s="34" t="n"/>
      <c r="F5" s="34" t="n"/>
      <c r="G5" s="34" t="n"/>
      <c r="H5" s="34" t="n"/>
      <c r="I5" s="34" t="n"/>
      <c r="J5" s="35" t="n"/>
    </row>
    <row r="6" ht="15" customHeight="1">
      <c r="A6" s="27" t="inlineStr">
        <is>
          <t>Assertions:</t>
        </is>
      </c>
      <c r="B6" s="28" t="inlineStr">
        <is>
          <t>Occurrence; Classification; Completeness</t>
        </is>
      </c>
      <c r="C6" s="34" t="n"/>
      <c r="D6" s="34" t="n"/>
      <c r="E6" s="34" t="n"/>
      <c r="F6" s="34" t="n"/>
      <c r="G6" s="34" t="n"/>
      <c r="H6" s="34" t="n"/>
      <c r="I6" s="34" t="n"/>
      <c r="J6" s="35" t="n"/>
    </row>
    <row r="7" ht="31.5" customHeight="1">
      <c r="A7" s="26" t="inlineStr">
        <is>
          <t>GL account</t>
        </is>
      </c>
      <c r="B7" s="26" t="inlineStr">
        <is>
          <t>Description</t>
        </is>
      </c>
      <c r="C7" s="26" t="inlineStr">
        <is>
          <t>Opening balance</t>
        </is>
      </c>
      <c r="D7" s="26" t="inlineStr">
        <is>
          <t>Postings in</t>
        </is>
      </c>
      <c r="E7" s="26" t="inlineStr">
        <is>
          <t>Clearings out</t>
        </is>
      </c>
      <c r="F7" s="26" t="inlineStr">
        <is>
          <t>Ending balance</t>
        </is>
      </c>
      <c r="G7" s="26" t="inlineStr">
        <is>
          <t>Subsequently cleared post-YE? (Y/N)</t>
        </is>
      </c>
      <c r="H7" s="26" t="inlineStr">
        <is>
          <t>Date cleared</t>
        </is>
      </c>
      <c r="I7" s="26" t="inlineStr">
        <is>
          <t>Aged &gt; 60 days? (Y/N)</t>
        </is>
      </c>
      <c r="J7" s="26" t="inlineStr">
        <is>
          <t>Nature / conclusion</t>
        </is>
      </c>
    </row>
    <row r="8">
      <c r="C8" s="14" t="inlineStr">
        <is>
          <t>TB</t>
        </is>
      </c>
      <c r="F8" s="14" t="inlineStr">
        <is>
          <t>F</t>
        </is>
      </c>
      <c r="G8" s="14" t="inlineStr">
        <is>
          <t>SR</t>
        </is>
      </c>
    </row>
    <row r="9">
      <c r="A9" s="29" t="n"/>
      <c r="B9" s="29" t="n"/>
      <c r="C9" s="16" t="n"/>
      <c r="D9" s="16" t="n"/>
      <c r="E9" s="16" t="n"/>
      <c r="F9" s="16">
        <f>IF(COUNT(C9:E9)=0,"",IF(C9="",0,C9)+IF(D9="",0,D9)-IF(E9="",0,E9))</f>
        <v/>
      </c>
      <c r="G9" s="29" t="n"/>
      <c r="H9" s="29" t="n"/>
      <c r="I9" s="29" t="n"/>
      <c r="J9" s="29" t="n"/>
    </row>
    <row r="10">
      <c r="A10" s="29" t="n"/>
      <c r="B10" s="29" t="n"/>
      <c r="C10" s="16" t="n"/>
      <c r="D10" s="16" t="n"/>
      <c r="E10" s="16" t="n"/>
      <c r="F10" s="16">
        <f>IF(COUNT(C10:E10)=0,"",IF(C10="",0,C10)+IF(D10="",0,D10)-IF(E10="",0,E10))</f>
        <v/>
      </c>
      <c r="G10" s="29" t="n"/>
      <c r="H10" s="29" t="n"/>
      <c r="I10" s="29" t="n"/>
      <c r="J10" s="29" t="n"/>
    </row>
    <row r="11">
      <c r="A11" s="29" t="n"/>
      <c r="B11" s="29" t="n"/>
      <c r="C11" s="16" t="n"/>
      <c r="D11" s="16" t="n"/>
      <c r="E11" s="16" t="n"/>
      <c r="F11" s="16">
        <f>IF(COUNT(C11:E11)=0,"",IF(C11="",0,C11)+IF(D11="",0,D11)-IF(E11="",0,E11))</f>
        <v/>
      </c>
      <c r="G11" s="29" t="n"/>
      <c r="H11" s="29" t="n"/>
      <c r="I11" s="29" t="n"/>
      <c r="J11" s="29" t="n"/>
    </row>
    <row r="12">
      <c r="A12" s="29" t="n"/>
      <c r="B12" s="29" t="n"/>
      <c r="C12" s="16" t="n"/>
      <c r="D12" s="16" t="n"/>
      <c r="E12" s="16" t="n"/>
      <c r="F12" s="16">
        <f>IF(COUNT(C12:E12)=0,"",IF(C12="",0,C12)+IF(D12="",0,D12)-IF(E12="",0,E12))</f>
        <v/>
      </c>
      <c r="G12" s="29" t="n"/>
      <c r="H12" s="29" t="n"/>
      <c r="I12" s="29" t="n"/>
      <c r="J12" s="29" t="n"/>
    </row>
    <row r="13">
      <c r="A13" s="29" t="n"/>
      <c r="B13" s="29" t="n"/>
      <c r="C13" s="16" t="n"/>
      <c r="D13" s="16" t="n"/>
      <c r="E13" s="16" t="n"/>
      <c r="F13" s="16">
        <f>IF(COUNT(C13:E13)=0,"",IF(C13="",0,C13)+IF(D13="",0,D13)-IF(E13="",0,E13))</f>
        <v/>
      </c>
      <c r="G13" s="29" t="n"/>
      <c r="H13" s="29" t="n"/>
      <c r="I13" s="29" t="n"/>
      <c r="J13" s="29" t="n"/>
    </row>
    <row r="14">
      <c r="A14" s="29" t="n"/>
      <c r="B14" s="29" t="n"/>
      <c r="C14" s="16" t="n"/>
      <c r="D14" s="16" t="n"/>
      <c r="E14" s="16" t="n"/>
      <c r="F14" s="16">
        <f>IF(COUNT(C14:E14)=0,"",IF(C14="",0,C14)+IF(D14="",0,D14)-IF(E14="",0,E14))</f>
        <v/>
      </c>
      <c r="G14" s="29" t="n"/>
      <c r="H14" s="29" t="n"/>
      <c r="I14" s="29" t="n"/>
      <c r="J14" s="29" t="n"/>
    </row>
    <row r="15">
      <c r="A15" s="17" t="inlineStr">
        <is>
          <t>Total</t>
        </is>
      </c>
      <c r="B15" s="17" t="n"/>
      <c r="C15" s="19">
        <f>SUM(C9:C14)</f>
        <v/>
      </c>
      <c r="D15" s="19">
        <f>SUM(D9:D14)</f>
        <v/>
      </c>
      <c r="E15" s="19">
        <f>SUM(E9:E14)</f>
        <v/>
      </c>
      <c r="F15" s="19">
        <f>SUM(F9:F14)</f>
        <v/>
      </c>
      <c r="G15" s="17" t="n"/>
      <c r="H15" s="17" t="n"/>
      <c r="I15" s="17" t="n"/>
      <c r="J15" s="17" t="n"/>
    </row>
    <row r="16"/>
    <row r="17" ht="27.75" customHeight="1">
      <c r="A17" s="31" t="inlineStr">
        <is>
          <t>A suspense balance at period end that does not clear shortly afterward may conceal misstatement — follow every period-end balance through to its subsequent clearing (date and destination account) and evaluate aged items. Entries selected on &lt;.2&gt; under the suspense criterion cross-reference here.</t>
        </is>
      </c>
    </row>
    <row r="18"/>
    <row r="19">
      <c r="A19" s="9" t="inlineStr">
        <is>
          <t>TM Legends</t>
        </is>
      </c>
    </row>
    <row r="20">
      <c r="A20" s="12" t="inlineStr">
        <is>
          <t>TB</t>
        </is>
      </c>
      <c r="B20" s="29" t="inlineStr">
        <is>
          <t>Agreed to trial balance</t>
        </is>
      </c>
      <c r="C20" s="32" t="n"/>
      <c r="D20" s="33" t="n"/>
    </row>
    <row r="21">
      <c r="A21" s="12" t="inlineStr">
        <is>
          <t>GL</t>
        </is>
      </c>
      <c r="B21" s="29" t="inlineStr">
        <is>
          <t>Agreed to general ledger</t>
        </is>
      </c>
      <c r="C21" s="32" t="n"/>
      <c r="D21" s="33" t="n"/>
    </row>
    <row r="22">
      <c r="A22" s="12" t="inlineStr">
        <is>
          <t>CF</t>
        </is>
      </c>
      <c r="B22" s="29" t="inlineStr">
        <is>
          <t>Confirmed with third party</t>
        </is>
      </c>
      <c r="C22" s="32" t="n"/>
      <c r="D22" s="33" t="n"/>
    </row>
    <row r="23">
      <c r="A23" s="12" t="inlineStr">
        <is>
          <t>V</t>
        </is>
      </c>
      <c r="B23" s="29" t="inlineStr">
        <is>
          <t>Vouched to source document</t>
        </is>
      </c>
      <c r="C23" s="32" t="n"/>
      <c r="D23" s="33" t="n"/>
    </row>
    <row r="24">
      <c r="A24" s="12" t="inlineStr">
        <is>
          <t>SR</t>
        </is>
      </c>
      <c r="B24" s="29" t="inlineStr">
        <is>
          <t>Agreed to subsequent bank-cleared receipt</t>
        </is>
      </c>
      <c r="C24" s="32" t="n"/>
      <c r="D24" s="33" t="n"/>
    </row>
    <row r="25">
      <c r="A25" s="12" t="inlineStr">
        <is>
          <t>R</t>
        </is>
      </c>
      <c r="B25" s="29" t="inlineStr">
        <is>
          <t>Recalculated independently</t>
        </is>
      </c>
      <c r="C25" s="32" t="n"/>
      <c r="D25" s="33" t="n"/>
    </row>
    <row r="26">
      <c r="A26" s="12" t="inlineStr">
        <is>
          <t>F</t>
        </is>
      </c>
      <c r="B26" s="29" t="inlineStr">
        <is>
          <t>Footed / cross-cast</t>
        </is>
      </c>
      <c r="C26" s="32" t="n"/>
      <c r="D26" s="33" t="n"/>
    </row>
    <row r="27">
      <c r="A27" s="12" t="inlineStr">
        <is>
          <t>T</t>
        </is>
      </c>
      <c r="B27" s="29" t="inlineStr">
        <is>
          <t>Traced to downstream record</t>
        </is>
      </c>
      <c r="C27" s="32" t="n"/>
      <c r="D27" s="33" t="n"/>
    </row>
    <row r="28">
      <c r="A28" s="12" t="inlineStr">
        <is>
          <t>PBC</t>
        </is>
      </c>
      <c r="B28" s="29" t="inlineStr">
        <is>
          <t>Prepared by client</t>
        </is>
      </c>
      <c r="C28" s="32" t="n"/>
      <c r="D28" s="33" t="n"/>
    </row>
    <row r="29"/>
    <row r="30" ht="27.75" customHeight="1">
      <c r="A30" s="4" t="inlineStr">
        <is>
          <t>Before sign-off complete Library Procedure 7 (suspense / clearing follow-through).</t>
        </is>
      </c>
    </row>
  </sheetData>
  <mergeCells count="14">
    <mergeCell ref="B28:D28"/>
    <mergeCell ref="B5:J5"/>
    <mergeCell ref="B23:D23"/>
    <mergeCell ref="A17:J17"/>
    <mergeCell ref="B22:D22"/>
    <mergeCell ref="A30:J30"/>
    <mergeCell ref="B26:D26"/>
    <mergeCell ref="B27:D27"/>
    <mergeCell ref="B21:D21"/>
    <mergeCell ref="B4:J4"/>
    <mergeCell ref="B25:D25"/>
    <mergeCell ref="B6:J6"/>
    <mergeCell ref="B24:D24"/>
    <mergeCell ref="B20:D20"/>
  </mergeCells>
  <pageMargins left="0.3" right="0.3" top="0.4" bottom="0.4" header="0.2" footer="0.2"/>
  <pageSetup orientation="landscape" paperSize="1" fitToHeight="1" fitToWidth="1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45"/>
  <sheetViews>
    <sheetView showGridLines="0" zoomScale="85" zoomScaleNormal="100" workbookViewId="0">
      <selection activeCell="A2" sqref="A2"/>
    </sheetView>
  </sheetViews>
  <sheetFormatPr baseColWidth="8" defaultColWidth="8.6328125" defaultRowHeight="14.5"/>
  <cols>
    <col width="21.90625" bestFit="1" customWidth="1" min="1" max="1"/>
    <col width="13" customWidth="1" min="2" max="2"/>
    <col width="12" customWidth="1" min="3" max="3"/>
    <col width="13" customWidth="1" min="4" max="4"/>
    <col width="22" customWidth="1" min="5" max="5"/>
    <col width="14" customWidth="1" min="6" max="8"/>
    <col width="13" customWidth="1" min="9" max="9"/>
    <col width="26" customWidth="1" min="10" max="10"/>
  </cols>
  <sheetData>
    <row r="1" ht="17.5" customHeight="1">
      <c r="A1" s="6" t="inlineStr">
        <is>
          <t>Period-End, Post-Close &amp; Top-Side Entries</t>
        </is>
      </c>
    </row>
    <row r="2">
      <c r="A2" s="7" t="inlineStr">
        <is>
          <t>Client / Entity</t>
        </is>
      </c>
      <c r="B2" s="8" t="inlineStr">
        <is>
          <t>[Client / Entity]</t>
        </is>
      </c>
      <c r="D2" s="7" t="inlineStr">
        <is>
          <t>Year-End</t>
        </is>
      </c>
      <c r="E2" s="8" t="inlineStr">
        <is>
          <t>[YYYY-MM-DD]</t>
        </is>
      </c>
      <c r="G2" s="7" t="inlineStr">
        <is>
          <t>Currency</t>
        </is>
      </c>
      <c r="H2" s="8" t="inlineStr">
        <is>
          <t>[CCY]</t>
        </is>
      </c>
    </row>
    <row r="3">
      <c r="A3" s="7" t="inlineStr">
        <is>
          <t>Performance Materiality</t>
        </is>
      </c>
      <c r="B3" s="8" t="inlineStr">
        <is>
          <t>[PM]</t>
        </is>
      </c>
      <c r="D3" s="7" t="inlineStr">
        <is>
          <t>Testing Threshold (SUM)</t>
        </is>
      </c>
      <c r="E3" s="8" t="inlineStr">
        <is>
          <t>[Threshold]</t>
        </is>
      </c>
    </row>
    <row r="4" ht="42" customHeight="1">
      <c r="A4" s="27" t="inlineStr">
        <is>
          <t>Purpose:</t>
        </is>
      </c>
      <c r="B4" s="28" t="inlineStr">
        <is>
          <t>Test entries recorded in the final days of the period, entries posted after the close, and top-side / consolidation adjustments — the highest-risk strata for management override — including estimate entries agreed to their source schedules.</t>
        </is>
      </c>
      <c r="C4" s="34" t="n"/>
      <c r="D4" s="34" t="n"/>
      <c r="E4" s="34" t="n"/>
      <c r="F4" s="34" t="n"/>
      <c r="G4" s="34" t="n"/>
      <c r="H4" s="34" t="n"/>
      <c r="I4" s="34" t="n"/>
      <c r="J4" s="35" t="n"/>
    </row>
    <row r="5" ht="27.75" customHeight="1">
      <c r="A5" s="27" t="inlineStr">
        <is>
          <t>Scope:</t>
        </is>
      </c>
      <c r="B5" s="28" t="inlineStr">
        <is>
          <t>Entries in the period-end window, all post-close entries, all top-side adjustments, and estimate-related JEs.</t>
        </is>
      </c>
      <c r="C5" s="34" t="n"/>
      <c r="D5" s="34" t="n"/>
      <c r="E5" s="34" t="n"/>
      <c r="F5" s="34" t="n"/>
      <c r="G5" s="34" t="n"/>
      <c r="H5" s="34" t="n"/>
      <c r="I5" s="34" t="n"/>
      <c r="J5" s="35" t="n"/>
    </row>
    <row r="6" ht="15" customHeight="1">
      <c r="A6" s="27" t="inlineStr">
        <is>
          <t>Assertions:</t>
        </is>
      </c>
      <c r="B6" s="28" t="inlineStr">
        <is>
          <t>Cutoff; Accuracy; Occurrence; Authorization</t>
        </is>
      </c>
      <c r="C6" s="34" t="n"/>
      <c r="D6" s="34" t="n"/>
      <c r="E6" s="34" t="n"/>
      <c r="F6" s="34" t="n"/>
      <c r="G6" s="34" t="n"/>
      <c r="H6" s="34" t="n"/>
      <c r="I6" s="34" t="n"/>
      <c r="J6" s="35" t="n"/>
    </row>
    <row r="7">
      <c r="A7" s="13" t="inlineStr">
        <is>
          <t>A. Period-end window entries</t>
        </is>
      </c>
    </row>
    <row r="8" ht="25.5" customHeight="1">
      <c r="A8" s="10" t="inlineStr">
        <is>
          <t>Sel #</t>
        </is>
      </c>
      <c r="B8" s="10" t="inlineStr">
        <is>
          <t>JE ref</t>
        </is>
      </c>
      <c r="C8" s="10" t="inlineStr">
        <is>
          <t>Date</t>
        </is>
      </c>
      <c r="D8" s="10" t="inlineStr">
        <is>
          <t>Amount</t>
        </is>
      </c>
      <c r="E8" s="10" t="inlineStr">
        <is>
          <t>Description / business rationale</t>
        </is>
      </c>
      <c r="F8" s="10" t="inlineStr">
        <is>
          <t>Support obtained (Y/N)</t>
        </is>
      </c>
      <c r="G8" s="10" t="inlineStr">
        <is>
          <t>Proper period (Y/N)</t>
        </is>
      </c>
      <c r="H8" s="10" t="inlineStr">
        <is>
          <t>Comments</t>
        </is>
      </c>
    </row>
    <row r="9">
      <c r="A9" s="22" t="n">
        <v>1</v>
      </c>
      <c r="B9" s="29" t="n"/>
      <c r="C9" s="29" t="n"/>
      <c r="D9" s="16" t="n"/>
      <c r="E9" s="29" t="n"/>
      <c r="F9" s="29" t="n"/>
      <c r="G9" s="29" t="n"/>
      <c r="H9" s="29" t="n"/>
    </row>
    <row r="10">
      <c r="A10" s="22" t="n">
        <v>2</v>
      </c>
      <c r="B10" s="29" t="n"/>
      <c r="C10" s="29" t="n"/>
      <c r="D10" s="16" t="n"/>
      <c r="E10" s="29" t="n"/>
      <c r="F10" s="29" t="n"/>
      <c r="G10" s="29" t="n"/>
      <c r="H10" s="29" t="n"/>
    </row>
    <row r="11">
      <c r="A11" s="22" t="n">
        <v>3</v>
      </c>
      <c r="B11" s="29" t="n"/>
      <c r="C11" s="29" t="n"/>
      <c r="D11" s="16" t="n"/>
      <c r="E11" s="29" t="n"/>
      <c r="F11" s="29" t="n"/>
      <c r="G11" s="29" t="n"/>
      <c r="H11" s="29" t="n"/>
    </row>
    <row r="12">
      <c r="A12" s="22" t="n">
        <v>4</v>
      </c>
      <c r="B12" s="29" t="n"/>
      <c r="C12" s="29" t="n"/>
      <c r="D12" s="16" t="n"/>
      <c r="E12" s="29" t="n"/>
      <c r="F12" s="29" t="n"/>
      <c r="G12" s="29" t="n"/>
      <c r="H12" s="29" t="n"/>
    </row>
    <row r="13">
      <c r="A13" s="22" t="n">
        <v>5</v>
      </c>
      <c r="B13" s="29" t="n"/>
      <c r="C13" s="29" t="n"/>
      <c r="D13" s="16" t="n"/>
      <c r="E13" s="29" t="n"/>
      <c r="F13" s="29" t="n"/>
      <c r="G13" s="29" t="n"/>
      <c r="H13" s="29" t="n"/>
    </row>
    <row r="14">
      <c r="A14" s="22" t="n">
        <v>6</v>
      </c>
      <c r="B14" s="29" t="n"/>
      <c r="C14" s="29" t="n"/>
      <c r="D14" s="16" t="n"/>
      <c r="E14" s="29" t="n"/>
      <c r="F14" s="29" t="n"/>
      <c r="G14" s="29" t="n"/>
      <c r="H14" s="29" t="n"/>
    </row>
    <row r="15"/>
    <row r="16">
      <c r="A16" s="13" t="inlineStr">
        <is>
          <t>B. Post-close / top-side adjustments</t>
        </is>
      </c>
    </row>
    <row r="17" ht="25.5" customHeight="1">
      <c r="A17" s="10" t="inlineStr">
        <is>
          <t>Sel #</t>
        </is>
      </c>
      <c r="B17" s="10" t="inlineStr">
        <is>
          <t>JE ref</t>
        </is>
      </c>
      <c r="C17" s="10" t="inlineStr">
        <is>
          <t>Posted date</t>
        </is>
      </c>
      <c r="D17" s="10" t="inlineStr">
        <is>
          <t>Effective period</t>
        </is>
      </c>
      <c r="E17" s="10" t="inlineStr">
        <is>
          <t>Top-side? (Y/N)</t>
        </is>
      </c>
      <c r="F17" s="10" t="inlineStr">
        <is>
          <t>Authorized by</t>
        </is>
      </c>
      <c r="G17" s="10" t="inlineStr">
        <is>
          <t>Impact on FS (describe)</t>
        </is>
      </c>
      <c r="H17" s="10" t="inlineStr">
        <is>
          <t>Support obtained (Y/N)</t>
        </is>
      </c>
      <c r="I17" s="10" t="inlineStr">
        <is>
          <t>Comments</t>
        </is>
      </c>
    </row>
    <row r="18">
      <c r="A18" s="22" t="n">
        <v>1</v>
      </c>
      <c r="B18" s="29" t="n"/>
      <c r="C18" s="29" t="n"/>
      <c r="D18" s="29" t="n"/>
      <c r="E18" s="29" t="n"/>
      <c r="F18" s="29" t="n"/>
      <c r="G18" s="29" t="n"/>
      <c r="H18" s="29" t="n"/>
      <c r="I18" s="29" t="n"/>
    </row>
    <row r="19">
      <c r="A19" s="22" t="n">
        <v>2</v>
      </c>
      <c r="B19" s="29" t="n"/>
      <c r="C19" s="29" t="n"/>
      <c r="D19" s="29" t="n"/>
      <c r="E19" s="29" t="n"/>
      <c r="F19" s="29" t="n"/>
      <c r="G19" s="29" t="n"/>
      <c r="H19" s="29" t="n"/>
      <c r="I19" s="29" t="n"/>
    </row>
    <row r="20">
      <c r="A20" s="22" t="n">
        <v>3</v>
      </c>
      <c r="B20" s="29" t="n"/>
      <c r="C20" s="29" t="n"/>
      <c r="D20" s="29" t="n"/>
      <c r="E20" s="29" t="n"/>
      <c r="F20" s="29" t="n"/>
      <c r="G20" s="29" t="n"/>
      <c r="H20" s="29" t="n"/>
      <c r="I20" s="29" t="n"/>
    </row>
    <row r="21">
      <c r="A21" s="22" t="n">
        <v>4</v>
      </c>
      <c r="B21" s="29" t="n"/>
      <c r="C21" s="29" t="n"/>
      <c r="D21" s="29" t="n"/>
      <c r="E21" s="29" t="n"/>
      <c r="F21" s="29" t="n"/>
      <c r="G21" s="29" t="n"/>
      <c r="H21" s="29" t="n"/>
      <c r="I21" s="29" t="n"/>
    </row>
    <row r="22">
      <c r="A22" s="22" t="n">
        <v>5</v>
      </c>
      <c r="B22" s="29" t="n"/>
      <c r="C22" s="29" t="n"/>
      <c r="D22" s="29" t="n"/>
      <c r="E22" s="29" t="n"/>
      <c r="F22" s="29" t="n"/>
      <c r="G22" s="29" t="n"/>
      <c r="H22" s="29" t="n"/>
      <c r="I22" s="29" t="n"/>
    </row>
    <row r="23">
      <c r="A23" s="22" t="n">
        <v>6</v>
      </c>
      <c r="B23" s="29" t="n"/>
      <c r="C23" s="29" t="n"/>
      <c r="D23" s="29" t="n"/>
      <c r="E23" s="29" t="n"/>
      <c r="F23" s="29" t="n"/>
      <c r="G23" s="29" t="n"/>
      <c r="H23" s="29" t="n"/>
      <c r="I23" s="29" t="n"/>
    </row>
    <row r="24"/>
    <row r="25">
      <c r="A25" s="13" t="inlineStr">
        <is>
          <t>C. Estimate-related entries (agree to source schedules)</t>
        </is>
      </c>
    </row>
    <row r="26" ht="36.5" customHeight="1">
      <c r="A26" s="10" t="inlineStr">
        <is>
          <t>Sel #</t>
        </is>
      </c>
      <c r="B26" s="10" t="inlineStr">
        <is>
          <t>JE ref</t>
        </is>
      </c>
      <c r="C26" s="10" t="inlineStr">
        <is>
          <t>Estimate (describe)</t>
        </is>
      </c>
      <c r="D26" s="10" t="inlineStr">
        <is>
          <t>Amount</t>
        </is>
      </c>
      <c r="E26" s="10" t="inlineStr">
        <is>
          <t>Source / ERP schedule ref</t>
        </is>
      </c>
      <c r="F26" s="10" t="inlineStr">
        <is>
          <t>Agreed to schedule (Y/N)</t>
        </is>
      </c>
      <c r="G26" s="10" t="inlineStr">
        <is>
          <t>Retrospective review noted (Y/N)</t>
        </is>
      </c>
      <c r="H26" s="10" t="inlineStr">
        <is>
          <t>Comments</t>
        </is>
      </c>
    </row>
    <row r="27">
      <c r="A27" s="22" t="n">
        <v>1</v>
      </c>
      <c r="B27" s="29" t="n"/>
      <c r="C27" s="29" t="n"/>
      <c r="D27" s="16" t="n"/>
      <c r="E27" s="29" t="n"/>
      <c r="F27" s="29" t="n"/>
      <c r="G27" s="29" t="n"/>
      <c r="H27" s="29" t="n"/>
    </row>
    <row r="28">
      <c r="A28" s="22" t="n">
        <v>2</v>
      </c>
      <c r="B28" s="29" t="n"/>
      <c r="C28" s="29" t="n"/>
      <c r="D28" s="16" t="n"/>
      <c r="E28" s="29" t="n"/>
      <c r="F28" s="29" t="n"/>
      <c r="G28" s="29" t="n"/>
      <c r="H28" s="29" t="n"/>
    </row>
    <row r="29">
      <c r="A29" s="22" t="n">
        <v>3</v>
      </c>
      <c r="B29" s="29" t="n"/>
      <c r="C29" s="29" t="n"/>
      <c r="D29" s="16" t="n"/>
      <c r="E29" s="29" t="n"/>
      <c r="F29" s="29" t="n"/>
      <c r="G29" s="29" t="n"/>
      <c r="H29" s="29" t="n"/>
    </row>
    <row r="30">
      <c r="A30" s="22" t="n">
        <v>4</v>
      </c>
      <c r="B30" s="29" t="n"/>
      <c r="C30" s="29" t="n"/>
      <c r="D30" s="16" t="n"/>
      <c r="E30" s="29" t="n"/>
      <c r="F30" s="29" t="n"/>
      <c r="G30" s="29" t="n"/>
      <c r="H30" s="29" t="n"/>
    </row>
    <row r="31"/>
    <row r="32" ht="27.75" customHeight="1">
      <c r="A32" s="31" t="inlineStr">
        <is>
          <t>Post-close and top-side entries bypass routine controls — test authorization and FS impact for each. Estimate entries are agreed to the supporting ERP / source schedule and feed the engagement's retrospective review of estimates for management bias (AU-C 240.32(b)(2)).</t>
        </is>
      </c>
    </row>
    <row r="33"/>
    <row r="34">
      <c r="A34" s="9" t="inlineStr">
        <is>
          <t>TM Legends</t>
        </is>
      </c>
    </row>
    <row r="35">
      <c r="A35" s="12" t="inlineStr">
        <is>
          <t>TB</t>
        </is>
      </c>
      <c r="B35" s="29" t="inlineStr">
        <is>
          <t>Agreed to trial balance</t>
        </is>
      </c>
      <c r="C35" s="32" t="n"/>
      <c r="D35" s="33" t="n"/>
    </row>
    <row r="36">
      <c r="A36" s="12" t="inlineStr">
        <is>
          <t>GL</t>
        </is>
      </c>
      <c r="B36" s="29" t="inlineStr">
        <is>
          <t>Agreed to general ledger</t>
        </is>
      </c>
      <c r="C36" s="32" t="n"/>
      <c r="D36" s="33" t="n"/>
    </row>
    <row r="37">
      <c r="A37" s="12" t="inlineStr">
        <is>
          <t>CF</t>
        </is>
      </c>
      <c r="B37" s="29" t="inlineStr">
        <is>
          <t>Confirmed with third party</t>
        </is>
      </c>
      <c r="C37" s="32" t="n"/>
      <c r="D37" s="33" t="n"/>
    </row>
    <row r="38">
      <c r="A38" s="12" t="inlineStr">
        <is>
          <t>V</t>
        </is>
      </c>
      <c r="B38" s="29" t="inlineStr">
        <is>
          <t>Vouched to source document</t>
        </is>
      </c>
      <c r="C38" s="32" t="n"/>
      <c r="D38" s="33" t="n"/>
    </row>
    <row r="39">
      <c r="A39" s="12" t="inlineStr">
        <is>
          <t>SR</t>
        </is>
      </c>
      <c r="B39" s="29" t="inlineStr">
        <is>
          <t>Agreed to subsequent bank-cleared receipt</t>
        </is>
      </c>
      <c r="C39" s="32" t="n"/>
      <c r="D39" s="33" t="n"/>
    </row>
    <row r="40">
      <c r="A40" s="12" t="inlineStr">
        <is>
          <t>R</t>
        </is>
      </c>
      <c r="B40" s="29" t="inlineStr">
        <is>
          <t>Recalculated independently</t>
        </is>
      </c>
      <c r="C40" s="32" t="n"/>
      <c r="D40" s="33" t="n"/>
    </row>
    <row r="41">
      <c r="A41" s="12" t="inlineStr">
        <is>
          <t>F</t>
        </is>
      </c>
      <c r="B41" s="29" t="inlineStr">
        <is>
          <t>Footed / cross-cast</t>
        </is>
      </c>
      <c r="C41" s="32" t="n"/>
      <c r="D41" s="33" t="n"/>
    </row>
    <row r="42">
      <c r="A42" s="12" t="inlineStr">
        <is>
          <t>T</t>
        </is>
      </c>
      <c r="B42" s="29" t="inlineStr">
        <is>
          <t>Traced to downstream record</t>
        </is>
      </c>
      <c r="C42" s="32" t="n"/>
      <c r="D42" s="33" t="n"/>
    </row>
    <row r="43">
      <c r="A43" s="12" t="inlineStr">
        <is>
          <t>PBC</t>
        </is>
      </c>
      <c r="B43" s="29" t="inlineStr">
        <is>
          <t>Prepared by client</t>
        </is>
      </c>
      <c r="C43" s="32" t="n"/>
      <c r="D43" s="33" t="n"/>
    </row>
    <row r="44"/>
    <row r="45" ht="27.75" customHeight="1">
      <c r="A45" s="4" t="inlineStr">
        <is>
          <t>Before sign-off complete Library Procedures 8-10 (period-end; post-close / top-side; estimate entries).</t>
        </is>
      </c>
    </row>
  </sheetData>
  <mergeCells count="14">
    <mergeCell ref="B42:D42"/>
    <mergeCell ref="A45:J45"/>
    <mergeCell ref="B36:D36"/>
    <mergeCell ref="B37:D37"/>
    <mergeCell ref="B5:J5"/>
    <mergeCell ref="A32:J32"/>
    <mergeCell ref="B41:D41"/>
    <mergeCell ref="B35:D35"/>
    <mergeCell ref="B40:D40"/>
    <mergeCell ref="B38:D38"/>
    <mergeCell ref="B4:J4"/>
    <mergeCell ref="B43:D43"/>
    <mergeCell ref="B39:D39"/>
    <mergeCell ref="B6:J6"/>
  </mergeCells>
  <pageMargins left="0.3" right="0.3" top="0.4" bottom="0.4" header="0.2" footer="0.2"/>
  <pageSetup orientation="landscape" paperSize="1" fitToHeight="1" fitToWidth="1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42"/>
  <sheetViews>
    <sheetView showGridLines="0" zoomScale="85" zoomScaleNormal="100" workbookViewId="0">
      <selection activeCell="A27" sqref="A27:F29"/>
    </sheetView>
  </sheetViews>
  <sheetFormatPr baseColWidth="8" defaultColWidth="8.6328125" defaultRowHeight="14.5"/>
  <cols>
    <col width="36" customWidth="1" min="1" max="1"/>
    <col width="13" customWidth="1" min="2" max="2"/>
    <col width="22" customWidth="1" min="3" max="3"/>
    <col width="18" customWidth="1" min="4" max="4"/>
    <col width="15" customWidth="1" min="5" max="5"/>
    <col width="30" customWidth="1" min="6" max="6"/>
  </cols>
  <sheetData>
    <row r="1" ht="17.5" customHeight="1">
      <c r="A1" s="6" t="inlineStr">
        <is>
          <t>JE Analytics &amp; Management-Override Conclusion</t>
        </is>
      </c>
    </row>
    <row r="2">
      <c r="A2" s="7" t="inlineStr">
        <is>
          <t>Client / Entity</t>
        </is>
      </c>
      <c r="B2" s="8" t="inlineStr">
        <is>
          <t>[Client / Entity]</t>
        </is>
      </c>
      <c r="D2" s="7" t="inlineStr">
        <is>
          <t>Year-End</t>
        </is>
      </c>
      <c r="E2" s="8" t="inlineStr">
        <is>
          <t>[YYYY-MM-DD]</t>
        </is>
      </c>
      <c r="G2" s="7" t="inlineStr">
        <is>
          <t>Currency</t>
        </is>
      </c>
      <c r="H2" s="8" t="inlineStr">
        <is>
          <t>[CCY]</t>
        </is>
      </c>
    </row>
    <row r="3">
      <c r="A3" s="7" t="inlineStr">
        <is>
          <t>Performance Materiality</t>
        </is>
      </c>
      <c r="B3" s="8" t="inlineStr">
        <is>
          <t>[PM]</t>
        </is>
      </c>
      <c r="D3" s="7" t="inlineStr">
        <is>
          <t>Testing Threshold (SUM)</t>
        </is>
      </c>
      <c r="E3" s="8" t="inlineStr">
        <is>
          <t>[Threshold]</t>
        </is>
      </c>
    </row>
    <row r="4" ht="27.75" customHeight="1">
      <c r="A4" s="27" t="inlineStr">
        <is>
          <t>Purpose:</t>
        </is>
      </c>
      <c r="B4" s="28" t="inlineStr">
        <is>
          <t>Complete the standard fraud-risk analytics checklist over the full population, evaluate the management-override indicators collectively, and conclude on the journal-entry work.</t>
        </is>
      </c>
      <c r="C4" s="34" t="n"/>
      <c r="D4" s="34" t="n"/>
      <c r="E4" s="34" t="n"/>
      <c r="F4" s="35" t="n"/>
    </row>
    <row r="5" ht="27.75" customHeight="1">
      <c r="A5" s="27" t="inlineStr">
        <is>
          <t>Scope:</t>
        </is>
      </c>
      <c r="B5" s="28" t="inlineStr">
        <is>
          <t>The full validated population; results of &lt;.2&gt;-&lt;.4&gt;; AU-C 240.32 (journal entries, estimates, significant unusual transactions).</t>
        </is>
      </c>
      <c r="C5" s="34" t="n"/>
      <c r="D5" s="34" t="n"/>
      <c r="E5" s="34" t="n"/>
      <c r="F5" s="35" t="n"/>
    </row>
    <row r="6" ht="15" customHeight="1">
      <c r="A6" s="27" t="inlineStr">
        <is>
          <t>Assertions:</t>
        </is>
      </c>
      <c r="B6" s="28" t="inlineStr">
        <is>
          <t>Completeness; Occurrence; Accuracy</t>
        </is>
      </c>
      <c r="C6" s="34" t="n"/>
      <c r="D6" s="34" t="n"/>
      <c r="E6" s="34" t="n"/>
      <c r="F6" s="35" t="n"/>
    </row>
    <row r="7">
      <c r="A7" s="13" t="inlineStr">
        <is>
          <t>A. Standard analytics checklist (population-level)</t>
        </is>
      </c>
    </row>
    <row r="8" ht="25.5" customHeight="1">
      <c r="A8" s="10" t="inlineStr">
        <is>
          <t>Analytic</t>
        </is>
      </c>
      <c r="B8" s="10" t="inlineStr">
        <is>
          <t>Performed (Y/N)</t>
        </is>
      </c>
      <c r="C8" s="10" t="inlineStr">
        <is>
          <t>Result / population count</t>
        </is>
      </c>
      <c r="D8" s="10" t="inlineStr">
        <is>
          <t>Anomalies identified</t>
        </is>
      </c>
      <c r="E8" s="10" t="inlineStr">
        <is>
          <t>Follow-up (tab / ref)</t>
        </is>
      </c>
      <c r="F8" s="10" t="inlineStr">
        <is>
          <t>Comments</t>
        </is>
      </c>
    </row>
    <row r="9" ht="21.75" customHeight="1">
      <c r="A9" s="21" t="inlineStr">
        <is>
          <t>Entries by user (concentration &amp; unexpected users)</t>
        </is>
      </c>
      <c r="B9" s="29" t="n"/>
      <c r="C9" s="29" t="n"/>
      <c r="D9" s="29" t="n"/>
      <c r="E9" s="29" t="n"/>
      <c r="F9" s="29" t="n"/>
    </row>
    <row r="10" ht="21.75" customHeight="1">
      <c r="A10" s="21" t="inlineStr">
        <is>
          <t>Entries by hour of day (after-hours pattern)</t>
        </is>
      </c>
      <c r="B10" s="29" t="n"/>
      <c r="C10" s="29" t="n"/>
      <c r="D10" s="29" t="n"/>
      <c r="E10" s="29" t="n"/>
      <c r="F10" s="29" t="n"/>
    </row>
    <row r="11" ht="21.75" customHeight="1">
      <c r="A11" s="21" t="inlineStr">
        <is>
          <t>Entries by day of week (weekend pattern)</t>
        </is>
      </c>
      <c r="B11" s="29" t="n"/>
      <c r="C11" s="29" t="n"/>
      <c r="D11" s="29" t="n"/>
      <c r="E11" s="29" t="n"/>
      <c r="F11" s="29" t="n"/>
    </row>
    <row r="12" ht="21.75" customHeight="1">
      <c r="A12" s="21" t="inlineStr">
        <is>
          <t>Round-dollar frequency analysis</t>
        </is>
      </c>
      <c r="B12" s="29" t="n"/>
      <c r="C12" s="29" t="n"/>
      <c r="D12" s="29" t="n"/>
      <c r="E12" s="29" t="n"/>
      <c r="F12" s="29" t="n"/>
    </row>
    <row r="13" ht="21.75" customHeight="1">
      <c r="A13" s="21" t="inlineStr">
        <is>
          <t>Entries by source / type (manual share)</t>
        </is>
      </c>
      <c r="B13" s="29" t="n"/>
      <c r="C13" s="29" t="n"/>
      <c r="D13" s="29" t="n"/>
      <c r="E13" s="29" t="n"/>
      <c r="F13" s="29" t="n"/>
    </row>
    <row r="14" ht="21.75" customHeight="1">
      <c r="A14" s="21" t="inlineStr">
        <is>
          <t>Credits to revenue analysis (unusual credits / reversals)</t>
        </is>
      </c>
      <c r="B14" s="29" t="n"/>
      <c r="C14" s="29" t="n"/>
      <c r="D14" s="29" t="n"/>
      <c r="E14" s="29" t="n"/>
      <c r="F14" s="29" t="n"/>
    </row>
    <row r="15" ht="21.75" customHeight="1">
      <c r="A15" s="21" t="inlineStr">
        <is>
          <t>Postings to seldom-used accounts</t>
        </is>
      </c>
      <c r="B15" s="29" t="n"/>
      <c r="C15" s="29" t="n"/>
      <c r="D15" s="29" t="n"/>
      <c r="E15" s="29" t="n"/>
      <c r="F15" s="29" t="n"/>
    </row>
    <row r="16" ht="21.75" customHeight="1">
      <c r="A16" s="21" t="inlineStr">
        <is>
          <t>Debit / credit imbalance scan (should be none)</t>
        </is>
      </c>
      <c r="B16" s="29" t="n"/>
      <c r="C16" s="29" t="n"/>
      <c r="D16" s="29" t="n"/>
      <c r="E16" s="29" t="n"/>
      <c r="F16" s="29" t="n"/>
    </row>
    <row r="17"/>
    <row r="18">
      <c r="A18" s="13" t="inlineStr">
        <is>
          <t>B. Management-override evaluation</t>
        </is>
      </c>
    </row>
    <row r="19" ht="21.75" customHeight="1">
      <c r="A19" s="10" t="inlineStr">
        <is>
          <t>Indicator / result</t>
        </is>
      </c>
      <c r="B19" s="10" t="inlineStr">
        <is>
          <t>Result</t>
        </is>
      </c>
      <c r="C19" s="10" t="inlineStr">
        <is>
          <t>Basis (tab)</t>
        </is>
      </c>
      <c r="D19" s="10" t="inlineStr">
        <is>
          <t>Conclusion</t>
        </is>
      </c>
    </row>
    <row r="20" ht="21.75" customHeight="1">
      <c r="A20" s="21" t="inlineStr">
        <is>
          <t>SoD conflicts identified (per &lt;.2&gt;)</t>
        </is>
      </c>
      <c r="B20" s="29" t="n"/>
      <c r="C20" s="22" t="inlineStr">
        <is>
          <t>&lt;.2&gt;</t>
        </is>
      </c>
      <c r="D20" s="29" t="n"/>
    </row>
    <row r="21" ht="21.75" customHeight="1">
      <c r="A21" s="21" t="inlineStr">
        <is>
          <t>Top-side / post-close entries tested without exception</t>
        </is>
      </c>
      <c r="B21" s="29" t="n"/>
      <c r="C21" s="22" t="inlineStr">
        <is>
          <t>&lt;.4&gt;</t>
        </is>
      </c>
      <c r="D21" s="29" t="n"/>
    </row>
    <row r="22" ht="21.75" customHeight="1">
      <c r="A22" s="21" t="inlineStr">
        <is>
          <t>Suspense balances cleared subsequently</t>
        </is>
      </c>
      <c r="B22" s="29" t="n"/>
      <c r="C22" s="22" t="inlineStr">
        <is>
          <t>&lt;.3&gt;</t>
        </is>
      </c>
      <c r="D22" s="29" t="n"/>
    </row>
    <row r="23" ht="21.75" customHeight="1">
      <c r="A23" s="21" t="inlineStr">
        <is>
          <t>Estimate entries agreed to source; no bias indicators</t>
        </is>
      </c>
      <c r="B23" s="29" t="n"/>
      <c r="C23" s="22" t="inlineStr">
        <is>
          <t>&lt;.4&gt;</t>
        </is>
      </c>
      <c r="D23" s="29" t="n"/>
    </row>
    <row r="24" ht="21.75" customHeight="1">
      <c r="A24" s="21" t="inlineStr">
        <is>
          <t>Risk-criteria counts consistent with expectations</t>
        </is>
      </c>
      <c r="B24" s="29" t="n"/>
      <c r="C24" s="22" t="inlineStr">
        <is>
          <t>&lt;.1&gt;</t>
        </is>
      </c>
      <c r="D24" s="29" t="n"/>
    </row>
    <row r="25"/>
    <row r="26">
      <c r="A26" s="13" t="inlineStr">
        <is>
          <t>C. Overall conclusion</t>
        </is>
      </c>
    </row>
    <row r="27" ht="18" customHeight="1">
      <c r="A27" s="2" t="inlineStr">
        <is>
          <t>[State the conclusion on the completeness of the population (per the companion workpaper), the results of risk-based testing, and whether the journal-entry work identified indicators of management override or material misstatement.]</t>
        </is>
      </c>
    </row>
    <row r="28" ht="18" customHeight="1"/>
    <row r="29" ht="18" customHeight="1"/>
    <row r="30"/>
    <row r="31">
      <c r="A31" s="9" t="inlineStr">
        <is>
          <t>TM Legends</t>
        </is>
      </c>
    </row>
    <row r="32">
      <c r="A32" s="12" t="inlineStr">
        <is>
          <t>TB</t>
        </is>
      </c>
      <c r="B32" s="29" t="inlineStr">
        <is>
          <t>Agreed to trial balance</t>
        </is>
      </c>
      <c r="C32" s="32" t="n"/>
      <c r="D32" s="33" t="n"/>
    </row>
    <row r="33">
      <c r="A33" s="12" t="inlineStr">
        <is>
          <t>GL</t>
        </is>
      </c>
      <c r="B33" s="29" t="inlineStr">
        <is>
          <t>Agreed to general ledger</t>
        </is>
      </c>
      <c r="C33" s="32" t="n"/>
      <c r="D33" s="33" t="n"/>
    </row>
    <row r="34">
      <c r="A34" s="12" t="inlineStr">
        <is>
          <t>CF</t>
        </is>
      </c>
      <c r="B34" s="29" t="inlineStr">
        <is>
          <t>Confirmed with third party</t>
        </is>
      </c>
      <c r="C34" s="32" t="n"/>
      <c r="D34" s="33" t="n"/>
    </row>
    <row r="35">
      <c r="A35" s="12" t="inlineStr">
        <is>
          <t>V</t>
        </is>
      </c>
      <c r="B35" s="29" t="inlineStr">
        <is>
          <t>Vouched to source document</t>
        </is>
      </c>
      <c r="C35" s="32" t="n"/>
      <c r="D35" s="33" t="n"/>
    </row>
    <row r="36">
      <c r="A36" s="12" t="inlineStr">
        <is>
          <t>SR</t>
        </is>
      </c>
      <c r="B36" s="29" t="inlineStr">
        <is>
          <t>Agreed to subsequent bank-cleared receipt</t>
        </is>
      </c>
      <c r="C36" s="32" t="n"/>
      <c r="D36" s="33" t="n"/>
    </row>
    <row r="37">
      <c r="A37" s="12" t="inlineStr">
        <is>
          <t>R</t>
        </is>
      </c>
      <c r="B37" s="29" t="inlineStr">
        <is>
          <t>Recalculated independently</t>
        </is>
      </c>
      <c r="C37" s="32" t="n"/>
      <c r="D37" s="33" t="n"/>
    </row>
    <row r="38">
      <c r="A38" s="12" t="inlineStr">
        <is>
          <t>F</t>
        </is>
      </c>
      <c r="B38" s="29" t="inlineStr">
        <is>
          <t>Footed / cross-cast</t>
        </is>
      </c>
      <c r="C38" s="32" t="n"/>
      <c r="D38" s="33" t="n"/>
    </row>
    <row r="39">
      <c r="A39" s="12" t="inlineStr">
        <is>
          <t>T</t>
        </is>
      </c>
      <c r="B39" s="29" t="inlineStr">
        <is>
          <t>Traced to downstream record</t>
        </is>
      </c>
      <c r="C39" s="32" t="n"/>
      <c r="D39" s="33" t="n"/>
    </row>
    <row r="40">
      <c r="A40" s="12" t="inlineStr">
        <is>
          <t>PBC</t>
        </is>
      </c>
      <c r="B40" s="29" t="inlineStr">
        <is>
          <t>Prepared by client</t>
        </is>
      </c>
      <c r="C40" s="32" t="n"/>
      <c r="D40" s="33" t="n"/>
    </row>
    <row r="41"/>
    <row r="42" ht="27.75" customHeight="1">
      <c r="A42" s="4" t="inlineStr">
        <is>
          <t>Before sign-off complete Library Procedures 11-12 (analytics checklist; override evaluation &amp; conclusion).</t>
        </is>
      </c>
    </row>
  </sheetData>
  <mergeCells count="14">
    <mergeCell ref="B33:D33"/>
    <mergeCell ref="B4:F4"/>
    <mergeCell ref="B36:D36"/>
    <mergeCell ref="B37:D37"/>
    <mergeCell ref="A42:F42"/>
    <mergeCell ref="A27:F29"/>
    <mergeCell ref="B6:F6"/>
    <mergeCell ref="B35:D35"/>
    <mergeCell ref="B32:D32"/>
    <mergeCell ref="B5:F5"/>
    <mergeCell ref="B40:D40"/>
    <mergeCell ref="B39:D39"/>
    <mergeCell ref="B38:D38"/>
    <mergeCell ref="B34:D34"/>
  </mergeCells>
  <pageMargins left="0.3" right="0.3" top="0.4" bottom="0.4" header="0.2" footer="0.2"/>
  <pageSetup orientation="portrait" paperSize="1" fitToHeight="1" fitToWidth="1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2026-07-03T11:43:52Z</dcterms:created>
  <dcterms:modified xmlns:dcterms="http://purl.org/dc/terms/" xmlns:xsi="http://www.w3.org/2001/XMLSchema-instance" xsi:type="dcterms:W3CDTF">2026-07-03T14:29:10Z</dcterms:modified>
  <cp:revision>0</cp:revision>
</cp:coreProperties>
</file>