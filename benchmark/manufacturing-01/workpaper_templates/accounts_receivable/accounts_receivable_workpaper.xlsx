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AR Lead Sheet" sheetId="3" state="visible" r:id="rId3"/>
    <sheet xmlns:r="http://schemas.openxmlformats.org/officeDocument/2006/relationships" name="&lt;.2&gt; Aging Tie-Out" sheetId="4" state="visible" r:id="rId4"/>
    <sheet xmlns:r="http://schemas.openxmlformats.org/officeDocument/2006/relationships" name="&lt;.3&gt; Aging Bucket Testing" sheetId="5" state="visible" r:id="rId5"/>
    <sheet xmlns:r="http://schemas.openxmlformats.org/officeDocument/2006/relationships" name="&lt;.4&gt; Allowance for Doubtful" sheetId="6" state="visible" r:id="rId6"/>
    <sheet xmlns:r="http://schemas.openxmlformats.org/officeDocument/2006/relationships" name="&lt;.5&gt; CECL Expected Credit Loss" sheetId="7" state="visible" r:id="rId7"/>
    <sheet xmlns:r="http://schemas.openxmlformats.org/officeDocument/2006/relationships" name="&lt;.6&gt; Confirmation &amp; Clearance" sheetId="8" state="visible" r:id="rId8"/>
    <sheet xmlns:r="http://schemas.openxmlformats.org/officeDocument/2006/relationships" name="&lt;.7&gt; Ratios &amp; Disclosures" sheetId="9" state="visible" r:id="rId9"/>
  </sheets>
  <definedNames>
    <definedName name="_xlnm.Print_Area" localSheetId="0">'Library Procedures'!$A$1:$F$48</definedName>
    <definedName name="_xlnm.Print_Area" localSheetId="1">'&lt;.0&gt; Source Index'!$A$1:$H$32</definedName>
    <definedName name="_xlnm.Print_Area" localSheetId="2">'&lt;.1&gt; AR Lead Sheet'!$A$1:$K$38</definedName>
    <definedName name="_xlnm.Print_Area" localSheetId="3">'&lt;.2&gt; Aging Tie-Out'!$A$1:$K$36</definedName>
    <definedName name="_xlnm.Print_Area" localSheetId="4">'&lt;.3&gt; Aging Bucket Testing'!$A$1:$J$39</definedName>
    <definedName name="_xlnm.Print_Area" localSheetId="5">'&lt;.4&gt; Allowance for Doubtful'!$A$1:$H$48</definedName>
    <definedName name="_xlnm.Print_Area" localSheetId="6">'&lt;.5&gt; CECL Expected Credit Loss'!$A$1:$J$46</definedName>
    <definedName name="_xlnm.Print_Area" localSheetId="7">'&lt;.6&gt; Confirmation &amp; Clearance'!$A$1:$AG$39</definedName>
    <definedName name="_xlnm.Print_Area" localSheetId="8">'&lt;.7&gt; Ratios &amp; Disclosures'!$A$1:$H$46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</fonts>
  <fills count="5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FFDC6900"/>
        <bgColor rgb="FFFF9900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1" fillId="2" borderId="1" pivotButton="0" quotePrefix="0" xfId="0"/>
    <xf numFmtId="0" fontId="11" fillId="4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1" fontId="3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11" fillId="4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1" fillId="4" borderId="2" pivotButton="0" quotePrefix="0" xfId="0"/>
    <xf numFmtId="0" fontId="11" fillId="4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="85" zoomScaleNormal="100" workbookViewId="0">
      <selection activeCell="A1" sqref="A1"/>
    </sheetView>
  </sheetViews>
  <sheetFormatPr baseColWidth="8" defaultColWidth="8.6328125" defaultRowHeight="14.5"/>
  <cols>
    <col width="17.81640625" customWidth="1" min="1" max="1"/>
    <col width="96" customWidth="1" min="2" max="2"/>
    <col width="30" customWidth="1" min="3" max="3"/>
    <col width="12" customWidth="1" min="4" max="4"/>
    <col width="15" customWidth="1" min="5" max="5"/>
    <col width="12" customWidth="1" min="6" max="6"/>
  </cols>
  <sheetData>
    <row r="1" ht="17.5" customHeight="1">
      <c r="A1" s="6" t="inlineStr">
        <is>
          <t>Accounts Receivable — Library of Audit Procedures</t>
        </is>
      </c>
    </row>
    <row r="2">
      <c r="A2" s="8" t="inlineStr">
        <is>
          <t>Client / Entity: Whitmore Products Company</t>
        </is>
      </c>
    </row>
    <row r="3">
      <c r="A3" s="8" t="inlineStr">
        <is>
          <t>Prepared by: Audit Senior 8606 (assigned)      Reviewed by: Audit Manager A1DC (assigned)</t>
        </is>
      </c>
    </row>
    <row r="4" ht="25.5" customHeight="1">
      <c r="A4" s="3" t="inlineStr">
        <is>
          <t>Tick each procedure when complete; enter the W/P reference, performed-by initials and date. Work through ALL applicable procedures before concluding on accounts receivable.</t>
        </is>
      </c>
    </row>
    <row r="5"/>
    <row r="6" ht="19.5" customHeight="1">
      <c r="A6" s="23" t="inlineStr">
        <is>
          <t>Done</t>
        </is>
      </c>
      <c r="B6" s="24" t="inlineStr">
        <is>
          <t>Procedure</t>
        </is>
      </c>
      <c r="C6" s="24" t="inlineStr">
        <is>
          <t>Assertion(s)</t>
        </is>
      </c>
      <c r="D6" s="23" t="inlineStr">
        <is>
          <t>W/P Ref</t>
        </is>
      </c>
      <c r="E6" s="23" t="inlineStr">
        <is>
          <t>Performed by</t>
        </is>
      </c>
      <c r="F6" s="23" t="inlineStr">
        <is>
          <t>Date</t>
        </is>
      </c>
    </row>
    <row r="7">
      <c r="A7" s="1" t="inlineStr">
        <is>
          <t>&lt;.0&gt; Source Index</t>
        </is>
      </c>
      <c r="B7" s="30" t="n"/>
      <c r="C7" s="30" t="n"/>
      <c r="D7" s="30" t="n"/>
      <c r="E7" s="30" t="n"/>
      <c r="F7" s="31" t="n"/>
    </row>
    <row r="8" ht="25.5" customHeight="1">
      <c r="A8" s="11" t="n"/>
      <c r="B8" s="25" t="inlineStr">
        <is>
          <t>1. Obtain and index all AR PBC sources (sub-ledger/aging, confirmation replies, bank statements, write-off/credit-memo log, allowance/CECL methodology memo); document limitations.</t>
        </is>
      </c>
      <c r="C8" s="25" t="inlineStr">
        <is>
          <t>Completeness</t>
        </is>
      </c>
      <c r="D8" s="26" t="inlineStr">
        <is>
          <t>&lt;.0&gt;</t>
        </is>
      </c>
      <c r="E8" s="11" t="n"/>
      <c r="F8" s="11" t="n"/>
    </row>
    <row r="9">
      <c r="A9" s="1" t="inlineStr">
        <is>
          <t>&lt;.1&gt; AR Lead Sheet</t>
        </is>
      </c>
      <c r="B9" s="30" t="n"/>
      <c r="C9" s="30" t="n"/>
      <c r="D9" s="30" t="n"/>
      <c r="E9" s="30" t="n"/>
      <c r="F9" s="31" t="n"/>
    </row>
    <row r="10" ht="25.5" customHeight="1">
      <c r="A10" s="11" t="n"/>
      <c r="B10" s="25" t="inlineStr">
        <is>
          <t>2. Obtain the AR lead sheet and agree gross AR, allowance and net AR to the trial balance and general ledger.</t>
        </is>
      </c>
      <c r="C10" s="25" t="inlineStr">
        <is>
          <t>Existence; Completeness; Rights &amp; Obligations</t>
        </is>
      </c>
      <c r="D10" s="26" t="inlineStr">
        <is>
          <t>&lt;.1&gt;</t>
        </is>
      </c>
      <c r="E10" s="11" t="n"/>
      <c r="F10" s="11" t="n"/>
    </row>
    <row r="11" ht="15" customHeight="1">
      <c r="A11" s="11" t="n"/>
      <c r="B11" s="25" t="inlineStr">
        <is>
          <t>3. Foot the lead sheet and agree current-year and prior-year gross / allowance / net by account.</t>
        </is>
      </c>
      <c r="C11" s="25" t="inlineStr">
        <is>
          <t>Completeness; Accuracy</t>
        </is>
      </c>
      <c r="D11" s="26" t="inlineStr">
        <is>
          <t>&lt;.1&gt;</t>
        </is>
      </c>
      <c r="E11" s="11" t="n"/>
      <c r="F11" s="11" t="n"/>
    </row>
    <row r="12" ht="25.5" customHeight="1">
      <c r="A12" s="11" t="n"/>
      <c r="B12" s="25" t="inlineStr">
        <is>
          <t>4. Confirm the AR population is complete — all trade receivables, including amounts coded to other GL accounts (e.g. bad-debt-expense 6008); investigate misclassifications.</t>
        </is>
      </c>
      <c r="C12" s="25" t="inlineStr">
        <is>
          <t>Completeness; Classification</t>
        </is>
      </c>
      <c r="D12" s="26" t="inlineStr">
        <is>
          <t>&lt;.1&gt;</t>
        </is>
      </c>
      <c r="E12" s="11" t="n"/>
      <c r="F12" s="11" t="n"/>
    </row>
    <row r="13" ht="15" customHeight="1">
      <c r="A13" s="11" t="n"/>
      <c r="B13" s="25" t="inlineStr">
        <is>
          <t>5. Compute current-vs-prior-year movement and % change; investigate unusual changes.</t>
        </is>
      </c>
      <c r="C13" s="25" t="inlineStr">
        <is>
          <t>Accuracy</t>
        </is>
      </c>
      <c r="D13" s="26" t="inlineStr">
        <is>
          <t>&lt;.1&gt;</t>
        </is>
      </c>
      <c r="E13" s="11" t="n"/>
      <c r="F13" s="11" t="n"/>
    </row>
    <row r="14">
      <c r="A14" s="1" t="inlineStr">
        <is>
          <t>&lt;.2&gt; Aging Tie-Out</t>
        </is>
      </c>
      <c r="B14" s="30" t="n"/>
      <c r="C14" s="30" t="n"/>
      <c r="D14" s="30" t="n"/>
      <c r="E14" s="30" t="n"/>
      <c r="F14" s="31" t="n"/>
    </row>
    <row r="15" ht="25.5" customHeight="1">
      <c r="A15" s="11" t="n"/>
      <c r="B15" s="25" t="inlineStr">
        <is>
          <t>6. Reconcile the year-end aging / open-item support to the lead sheet and foot the aging by bucket.</t>
        </is>
      </c>
      <c r="C15" s="25" t="inlineStr">
        <is>
          <t>Accuracy; Completeness</t>
        </is>
      </c>
      <c r="D15" s="26" t="inlineStr">
        <is>
          <t>&lt;.2&gt;</t>
        </is>
      </c>
      <c r="E15" s="11" t="n"/>
      <c r="F15" s="11" t="n"/>
    </row>
    <row r="16">
      <c r="A16" s="1" t="inlineStr">
        <is>
          <t>&lt;.3&gt; Aging Bucket Testing</t>
        </is>
      </c>
      <c r="B16" s="30" t="n"/>
      <c r="C16" s="30" t="n"/>
      <c r="D16" s="30" t="n"/>
      <c r="E16" s="30" t="n"/>
      <c r="F16" s="31" t="n"/>
    </row>
    <row r="17" ht="25.5" customHeight="1">
      <c r="A17" s="11" t="n"/>
      <c r="B17" s="25" t="inlineStr">
        <is>
          <t>7. Re-age open items from invoice/due date and recompute the aging-bucket classification; investigate where bucket labels contradict invoice dates.</t>
        </is>
      </c>
      <c r="C17" s="25" t="inlineStr">
        <is>
          <t>Accuracy; Valuation &amp; Allocation</t>
        </is>
      </c>
      <c r="D17" s="26" t="inlineStr">
        <is>
          <t>&lt;.3&gt;</t>
        </is>
      </c>
      <c r="E17" s="11" t="n"/>
      <c r="F17" s="11" t="n"/>
    </row>
    <row r="18" ht="25.5" customHeight="1">
      <c r="A18" s="11" t="n"/>
      <c r="B18" s="25" t="inlineStr">
        <is>
          <t>8. Request a corrected ERP aging that re-ages from invoice/due date where the provided aging is unreliable.</t>
        </is>
      </c>
      <c r="C18" s="25" t="inlineStr">
        <is>
          <t>Accuracy</t>
        </is>
      </c>
      <c r="D18" s="26" t="inlineStr">
        <is>
          <t>&lt;.3&gt;</t>
        </is>
      </c>
      <c r="E18" s="11" t="n"/>
      <c r="F18" s="11" t="n"/>
    </row>
    <row r="19">
      <c r="A19" s="1" t="inlineStr">
        <is>
          <t>&lt;.4&gt; Allowance for Doubtful Accounts</t>
        </is>
      </c>
      <c r="B19" s="30" t="n"/>
      <c r="C19" s="30" t="n"/>
      <c r="D19" s="30" t="n"/>
      <c r="E19" s="30" t="n"/>
      <c r="F19" s="31" t="n"/>
    </row>
    <row r="20" ht="25.5" customHeight="1">
      <c r="A20" s="11" t="n"/>
      <c r="B20" s="25" t="inlineStr">
        <is>
          <t>9. Obtain management's allowance roll-forward (beginning -&gt; provision (bad debt expense) -&gt; write-offs -&gt; recoveries -&gt; ending) and agree ending to the trial balance.</t>
        </is>
      </c>
      <c r="C20" s="25" t="inlineStr">
        <is>
          <t>Valuation &amp; Allocation; Completeness</t>
        </is>
      </c>
      <c r="D20" s="26" t="inlineStr">
        <is>
          <t>&lt;.4&gt;</t>
        </is>
      </c>
      <c r="E20" s="11" t="n"/>
      <c r="F20" s="11" t="n"/>
    </row>
    <row r="21" ht="15" customHeight="1">
      <c r="A21" s="11" t="n"/>
      <c r="B21" s="25" t="inlineStr">
        <is>
          <t>10. Evaluate specific reserves on significant / past-due balances and their basis / rationale.</t>
        </is>
      </c>
      <c r="C21" s="25" t="inlineStr">
        <is>
          <t>Valuation &amp; Allocation</t>
        </is>
      </c>
      <c r="D21" s="26" t="inlineStr">
        <is>
          <t>&lt;.4&gt;</t>
        </is>
      </c>
      <c r="E21" s="11" t="n"/>
      <c r="F21" s="11" t="n"/>
    </row>
    <row r="22" ht="25.5" customHeight="1">
      <c r="A22" s="11" t="n"/>
      <c r="B22" s="25" t="inlineStr">
        <is>
          <t>11. Request the deduction / credit-memo and write-off log and agree write-offs to the roll-forward.</t>
        </is>
      </c>
      <c r="C22" s="25" t="inlineStr">
        <is>
          <t>Valuation &amp; Allocation; Completeness</t>
        </is>
      </c>
      <c r="D22" s="26" t="inlineStr">
        <is>
          <t>&lt;.4&gt;</t>
        </is>
      </c>
      <c r="E22" s="11" t="n"/>
      <c r="F22" s="11" t="n"/>
    </row>
    <row r="23" ht="25.5" customHeight="1">
      <c r="A23" s="11" t="n"/>
      <c r="B23" s="25" t="inlineStr">
        <is>
          <t>12. Conclude on whether the recorded allowance is reasonable (required vs recorded vs materiality).</t>
        </is>
      </c>
      <c r="C23" s="25" t="inlineStr">
        <is>
          <t>Valuation &amp; Allocation</t>
        </is>
      </c>
      <c r="D23" s="26" t="inlineStr">
        <is>
          <t>&lt;.4&gt;</t>
        </is>
      </c>
      <c r="E23" s="11" t="n"/>
      <c r="F23" s="11" t="n"/>
    </row>
    <row r="24">
      <c r="A24" s="1" t="inlineStr">
        <is>
          <t>&lt;.5&gt; CECL / Expected Credit Loss</t>
        </is>
      </c>
      <c r="B24" s="30" t="n"/>
      <c r="C24" s="30" t="n"/>
      <c r="D24" s="30" t="n"/>
      <c r="E24" s="30" t="n"/>
      <c r="F24" s="31" t="n"/>
    </row>
    <row r="25" ht="25.5" customHeight="1">
      <c r="A25" s="11" t="n"/>
      <c r="B25" s="25" t="inlineStr">
        <is>
          <t>13. Obtain management's written CECL / expected-credit-loss methodology and historical loss-rate support.</t>
        </is>
      </c>
      <c r="C25" s="25" t="inlineStr">
        <is>
          <t>Valuation &amp; Allocation</t>
        </is>
      </c>
      <c r="D25" s="26" t="inlineStr">
        <is>
          <t>&lt;.5&gt;</t>
        </is>
      </c>
      <c r="E25" s="11" t="n"/>
      <c r="F25" s="11" t="n"/>
    </row>
    <row r="26" ht="25.5" customHeight="1">
      <c r="A26" s="11" t="n"/>
      <c r="B26" s="25" t="inlineStr">
        <is>
          <t>14. Recompute the expected credit loss using pooled aging x historical loss rates and compare to the recorded allowance.</t>
        </is>
      </c>
      <c r="C26" s="25" t="inlineStr">
        <is>
          <t>Valuation &amp; Allocation</t>
        </is>
      </c>
      <c r="D26" s="26" t="inlineStr">
        <is>
          <t>&lt;.5&gt;</t>
        </is>
      </c>
      <c r="E26" s="11" t="n"/>
      <c r="F26" s="11" t="n"/>
    </row>
    <row r="27" ht="25.5" customHeight="1">
      <c r="A27" s="11" t="n"/>
      <c r="B27" s="25" t="inlineStr">
        <is>
          <t>15. Perform a write-off / loss-rate lookback to evaluate the reasonableness of the loss rates applied.</t>
        </is>
      </c>
      <c r="C27" s="25" t="inlineStr">
        <is>
          <t>Valuation &amp; Allocation</t>
        </is>
      </c>
      <c r="D27" s="26" t="inlineStr">
        <is>
          <t>&lt;.5&gt;</t>
        </is>
      </c>
      <c r="E27" s="11" t="n"/>
      <c r="F27" s="11" t="n"/>
    </row>
    <row r="28" ht="25.5" customHeight="1">
      <c r="A28" s="11" t="n"/>
      <c r="B28" s="25" t="inlineStr">
        <is>
          <t>16. Evaluate forward-looking / qualitative factors (economic conditions, concentration, aging deterioration) and their effect on the estimate.</t>
        </is>
      </c>
      <c r="C28" s="25" t="inlineStr">
        <is>
          <t>Valuation &amp; Allocation</t>
        </is>
      </c>
      <c r="D28" s="26" t="inlineStr">
        <is>
          <t>&lt;.5&gt;</t>
        </is>
      </c>
      <c r="E28" s="11" t="n"/>
      <c r="F28" s="11" t="n"/>
    </row>
    <row r="29">
      <c r="A29" s="1" t="inlineStr">
        <is>
          <t>&lt;.6&gt; Confirmation &amp; Subsequent Clearance</t>
        </is>
      </c>
      <c r="B29" s="30" t="n"/>
      <c r="C29" s="30" t="n"/>
      <c r="D29" s="30" t="n"/>
      <c r="E29" s="30" t="n"/>
      <c r="F29" s="31" t="n"/>
    </row>
    <row r="30" ht="25.5" customHeight="1">
      <c r="A30" s="11" t="n"/>
      <c r="B30" s="25" t="inlineStr">
        <is>
          <t>17. Send external positive AR confirmations to significant customers; maintain a confirmation control log (sent / method / follow-up / received / exceptions) with a response-rate summary.</t>
        </is>
      </c>
      <c r="C30" s="25" t="inlineStr">
        <is>
          <t>Existence; Rights &amp; Obligations</t>
        </is>
      </c>
      <c r="D30" s="26" t="inlineStr">
        <is>
          <t>&lt;.6&gt;</t>
        </is>
      </c>
      <c r="E30" s="11" t="n"/>
      <c r="F30" s="11" t="n"/>
    </row>
    <row r="31" ht="25.5" customHeight="1">
      <c r="A31" s="11" t="n"/>
      <c r="B31" s="25" t="inlineStr">
        <is>
          <t>18. Validate the confirming party's address / identity (address validation testing) and test the reliability / authenticity of electronic confirmation responses.</t>
        </is>
      </c>
      <c r="C31" s="25" t="inlineStr">
        <is>
          <t>Existence; Rights &amp; Obligations</t>
        </is>
      </c>
      <c r="D31" s="26" t="inlineStr">
        <is>
          <t>&lt;.6&gt;</t>
        </is>
      </c>
      <c r="E31" s="11" t="n"/>
      <c r="F31" s="11" t="n"/>
    </row>
    <row r="32" ht="15" customHeight="1">
      <c r="A32" s="11" t="n"/>
      <c r="B32" s="25" t="inlineStr">
        <is>
          <t>19. Agree confirmed amounts to recorded balances and resolve exceptions.</t>
        </is>
      </c>
      <c r="C32" s="25" t="inlineStr">
        <is>
          <t>Existence; Accuracy</t>
        </is>
      </c>
      <c r="D32" s="26" t="inlineStr">
        <is>
          <t>&lt;.6&gt;</t>
        </is>
      </c>
      <c r="E32" s="11" t="n"/>
      <c r="F32" s="11" t="n"/>
    </row>
    <row r="33" ht="25.5" customHeight="1">
      <c r="A33" s="11" t="n"/>
      <c r="B33" s="25" t="inlineStr">
        <is>
          <t>20. For non-replies (or as alternative procedures), vouch open AR to subsequent bank-cleared cash receipts — agreeing the amount, the date of deposit into the bank, and the receipt reference.</t>
        </is>
      </c>
      <c r="C33" s="25" t="inlineStr">
        <is>
          <t>Existence; Valuation &amp; Allocation</t>
        </is>
      </c>
      <c r="D33" s="26" t="inlineStr">
        <is>
          <t>&lt;.6&gt;</t>
        </is>
      </c>
      <c r="E33" s="11" t="n"/>
      <c r="F33" s="11" t="n"/>
    </row>
    <row r="34" ht="25.5" customHeight="1">
      <c r="A34" s="11" t="n"/>
      <c r="B34" s="25" t="inlineStr">
        <is>
          <t>21. Support the open balance to underlying documentation — invoice, purchase order, and bill of lading / sea waybill (and freight) evidencing delivery.</t>
        </is>
      </c>
      <c r="C34" s="25" t="inlineStr">
        <is>
          <t>Existence; Accuracy; Rights &amp; Obligations</t>
        </is>
      </c>
      <c r="D34" s="26" t="inlineStr">
        <is>
          <t>&lt;.6&gt;</t>
        </is>
      </c>
      <c r="E34" s="11" t="n"/>
      <c r="F34" s="11" t="n"/>
    </row>
    <row r="35" ht="15" customHeight="1">
      <c r="A35" s="11" t="n"/>
      <c r="B35" s="25" t="inlineStr">
        <is>
          <t>22. Reconcile customer statements to recorded balances as an additional alternative procedure.</t>
        </is>
      </c>
      <c r="C35" s="25" t="inlineStr">
        <is>
          <t>Existence; Accuracy</t>
        </is>
      </c>
      <c r="D35" s="26" t="inlineStr">
        <is>
          <t>&lt;.6&gt;</t>
        </is>
      </c>
      <c r="E35" s="11" t="n"/>
      <c r="F35" s="11" t="n"/>
    </row>
    <row r="36">
      <c r="A36" s="1" t="inlineStr">
        <is>
          <t>&lt;.7&gt; Ratios &amp; Disclosures</t>
        </is>
      </c>
      <c r="B36" s="30" t="n"/>
      <c r="C36" s="30" t="n"/>
      <c r="D36" s="30" t="n"/>
      <c r="E36" s="30" t="n"/>
      <c r="F36" s="31" t="n"/>
    </row>
    <row r="37" ht="25.5" customHeight="1">
      <c r="A37" s="11" t="n"/>
      <c r="B37" s="25" t="inlineStr">
        <is>
          <t>23. Compute AR analytics (DSO, turnover, allowance as % of gross AR, bad-debt expense as % of sales) and investigate unusual trends.</t>
        </is>
      </c>
      <c r="C37" s="25" t="inlineStr">
        <is>
          <t>Presentation &amp; Disclosure</t>
        </is>
      </c>
      <c r="D37" s="26" t="inlineStr">
        <is>
          <t>&lt;.7&gt;</t>
        </is>
      </c>
      <c r="E37" s="11" t="n"/>
      <c r="F37" s="11" t="n"/>
    </row>
    <row r="38">
      <c r="A38" s="11" t="n"/>
      <c r="B38" s="25" t="inlineStr">
        <is>
          <t>24. Evaluate customer concentration and the related disclosure.</t>
        </is>
      </c>
      <c r="C38" s="25" t="inlineStr">
        <is>
          <t>Presentation &amp; Disclosure</t>
        </is>
      </c>
      <c r="D38" s="26" t="inlineStr">
        <is>
          <t>&lt;.7&gt;</t>
        </is>
      </c>
      <c r="E38" s="11" t="n"/>
      <c r="F38" s="11" t="n"/>
    </row>
    <row r="39" ht="23" customHeight="1">
      <c r="A39" s="11" t="n"/>
      <c r="B39" s="25" t="inlineStr">
        <is>
          <t>25. Review for related-party, employee and officer receivables and proper classification.</t>
        </is>
      </c>
      <c r="C39" s="25" t="inlineStr">
        <is>
          <t>Presentation &amp; Disclosure; Classification</t>
        </is>
      </c>
      <c r="D39" s="26" t="inlineStr">
        <is>
          <t>&lt;.7&gt;</t>
        </is>
      </c>
      <c r="E39" s="11" t="n"/>
      <c r="F39" s="11" t="n"/>
    </row>
    <row r="40" ht="23" customHeight="1">
      <c r="A40" s="11" t="n"/>
      <c r="B40" s="25" t="inlineStr">
        <is>
          <t>26. Evaluate AR presentation / disclosure — pledged / factored AR, credit (negative) balances reclassified to liabilities, and significant revenue terms.</t>
        </is>
      </c>
      <c r="C40" s="25" t="inlineStr">
        <is>
          <t>Presentation &amp; Disclosure; Classification</t>
        </is>
      </c>
      <c r="D40" s="26" t="inlineStr">
        <is>
          <t>&lt;.7&gt;</t>
        </is>
      </c>
      <c r="E40" s="11" t="n"/>
      <c r="F40" s="11" t="n"/>
    </row>
    <row r="41">
      <c r="A41" s="1" t="inlineStr">
        <is>
          <t>Section C — Completeness &amp; Cutoff (cross-cutting)</t>
        </is>
      </c>
      <c r="B41" s="30" t="n"/>
      <c r="C41" s="30" t="n"/>
      <c r="D41" s="30" t="n"/>
      <c r="E41" s="30" t="n"/>
      <c r="F41" s="31" t="n"/>
    </row>
    <row r="42" ht="25.5" customHeight="1">
      <c r="A42" s="11" t="n"/>
      <c r="B42" s="25" t="inlineStr">
        <is>
          <t>27. Test subsequent credit memos and sales returns recorded after year-end for proper cutoff and allowance impact.</t>
        </is>
      </c>
      <c r="C42" s="25" t="inlineStr">
        <is>
          <t>Cutoff; Valuation &amp; Allocation</t>
        </is>
      </c>
      <c r="D42" s="26" t="inlineStr">
        <is>
          <t>&lt;.6&gt;/&lt;.4&gt;</t>
        </is>
      </c>
      <c r="E42" s="11" t="n"/>
      <c r="F42" s="11" t="n"/>
    </row>
    <row r="43" ht="25.5" customHeight="1">
      <c r="A43" s="11" t="n"/>
      <c r="B43" s="25" t="inlineStr">
        <is>
          <t>28. Evaluate revenue terms that affect AR existence — consignment, bill-and-hold and channel-stuffing indicators.</t>
        </is>
      </c>
      <c r="C43" s="25" t="inlineStr">
        <is>
          <t>Existence; Rights &amp; Obligations</t>
        </is>
      </c>
      <c r="D43" s="26" t="inlineStr">
        <is>
          <t>&lt;.6&gt;</t>
        </is>
      </c>
      <c r="E43" s="11" t="n"/>
      <c r="F43" s="11" t="n"/>
    </row>
    <row r="44">
      <c r="A44" s="1" t="inlineStr">
        <is>
          <t>Documentation &amp; Review</t>
        </is>
      </c>
      <c r="B44" s="30" t="n"/>
      <c r="C44" s="30" t="n"/>
      <c r="D44" s="30" t="n"/>
      <c r="E44" s="30" t="n"/>
      <c r="F44" s="31" t="n"/>
    </row>
    <row r="45" ht="15" customHeight="1">
      <c r="A45" s="11" t="n"/>
      <c r="B45" s="25" t="inlineStr">
        <is>
          <t>29. Cross-reference each procedure to its workpaper tab and link it to the relevant assertion(s).</t>
        </is>
      </c>
      <c r="C45" s="25" t="inlineStr">
        <is>
          <t>Overall</t>
        </is>
      </c>
      <c r="D45" s="26" t="inlineStr">
        <is>
          <t>&lt;.0&gt;-&lt;.7&gt;</t>
        </is>
      </c>
      <c r="E45" s="11" t="n"/>
      <c r="F45" s="11" t="n"/>
    </row>
    <row r="46" ht="25.5" customHeight="1">
      <c r="A46" s="11" t="n"/>
      <c r="B46" s="25" t="inlineStr">
        <is>
          <t>30. Verify lead-sheet and aging tie-out formulas foot correctly and the workbook source trail is complete.</t>
        </is>
      </c>
      <c r="C46" s="25" t="inlineStr">
        <is>
          <t>Accuracy; Completeness</t>
        </is>
      </c>
      <c r="D46" s="26" t="inlineStr">
        <is>
          <t>&lt;.1&gt;/&lt;.2&gt;</t>
        </is>
      </c>
      <c r="E46" s="11" t="n"/>
      <c r="F46" s="11" t="n"/>
    </row>
    <row r="47">
      <c r="A47" s="1" t="inlineStr">
        <is>
          <t>Conclusion</t>
        </is>
      </c>
      <c r="B47" s="30" t="n"/>
      <c r="C47" s="30" t="n"/>
      <c r="D47" s="30" t="n"/>
      <c r="E47" s="30" t="n"/>
      <c r="F47" s="31" t="n"/>
    </row>
    <row r="48" ht="25.5" customHeight="1">
      <c r="A48" s="11" t="n"/>
      <c r="B48" s="25" t="inlineStr">
        <is>
          <t>31. All planned AR audit procedures above were performed; results support the recorded gross AR, allowance and net AR and related disclosures, subject to documented open items.</t>
        </is>
      </c>
      <c r="C48" s="25" t="inlineStr">
        <is>
          <t>Overall</t>
        </is>
      </c>
      <c r="D48" s="26" t="inlineStr">
        <is>
          <t>&lt;.0&gt;-&lt;.7&gt;</t>
        </is>
      </c>
      <c r="E48" s="11" t="n"/>
      <c r="F48" s="11" t="n"/>
    </row>
  </sheetData>
  <mergeCells count="12">
    <mergeCell ref="A24:F24"/>
    <mergeCell ref="A16:F16"/>
    <mergeCell ref="A41:F41"/>
    <mergeCell ref="A47:F47"/>
    <mergeCell ref="A19:F19"/>
    <mergeCell ref="A36:F36"/>
    <mergeCell ref="A44:F44"/>
    <mergeCell ref="A14:F14"/>
    <mergeCell ref="A9:F9"/>
    <mergeCell ref="A4:F4"/>
    <mergeCell ref="A29:F29"/>
    <mergeCell ref="A7:F7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zoomScale="85" zoomScaleNormal="100" workbookViewId="0">
      <selection activeCell="A6" sqref="A6"/>
    </sheetView>
  </sheetViews>
  <sheetFormatPr baseColWidth="8" defaultColWidth="8.6328125" defaultRowHeight="14.5"/>
  <cols>
    <col width="21.90625" bestFit="1" customWidth="1" min="1" max="1"/>
    <col width="34" customWidth="1" min="2" max="2"/>
    <col width="20" customWidth="1" min="3" max="3"/>
    <col width="22.453125" bestFit="1" customWidth="1" min="4" max="4"/>
    <col width="12" customWidth="1" min="5" max="5"/>
    <col width="24" customWidth="1" min="6" max="6"/>
    <col width="34" customWidth="1" min="7" max="7"/>
  </cols>
  <sheetData>
    <row r="1" ht="17.5" customHeight="1">
      <c r="A1" s="6" t="inlineStr">
        <is>
          <t>Source Index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15" customHeight="1">
      <c r="A4" s="9" t="inlineStr">
        <is>
          <t>Purpose:</t>
        </is>
      </c>
      <c r="B4" s="5" t="inlineStr">
        <is>
          <t>Map every AR PBC source and its limitations so the evidence trail is complete and traceable.</t>
        </is>
      </c>
    </row>
    <row r="5" ht="27.75" customHeight="1">
      <c r="A5" s="9" t="inlineStr">
        <is>
          <t>Scope:</t>
        </is>
      </c>
      <c r="B5" s="5" t="inlineStr">
        <is>
          <t>All client-provided AR support: sub-ledger/aging, confirmation replies, bank statements, write-off/credit-memo log, allowance/CECL methodology memo.</t>
        </is>
      </c>
    </row>
    <row r="6" ht="15" customHeight="1">
      <c r="A6" s="9" t="inlineStr">
        <is>
          <t>Assertions:</t>
        </is>
      </c>
      <c r="B6" s="5" t="inlineStr">
        <is>
          <t>Completeness</t>
        </is>
      </c>
    </row>
    <row r="7" ht="30" customHeight="1">
      <c r="A7" s="10" t="inlineStr">
        <is>
          <t>Ref</t>
        </is>
      </c>
      <c r="B7" s="10" t="inlineStr">
        <is>
          <t>Source document / PBC</t>
        </is>
      </c>
      <c r="C7" s="10" t="inlineStr">
        <is>
          <t>Provided by</t>
        </is>
      </c>
      <c r="D7" s="10" t="inlineStr">
        <is>
          <t>Date received</t>
        </is>
      </c>
      <c r="E7" s="10" t="inlineStr">
        <is>
          <t>Format</t>
        </is>
      </c>
      <c r="F7" s="10" t="inlineStr">
        <is>
          <t>Used in tab(s)</t>
        </is>
      </c>
      <c r="G7" s="10" t="inlineStr">
        <is>
          <t>Limitations / notes</t>
        </is>
      </c>
    </row>
    <row r="8">
      <c r="A8" s="11" t="n"/>
      <c r="B8" s="11" t="n"/>
      <c r="C8" s="11" t="n"/>
      <c r="D8" s="11" t="n"/>
      <c r="E8" s="11" t="n"/>
      <c r="F8" s="11" t="n"/>
      <c r="G8" s="11" t="n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/>
    <row r="21">
      <c r="A21" s="9" t="inlineStr">
        <is>
          <t>TM Legends</t>
        </is>
      </c>
    </row>
    <row r="22">
      <c r="A22" s="12" t="inlineStr">
        <is>
          <t>TB</t>
        </is>
      </c>
      <c r="B22" s="11" t="inlineStr">
        <is>
          <t>Agreed to trial balance</t>
        </is>
      </c>
      <c r="C22" s="30" t="n"/>
      <c r="D22" s="31" t="n"/>
    </row>
    <row r="23">
      <c r="A23" s="12" t="inlineStr">
        <is>
          <t>GL</t>
        </is>
      </c>
      <c r="B23" s="11" t="inlineStr">
        <is>
          <t>Agreed to general ledger</t>
        </is>
      </c>
      <c r="C23" s="30" t="n"/>
      <c r="D23" s="31" t="n"/>
    </row>
    <row r="24">
      <c r="A24" s="12" t="inlineStr">
        <is>
          <t>CF</t>
        </is>
      </c>
      <c r="B24" s="11" t="inlineStr">
        <is>
          <t>Confirmed with third party</t>
        </is>
      </c>
      <c r="C24" s="30" t="n"/>
      <c r="D24" s="31" t="n"/>
    </row>
    <row r="25">
      <c r="A25" s="12" t="inlineStr">
        <is>
          <t>V</t>
        </is>
      </c>
      <c r="B25" s="11" t="inlineStr">
        <is>
          <t>Vouched to source document</t>
        </is>
      </c>
      <c r="C25" s="30" t="n"/>
      <c r="D25" s="31" t="n"/>
    </row>
    <row r="26">
      <c r="A26" s="12" t="inlineStr">
        <is>
          <t>SR</t>
        </is>
      </c>
      <c r="B26" s="11" t="inlineStr">
        <is>
          <t>Agreed to subsequent bank-cleared receipt</t>
        </is>
      </c>
      <c r="C26" s="30" t="n"/>
      <c r="D26" s="31" t="n"/>
    </row>
    <row r="27">
      <c r="A27" s="12" t="inlineStr">
        <is>
          <t>R</t>
        </is>
      </c>
      <c r="B27" s="11" t="inlineStr">
        <is>
          <t>Recalculated independently</t>
        </is>
      </c>
      <c r="C27" s="30" t="n"/>
      <c r="D27" s="31" t="n"/>
    </row>
    <row r="28">
      <c r="A28" s="12" t="inlineStr">
        <is>
          <t>F</t>
        </is>
      </c>
      <c r="B28" s="11" t="inlineStr">
        <is>
          <t>Footed / cross-cast</t>
        </is>
      </c>
      <c r="C28" s="30" t="n"/>
      <c r="D28" s="31" t="n"/>
    </row>
    <row r="29">
      <c r="A29" s="12" t="inlineStr">
        <is>
          <t>T</t>
        </is>
      </c>
      <c r="B29" s="11" t="inlineStr">
        <is>
          <t>Traced to downstream record</t>
        </is>
      </c>
      <c r="C29" s="30" t="n"/>
      <c r="D29" s="31" t="n"/>
    </row>
    <row r="30">
      <c r="A30" s="12" t="inlineStr">
        <is>
          <t>PBC</t>
        </is>
      </c>
      <c r="B30" s="11" t="inlineStr">
        <is>
          <t>Prepared by client</t>
        </is>
      </c>
      <c r="C30" s="30" t="n"/>
      <c r="D30" s="31" t="n"/>
    </row>
    <row r="31"/>
    <row r="32" ht="25.5" customHeight="1">
      <c r="A32" s="3" t="inlineStr">
        <is>
          <t>Before sign-off complete Library Procedure 1 (source completeness &amp; limitations).</t>
        </is>
      </c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showGridLines="0" zoomScale="85" zoomScaleNormal="100" workbookViewId="0">
      <selection activeCell="A1" sqref="A1:A1048576"/>
    </sheetView>
  </sheetViews>
  <sheetFormatPr baseColWidth="8" defaultColWidth="8.6328125" defaultRowHeight="14.5"/>
  <cols>
    <col width="26" customWidth="1" min="1" max="1"/>
    <col width="11" customWidth="1" min="2" max="2"/>
    <col width="24" customWidth="1" min="3" max="3"/>
    <col width="22" customWidth="1" min="4" max="4"/>
    <col width="15" customWidth="1" min="5" max="6"/>
    <col width="14" customWidth="1" min="7" max="8"/>
    <col width="13" customWidth="1" min="9" max="9"/>
    <col width="11" customWidth="1" min="10" max="10"/>
    <col width="28" customWidth="1" min="11" max="11"/>
  </cols>
  <sheetData>
    <row r="1" ht="17.5" customHeight="1">
      <c r="A1" s="6" t="inlineStr">
        <is>
          <t>AR Lead Sheet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9" t="inlineStr">
        <is>
          <t>Purpose:</t>
        </is>
      </c>
      <c r="B4" s="5" t="inlineStr">
        <is>
          <t>Summarize the AR population and tie gross AR, allowance and net AR to the trial balance; compute CY/PY movement.</t>
        </is>
      </c>
    </row>
    <row r="5" ht="27.75" customHeight="1">
      <c r="A5" s="9" t="inlineStr">
        <is>
          <t>Scope:</t>
        </is>
      </c>
      <c r="B5" s="5" t="inlineStr">
        <is>
          <t>Every trade-receivable account from the trial balance (include any receivable amounts coded to other GL accounts, e.g. bad-debt-expense 6008).</t>
        </is>
      </c>
    </row>
    <row r="6" ht="15" customHeight="1">
      <c r="A6" s="9" t="inlineStr">
        <is>
          <t>Assertions:</t>
        </is>
      </c>
      <c r="B6" s="5" t="inlineStr">
        <is>
          <t>Existence; Completeness; Rights &amp; Obligations; Accuracy</t>
        </is>
      </c>
    </row>
    <row r="7" ht="30" customHeight="1">
      <c r="A7" s="10" t="inlineStr">
        <is>
          <t>Entity</t>
        </is>
      </c>
      <c r="B7" s="10" t="inlineStr">
        <is>
          <t>Account ID</t>
        </is>
      </c>
      <c r="C7" s="10" t="inlineStr">
        <is>
          <t>Account Description</t>
        </is>
      </c>
      <c r="D7" s="10" t="inlineStr">
        <is>
          <t>WP Ref / Status</t>
        </is>
      </c>
      <c r="E7" s="10" t="inlineStr">
        <is>
          <t>Gross AR (CY)</t>
        </is>
      </c>
      <c r="F7" s="10" t="inlineStr">
        <is>
          <t>Allowance (CY)</t>
        </is>
      </c>
      <c r="G7" s="10" t="inlineStr">
        <is>
          <t>Net AR (CY)</t>
        </is>
      </c>
      <c r="H7" s="10" t="inlineStr">
        <is>
          <t>Net AR (PY)</t>
        </is>
      </c>
      <c r="I7" s="10" t="inlineStr">
        <is>
          <t>Difference</t>
        </is>
      </c>
      <c r="J7" s="10" t="inlineStr">
        <is>
          <t>% Change</t>
        </is>
      </c>
      <c r="K7" s="10" t="inlineStr">
        <is>
          <t>Source / Comments</t>
        </is>
      </c>
    </row>
    <row r="8">
      <c r="E8" s="13" t="inlineStr">
        <is>
          <t>TB</t>
        </is>
      </c>
      <c r="F8" s="13" t="inlineStr">
        <is>
          <t>TB</t>
        </is>
      </c>
      <c r="G8" s="13" t="inlineStr">
        <is>
          <t>R</t>
        </is>
      </c>
      <c r="H8" s="13" t="inlineStr">
        <is>
          <t>TB</t>
        </is>
      </c>
      <c r="I8" s="13" t="inlineStr">
        <is>
          <t>R</t>
        </is>
      </c>
    </row>
    <row r="9">
      <c r="A9" s="11" t="n"/>
      <c r="B9" s="11" t="n"/>
      <c r="C9" s="11" t="n"/>
      <c r="D9" s="11" t="n"/>
      <c r="E9" s="14" t="n"/>
      <c r="F9" s="14" t="n"/>
      <c r="G9" s="14">
        <f>IF(AND(E9="",F9=""),"",E9-F9)</f>
        <v/>
      </c>
      <c r="H9" s="14" t="n"/>
      <c r="I9" s="14">
        <f>IF(AND(G9="",H9=""),"",G9-H9)</f>
        <v/>
      </c>
      <c r="J9" s="15">
        <f>IF(OR(H9="",H9=0),"",(G9-H9)/H9)</f>
        <v/>
      </c>
      <c r="K9" s="11" t="n"/>
    </row>
    <row r="10">
      <c r="A10" s="11" t="n"/>
      <c r="B10" s="11" t="n"/>
      <c r="C10" s="11" t="n"/>
      <c r="D10" s="11" t="n"/>
      <c r="E10" s="14" t="n"/>
      <c r="F10" s="14" t="n"/>
      <c r="G10" s="14">
        <f>IF(AND(E10="",F10=""),"",E10-F10)</f>
        <v/>
      </c>
      <c r="H10" s="14" t="n"/>
      <c r="I10" s="14">
        <f>IF(AND(G10="",H10=""),"",G10-H10)</f>
        <v/>
      </c>
      <c r="J10" s="15">
        <f>IF(OR(H10="",H10=0),"",(G10-H10)/H10)</f>
        <v/>
      </c>
      <c r="K10" s="11" t="n"/>
    </row>
    <row r="11">
      <c r="A11" s="11" t="n"/>
      <c r="B11" s="11" t="n"/>
      <c r="C11" s="11" t="n"/>
      <c r="D11" s="11" t="n"/>
      <c r="E11" s="14" t="n"/>
      <c r="F11" s="14" t="n"/>
      <c r="G11" s="14">
        <f>IF(AND(E11="",F11=""),"",E11-F11)</f>
        <v/>
      </c>
      <c r="H11" s="14" t="n"/>
      <c r="I11" s="14">
        <f>IF(AND(G11="",H11=""),"",G11-H11)</f>
        <v/>
      </c>
      <c r="J11" s="15">
        <f>IF(OR(H11="",H11=0),"",(G11-H11)/H11)</f>
        <v/>
      </c>
      <c r="K11" s="11" t="n"/>
    </row>
    <row r="12">
      <c r="A12" s="11" t="n"/>
      <c r="B12" s="11" t="n"/>
      <c r="C12" s="11" t="n"/>
      <c r="D12" s="11" t="n"/>
      <c r="E12" s="14" t="n"/>
      <c r="F12" s="14" t="n"/>
      <c r="G12" s="14">
        <f>IF(AND(E12="",F12=""),"",E12-F12)</f>
        <v/>
      </c>
      <c r="H12" s="14" t="n"/>
      <c r="I12" s="14">
        <f>IF(AND(G12="",H12=""),"",G12-H12)</f>
        <v/>
      </c>
      <c r="J12" s="15">
        <f>IF(OR(H12="",H12=0),"",(G12-H12)/H12)</f>
        <v/>
      </c>
      <c r="K12" s="11" t="n"/>
    </row>
    <row r="13">
      <c r="A13" s="11" t="n"/>
      <c r="B13" s="11" t="n"/>
      <c r="C13" s="11" t="n"/>
      <c r="D13" s="11" t="n"/>
      <c r="E13" s="14" t="n"/>
      <c r="F13" s="14" t="n"/>
      <c r="G13" s="14">
        <f>IF(AND(E13="",F13=""),"",E13-F13)</f>
        <v/>
      </c>
      <c r="H13" s="14" t="n"/>
      <c r="I13" s="14">
        <f>IF(AND(G13="",H13=""),"",G13-H13)</f>
        <v/>
      </c>
      <c r="J13" s="15">
        <f>IF(OR(H13="",H13=0),"",(G13-H13)/H13)</f>
        <v/>
      </c>
      <c r="K13" s="11" t="n"/>
    </row>
    <row r="14">
      <c r="A14" s="11" t="n"/>
      <c r="B14" s="11" t="n"/>
      <c r="C14" s="11" t="n"/>
      <c r="D14" s="11" t="n"/>
      <c r="E14" s="14" t="n"/>
      <c r="F14" s="14" t="n"/>
      <c r="G14" s="14">
        <f>IF(AND(E14="",F14=""),"",E14-F14)</f>
        <v/>
      </c>
      <c r="H14" s="14" t="n"/>
      <c r="I14" s="14">
        <f>IF(AND(G14="",H14=""),"",G14-H14)</f>
        <v/>
      </c>
      <c r="J14" s="15">
        <f>IF(OR(H14="",H14=0),"",(G14-H14)/H14)</f>
        <v/>
      </c>
      <c r="K14" s="11" t="n"/>
    </row>
    <row r="15">
      <c r="A15" s="11" t="n"/>
      <c r="B15" s="11" t="n"/>
      <c r="C15" s="11" t="n"/>
      <c r="D15" s="11" t="n"/>
      <c r="E15" s="14" t="n"/>
      <c r="F15" s="14" t="n"/>
      <c r="G15" s="14">
        <f>IF(AND(E15="",F15=""),"",E15-F15)</f>
        <v/>
      </c>
      <c r="H15" s="14" t="n"/>
      <c r="I15" s="14">
        <f>IF(AND(G15="",H15=""),"",G15-H15)</f>
        <v/>
      </c>
      <c r="J15" s="15">
        <f>IF(OR(H15="",H15=0),"",(G15-H15)/H15)</f>
        <v/>
      </c>
      <c r="K15" s="11" t="n"/>
    </row>
    <row r="16">
      <c r="A16" s="11" t="n"/>
      <c r="B16" s="11" t="n"/>
      <c r="C16" s="11" t="n"/>
      <c r="D16" s="11" t="n"/>
      <c r="E16" s="14" t="n"/>
      <c r="F16" s="14" t="n"/>
      <c r="G16" s="14">
        <f>IF(AND(E16="",F16=""),"",E16-F16)</f>
        <v/>
      </c>
      <c r="H16" s="14" t="n"/>
      <c r="I16" s="14">
        <f>IF(AND(G16="",H16=""),"",G16-H16)</f>
        <v/>
      </c>
      <c r="J16" s="15">
        <f>IF(OR(H16="",H16=0),"",(G16-H16)/H16)</f>
        <v/>
      </c>
      <c r="K16" s="11" t="n"/>
    </row>
    <row r="17">
      <c r="A17" s="11" t="n"/>
      <c r="B17" s="11" t="n"/>
      <c r="C17" s="11" t="n"/>
      <c r="D17" s="11" t="n"/>
      <c r="E17" s="14" t="n"/>
      <c r="F17" s="14" t="n"/>
      <c r="G17" s="14">
        <f>IF(AND(E17="",F17=""),"",E17-F17)</f>
        <v/>
      </c>
      <c r="H17" s="14" t="n"/>
      <c r="I17" s="14">
        <f>IF(AND(G17="",H17=""),"",G17-H17)</f>
        <v/>
      </c>
      <c r="J17" s="15">
        <f>IF(OR(H17="",H17=0),"",(G17-H17)/H17)</f>
        <v/>
      </c>
      <c r="K17" s="11" t="n"/>
    </row>
    <row r="18">
      <c r="A18" s="11" t="n"/>
      <c r="B18" s="11" t="n"/>
      <c r="C18" s="11" t="n"/>
      <c r="D18" s="11" t="n"/>
      <c r="E18" s="14" t="n"/>
      <c r="F18" s="14" t="n"/>
      <c r="G18" s="14">
        <f>IF(AND(E18="",F18=""),"",E18-F18)</f>
        <v/>
      </c>
      <c r="H18" s="14" t="n"/>
      <c r="I18" s="14">
        <f>IF(AND(G18="",H18=""),"",G18-H18)</f>
        <v/>
      </c>
      <c r="J18" s="15">
        <f>IF(OR(H18="",H18=0),"",(G18-H18)/H18)</f>
        <v/>
      </c>
      <c r="K18" s="11" t="n"/>
    </row>
    <row r="19">
      <c r="A19" s="16" t="inlineStr">
        <is>
          <t>Total per lead sheet</t>
        </is>
      </c>
      <c r="B19" s="16" t="n"/>
      <c r="C19" s="16" t="n"/>
      <c r="D19" s="16" t="n"/>
      <c r="E19" s="17">
        <f>SUM(E9:E18)</f>
        <v/>
      </c>
      <c r="F19" s="17">
        <f>SUM(F9:F18)</f>
        <v/>
      </c>
      <c r="G19" s="17">
        <f>SUM(G9:G18)</f>
        <v/>
      </c>
      <c r="H19" s="17">
        <f>SUM(H9:H18)</f>
        <v/>
      </c>
      <c r="I19" s="16" t="n"/>
      <c r="J19" s="16" t="n"/>
      <c r="K19" s="16" t="n"/>
    </row>
    <row r="20"/>
    <row r="21">
      <c r="A21" s="18" t="inlineStr">
        <is>
          <t>Tie-Out Summary</t>
        </is>
      </c>
    </row>
    <row r="22" ht="18" customHeight="1">
      <c r="A22" s="10" t="inlineStr">
        <is>
          <t>Metric</t>
        </is>
      </c>
      <c r="B22" s="10" t="inlineStr">
        <is>
          <t>CY Amount</t>
        </is>
      </c>
      <c r="C22" s="10" t="inlineStr">
        <is>
          <t>PY Amount</t>
        </is>
      </c>
      <c r="D22" s="10" t="inlineStr">
        <is>
          <t>Note</t>
        </is>
      </c>
    </row>
    <row r="23">
      <c r="A23" s="11" t="inlineStr">
        <is>
          <t>Net AR per lead sheet</t>
        </is>
      </c>
      <c r="B23" s="14" t="n"/>
      <c r="C23" s="14" t="n"/>
      <c r="D23" s="11" t="inlineStr">
        <is>
          <t>ties to total row</t>
        </is>
      </c>
    </row>
    <row r="24">
      <c r="A24" s="11" t="inlineStr">
        <is>
          <t>Trial balance net AR</t>
        </is>
      </c>
      <c r="B24" s="14" t="n"/>
      <c r="C24" s="14" t="n"/>
      <c r="D24" s="11" t="inlineStr">
        <is>
          <t>agree to TB</t>
        </is>
      </c>
    </row>
    <row r="25">
      <c r="A25" s="11" t="inlineStr">
        <is>
          <t>Difference (should be 0)</t>
        </is>
      </c>
      <c r="B25" s="14">
        <f>B23-B24</f>
        <v/>
      </c>
      <c r="C25" s="14">
        <f>C23-C24</f>
        <v/>
      </c>
      <c r="D25" s="11" t="inlineStr">
        <is>
          <t>investigate if non-zero</t>
        </is>
      </c>
    </row>
    <row r="26"/>
    <row r="27">
      <c r="A27" s="9" t="inlineStr">
        <is>
          <t>TM Legends</t>
        </is>
      </c>
    </row>
    <row r="28">
      <c r="A28" s="12" t="inlineStr">
        <is>
          <t>TB</t>
        </is>
      </c>
      <c r="B28" s="11" t="inlineStr">
        <is>
          <t>Agreed to trial balance</t>
        </is>
      </c>
      <c r="C28" s="30" t="n"/>
      <c r="D28" s="31" t="n"/>
    </row>
    <row r="29">
      <c r="A29" s="12" t="inlineStr">
        <is>
          <t>GL</t>
        </is>
      </c>
      <c r="B29" s="11" t="inlineStr">
        <is>
          <t>Agreed to general ledger</t>
        </is>
      </c>
      <c r="C29" s="30" t="n"/>
      <c r="D29" s="31" t="n"/>
    </row>
    <row r="30">
      <c r="A30" s="12" t="inlineStr">
        <is>
          <t>CF</t>
        </is>
      </c>
      <c r="B30" s="11" t="inlineStr">
        <is>
          <t>Confirmed with third party</t>
        </is>
      </c>
      <c r="C30" s="30" t="n"/>
      <c r="D30" s="31" t="n"/>
    </row>
    <row r="31">
      <c r="A31" s="12" t="inlineStr">
        <is>
          <t>V</t>
        </is>
      </c>
      <c r="B31" s="11" t="inlineStr">
        <is>
          <t>Vouched to source document</t>
        </is>
      </c>
      <c r="C31" s="30" t="n"/>
      <c r="D31" s="31" t="n"/>
    </row>
    <row r="32">
      <c r="A32" s="12" t="inlineStr">
        <is>
          <t>SR</t>
        </is>
      </c>
      <c r="B32" s="11" t="inlineStr">
        <is>
          <t>Agreed to subsequent bank-cleared receipt</t>
        </is>
      </c>
      <c r="C32" s="30" t="n"/>
      <c r="D32" s="31" t="n"/>
    </row>
    <row r="33">
      <c r="A33" s="12" t="inlineStr">
        <is>
          <t>R</t>
        </is>
      </c>
      <c r="B33" s="11" t="inlineStr">
        <is>
          <t>Recalculated independently</t>
        </is>
      </c>
      <c r="C33" s="30" t="n"/>
      <c r="D33" s="31" t="n"/>
    </row>
    <row r="34">
      <c r="A34" s="12" t="inlineStr">
        <is>
          <t>F</t>
        </is>
      </c>
      <c r="B34" s="11" t="inlineStr">
        <is>
          <t>Footed / cross-cast</t>
        </is>
      </c>
      <c r="C34" s="30" t="n"/>
      <c r="D34" s="31" t="n"/>
    </row>
    <row r="35">
      <c r="A35" s="12" t="inlineStr">
        <is>
          <t>T</t>
        </is>
      </c>
      <c r="B35" s="11" t="inlineStr">
        <is>
          <t>Traced to downstream record</t>
        </is>
      </c>
      <c r="C35" s="30" t="n"/>
      <c r="D35" s="31" t="n"/>
    </row>
    <row r="36">
      <c r="A36" s="12" t="inlineStr">
        <is>
          <t>PBC</t>
        </is>
      </c>
      <c r="B36" s="11" t="inlineStr">
        <is>
          <t>Prepared by client</t>
        </is>
      </c>
      <c r="C36" s="30" t="n"/>
      <c r="D36" s="31" t="n"/>
    </row>
    <row r="37"/>
    <row r="38" ht="25.5" customHeight="1">
      <c r="A38" s="3" t="inlineStr">
        <is>
          <t>Before sign-off complete Library Procedures 2-5 (AR Lead Sheet).</t>
        </is>
      </c>
    </row>
  </sheetData>
  <mergeCells count="13">
    <mergeCell ref="B33:D33"/>
    <mergeCell ref="B28:D28"/>
    <mergeCell ref="B36:D36"/>
    <mergeCell ref="B34:D34"/>
    <mergeCell ref="B4:K4"/>
    <mergeCell ref="B31:D31"/>
    <mergeCell ref="B35:D35"/>
    <mergeCell ref="B32:D32"/>
    <mergeCell ref="A38:K38"/>
    <mergeCell ref="B30:D30"/>
    <mergeCell ref="B6:K6"/>
    <mergeCell ref="B29:D29"/>
    <mergeCell ref="B5:K5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zoomScale="85" zoomScaleNormal="100" workbookViewId="0">
      <selection activeCell="A1" sqref="A1:A1048576"/>
    </sheetView>
  </sheetViews>
  <sheetFormatPr baseColWidth="8" defaultColWidth="8.6328125" defaultRowHeight="14.5"/>
  <cols>
    <col width="28" customWidth="1" min="1" max="1"/>
    <col width="13" customWidth="1" min="2" max="7"/>
    <col width="15" customWidth="1" min="8" max="9"/>
    <col width="13" customWidth="1" min="10" max="10"/>
    <col width="24" customWidth="1" min="11" max="11"/>
  </cols>
  <sheetData>
    <row r="1" ht="17.5" customHeight="1">
      <c r="A1" s="6" t="inlineStr">
        <is>
          <t>Aging Tie-Out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9" t="inlineStr">
        <is>
          <t>Purpose:</t>
        </is>
      </c>
      <c r="B4" s="5" t="inlineStr">
        <is>
          <t>Reconcile the year-end aging / open-item support to the lead sheet, stratify by bucket, and foot.</t>
        </is>
      </c>
    </row>
    <row r="5" ht="15" customHeight="1">
      <c r="A5" s="9" t="inlineStr">
        <is>
          <t>Scope:</t>
        </is>
      </c>
      <c r="B5" s="5" t="inlineStr">
        <is>
          <t>The client aging report by customer/bucket; total ties to gross AR on the lead sheet.</t>
        </is>
      </c>
    </row>
    <row r="6" ht="15" customHeight="1">
      <c r="A6" s="9" t="inlineStr">
        <is>
          <t>Assertions:</t>
        </is>
      </c>
      <c r="B6" s="5" t="inlineStr">
        <is>
          <t>Accuracy; Completeness; Valuation &amp; Allocation</t>
        </is>
      </c>
    </row>
    <row r="7" ht="30" customHeight="1">
      <c r="A7" s="10" t="inlineStr">
        <is>
          <t>Customer / Account</t>
        </is>
      </c>
      <c r="B7" s="10" t="inlineStr">
        <is>
          <t>Current</t>
        </is>
      </c>
      <c r="C7" s="10" t="inlineStr">
        <is>
          <t>1-30</t>
        </is>
      </c>
      <c r="D7" s="10" t="inlineStr">
        <is>
          <t>31-60</t>
        </is>
      </c>
      <c r="E7" s="10" t="inlineStr">
        <is>
          <t>61-90</t>
        </is>
      </c>
      <c r="F7" s="10" t="inlineStr">
        <is>
          <t>91-120</t>
        </is>
      </c>
      <c r="G7" s="10" t="inlineStr">
        <is>
          <t>Over 120</t>
        </is>
      </c>
      <c r="H7" s="10" t="inlineStr">
        <is>
          <t>Total (= sum buckets)</t>
        </is>
      </c>
      <c r="I7" s="10" t="inlineStr">
        <is>
          <t>Per aging report</t>
        </is>
      </c>
      <c r="J7" s="10" t="inlineStr">
        <is>
          <t>Diff</t>
        </is>
      </c>
      <c r="K7" s="10" t="inlineStr">
        <is>
          <t>Source / Comments</t>
        </is>
      </c>
    </row>
    <row r="8">
      <c r="B8" s="13" t="inlineStr">
        <is>
          <t>V</t>
        </is>
      </c>
      <c r="H8" s="13" t="inlineStr">
        <is>
          <t>F</t>
        </is>
      </c>
      <c r="I8" s="13" t="inlineStr">
        <is>
          <t>PBC</t>
        </is>
      </c>
      <c r="J8" s="13" t="inlineStr">
        <is>
          <t>R</t>
        </is>
      </c>
    </row>
    <row r="9">
      <c r="A9" s="11" t="n"/>
      <c r="B9" s="14" t="n"/>
      <c r="C9" s="14" t="n"/>
      <c r="D9" s="14" t="n"/>
      <c r="E9" s="14" t="n"/>
      <c r="F9" s="14" t="n"/>
      <c r="G9" s="14" t="n"/>
      <c r="H9" s="14">
        <f>SUM(B9:G9)</f>
        <v/>
      </c>
      <c r="I9" s="14" t="n"/>
      <c r="J9" s="14">
        <f>IF(I9="","",H9-I9)</f>
        <v/>
      </c>
      <c r="K9" s="11" t="n"/>
    </row>
    <row r="10">
      <c r="A10" s="11" t="n"/>
      <c r="B10" s="14" t="n"/>
      <c r="C10" s="14" t="n"/>
      <c r="D10" s="14" t="n"/>
      <c r="E10" s="14" t="n"/>
      <c r="F10" s="14" t="n"/>
      <c r="G10" s="14" t="n"/>
      <c r="H10" s="14">
        <f>SUM(B10:G10)</f>
        <v/>
      </c>
      <c r="I10" s="14" t="n"/>
      <c r="J10" s="14">
        <f>IF(I10="","",H10-I10)</f>
        <v/>
      </c>
      <c r="K10" s="11" t="n"/>
    </row>
    <row r="11">
      <c r="A11" s="11" t="n"/>
      <c r="B11" s="14" t="n"/>
      <c r="C11" s="14" t="n"/>
      <c r="D11" s="14" t="n"/>
      <c r="E11" s="14" t="n"/>
      <c r="F11" s="14" t="n"/>
      <c r="G11" s="14" t="n"/>
      <c r="H11" s="14">
        <f>SUM(B11:G11)</f>
        <v/>
      </c>
      <c r="I11" s="14" t="n"/>
      <c r="J11" s="14">
        <f>IF(I11="","",H11-I11)</f>
        <v/>
      </c>
      <c r="K11" s="11" t="n"/>
    </row>
    <row r="12">
      <c r="A12" s="11" t="n"/>
      <c r="B12" s="14" t="n"/>
      <c r="C12" s="14" t="n"/>
      <c r="D12" s="14" t="n"/>
      <c r="E12" s="14" t="n"/>
      <c r="F12" s="14" t="n"/>
      <c r="G12" s="14" t="n"/>
      <c r="H12" s="14">
        <f>SUM(B12:G12)</f>
        <v/>
      </c>
      <c r="I12" s="14" t="n"/>
      <c r="J12" s="14">
        <f>IF(I12="","",H12-I12)</f>
        <v/>
      </c>
      <c r="K12" s="11" t="n"/>
    </row>
    <row r="13">
      <c r="A13" s="11" t="n"/>
      <c r="B13" s="14" t="n"/>
      <c r="C13" s="14" t="n"/>
      <c r="D13" s="14" t="n"/>
      <c r="E13" s="14" t="n"/>
      <c r="F13" s="14" t="n"/>
      <c r="G13" s="14" t="n"/>
      <c r="H13" s="14">
        <f>SUM(B13:G13)</f>
        <v/>
      </c>
      <c r="I13" s="14" t="n"/>
      <c r="J13" s="14">
        <f>IF(I13="","",H13-I13)</f>
        <v/>
      </c>
      <c r="K13" s="11" t="n"/>
    </row>
    <row r="14">
      <c r="A14" s="11" t="n"/>
      <c r="B14" s="14" t="n"/>
      <c r="C14" s="14" t="n"/>
      <c r="D14" s="14" t="n"/>
      <c r="E14" s="14" t="n"/>
      <c r="F14" s="14" t="n"/>
      <c r="G14" s="14" t="n"/>
      <c r="H14" s="14">
        <f>SUM(B14:G14)</f>
        <v/>
      </c>
      <c r="I14" s="14" t="n"/>
      <c r="J14" s="14">
        <f>IF(I14="","",H14-I14)</f>
        <v/>
      </c>
      <c r="K14" s="11" t="n"/>
    </row>
    <row r="15">
      <c r="A15" s="11" t="n"/>
      <c r="B15" s="14" t="n"/>
      <c r="C15" s="14" t="n"/>
      <c r="D15" s="14" t="n"/>
      <c r="E15" s="14" t="n"/>
      <c r="F15" s="14" t="n"/>
      <c r="G15" s="14" t="n"/>
      <c r="H15" s="14">
        <f>SUM(B15:G15)</f>
        <v/>
      </c>
      <c r="I15" s="14" t="n"/>
      <c r="J15" s="14">
        <f>IF(I15="","",H15-I15)</f>
        <v/>
      </c>
      <c r="K15" s="11" t="n"/>
    </row>
    <row r="16">
      <c r="A16" s="11" t="n"/>
      <c r="B16" s="14" t="n"/>
      <c r="C16" s="14" t="n"/>
      <c r="D16" s="14" t="n"/>
      <c r="E16" s="14" t="n"/>
      <c r="F16" s="14" t="n"/>
      <c r="G16" s="14" t="n"/>
      <c r="H16" s="14">
        <f>SUM(B16:G16)</f>
        <v/>
      </c>
      <c r="I16" s="14" t="n"/>
      <c r="J16" s="14">
        <f>IF(I16="","",H16-I16)</f>
        <v/>
      </c>
      <c r="K16" s="11" t="n"/>
    </row>
    <row r="17">
      <c r="A17" s="11" t="n"/>
      <c r="B17" s="14" t="n"/>
      <c r="C17" s="14" t="n"/>
      <c r="D17" s="14" t="n"/>
      <c r="E17" s="14" t="n"/>
      <c r="F17" s="14" t="n"/>
      <c r="G17" s="14" t="n"/>
      <c r="H17" s="14">
        <f>SUM(B17:G17)</f>
        <v/>
      </c>
      <c r="I17" s="14" t="n"/>
      <c r="J17" s="14">
        <f>IF(I17="","",H17-I17)</f>
        <v/>
      </c>
      <c r="K17" s="11" t="n"/>
    </row>
    <row r="18">
      <c r="A18" s="11" t="n"/>
      <c r="B18" s="14" t="n"/>
      <c r="C18" s="14" t="n"/>
      <c r="D18" s="14" t="n"/>
      <c r="E18" s="14" t="n"/>
      <c r="F18" s="14" t="n"/>
      <c r="G18" s="14" t="n"/>
      <c r="H18" s="14">
        <f>SUM(B18:G18)</f>
        <v/>
      </c>
      <c r="I18" s="14" t="n"/>
      <c r="J18" s="14">
        <f>IF(I18="","",H18-I18)</f>
        <v/>
      </c>
      <c r="K18" s="11" t="n"/>
    </row>
    <row r="19">
      <c r="A19" s="11" t="n"/>
      <c r="B19" s="14" t="n"/>
      <c r="C19" s="14" t="n"/>
      <c r="D19" s="14" t="n"/>
      <c r="E19" s="14" t="n"/>
      <c r="F19" s="14" t="n"/>
      <c r="G19" s="14" t="n"/>
      <c r="H19" s="14">
        <f>SUM(B19:G19)</f>
        <v/>
      </c>
      <c r="I19" s="14" t="n"/>
      <c r="J19" s="14">
        <f>IF(I19="","",H19-I19)</f>
        <v/>
      </c>
      <c r="K19" s="11" t="n"/>
    </row>
    <row r="20">
      <c r="A20" s="11" t="n"/>
      <c r="B20" s="14" t="n"/>
      <c r="C20" s="14" t="n"/>
      <c r="D20" s="14" t="n"/>
      <c r="E20" s="14" t="n"/>
      <c r="F20" s="14" t="n"/>
      <c r="G20" s="14" t="n"/>
      <c r="H20" s="14">
        <f>SUM(B20:G20)</f>
        <v/>
      </c>
      <c r="I20" s="14" t="n"/>
      <c r="J20" s="14">
        <f>IF(I20="","",H20-I20)</f>
        <v/>
      </c>
      <c r="K20" s="11" t="n"/>
    </row>
    <row r="21">
      <c r="A21" s="11" t="n"/>
      <c r="B21" s="14" t="n"/>
      <c r="C21" s="14" t="n"/>
      <c r="D21" s="14" t="n"/>
      <c r="E21" s="14" t="n"/>
      <c r="F21" s="14" t="n"/>
      <c r="G21" s="14" t="n"/>
      <c r="H21" s="14">
        <f>SUM(B21:G21)</f>
        <v/>
      </c>
      <c r="I21" s="14" t="n"/>
      <c r="J21" s="14">
        <f>IF(I21="","",H21-I21)</f>
        <v/>
      </c>
      <c r="K21" s="11" t="n"/>
    </row>
    <row r="22">
      <c r="A22" s="11" t="n"/>
      <c r="B22" s="14" t="n"/>
      <c r="C22" s="14" t="n"/>
      <c r="D22" s="14" t="n"/>
      <c r="E22" s="14" t="n"/>
      <c r="F22" s="14" t="n"/>
      <c r="G22" s="14" t="n"/>
      <c r="H22" s="14">
        <f>SUM(B22:G22)</f>
        <v/>
      </c>
      <c r="I22" s="14" t="n"/>
      <c r="J22" s="14">
        <f>IF(I22="","",H22-I22)</f>
        <v/>
      </c>
      <c r="K22" s="11" t="n"/>
    </row>
    <row r="23">
      <c r="A23" s="16" t="inlineStr">
        <is>
          <t>Total — ties to lead gross AR</t>
        </is>
      </c>
      <c r="B23" s="17">
        <f>SUM(B9:B22)</f>
        <v/>
      </c>
      <c r="C23" s="17">
        <f>SUM(C9:C22)</f>
        <v/>
      </c>
      <c r="D23" s="17">
        <f>SUM(D9:D22)</f>
        <v/>
      </c>
      <c r="E23" s="17">
        <f>SUM(E9:E22)</f>
        <v/>
      </c>
      <c r="F23" s="17">
        <f>SUM(F9:F22)</f>
        <v/>
      </c>
      <c r="G23" s="17">
        <f>SUM(G9:G22)</f>
        <v/>
      </c>
      <c r="H23" s="17">
        <f>SUM(H9:H22)</f>
        <v/>
      </c>
      <c r="I23" s="16" t="n"/>
      <c r="J23" s="16" t="n"/>
      <c r="K23" s="16" t="n"/>
    </row>
    <row r="24"/>
    <row r="25">
      <c r="A25" s="9" t="inlineStr">
        <is>
          <t>TM Legends</t>
        </is>
      </c>
    </row>
    <row r="26">
      <c r="A26" s="12" t="inlineStr">
        <is>
          <t>TB</t>
        </is>
      </c>
      <c r="B26" s="11" t="inlineStr">
        <is>
          <t>Agreed to trial balance</t>
        </is>
      </c>
      <c r="C26" s="30" t="n"/>
      <c r="D26" s="31" t="n"/>
    </row>
    <row r="27">
      <c r="A27" s="12" t="inlineStr">
        <is>
          <t>GL</t>
        </is>
      </c>
      <c r="B27" s="11" t="inlineStr">
        <is>
          <t>Agreed to general ledger</t>
        </is>
      </c>
      <c r="C27" s="30" t="n"/>
      <c r="D27" s="31" t="n"/>
    </row>
    <row r="28">
      <c r="A28" s="12" t="inlineStr">
        <is>
          <t>CF</t>
        </is>
      </c>
      <c r="B28" s="11" t="inlineStr">
        <is>
          <t>Confirmed with third party</t>
        </is>
      </c>
      <c r="C28" s="30" t="n"/>
      <c r="D28" s="31" t="n"/>
    </row>
    <row r="29">
      <c r="A29" s="12" t="inlineStr">
        <is>
          <t>V</t>
        </is>
      </c>
      <c r="B29" s="11" t="inlineStr">
        <is>
          <t>Vouched to source document</t>
        </is>
      </c>
      <c r="C29" s="30" t="n"/>
      <c r="D29" s="31" t="n"/>
    </row>
    <row r="30">
      <c r="A30" s="12" t="inlineStr">
        <is>
          <t>SR</t>
        </is>
      </c>
      <c r="B30" s="11" t="inlineStr">
        <is>
          <t>Agreed to subsequent bank-cleared receipt</t>
        </is>
      </c>
      <c r="C30" s="30" t="n"/>
      <c r="D30" s="31" t="n"/>
    </row>
    <row r="31">
      <c r="A31" s="12" t="inlineStr">
        <is>
          <t>R</t>
        </is>
      </c>
      <c r="B31" s="11" t="inlineStr">
        <is>
          <t>Recalculated independently</t>
        </is>
      </c>
      <c r="C31" s="30" t="n"/>
      <c r="D31" s="31" t="n"/>
    </row>
    <row r="32">
      <c r="A32" s="12" t="inlineStr">
        <is>
          <t>F</t>
        </is>
      </c>
      <c r="B32" s="11" t="inlineStr">
        <is>
          <t>Footed / cross-cast</t>
        </is>
      </c>
      <c r="C32" s="30" t="n"/>
      <c r="D32" s="31" t="n"/>
    </row>
    <row r="33">
      <c r="A33" s="12" t="inlineStr">
        <is>
          <t>T</t>
        </is>
      </c>
      <c r="B33" s="11" t="inlineStr">
        <is>
          <t>Traced to downstream record</t>
        </is>
      </c>
      <c r="C33" s="30" t="n"/>
      <c r="D33" s="31" t="n"/>
    </row>
    <row r="34">
      <c r="A34" s="12" t="inlineStr">
        <is>
          <t>PBC</t>
        </is>
      </c>
      <c r="B34" s="11" t="inlineStr">
        <is>
          <t>Prepared by client</t>
        </is>
      </c>
      <c r="C34" s="30" t="n"/>
      <c r="D34" s="31" t="n"/>
    </row>
    <row r="35"/>
    <row r="36" ht="25.5" customHeight="1">
      <c r="A36" s="3" t="inlineStr">
        <is>
          <t>Before sign-off complete Library Procedure 6 (aging reconciliation &amp; footing). Bucket accuracy is re-tested on &lt;.3&gt;.</t>
        </is>
      </c>
    </row>
  </sheetData>
  <mergeCells count="13">
    <mergeCell ref="B33:D33"/>
    <mergeCell ref="B28:D28"/>
    <mergeCell ref="B34:D34"/>
    <mergeCell ref="B4:K4"/>
    <mergeCell ref="B31:D31"/>
    <mergeCell ref="B32:D32"/>
    <mergeCell ref="B26:D26"/>
    <mergeCell ref="B27:D27"/>
    <mergeCell ref="B30:D30"/>
    <mergeCell ref="B6:K6"/>
    <mergeCell ref="A36:K36"/>
    <mergeCell ref="B29:D29"/>
    <mergeCell ref="B5:K5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85" zoomScaleNormal="100" workbookViewId="0">
      <selection activeCell="A1" sqref="A1:A1048576"/>
    </sheetView>
  </sheetViews>
  <sheetFormatPr baseColWidth="8" defaultColWidth="8.6328125" defaultRowHeight="14.5"/>
  <cols>
    <col width="14" customWidth="1" min="1" max="1"/>
    <col width="24" customWidth="1" min="2" max="2"/>
    <col width="13" customWidth="1" min="3" max="4"/>
    <col width="14" customWidth="1" min="5" max="5"/>
    <col width="15" customWidth="1" min="6" max="6"/>
    <col width="16" customWidth="1" min="7" max="8"/>
    <col width="12" customWidth="1" min="9" max="9"/>
    <col width="26" customWidth="1" min="10" max="10"/>
  </cols>
  <sheetData>
    <row r="1" ht="17.5" customHeight="1">
      <c r="A1" s="6" t="inlineStr">
        <is>
          <t>Aging Bucket Testing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9" t="inlineStr">
        <is>
          <t>Purpose:</t>
        </is>
      </c>
      <c r="B4" s="5" t="inlineStr">
        <is>
          <t>Re-age open items from invoice/due date and recompute the aging-bucket classification; test the accuracy of the aging buckets.</t>
        </is>
      </c>
    </row>
    <row r="5" ht="27.75" customHeight="1">
      <c r="A5" s="9" t="inlineStr">
        <is>
          <t>Scope:</t>
        </is>
      </c>
      <c r="B5" s="5" t="inlineStr">
        <is>
          <t>A sample of open invoices; recompute days outstanding from invoice/due date against year-end and compare to the report's bucket.</t>
        </is>
      </c>
    </row>
    <row r="6" ht="15" customHeight="1">
      <c r="A6" s="9" t="inlineStr">
        <is>
          <t>Assertions:</t>
        </is>
      </c>
      <c r="B6" s="5" t="inlineStr">
        <is>
          <t>Accuracy; Valuation &amp; Allocation</t>
        </is>
      </c>
    </row>
    <row r="7" ht="30" customHeight="1">
      <c r="A7" s="10" t="inlineStr">
        <is>
          <t>Invoice #</t>
        </is>
      </c>
      <c r="B7" s="10" t="inlineStr">
        <is>
          <t>Customer</t>
        </is>
      </c>
      <c r="C7" s="10" t="inlineStr">
        <is>
          <t>Invoice date</t>
        </is>
      </c>
      <c r="D7" s="10" t="inlineStr">
        <is>
          <t>Due date</t>
        </is>
      </c>
      <c r="E7" s="10" t="inlineStr">
        <is>
          <t>Amount</t>
        </is>
      </c>
      <c r="F7" s="10" t="inlineStr">
        <is>
          <t>Days o/s (recomputed)</t>
        </is>
      </c>
      <c r="G7" s="10" t="inlineStr">
        <is>
          <t>Bucket per report</t>
        </is>
      </c>
      <c r="H7" s="10" t="inlineStr">
        <is>
          <t>Recomputed bucket</t>
        </is>
      </c>
      <c r="I7" s="10" t="inlineStr">
        <is>
          <t>Agree (Y/N)</t>
        </is>
      </c>
      <c r="J7" s="10" t="inlineStr">
        <is>
          <t>Comments</t>
        </is>
      </c>
    </row>
    <row r="8">
      <c r="E8" s="13" t="inlineStr">
        <is>
          <t>V</t>
        </is>
      </c>
      <c r="F8" s="13" t="inlineStr">
        <is>
          <t>R</t>
        </is>
      </c>
      <c r="H8" s="13" t="inlineStr">
        <is>
          <t>R</t>
        </is>
      </c>
    </row>
    <row r="9">
      <c r="A9" s="11" t="n"/>
      <c r="B9" s="11" t="n"/>
      <c r="C9" s="11" t="n"/>
      <c r="D9" s="11" t="n"/>
      <c r="E9" s="14" t="n"/>
      <c r="F9" s="19">
        <f>IF(C9="","",$E$2-C9)</f>
        <v/>
      </c>
      <c r="G9" s="11" t="n"/>
      <c r="H9" s="11">
        <f>IF(F9="","",IF(F9&lt;=0,"Current",IF(F9&lt;=30,"1-30",IF(F9&lt;=60,"31-60",IF(F9&lt;=90,"61-90",IF(F9&lt;=120,"91-120","&gt;120"))))))</f>
        <v/>
      </c>
      <c r="I9" s="11">
        <f>IF(OR(G9="",H9=""),"",IF(G9=H9,"Y","N"))</f>
        <v/>
      </c>
      <c r="J9" s="11" t="n"/>
    </row>
    <row r="10">
      <c r="A10" s="11" t="n"/>
      <c r="B10" s="11" t="n"/>
      <c r="C10" s="11" t="n"/>
      <c r="D10" s="11" t="n"/>
      <c r="E10" s="14" t="n"/>
      <c r="F10" s="19">
        <f>IF(C10="","",$E$2-C10)</f>
        <v/>
      </c>
      <c r="G10" s="11" t="n"/>
      <c r="H10" s="11">
        <f>IF(F10="","",IF(F10&lt;=0,"Current",IF(F10&lt;=30,"1-30",IF(F10&lt;=60,"31-60",IF(F10&lt;=90,"61-90",IF(F10&lt;=120,"91-120","&gt;120"))))))</f>
        <v/>
      </c>
      <c r="I10" s="11">
        <f>IF(OR(G10="",H10=""),"",IF(G10=H10,"Y","N"))</f>
        <v/>
      </c>
      <c r="J10" s="11" t="n"/>
    </row>
    <row r="11">
      <c r="A11" s="11" t="n"/>
      <c r="B11" s="11" t="n"/>
      <c r="C11" s="11" t="n"/>
      <c r="D11" s="11" t="n"/>
      <c r="E11" s="14" t="n"/>
      <c r="F11" s="19">
        <f>IF(C11="","",$E$2-C11)</f>
        <v/>
      </c>
      <c r="G11" s="11" t="n"/>
      <c r="H11" s="11">
        <f>IF(F11="","",IF(F11&lt;=0,"Current",IF(F11&lt;=30,"1-30",IF(F11&lt;=60,"31-60",IF(F11&lt;=90,"61-90",IF(F11&lt;=120,"91-120","&gt;120"))))))</f>
        <v/>
      </c>
      <c r="I11" s="11">
        <f>IF(OR(G11="",H11=""),"",IF(G11=H11,"Y","N"))</f>
        <v/>
      </c>
      <c r="J11" s="11" t="n"/>
    </row>
    <row r="12">
      <c r="A12" s="11" t="n"/>
      <c r="B12" s="11" t="n"/>
      <c r="C12" s="11" t="n"/>
      <c r="D12" s="11" t="n"/>
      <c r="E12" s="14" t="n"/>
      <c r="F12" s="19">
        <f>IF(C12="","",$E$2-C12)</f>
        <v/>
      </c>
      <c r="G12" s="11" t="n"/>
      <c r="H12" s="11">
        <f>IF(F12="","",IF(F12&lt;=0,"Current",IF(F12&lt;=30,"1-30",IF(F12&lt;=60,"31-60",IF(F12&lt;=90,"61-90",IF(F12&lt;=120,"91-120","&gt;120"))))))</f>
        <v/>
      </c>
      <c r="I12" s="11">
        <f>IF(OR(G12="",H12=""),"",IF(G12=H12,"Y","N"))</f>
        <v/>
      </c>
      <c r="J12" s="11" t="n"/>
    </row>
    <row r="13">
      <c r="A13" s="11" t="n"/>
      <c r="B13" s="11" t="n"/>
      <c r="C13" s="11" t="n"/>
      <c r="D13" s="11" t="n"/>
      <c r="E13" s="14" t="n"/>
      <c r="F13" s="19">
        <f>IF(C13="","",$E$2-C13)</f>
        <v/>
      </c>
      <c r="G13" s="11" t="n"/>
      <c r="H13" s="11">
        <f>IF(F13="","",IF(F13&lt;=0,"Current",IF(F13&lt;=30,"1-30",IF(F13&lt;=60,"31-60",IF(F13&lt;=90,"61-90",IF(F13&lt;=120,"91-120","&gt;120"))))))</f>
        <v/>
      </c>
      <c r="I13" s="11">
        <f>IF(OR(G13="",H13=""),"",IF(G13=H13,"Y","N"))</f>
        <v/>
      </c>
      <c r="J13" s="11" t="n"/>
    </row>
    <row r="14">
      <c r="A14" s="11" t="n"/>
      <c r="B14" s="11" t="n"/>
      <c r="C14" s="11" t="n"/>
      <c r="D14" s="11" t="n"/>
      <c r="E14" s="14" t="n"/>
      <c r="F14" s="19">
        <f>IF(C14="","",$E$2-C14)</f>
        <v/>
      </c>
      <c r="G14" s="11" t="n"/>
      <c r="H14" s="11">
        <f>IF(F14="","",IF(F14&lt;=0,"Current",IF(F14&lt;=30,"1-30",IF(F14&lt;=60,"31-60",IF(F14&lt;=90,"61-90",IF(F14&lt;=120,"91-120","&gt;120"))))))</f>
        <v/>
      </c>
      <c r="I14" s="11">
        <f>IF(OR(G14="",H14=""),"",IF(G14=H14,"Y","N"))</f>
        <v/>
      </c>
      <c r="J14" s="11" t="n"/>
    </row>
    <row r="15">
      <c r="A15" s="11" t="n"/>
      <c r="B15" s="11" t="n"/>
      <c r="C15" s="11" t="n"/>
      <c r="D15" s="11" t="n"/>
      <c r="E15" s="14" t="n"/>
      <c r="F15" s="19">
        <f>IF(C15="","",$E$2-C15)</f>
        <v/>
      </c>
      <c r="G15" s="11" t="n"/>
      <c r="H15" s="11">
        <f>IF(F15="","",IF(F15&lt;=0,"Current",IF(F15&lt;=30,"1-30",IF(F15&lt;=60,"31-60",IF(F15&lt;=90,"61-90",IF(F15&lt;=120,"91-120","&gt;120"))))))</f>
        <v/>
      </c>
      <c r="I15" s="11">
        <f>IF(OR(G15="",H15=""),"",IF(G15=H15,"Y","N"))</f>
        <v/>
      </c>
      <c r="J15" s="11" t="n"/>
    </row>
    <row r="16">
      <c r="A16" s="11" t="n"/>
      <c r="B16" s="11" t="n"/>
      <c r="C16" s="11" t="n"/>
      <c r="D16" s="11" t="n"/>
      <c r="E16" s="14" t="n"/>
      <c r="F16" s="19">
        <f>IF(C16="","",$E$2-C16)</f>
        <v/>
      </c>
      <c r="G16" s="11" t="n"/>
      <c r="H16" s="11">
        <f>IF(F16="","",IF(F16&lt;=0,"Current",IF(F16&lt;=30,"1-30",IF(F16&lt;=60,"31-60",IF(F16&lt;=90,"61-90",IF(F16&lt;=120,"91-120","&gt;120"))))))</f>
        <v/>
      </c>
      <c r="I16" s="11">
        <f>IF(OR(G16="",H16=""),"",IF(G16=H16,"Y","N"))</f>
        <v/>
      </c>
      <c r="J16" s="11" t="n"/>
    </row>
    <row r="17">
      <c r="A17" s="11" t="n"/>
      <c r="B17" s="11" t="n"/>
      <c r="C17" s="11" t="n"/>
      <c r="D17" s="11" t="n"/>
      <c r="E17" s="14" t="n"/>
      <c r="F17" s="19">
        <f>IF(C17="","",$E$2-C17)</f>
        <v/>
      </c>
      <c r="G17" s="11" t="n"/>
      <c r="H17" s="11">
        <f>IF(F17="","",IF(F17&lt;=0,"Current",IF(F17&lt;=30,"1-30",IF(F17&lt;=60,"31-60",IF(F17&lt;=90,"61-90",IF(F17&lt;=120,"91-120","&gt;120"))))))</f>
        <v/>
      </c>
      <c r="I17" s="11">
        <f>IF(OR(G17="",H17=""),"",IF(G17=H17,"Y","N"))</f>
        <v/>
      </c>
      <c r="J17" s="11" t="n"/>
    </row>
    <row r="18">
      <c r="A18" s="11" t="n"/>
      <c r="B18" s="11" t="n"/>
      <c r="C18" s="11" t="n"/>
      <c r="D18" s="11" t="n"/>
      <c r="E18" s="14" t="n"/>
      <c r="F18" s="19">
        <f>IF(C18="","",$E$2-C18)</f>
        <v/>
      </c>
      <c r="G18" s="11" t="n"/>
      <c r="H18" s="11">
        <f>IF(F18="","",IF(F18&lt;=0,"Current",IF(F18&lt;=30,"1-30",IF(F18&lt;=60,"31-60",IF(F18&lt;=90,"61-90",IF(F18&lt;=120,"91-120","&gt;120"))))))</f>
        <v/>
      </c>
      <c r="I18" s="11">
        <f>IF(OR(G18="",H18=""),"",IF(G18=H18,"Y","N"))</f>
        <v/>
      </c>
      <c r="J18" s="11" t="n"/>
    </row>
    <row r="19">
      <c r="A19" s="11" t="n"/>
      <c r="B19" s="11" t="n"/>
      <c r="C19" s="11" t="n"/>
      <c r="D19" s="11" t="n"/>
      <c r="E19" s="14" t="n"/>
      <c r="F19" s="19">
        <f>IF(C19="","",$E$2-C19)</f>
        <v/>
      </c>
      <c r="G19" s="11" t="n"/>
      <c r="H19" s="11">
        <f>IF(F19="","",IF(F19&lt;=0,"Current",IF(F19&lt;=30,"1-30",IF(F19&lt;=60,"31-60",IF(F19&lt;=90,"61-90",IF(F19&lt;=120,"91-120","&gt;120"))))))</f>
        <v/>
      </c>
      <c r="I19" s="11">
        <f>IF(OR(G19="",H19=""),"",IF(G19=H19,"Y","N"))</f>
        <v/>
      </c>
      <c r="J19" s="11" t="n"/>
    </row>
    <row r="20">
      <c r="A20" s="11" t="n"/>
      <c r="B20" s="11" t="n"/>
      <c r="C20" s="11" t="n"/>
      <c r="D20" s="11" t="n"/>
      <c r="E20" s="14" t="n"/>
      <c r="F20" s="19">
        <f>IF(C20="","",$E$2-C20)</f>
        <v/>
      </c>
      <c r="G20" s="11" t="n"/>
      <c r="H20" s="11">
        <f>IF(F20="","",IF(F20&lt;=0,"Current",IF(F20&lt;=30,"1-30",IF(F20&lt;=60,"31-60",IF(F20&lt;=90,"61-90",IF(F20&lt;=120,"91-120","&gt;120"))))))</f>
        <v/>
      </c>
      <c r="I20" s="11">
        <f>IF(OR(G20="",H20=""),"",IF(G20=H20,"Y","N"))</f>
        <v/>
      </c>
      <c r="J20" s="11" t="n"/>
    </row>
    <row r="21">
      <c r="A21" s="11" t="n"/>
      <c r="B21" s="11" t="n"/>
      <c r="C21" s="11" t="n"/>
      <c r="D21" s="11" t="n"/>
      <c r="E21" s="14" t="n"/>
      <c r="F21" s="19">
        <f>IF(C21="","",$E$2-C21)</f>
        <v/>
      </c>
      <c r="G21" s="11" t="n"/>
      <c r="H21" s="11">
        <f>IF(F21="","",IF(F21&lt;=0,"Current",IF(F21&lt;=30,"1-30",IF(F21&lt;=60,"31-60",IF(F21&lt;=90,"61-90",IF(F21&lt;=120,"91-120","&gt;120"))))))</f>
        <v/>
      </c>
      <c r="I21" s="11">
        <f>IF(OR(G21="",H21=""),"",IF(G21=H21,"Y","N"))</f>
        <v/>
      </c>
      <c r="J21" s="11" t="n"/>
    </row>
    <row r="22">
      <c r="A22" s="11" t="n"/>
      <c r="B22" s="11" t="n"/>
      <c r="C22" s="11" t="n"/>
      <c r="D22" s="11" t="n"/>
      <c r="E22" s="14" t="n"/>
      <c r="F22" s="19">
        <f>IF(C22="","",$E$2-C22)</f>
        <v/>
      </c>
      <c r="G22" s="11" t="n"/>
      <c r="H22" s="11">
        <f>IF(F22="","",IF(F22&lt;=0,"Current",IF(F22&lt;=30,"1-30",IF(F22&lt;=60,"31-60",IF(F22&lt;=90,"61-90",IF(F22&lt;=120,"91-120","&gt;120"))))))</f>
        <v/>
      </c>
      <c r="I22" s="11">
        <f>IF(OR(G22="",H22=""),"",IF(G22=H22,"Y","N"))</f>
        <v/>
      </c>
      <c r="J22" s="11" t="n"/>
    </row>
    <row r="23">
      <c r="A23" s="11" t="n"/>
      <c r="B23" s="11" t="n"/>
      <c r="C23" s="11" t="n"/>
      <c r="D23" s="11" t="n"/>
      <c r="E23" s="14" t="n"/>
      <c r="F23" s="19">
        <f>IF(C23="","",$E$2-C23)</f>
        <v/>
      </c>
      <c r="G23" s="11" t="n"/>
      <c r="H23" s="11">
        <f>IF(F23="","",IF(F23&lt;=0,"Current",IF(F23&lt;=30,"1-30",IF(F23&lt;=60,"31-60",IF(F23&lt;=90,"61-90",IF(F23&lt;=120,"91-120","&gt;120"))))))</f>
        <v/>
      </c>
      <c r="I23" s="11">
        <f>IF(OR(G23="",H23=""),"",IF(G23=H23,"Y","N"))</f>
        <v/>
      </c>
      <c r="J23" s="11" t="n"/>
    </row>
    <row r="24">
      <c r="A24" s="11" t="n"/>
      <c r="B24" s="11" t="n"/>
      <c r="C24" s="11" t="n"/>
      <c r="D24" s="11" t="n"/>
      <c r="E24" s="14" t="n"/>
      <c r="F24" s="19">
        <f>IF(C24="","",$E$2-C24)</f>
        <v/>
      </c>
      <c r="G24" s="11" t="n"/>
      <c r="H24" s="11">
        <f>IF(F24="","",IF(F24&lt;=0,"Current",IF(F24&lt;=30,"1-30",IF(F24&lt;=60,"31-60",IF(F24&lt;=90,"61-90",IF(F24&lt;=120,"91-120","&gt;120"))))))</f>
        <v/>
      </c>
      <c r="I24" s="11">
        <f>IF(OR(G24="",H24=""),"",IF(G24=H24,"Y","N"))</f>
        <v/>
      </c>
      <c r="J24" s="11" t="n"/>
    </row>
    <row r="25"/>
    <row r="26" ht="25.5" customHeight="1">
      <c r="A26" s="3" t="inlineStr">
        <is>
          <t>Days outstanding recompute uses the Year-End date entered in cell F2. Where bucket labels contradict invoice/due dates, request a corrected ERP aging that re-ages from invoice/due date.</t>
        </is>
      </c>
    </row>
    <row r="27"/>
    <row r="28">
      <c r="A28" s="9" t="inlineStr">
        <is>
          <t>TM Legends</t>
        </is>
      </c>
    </row>
    <row r="29">
      <c r="A29" s="12" t="inlineStr">
        <is>
          <t>TB</t>
        </is>
      </c>
      <c r="B29" s="11" t="inlineStr">
        <is>
          <t>Agreed to trial balance</t>
        </is>
      </c>
      <c r="C29" s="30" t="n"/>
      <c r="D29" s="31" t="n"/>
    </row>
    <row r="30">
      <c r="A30" s="12" t="inlineStr">
        <is>
          <t>GL</t>
        </is>
      </c>
      <c r="B30" s="11" t="inlineStr">
        <is>
          <t>Agreed to general ledger</t>
        </is>
      </c>
      <c r="C30" s="30" t="n"/>
      <c r="D30" s="31" t="n"/>
    </row>
    <row r="31">
      <c r="A31" s="12" t="inlineStr">
        <is>
          <t>CF</t>
        </is>
      </c>
      <c r="B31" s="11" t="inlineStr">
        <is>
          <t>Confirmed with third party</t>
        </is>
      </c>
      <c r="C31" s="30" t="n"/>
      <c r="D31" s="31" t="n"/>
    </row>
    <row r="32">
      <c r="A32" s="12" t="inlineStr">
        <is>
          <t>V</t>
        </is>
      </c>
      <c r="B32" s="11" t="inlineStr">
        <is>
          <t>Vouched to source document</t>
        </is>
      </c>
      <c r="C32" s="30" t="n"/>
      <c r="D32" s="31" t="n"/>
    </row>
    <row r="33">
      <c r="A33" s="12" t="inlineStr">
        <is>
          <t>SR</t>
        </is>
      </c>
      <c r="B33" s="11" t="inlineStr">
        <is>
          <t>Agreed to subsequent bank-cleared receipt</t>
        </is>
      </c>
      <c r="C33" s="30" t="n"/>
      <c r="D33" s="31" t="n"/>
    </row>
    <row r="34">
      <c r="A34" s="12" t="inlineStr">
        <is>
          <t>R</t>
        </is>
      </c>
      <c r="B34" s="11" t="inlineStr">
        <is>
          <t>Recalculated independently</t>
        </is>
      </c>
      <c r="C34" s="30" t="n"/>
      <c r="D34" s="31" t="n"/>
    </row>
    <row r="35">
      <c r="A35" s="12" t="inlineStr">
        <is>
          <t>F</t>
        </is>
      </c>
      <c r="B35" s="11" t="inlineStr">
        <is>
          <t>Footed / cross-cast</t>
        </is>
      </c>
      <c r="C35" s="30" t="n"/>
      <c r="D35" s="31" t="n"/>
    </row>
    <row r="36">
      <c r="A36" s="12" t="inlineStr">
        <is>
          <t>T</t>
        </is>
      </c>
      <c r="B36" s="11" t="inlineStr">
        <is>
          <t>Traced to downstream record</t>
        </is>
      </c>
      <c r="C36" s="30" t="n"/>
      <c r="D36" s="31" t="n"/>
    </row>
    <row r="37">
      <c r="A37" s="12" t="inlineStr">
        <is>
          <t>PBC</t>
        </is>
      </c>
      <c r="B37" s="11" t="inlineStr">
        <is>
          <t>Prepared by client</t>
        </is>
      </c>
      <c r="C37" s="30" t="n"/>
      <c r="D37" s="31" t="n"/>
    </row>
    <row r="38"/>
    <row r="39" ht="25.5" customHeight="1">
      <c r="A39" s="3" t="inlineStr">
        <is>
          <t>Before sign-off complete Library Procedures 7-8 (re-age &amp; recompute buckets).</t>
        </is>
      </c>
    </row>
  </sheetData>
  <mergeCells count="14">
    <mergeCell ref="B33:D33"/>
    <mergeCell ref="B36:D36"/>
    <mergeCell ref="B5:J5"/>
    <mergeCell ref="B37:D37"/>
    <mergeCell ref="B31:D31"/>
    <mergeCell ref="B35:D35"/>
    <mergeCell ref="B32:D32"/>
    <mergeCell ref="A39:J39"/>
    <mergeCell ref="B30:D30"/>
    <mergeCell ref="B4:J4"/>
    <mergeCell ref="A26:J26"/>
    <mergeCell ref="B29:D29"/>
    <mergeCell ref="B6:J6"/>
    <mergeCell ref="B34:D3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zoomScale="85" zoomScaleNormal="100" workbookViewId="0">
      <selection activeCell="A14" sqref="A14"/>
    </sheetView>
  </sheetViews>
  <sheetFormatPr baseColWidth="8" defaultColWidth="8.6328125" defaultRowHeight="14.5"/>
  <cols>
    <col width="34" customWidth="1" min="1" max="1"/>
    <col width="18" customWidth="1" min="2" max="2"/>
    <col width="16" customWidth="1" min="3" max="5"/>
    <col width="22" customWidth="1" min="6" max="6"/>
    <col width="26" customWidth="1" min="7" max="7"/>
  </cols>
  <sheetData>
    <row r="1" ht="17.5" customHeight="1">
      <c r="A1" s="6" t="inlineStr">
        <is>
          <t>Allowance for Doubtful Accounts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9" t="inlineStr">
        <is>
          <t>Purpose:</t>
        </is>
      </c>
      <c r="B4" s="5" t="inlineStr">
        <is>
          <t>Test the recorded allowance: roll it forward, evaluate specific reserves, and conclude on reasonableness.</t>
        </is>
      </c>
    </row>
    <row r="5" ht="27.75" customHeight="1">
      <c r="A5" s="9" t="inlineStr">
        <is>
          <t>Scope:</t>
        </is>
      </c>
      <c r="B5" s="5" t="inlineStr">
        <is>
          <t>Management's allowance roll-forward, specific-reserve schedule, and write-off / credit-memo log.</t>
        </is>
      </c>
    </row>
    <row r="6" ht="15" customHeight="1">
      <c r="A6" s="9" t="inlineStr">
        <is>
          <t>Assertions:</t>
        </is>
      </c>
      <c r="B6" s="5" t="inlineStr">
        <is>
          <t>Valuation &amp; Allocation; Completeness</t>
        </is>
      </c>
    </row>
    <row r="7">
      <c r="A7" s="18" t="inlineStr">
        <is>
          <t>A. Allowance roll-forward</t>
        </is>
      </c>
    </row>
    <row r="8">
      <c r="A8" s="11" t="inlineStr">
        <is>
          <t>Beginning allowance</t>
        </is>
      </c>
      <c r="B8" s="14" t="n"/>
    </row>
    <row r="9">
      <c r="A9" s="11" t="inlineStr">
        <is>
          <t>Add: provision (bad debt expense)</t>
        </is>
      </c>
      <c r="B9" s="14" t="n"/>
    </row>
    <row r="10">
      <c r="A10" s="11" t="inlineStr">
        <is>
          <t>Less: write-offs</t>
        </is>
      </c>
      <c r="B10" s="14" t="n"/>
    </row>
    <row r="11">
      <c r="A11" s="11" t="inlineStr">
        <is>
          <t>Add: recoveries</t>
        </is>
      </c>
      <c r="B11" s="14" t="n"/>
    </row>
    <row r="12">
      <c r="A12" s="20" t="inlineStr">
        <is>
          <t>Ending allowance (recomputed)</t>
        </is>
      </c>
      <c r="B12" s="21">
        <f>B8+B9-B10+B11</f>
        <v/>
      </c>
    </row>
    <row r="13">
      <c r="A13" s="11" t="inlineStr">
        <is>
          <t>Allowance per trial balance</t>
        </is>
      </c>
      <c r="B13" s="14" t="n"/>
    </row>
    <row r="14">
      <c r="A14" s="20" t="inlineStr">
        <is>
          <t>Difference (should be 0)</t>
        </is>
      </c>
      <c r="B14" s="21">
        <f>B12-B13</f>
        <v/>
      </c>
    </row>
    <row r="15"/>
    <row r="16">
      <c r="A16" s="18" t="inlineStr">
        <is>
          <t>B. Specific reserves on significant / past-due balances</t>
        </is>
      </c>
    </row>
    <row r="17" ht="25.5" customHeight="1">
      <c r="A17" s="10" t="inlineStr">
        <is>
          <t>Customer</t>
        </is>
      </c>
      <c r="B17" s="10" t="inlineStr">
        <is>
          <t>AR balance</t>
        </is>
      </c>
      <c r="C17" s="10" t="inlineStr">
        <is>
          <t>Aging bucket</t>
        </is>
      </c>
      <c r="D17" s="10" t="inlineStr">
        <is>
          <t>Days past due</t>
        </is>
      </c>
      <c r="E17" s="10" t="inlineStr">
        <is>
          <t>Specific reserve</t>
        </is>
      </c>
      <c r="F17" s="10" t="inlineStr">
        <is>
          <t>Reserve %</t>
        </is>
      </c>
      <c r="G17" s="10" t="inlineStr">
        <is>
          <t>Basis / rationale</t>
        </is>
      </c>
    </row>
    <row r="18">
      <c r="A18" s="11" t="n"/>
      <c r="B18" s="14" t="n"/>
      <c r="C18" s="11" t="n"/>
      <c r="D18" s="11" t="n"/>
      <c r="E18" s="14" t="n"/>
      <c r="F18" s="15">
        <f>IF(OR(B18="",B18=0),"",E18/B18)</f>
        <v/>
      </c>
      <c r="G18" s="11" t="n"/>
    </row>
    <row r="19">
      <c r="A19" s="11" t="n"/>
      <c r="B19" s="14" t="n"/>
      <c r="C19" s="11" t="n"/>
      <c r="D19" s="11" t="n"/>
      <c r="E19" s="14" t="n"/>
      <c r="F19" s="15">
        <f>IF(OR(B19="",B19=0),"",E19/B19)</f>
        <v/>
      </c>
      <c r="G19" s="11" t="n"/>
    </row>
    <row r="20">
      <c r="A20" s="11" t="n"/>
      <c r="B20" s="14" t="n"/>
      <c r="C20" s="11" t="n"/>
      <c r="D20" s="11" t="n"/>
      <c r="E20" s="14" t="n"/>
      <c r="F20" s="15">
        <f>IF(OR(B20="",B20=0),"",E20/B20)</f>
        <v/>
      </c>
      <c r="G20" s="11" t="n"/>
    </row>
    <row r="21">
      <c r="A21" s="11" t="n"/>
      <c r="B21" s="14" t="n"/>
      <c r="C21" s="11" t="n"/>
      <c r="D21" s="11" t="n"/>
      <c r="E21" s="14" t="n"/>
      <c r="F21" s="15">
        <f>IF(OR(B21="",B21=0),"",E21/B21)</f>
        <v/>
      </c>
      <c r="G21" s="11" t="n"/>
    </row>
    <row r="22">
      <c r="A22" s="11" t="n"/>
      <c r="B22" s="14" t="n"/>
      <c r="C22" s="11" t="n"/>
      <c r="D22" s="11" t="n"/>
      <c r="E22" s="14" t="n"/>
      <c r="F22" s="15">
        <f>IF(OR(B22="",B22=0),"",E22/B22)</f>
        <v/>
      </c>
      <c r="G22" s="11" t="n"/>
    </row>
    <row r="23">
      <c r="A23" s="11" t="n"/>
      <c r="B23" s="14" t="n"/>
      <c r="C23" s="11" t="n"/>
      <c r="D23" s="11" t="n"/>
      <c r="E23" s="14" t="n"/>
      <c r="F23" s="15">
        <f>IF(OR(B23="",B23=0),"",E23/B23)</f>
        <v/>
      </c>
      <c r="G23" s="11" t="n"/>
    </row>
    <row r="24">
      <c r="A24" s="11" t="n"/>
      <c r="B24" s="14" t="n"/>
      <c r="C24" s="11" t="n"/>
      <c r="D24" s="11" t="n"/>
      <c r="E24" s="14" t="n"/>
      <c r="F24" s="15">
        <f>IF(OR(B24="",B24=0),"",E24/B24)</f>
        <v/>
      </c>
      <c r="G24" s="11" t="n"/>
    </row>
    <row r="25">
      <c r="A25" s="11" t="n"/>
      <c r="B25" s="14" t="n"/>
      <c r="C25" s="11" t="n"/>
      <c r="D25" s="11" t="n"/>
      <c r="E25" s="14" t="n"/>
      <c r="F25" s="15">
        <f>IF(OR(B25="",B25=0),"",E25/B25)</f>
        <v/>
      </c>
      <c r="G25" s="11" t="n"/>
    </row>
    <row r="26">
      <c r="A26" s="16" t="inlineStr">
        <is>
          <t>Total specific reserve</t>
        </is>
      </c>
      <c r="B26" s="16" t="n"/>
      <c r="C26" s="16" t="n"/>
      <c r="D26" s="16" t="n"/>
      <c r="E26" s="17">
        <f>SUM(E18:E25)</f>
        <v/>
      </c>
      <c r="F26" s="16" t="n"/>
      <c r="G26" s="16" t="n"/>
    </row>
    <row r="27"/>
    <row r="28">
      <c r="A28" s="18" t="inlineStr">
        <is>
          <t>C. Required vs recorded</t>
        </is>
      </c>
    </row>
    <row r="29"/>
    <row r="30">
      <c r="A30" s="11" t="inlineStr">
        <is>
          <t>General reserve (per CECL tab &lt;.5&gt;)</t>
        </is>
      </c>
      <c r="B30" s="14" t="n"/>
    </row>
    <row r="31">
      <c r="A31" s="11" t="inlineStr">
        <is>
          <t>Specific reserves (per B above)</t>
        </is>
      </c>
      <c r="B31" s="14">
        <f>E26</f>
        <v/>
      </c>
    </row>
    <row r="32">
      <c r="A32" s="20" t="inlineStr">
        <is>
          <t>Total required allowance</t>
        </is>
      </c>
      <c r="B32" s="21">
        <f>B30+B31</f>
        <v/>
      </c>
    </row>
    <row r="33">
      <c r="A33" s="11" t="inlineStr">
        <is>
          <t>Recorded allowance (TB)</t>
        </is>
      </c>
      <c r="B33" s="14" t="n"/>
    </row>
    <row r="34">
      <c r="A34" s="20" t="inlineStr">
        <is>
          <t>Difference vs materiality</t>
        </is>
      </c>
      <c r="B34" s="21">
        <f>B32-B33</f>
        <v/>
      </c>
    </row>
    <row r="35"/>
    <row r="36"/>
    <row r="37">
      <c r="A37" s="9" t="inlineStr">
        <is>
          <t>TM Legends</t>
        </is>
      </c>
    </row>
    <row r="38">
      <c r="A38" s="12" t="inlineStr">
        <is>
          <t>TB</t>
        </is>
      </c>
      <c r="B38" s="11" t="inlineStr">
        <is>
          <t>Agreed to trial balance</t>
        </is>
      </c>
      <c r="C38" s="30" t="n"/>
      <c r="D38" s="31" t="n"/>
    </row>
    <row r="39">
      <c r="A39" s="12" t="inlineStr">
        <is>
          <t>GL</t>
        </is>
      </c>
      <c r="B39" s="11" t="inlineStr">
        <is>
          <t>Agreed to general ledger</t>
        </is>
      </c>
      <c r="C39" s="30" t="n"/>
      <c r="D39" s="31" t="n"/>
    </row>
    <row r="40">
      <c r="A40" s="12" t="inlineStr">
        <is>
          <t>CF</t>
        </is>
      </c>
      <c r="B40" s="11" t="inlineStr">
        <is>
          <t>Confirmed with third party</t>
        </is>
      </c>
      <c r="C40" s="30" t="n"/>
      <c r="D40" s="31" t="n"/>
    </row>
    <row r="41">
      <c r="A41" s="12" t="inlineStr">
        <is>
          <t>V</t>
        </is>
      </c>
      <c r="B41" s="11" t="inlineStr">
        <is>
          <t>Vouched to source document</t>
        </is>
      </c>
      <c r="C41" s="30" t="n"/>
      <c r="D41" s="31" t="n"/>
    </row>
    <row r="42">
      <c r="A42" s="12" t="inlineStr">
        <is>
          <t>SR</t>
        </is>
      </c>
      <c r="B42" s="11" t="inlineStr">
        <is>
          <t>Agreed to subsequent bank-cleared receipt</t>
        </is>
      </c>
      <c r="C42" s="30" t="n"/>
      <c r="D42" s="31" t="n"/>
    </row>
    <row r="43">
      <c r="A43" s="12" t="inlineStr">
        <is>
          <t>R</t>
        </is>
      </c>
      <c r="B43" s="11" t="inlineStr">
        <is>
          <t>Recalculated independently</t>
        </is>
      </c>
      <c r="C43" s="30" t="n"/>
      <c r="D43" s="31" t="n"/>
    </row>
    <row r="44">
      <c r="A44" s="12" t="inlineStr">
        <is>
          <t>F</t>
        </is>
      </c>
      <c r="B44" s="11" t="inlineStr">
        <is>
          <t>Footed / cross-cast</t>
        </is>
      </c>
      <c r="C44" s="30" t="n"/>
      <c r="D44" s="31" t="n"/>
    </row>
    <row r="45">
      <c r="A45" s="12" t="inlineStr">
        <is>
          <t>T</t>
        </is>
      </c>
      <c r="B45" s="11" t="inlineStr">
        <is>
          <t>Traced to downstream record</t>
        </is>
      </c>
      <c r="C45" s="30" t="n"/>
      <c r="D45" s="31" t="n"/>
    </row>
    <row r="46">
      <c r="A46" s="12" t="inlineStr">
        <is>
          <t>PBC</t>
        </is>
      </c>
      <c r="B46" s="11" t="inlineStr">
        <is>
          <t>Prepared by client</t>
        </is>
      </c>
      <c r="C46" s="30" t="n"/>
      <c r="D46" s="31" t="n"/>
    </row>
    <row r="47"/>
    <row r="48" ht="25.5" customHeight="1">
      <c r="A48" s="3" t="inlineStr">
        <is>
          <t>Before sign-off complete Library Procedures 9-12 (roll-forward, specific reserves, write-off log, reasonableness).</t>
        </is>
      </c>
    </row>
  </sheetData>
  <mergeCells count="13">
    <mergeCell ref="B42:D42"/>
    <mergeCell ref="B45:D45"/>
    <mergeCell ref="B5:G5"/>
    <mergeCell ref="B41:D41"/>
    <mergeCell ref="B46:D46"/>
    <mergeCell ref="A48:G48"/>
    <mergeCell ref="B40:D40"/>
    <mergeCell ref="B4:G4"/>
    <mergeCell ref="B44:D44"/>
    <mergeCell ref="B43:D43"/>
    <mergeCell ref="B39:D39"/>
    <mergeCell ref="B38:D38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zoomScale="85" zoomScaleNormal="100" workbookViewId="0">
      <selection activeCell="A1" sqref="A1"/>
    </sheetView>
  </sheetViews>
  <sheetFormatPr baseColWidth="8" defaultColWidth="8.6328125" defaultRowHeight="14.5"/>
  <cols>
    <col width="22" customWidth="1" min="1" max="1"/>
    <col width="16" customWidth="1" min="2" max="2"/>
    <col width="15" customWidth="1" min="3" max="3"/>
    <col width="16" customWidth="1" min="4" max="4"/>
    <col width="15" customWidth="1" min="5" max="5"/>
    <col width="16" customWidth="1" min="6" max="6"/>
    <col width="18" customWidth="1" min="7" max="7"/>
    <col width="16" customWidth="1" min="8" max="9"/>
    <col width="14" customWidth="1" min="10" max="10"/>
  </cols>
  <sheetData>
    <row r="1" ht="17.5" customHeight="1">
      <c r="A1" s="6" t="inlineStr">
        <is>
          <t>CECL — Expected Credit Loss (ASC 326)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27.75" customHeight="1">
      <c r="A4" s="9" t="inlineStr">
        <is>
          <t>Purpose:</t>
        </is>
      </c>
      <c r="B4" s="5" t="inlineStr">
        <is>
          <t>Recompute expected credit losses using pooled aging x historical loss rates, layer in forward-looking adjustments, and compare to the recorded allowance.</t>
        </is>
      </c>
    </row>
    <row r="5" ht="27.75" customHeight="1">
      <c r="A5" s="9" t="inlineStr">
        <is>
          <t>Scope:</t>
        </is>
      </c>
      <c r="B5" s="5" t="inlineStr">
        <is>
          <t>AR aging pools, management's loss-rate / CECL methodology, historical write-off lookback, and qualitative factors.</t>
        </is>
      </c>
    </row>
    <row r="6" ht="15" customHeight="1">
      <c r="A6" s="9" t="inlineStr">
        <is>
          <t>Assertions:</t>
        </is>
      </c>
      <c r="B6" s="5" t="inlineStr">
        <is>
          <t>Valuation &amp; Allocation</t>
        </is>
      </c>
    </row>
    <row r="7">
      <c r="A7" s="18" t="inlineStr">
        <is>
          <t>A. Pooled loss-rate recalculation</t>
        </is>
      </c>
    </row>
    <row r="8" ht="30" customHeight="1">
      <c r="A8" s="10" t="inlineStr">
        <is>
          <t>Aging pool</t>
        </is>
      </c>
      <c r="B8" s="10" t="inlineStr">
        <is>
          <t>AR balance (A)</t>
        </is>
      </c>
      <c r="C8" s="10" t="inlineStr">
        <is>
          <t>Credits / adj (B)</t>
        </is>
      </c>
      <c r="D8" s="10" t="inlineStr">
        <is>
          <t>Adjusted AR</t>
        </is>
      </c>
      <c r="E8" s="10" t="inlineStr">
        <is>
          <t>Hist. loss rate %</t>
        </is>
      </c>
      <c r="F8" s="10" t="inlineStr">
        <is>
          <t>Computed ECL</t>
        </is>
      </c>
      <c r="G8" s="10" t="inlineStr">
        <is>
          <t>Forward-looking adj</t>
        </is>
      </c>
      <c r="H8" s="10" t="inlineStr">
        <is>
          <t>Expected reserve</t>
        </is>
      </c>
      <c r="I8" s="10" t="inlineStr">
        <is>
          <t>Reserve per mgmt (TB)</t>
        </is>
      </c>
      <c r="J8" s="10" t="inlineStr">
        <is>
          <t>Difference</t>
        </is>
      </c>
    </row>
    <row r="9">
      <c r="B9" s="13" t="inlineStr">
        <is>
          <t>TB</t>
        </is>
      </c>
      <c r="F9" s="13" t="inlineStr">
        <is>
          <t>R</t>
        </is>
      </c>
      <c r="H9" s="13" t="inlineStr">
        <is>
          <t>R</t>
        </is>
      </c>
    </row>
    <row r="10">
      <c r="A10" s="11" t="inlineStr">
        <is>
          <t>Current</t>
        </is>
      </c>
      <c r="B10" s="14" t="n"/>
      <c r="C10" s="14" t="n"/>
      <c r="D10" s="14">
        <f>B10-C10</f>
        <v/>
      </c>
      <c r="E10" s="15" t="n"/>
      <c r="F10" s="14">
        <f>IF(D10="","",D10*E10)</f>
        <v/>
      </c>
      <c r="G10" s="14" t="n"/>
      <c r="H10" s="14">
        <f>F10+G10</f>
        <v/>
      </c>
      <c r="I10" s="14" t="n"/>
      <c r="J10" s="14">
        <f>H10-I10</f>
        <v/>
      </c>
    </row>
    <row r="11">
      <c r="A11" s="11" t="inlineStr">
        <is>
          <t>1-30</t>
        </is>
      </c>
      <c r="B11" s="14" t="n"/>
      <c r="C11" s="14" t="n"/>
      <c r="D11" s="14">
        <f>B11-C11</f>
        <v/>
      </c>
      <c r="E11" s="15" t="n"/>
      <c r="F11" s="14">
        <f>IF(D11="","",D11*E11)</f>
        <v/>
      </c>
      <c r="G11" s="14" t="n"/>
      <c r="H11" s="14">
        <f>F11+G11</f>
        <v/>
      </c>
      <c r="I11" s="14" t="n"/>
      <c r="J11" s="14">
        <f>H11-I11</f>
        <v/>
      </c>
    </row>
    <row r="12">
      <c r="A12" s="11" t="inlineStr">
        <is>
          <t>31-60</t>
        </is>
      </c>
      <c r="B12" s="14" t="n"/>
      <c r="C12" s="14" t="n"/>
      <c r="D12" s="14">
        <f>B12-C12</f>
        <v/>
      </c>
      <c r="E12" s="15" t="n"/>
      <c r="F12" s="14">
        <f>IF(D12="","",D12*E12)</f>
        <v/>
      </c>
      <c r="G12" s="14" t="n"/>
      <c r="H12" s="14">
        <f>F12+G12</f>
        <v/>
      </c>
      <c r="I12" s="14" t="n"/>
      <c r="J12" s="14">
        <f>H12-I12</f>
        <v/>
      </c>
    </row>
    <row r="13">
      <c r="A13" s="11" t="inlineStr">
        <is>
          <t>61-90</t>
        </is>
      </c>
      <c r="B13" s="14" t="n"/>
      <c r="C13" s="14" t="n"/>
      <c r="D13" s="14">
        <f>B13-C13</f>
        <v/>
      </c>
      <c r="E13" s="15" t="n"/>
      <c r="F13" s="14">
        <f>IF(D13="","",D13*E13)</f>
        <v/>
      </c>
      <c r="G13" s="14" t="n"/>
      <c r="H13" s="14">
        <f>F13+G13</f>
        <v/>
      </c>
      <c r="I13" s="14" t="n"/>
      <c r="J13" s="14">
        <f>H13-I13</f>
        <v/>
      </c>
    </row>
    <row r="14">
      <c r="A14" s="11" t="inlineStr">
        <is>
          <t>91-120</t>
        </is>
      </c>
      <c r="B14" s="14" t="n"/>
      <c r="C14" s="14" t="n"/>
      <c r="D14" s="14">
        <f>B14-C14</f>
        <v/>
      </c>
      <c r="E14" s="15" t="n"/>
      <c r="F14" s="14">
        <f>IF(D14="","",D14*E14)</f>
        <v/>
      </c>
      <c r="G14" s="14" t="n"/>
      <c r="H14" s="14">
        <f>F14+G14</f>
        <v/>
      </c>
      <c r="I14" s="14" t="n"/>
      <c r="J14" s="14">
        <f>H14-I14</f>
        <v/>
      </c>
    </row>
    <row r="15">
      <c r="A15" s="11" t="inlineStr">
        <is>
          <t>Over 120</t>
        </is>
      </c>
      <c r="B15" s="14" t="n"/>
      <c r="C15" s="14" t="n"/>
      <c r="D15" s="14">
        <f>B15-C15</f>
        <v/>
      </c>
      <c r="E15" s="15" t="n"/>
      <c r="F15" s="14">
        <f>IF(D15="","",D15*E15)</f>
        <v/>
      </c>
      <c r="G15" s="14" t="n"/>
      <c r="H15" s="14">
        <f>F15+G15</f>
        <v/>
      </c>
      <c r="I15" s="14" t="n"/>
      <c r="J15" s="14">
        <f>H15-I15</f>
        <v/>
      </c>
    </row>
    <row r="16">
      <c r="A16" s="16" t="inlineStr">
        <is>
          <t>Total</t>
        </is>
      </c>
      <c r="B16" s="17">
        <f>SUM(B10:B15)</f>
        <v/>
      </c>
      <c r="C16" s="17">
        <f>SUM(C10:C15)</f>
        <v/>
      </c>
      <c r="D16" s="17">
        <f>SUM(D10:D15)</f>
        <v/>
      </c>
      <c r="E16" s="16" t="n"/>
      <c r="F16" s="17">
        <f>SUM(F10:F15)</f>
        <v/>
      </c>
      <c r="G16" s="16" t="n"/>
      <c r="H16" s="17">
        <f>SUM(H10:H15)</f>
        <v/>
      </c>
      <c r="I16" s="17">
        <f>SUM(I10:I15)</f>
        <v/>
      </c>
      <c r="J16" s="17">
        <f>SUM(J10:J15)</f>
        <v/>
      </c>
    </row>
    <row r="17"/>
    <row r="18">
      <c r="A18" s="18" t="inlineStr">
        <is>
          <t>B. Historical write-off / loss-rate lookback</t>
        </is>
      </c>
    </row>
    <row r="19" ht="25.5" customHeight="1">
      <c r="A19" s="10" t="inlineStr">
        <is>
          <t>Year</t>
        </is>
      </c>
      <c r="B19" s="10" t="inlineStr">
        <is>
          <t>Gross AR</t>
        </is>
      </c>
      <c r="C19" s="10" t="inlineStr">
        <is>
          <t>Write-offs</t>
        </is>
      </c>
      <c r="D19" s="10" t="inlineStr">
        <is>
          <t>Write-off rate %</t>
        </is>
      </c>
      <c r="E19" s="10" t="inlineStr">
        <is>
          <t>Reserve</t>
        </is>
      </c>
      <c r="F19" s="10" t="inlineStr">
        <is>
          <t>Reserve as % of AR</t>
        </is>
      </c>
    </row>
    <row r="20">
      <c r="A20" s="11" t="n"/>
      <c r="B20" s="14" t="n"/>
      <c r="C20" s="14" t="n"/>
      <c r="D20" s="15">
        <f>IF(OR(B20="",B20=0),"",C20/B20)</f>
        <v/>
      </c>
      <c r="E20" s="14" t="n"/>
      <c r="F20" s="15">
        <f>IF(OR(B20="",B20=0),"",E20/B20)</f>
        <v/>
      </c>
    </row>
    <row r="21">
      <c r="A21" s="11" t="n"/>
      <c r="B21" s="14" t="n"/>
      <c r="C21" s="14" t="n"/>
      <c r="D21" s="15">
        <f>IF(OR(B21="",B21=0),"",C21/B21)</f>
        <v/>
      </c>
      <c r="E21" s="14" t="n"/>
      <c r="F21" s="15">
        <f>IF(OR(B21="",B21=0),"",E21/B21)</f>
        <v/>
      </c>
    </row>
    <row r="22">
      <c r="A22" s="11" t="n"/>
      <c r="B22" s="14" t="n"/>
      <c r="C22" s="14" t="n"/>
      <c r="D22" s="15">
        <f>IF(OR(B22="",B22=0),"",C22/B22)</f>
        <v/>
      </c>
      <c r="E22" s="14" t="n"/>
      <c r="F22" s="15">
        <f>IF(OR(B22="",B22=0),"",E22/B22)</f>
        <v/>
      </c>
    </row>
    <row r="23">
      <c r="A23" s="11" t="n"/>
      <c r="B23" s="14" t="n"/>
      <c r="C23" s="14" t="n"/>
      <c r="D23" s="15">
        <f>IF(OR(B23="",B23=0),"",C23/B23)</f>
        <v/>
      </c>
      <c r="E23" s="14" t="n"/>
      <c r="F23" s="15">
        <f>IF(OR(B23="",B23=0),"",E23/B23)</f>
        <v/>
      </c>
    </row>
    <row r="24">
      <c r="A24" s="11" t="n"/>
      <c r="B24" s="14" t="n"/>
      <c r="C24" s="14" t="n"/>
      <c r="D24" s="15">
        <f>IF(OR(B24="",B24=0),"",C24/B24)</f>
        <v/>
      </c>
      <c r="E24" s="14" t="n"/>
      <c r="F24" s="15">
        <f>IF(OR(B24="",B24=0),"",E24/B24)</f>
        <v/>
      </c>
    </row>
    <row r="25">
      <c r="A25" s="11" t="n"/>
      <c r="B25" s="14" t="n"/>
      <c r="C25" s="14" t="n"/>
      <c r="D25" s="15">
        <f>IF(OR(B25="",B25=0),"",C25/B25)</f>
        <v/>
      </c>
      <c r="E25" s="14" t="n"/>
      <c r="F25" s="15">
        <f>IF(OR(B25="",B25=0),"",E25/B25)</f>
        <v/>
      </c>
    </row>
    <row r="26"/>
    <row r="27">
      <c r="A27" s="18" t="inlineStr">
        <is>
          <t>C. Forward-looking / qualitative factors</t>
        </is>
      </c>
    </row>
    <row r="28" ht="19.5" customHeight="1">
      <c r="A28" s="10" t="inlineStr">
        <is>
          <t>Factor</t>
        </is>
      </c>
      <c r="B28" s="10" t="inlineStr">
        <is>
          <t>Direction (incr/decr)</t>
        </is>
      </c>
      <c r="C28" s="10" t="inlineStr">
        <is>
          <t>Basis / evidence</t>
        </is>
      </c>
      <c r="D28" s="10" t="inlineStr">
        <is>
          <t>Adjustment</t>
        </is>
      </c>
    </row>
    <row r="29">
      <c r="A29" s="11" t="n"/>
      <c r="B29" s="11" t="n"/>
      <c r="C29" s="11" t="n"/>
      <c r="D29" s="14" t="n"/>
    </row>
    <row r="30">
      <c r="A30" s="11" t="n"/>
      <c r="B30" s="11" t="n"/>
      <c r="C30" s="11" t="n"/>
      <c r="D30" s="14" t="n"/>
    </row>
    <row r="31">
      <c r="A31" s="11" t="n"/>
      <c r="B31" s="11" t="n"/>
      <c r="C31" s="11" t="n"/>
      <c r="D31" s="14" t="n"/>
    </row>
    <row r="32">
      <c r="A32" s="11" t="n"/>
      <c r="B32" s="11" t="n"/>
      <c r="C32" s="11" t="n"/>
      <c r="D32" s="14" t="n"/>
    </row>
    <row r="33">
      <c r="A33" s="11" t="n"/>
      <c r="B33" s="11" t="n"/>
      <c r="C33" s="11" t="n"/>
      <c r="D33" s="14" t="n"/>
    </row>
    <row r="34"/>
    <row r="35">
      <c r="A35" s="9" t="inlineStr">
        <is>
          <t>TM Legends</t>
        </is>
      </c>
    </row>
    <row r="36">
      <c r="A36" s="12" t="inlineStr">
        <is>
          <t>TB</t>
        </is>
      </c>
      <c r="B36" s="11" t="inlineStr">
        <is>
          <t>Agreed to trial balance</t>
        </is>
      </c>
      <c r="C36" s="30" t="n"/>
      <c r="D36" s="31" t="n"/>
    </row>
    <row r="37">
      <c r="A37" s="12" t="inlineStr">
        <is>
          <t>GL</t>
        </is>
      </c>
      <c r="B37" s="11" t="inlineStr">
        <is>
          <t>Agreed to general ledger</t>
        </is>
      </c>
      <c r="C37" s="30" t="n"/>
      <c r="D37" s="31" t="n"/>
    </row>
    <row r="38">
      <c r="A38" s="12" t="inlineStr">
        <is>
          <t>CF</t>
        </is>
      </c>
      <c r="B38" s="11" t="inlineStr">
        <is>
          <t>Confirmed with third party</t>
        </is>
      </c>
      <c r="C38" s="30" t="n"/>
      <c r="D38" s="31" t="n"/>
    </row>
    <row r="39">
      <c r="A39" s="12" t="inlineStr">
        <is>
          <t>V</t>
        </is>
      </c>
      <c r="B39" s="11" t="inlineStr">
        <is>
          <t>Vouched to source document</t>
        </is>
      </c>
      <c r="C39" s="30" t="n"/>
      <c r="D39" s="31" t="n"/>
    </row>
    <row r="40">
      <c r="A40" s="12" t="inlineStr">
        <is>
          <t>SR</t>
        </is>
      </c>
      <c r="B40" s="11" t="inlineStr">
        <is>
          <t>Agreed to subsequent bank-cleared receipt</t>
        </is>
      </c>
      <c r="C40" s="30" t="n"/>
      <c r="D40" s="31" t="n"/>
    </row>
    <row r="41">
      <c r="A41" s="12" t="inlineStr">
        <is>
          <t>R</t>
        </is>
      </c>
      <c r="B41" s="11" t="inlineStr">
        <is>
          <t>Recalculated independently</t>
        </is>
      </c>
      <c r="C41" s="30" t="n"/>
      <c r="D41" s="31" t="n"/>
    </row>
    <row r="42">
      <c r="A42" s="12" t="inlineStr">
        <is>
          <t>F</t>
        </is>
      </c>
      <c r="B42" s="11" t="inlineStr">
        <is>
          <t>Footed / cross-cast</t>
        </is>
      </c>
      <c r="C42" s="30" t="n"/>
      <c r="D42" s="31" t="n"/>
    </row>
    <row r="43">
      <c r="A43" s="12" t="inlineStr">
        <is>
          <t>T</t>
        </is>
      </c>
      <c r="B43" s="11" t="inlineStr">
        <is>
          <t>Traced to downstream record</t>
        </is>
      </c>
      <c r="C43" s="30" t="n"/>
      <c r="D43" s="31" t="n"/>
    </row>
    <row r="44">
      <c r="A44" s="12" t="inlineStr">
        <is>
          <t>PBC</t>
        </is>
      </c>
      <c r="B44" s="11" t="inlineStr">
        <is>
          <t>Prepared by client</t>
        </is>
      </c>
      <c r="C44" s="30" t="n"/>
      <c r="D44" s="31" t="n"/>
    </row>
    <row r="45"/>
    <row r="46" ht="25.5" customHeight="1">
      <c r="A46" s="3" t="inlineStr">
        <is>
          <t>Before sign-off complete Library Procedures 13-16 (methodology memo, ECL recompute, loss-rate lookback, forward-looking factors). The general reserve total flows to &lt;.4&gt; Required vs recorded.</t>
        </is>
      </c>
    </row>
  </sheetData>
  <mergeCells count="13">
    <mergeCell ref="B42:D42"/>
    <mergeCell ref="A46:J46"/>
    <mergeCell ref="B36:D36"/>
    <mergeCell ref="B37:D37"/>
    <mergeCell ref="B5:J5"/>
    <mergeCell ref="B41:D41"/>
    <mergeCell ref="B40:D40"/>
    <mergeCell ref="B38:D38"/>
    <mergeCell ref="B44:D44"/>
    <mergeCell ref="B4:J4"/>
    <mergeCell ref="B43:D43"/>
    <mergeCell ref="B39:D39"/>
    <mergeCell ref="B6:J6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G39"/>
  <sheetViews>
    <sheetView showGridLines="0" zoomScale="85" zoomScaleNormal="100" workbookViewId="0">
      <pane xSplit="2" ySplit="9" topLeftCell="C10" activePane="bottomRight" state="frozen"/>
      <selection pane="topRight" activeCell="D1" sqref="D1"/>
      <selection pane="bottomLeft" activeCell="A10" sqref="A10"/>
      <selection pane="bottomRight" activeCell="A1" sqref="A1"/>
    </sheetView>
  </sheetViews>
  <sheetFormatPr baseColWidth="8" defaultColWidth="8.6328125" defaultRowHeight="14.5"/>
  <cols>
    <col width="13" customWidth="1" min="1" max="1"/>
    <col width="22" customWidth="1" min="2" max="2"/>
    <col width="16" customWidth="1" min="3" max="3"/>
    <col width="18" customWidth="1" min="4" max="4"/>
    <col width="14" customWidth="1" min="5" max="5"/>
    <col width="12" customWidth="1" min="6" max="8"/>
    <col width="15" customWidth="1" min="9" max="9"/>
    <col width="13" customWidth="1" min="10" max="10"/>
    <col width="20" customWidth="1" min="11" max="11"/>
    <col width="14" customWidth="1" min="12" max="12"/>
    <col width="13" customWidth="1" min="13" max="15"/>
    <col width="15" customWidth="1" min="16" max="16"/>
    <col width="16" customWidth="1" min="17" max="17"/>
    <col width="14" customWidth="1" min="18" max="18"/>
    <col width="22" customWidth="1" min="19" max="19"/>
    <col width="18" customWidth="1" min="20" max="20"/>
    <col width="16" customWidth="1" min="21" max="25"/>
    <col width="14" customWidth="1" min="26" max="26"/>
    <col width="16" customWidth="1" min="27" max="28"/>
    <col width="12" customWidth="1" min="29" max="29"/>
    <col width="20" customWidth="1" min="30" max="30"/>
    <col width="14" customWidth="1" min="31" max="32"/>
    <col width="26" customWidth="1" min="33" max="33"/>
  </cols>
  <sheetData>
    <row r="1" ht="17.5" customHeight="1">
      <c r="A1" s="6" t="inlineStr">
        <is>
          <t>Confirmation &amp; Subsequent Clearance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42" customHeight="1">
      <c r="A4" s="9" t="inlineStr">
        <is>
          <t>Purpose:</t>
        </is>
      </c>
      <c r="B4" s="5" t="inlineStr">
        <is>
          <t>Confirm AR directly with significant customers (with a control log and reliability testing); for non-replies, perform alternative procedures — subsequent bank-cleared receipt plus invoice, purchase order and bill of lading support.</t>
        </is>
      </c>
    </row>
    <row r="5" ht="27.75" customHeight="1">
      <c r="A5" s="9" t="inlineStr">
        <is>
          <t>Scope:</t>
        </is>
      </c>
      <c r="B5" s="5" t="inlineStr">
        <is>
          <t>Significant customer balances selected for positive confirmation; alternative procedures for non-replies/exceptions.</t>
        </is>
      </c>
    </row>
    <row r="6" ht="15" customHeight="1">
      <c r="A6" s="9" t="inlineStr">
        <is>
          <t>Assertions:</t>
        </is>
      </c>
      <c r="B6" s="5" t="inlineStr">
        <is>
          <t>Existence; Rights &amp; Obligations; Accuracy; Valuation &amp; Allocation</t>
        </is>
      </c>
    </row>
    <row r="7">
      <c r="A7" s="22" t="inlineStr">
        <is>
          <t>CONFIRMATION REQUEST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1" t="n"/>
      <c r="L7" s="22" t="inlineStr">
        <is>
          <t>CONFIRMATION RESPONSE</t>
        </is>
      </c>
      <c r="M7" s="30" t="n"/>
      <c r="N7" s="30" t="n"/>
      <c r="O7" s="30" t="n"/>
      <c r="P7" s="30" t="n"/>
      <c r="Q7" s="30" t="n"/>
      <c r="R7" s="31" t="n"/>
      <c r="S7" s="22" t="inlineStr">
        <is>
          <t>ALT. PROCEDURE — SUBSEQUENT RECEIPT</t>
        </is>
      </c>
      <c r="T7" s="30" t="n"/>
      <c r="U7" s="30" t="n"/>
      <c r="V7" s="30" t="n"/>
      <c r="W7" s="30" t="n"/>
      <c r="X7" s="30" t="n"/>
      <c r="Y7" s="31" t="n"/>
      <c r="Z7" s="28" t="inlineStr">
        <is>
          <t>ALT. PROCEDURE — SUPPORTING DOCS</t>
        </is>
      </c>
      <c r="AA7" s="32" t="n"/>
      <c r="AB7" s="32" t="n"/>
      <c r="AC7" s="32" t="n"/>
      <c r="AD7" s="32" t="n"/>
      <c r="AE7" s="32" t="n"/>
      <c r="AF7" s="32" t="n"/>
      <c r="AG7" s="22" t="inlineStr">
        <is>
          <t>CONCLUSION</t>
        </is>
      </c>
    </row>
    <row r="8" ht="45.75" customHeight="1">
      <c r="A8" s="10" t="inlineStr">
        <is>
          <t>Conf. Control #</t>
        </is>
      </c>
      <c r="B8" s="10" t="inlineStr">
        <is>
          <t>Customer (name)</t>
        </is>
      </c>
      <c r="C8" s="10" t="inlineStr">
        <is>
          <t>Contact name</t>
        </is>
      </c>
      <c r="D8" s="10" t="inlineStr">
        <is>
          <t>Email (if any)</t>
        </is>
      </c>
      <c r="E8" s="10" t="inlineStr">
        <is>
          <t>Addr. validation tested (Y/N)</t>
        </is>
      </c>
      <c r="F8" s="10" t="inlineStr">
        <is>
          <t>AVT result</t>
        </is>
      </c>
      <c r="G8" s="10" t="inlineStr">
        <is>
          <t>Invoice #</t>
        </is>
      </c>
      <c r="H8" s="10" t="inlineStr">
        <is>
          <t>Invoice date</t>
        </is>
      </c>
      <c r="I8" s="10" t="inlineStr">
        <is>
          <t>Amount to confirm</t>
        </is>
      </c>
      <c r="J8" s="10" t="inlineStr">
        <is>
          <t>Date request sent</t>
        </is>
      </c>
      <c r="K8" s="10" t="inlineStr">
        <is>
          <t>Method sent (email/physical/Confirmation.com)</t>
        </is>
      </c>
      <c r="L8" s="10" t="inlineStr">
        <is>
          <t>Follow-up date(s)</t>
        </is>
      </c>
      <c r="M8" s="10" t="inlineStr">
        <is>
          <t>Response received (Y/N)</t>
        </is>
      </c>
      <c r="N8" s="10" t="inlineStr">
        <is>
          <t>Hard-copy ref</t>
        </is>
      </c>
      <c r="O8" s="10" t="inlineStr">
        <is>
          <t>Electronic ref</t>
        </is>
      </c>
      <c r="P8" s="10" t="inlineStr">
        <is>
          <t>Reliability/authenticity tested (Y/N)</t>
        </is>
      </c>
      <c r="Q8" s="10" t="inlineStr">
        <is>
          <t>Amount per confirmation</t>
        </is>
      </c>
      <c r="R8" s="10" t="inlineStr">
        <is>
          <t>Exception (diff)</t>
        </is>
      </c>
      <c r="S8" s="10" t="inlineStr">
        <is>
          <t>Resolution of exception</t>
        </is>
      </c>
      <c r="T8" s="10" t="inlineStr">
        <is>
          <t>Amount per subsequent receipt</t>
        </is>
      </c>
      <c r="U8" s="10" t="inlineStr">
        <is>
          <t>Applied to this invoice</t>
        </is>
      </c>
      <c r="V8" s="10" t="inlineStr">
        <is>
          <t>Credit memos / discounts</t>
        </is>
      </c>
      <c r="W8" s="10" t="inlineStr">
        <is>
          <t>Date of subsequent receipt</t>
        </is>
      </c>
      <c r="X8" s="10" t="inlineStr">
        <is>
          <t>Receipt reference #</t>
        </is>
      </c>
      <c r="Y8" s="10" t="inlineStr">
        <is>
          <t>Date of deposit into bank</t>
        </is>
      </c>
      <c r="Z8" s="10" t="inlineStr">
        <is>
          <t>Agreed to bank (Y/N)</t>
        </is>
      </c>
      <c r="AA8" s="10" t="inlineStr">
        <is>
          <t>Amount per support (invoice)</t>
        </is>
      </c>
      <c r="AB8" s="10" t="inlineStr">
        <is>
          <t>PO reference</t>
        </is>
      </c>
      <c r="AC8" s="10" t="inlineStr">
        <is>
          <t>PO date</t>
        </is>
      </c>
      <c r="AD8" s="10" t="inlineStr">
        <is>
          <t>BOL / Sea Waybill reference</t>
        </is>
      </c>
      <c r="AE8" s="10" t="inlineStr">
        <is>
          <t>BOL / Waybill date</t>
        </is>
      </c>
      <c r="AF8" s="10" t="inlineStr">
        <is>
          <t>Quantity agreed (Y/N)</t>
        </is>
      </c>
      <c r="AG8" s="10" t="inlineStr">
        <is>
          <t>Conclusion / ET notes</t>
        </is>
      </c>
    </row>
    <row r="9">
      <c r="I9" s="13" t="inlineStr">
        <is>
          <t>TB</t>
        </is>
      </c>
      <c r="Q9" s="13" t="inlineStr">
        <is>
          <t>CF</t>
        </is>
      </c>
      <c r="T9" s="13" t="inlineStr">
        <is>
          <t>SR</t>
        </is>
      </c>
      <c r="Y9" s="13" t="inlineStr">
        <is>
          <t>V</t>
        </is>
      </c>
      <c r="Z9" s="13" t="inlineStr">
        <is>
          <t>SR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4" t="n"/>
      <c r="J10" s="11" t="n"/>
      <c r="K10" s="11" t="n"/>
      <c r="L10" s="11" t="n"/>
      <c r="M10" s="11" t="n"/>
      <c r="N10" s="11" t="n"/>
      <c r="O10" s="11" t="n"/>
      <c r="P10" s="11" t="n"/>
      <c r="Q10" s="14" t="n"/>
      <c r="R10" s="14">
        <f>IF(OR(I10="",Q10=""),"",I10-Q10)</f>
        <v/>
      </c>
      <c r="S10" s="11" t="n"/>
      <c r="T10" s="14" t="n"/>
      <c r="U10" s="14" t="n"/>
      <c r="V10" s="14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4" t="n"/>
      <c r="J11" s="11" t="n"/>
      <c r="K11" s="11" t="n"/>
      <c r="L11" s="11" t="n"/>
      <c r="M11" s="11" t="n"/>
      <c r="N11" s="11" t="n"/>
      <c r="O11" s="11" t="n"/>
      <c r="P11" s="11" t="n"/>
      <c r="Q11" s="14" t="n"/>
      <c r="R11" s="14">
        <f>IF(OR(I11="",Q11=""),"",I11-Q11)</f>
        <v/>
      </c>
      <c r="S11" s="11" t="n"/>
      <c r="T11" s="14" t="n"/>
      <c r="U11" s="14" t="n"/>
      <c r="V11" s="14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4" t="n"/>
      <c r="J12" s="11" t="n"/>
      <c r="K12" s="11" t="n"/>
      <c r="L12" s="11" t="n"/>
      <c r="M12" s="11" t="n"/>
      <c r="N12" s="11" t="n"/>
      <c r="O12" s="11" t="n"/>
      <c r="P12" s="11" t="n"/>
      <c r="Q12" s="14" t="n"/>
      <c r="R12" s="14">
        <f>IF(OR(I12="",Q12=""),"",I12-Q12)</f>
        <v/>
      </c>
      <c r="S12" s="11" t="n"/>
      <c r="T12" s="14" t="n"/>
      <c r="U12" s="14" t="n"/>
      <c r="V12" s="14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4" t="n"/>
      <c r="J13" s="11" t="n"/>
      <c r="K13" s="11" t="n"/>
      <c r="L13" s="11" t="n"/>
      <c r="M13" s="11" t="n"/>
      <c r="N13" s="11" t="n"/>
      <c r="O13" s="11" t="n"/>
      <c r="P13" s="11" t="n"/>
      <c r="Q13" s="14" t="n"/>
      <c r="R13" s="14">
        <f>IF(OR(I13="",Q13=""),"",I13-Q13)</f>
        <v/>
      </c>
      <c r="S13" s="11" t="n"/>
      <c r="T13" s="14" t="n"/>
      <c r="U13" s="14" t="n"/>
      <c r="V13" s="14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4" t="n"/>
      <c r="J14" s="11" t="n"/>
      <c r="K14" s="11" t="n"/>
      <c r="L14" s="11" t="n"/>
      <c r="M14" s="11" t="n"/>
      <c r="N14" s="11" t="n"/>
      <c r="O14" s="11" t="n"/>
      <c r="P14" s="11" t="n"/>
      <c r="Q14" s="14" t="n"/>
      <c r="R14" s="14">
        <f>IF(OR(I14="",Q14=""),"",I14-Q14)</f>
        <v/>
      </c>
      <c r="S14" s="11" t="n"/>
      <c r="T14" s="14" t="n"/>
      <c r="U14" s="14" t="n"/>
      <c r="V14" s="14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4" t="n"/>
      <c r="J15" s="11" t="n"/>
      <c r="K15" s="11" t="n"/>
      <c r="L15" s="11" t="n"/>
      <c r="M15" s="11" t="n"/>
      <c r="N15" s="11" t="n"/>
      <c r="O15" s="11" t="n"/>
      <c r="P15" s="11" t="n"/>
      <c r="Q15" s="14" t="n"/>
      <c r="R15" s="14">
        <f>IF(OR(I15="",Q15=""),"",I15-Q15)</f>
        <v/>
      </c>
      <c r="S15" s="11" t="n"/>
      <c r="T15" s="14" t="n"/>
      <c r="U15" s="14" t="n"/>
      <c r="V15" s="14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4" t="n"/>
      <c r="J16" s="11" t="n"/>
      <c r="K16" s="11" t="n"/>
      <c r="L16" s="11" t="n"/>
      <c r="M16" s="11" t="n"/>
      <c r="N16" s="11" t="n"/>
      <c r="O16" s="11" t="n"/>
      <c r="P16" s="11" t="n"/>
      <c r="Q16" s="14" t="n"/>
      <c r="R16" s="14">
        <f>IF(OR(I16="",Q16=""),"",I16-Q16)</f>
        <v/>
      </c>
      <c r="S16" s="11" t="n"/>
      <c r="T16" s="14" t="n"/>
      <c r="U16" s="14" t="n"/>
      <c r="V16" s="14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4" t="n"/>
      <c r="J17" s="11" t="n"/>
      <c r="K17" s="11" t="n"/>
      <c r="L17" s="11" t="n"/>
      <c r="M17" s="11" t="n"/>
      <c r="N17" s="11" t="n"/>
      <c r="O17" s="11" t="n"/>
      <c r="P17" s="11" t="n"/>
      <c r="Q17" s="14" t="n"/>
      <c r="R17" s="14">
        <f>IF(OR(I17="",Q17=""),"",I17-Q17)</f>
        <v/>
      </c>
      <c r="S17" s="11" t="n"/>
      <c r="T17" s="14" t="n"/>
      <c r="U17" s="14" t="n"/>
      <c r="V17" s="14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4" t="n"/>
      <c r="J18" s="11" t="n"/>
      <c r="K18" s="11" t="n"/>
      <c r="L18" s="11" t="n"/>
      <c r="M18" s="11" t="n"/>
      <c r="N18" s="11" t="n"/>
      <c r="O18" s="11" t="n"/>
      <c r="P18" s="11" t="n"/>
      <c r="Q18" s="14" t="n"/>
      <c r="R18" s="14">
        <f>IF(OR(I18="",Q18=""),"",I18-Q18)</f>
        <v/>
      </c>
      <c r="S18" s="11" t="n"/>
      <c r="T18" s="14" t="n"/>
      <c r="U18" s="14" t="n"/>
      <c r="V18" s="14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4" t="n"/>
      <c r="J19" s="11" t="n"/>
      <c r="K19" s="11" t="n"/>
      <c r="L19" s="11" t="n"/>
      <c r="M19" s="11" t="n"/>
      <c r="N19" s="11" t="n"/>
      <c r="O19" s="11" t="n"/>
      <c r="P19" s="11" t="n"/>
      <c r="Q19" s="14" t="n"/>
      <c r="R19" s="14">
        <f>IF(OR(I19="",Q19=""),"",I19-Q19)</f>
        <v/>
      </c>
      <c r="S19" s="11" t="n"/>
      <c r="T19" s="14" t="n"/>
      <c r="U19" s="14" t="n"/>
      <c r="V19" s="14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4" t="n"/>
      <c r="J20" s="11" t="n"/>
      <c r="K20" s="11" t="n"/>
      <c r="L20" s="11" t="n"/>
      <c r="M20" s="11" t="n"/>
      <c r="N20" s="11" t="n"/>
      <c r="O20" s="11" t="n"/>
      <c r="P20" s="11" t="n"/>
      <c r="Q20" s="14" t="n"/>
      <c r="R20" s="14">
        <f>IF(OR(I20="",Q20=""),"",I20-Q20)</f>
        <v/>
      </c>
      <c r="S20" s="11" t="n"/>
      <c r="T20" s="14" t="n"/>
      <c r="U20" s="14" t="n"/>
      <c r="V20" s="14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4" t="n"/>
      <c r="J21" s="11" t="n"/>
      <c r="K21" s="11" t="n"/>
      <c r="L21" s="11" t="n"/>
      <c r="M21" s="11" t="n"/>
      <c r="N21" s="11" t="n"/>
      <c r="O21" s="11" t="n"/>
      <c r="P21" s="11" t="n"/>
      <c r="Q21" s="14" t="n"/>
      <c r="R21" s="14">
        <f>IF(OR(I21="",Q21=""),"",I21-Q21)</f>
        <v/>
      </c>
      <c r="S21" s="11" t="n"/>
      <c r="T21" s="14" t="n"/>
      <c r="U21" s="14" t="n"/>
      <c r="V21" s="14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4" t="n"/>
      <c r="J22" s="11" t="n"/>
      <c r="K22" s="11" t="n"/>
      <c r="L22" s="11" t="n"/>
      <c r="M22" s="11" t="n"/>
      <c r="N22" s="11" t="n"/>
      <c r="O22" s="11" t="n"/>
      <c r="P22" s="11" t="n"/>
      <c r="Q22" s="14" t="n"/>
      <c r="R22" s="14">
        <f>IF(OR(I22="",Q22=""),"",I22-Q22)</f>
        <v/>
      </c>
      <c r="S22" s="11" t="n"/>
      <c r="T22" s="14" t="n"/>
      <c r="U22" s="14" t="n"/>
      <c r="V22" s="14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4" t="n"/>
      <c r="J23" s="11" t="n"/>
      <c r="K23" s="11" t="n"/>
      <c r="L23" s="11" t="n"/>
      <c r="M23" s="11" t="n"/>
      <c r="N23" s="11" t="n"/>
      <c r="O23" s="11" t="n"/>
      <c r="P23" s="11" t="n"/>
      <c r="Q23" s="14" t="n"/>
      <c r="R23" s="14">
        <f>IF(OR(I23="",Q23=""),"",I23-Q23)</f>
        <v/>
      </c>
      <c r="S23" s="11" t="n"/>
      <c r="T23" s="14" t="n"/>
      <c r="U23" s="14" t="n"/>
      <c r="V23" s="14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>
      <c r="A24" s="16" t="inlineStr">
        <is>
          <t>Totals / response rate</t>
        </is>
      </c>
      <c r="B24" s="16" t="n"/>
      <c r="C24" s="16" t="n"/>
      <c r="D24" s="16" t="n"/>
      <c r="E24" s="16" t="n"/>
      <c r="F24" s="16" t="n"/>
      <c r="G24" s="16" t="n"/>
      <c r="H24" s="16" t="n"/>
      <c r="I24" s="17">
        <f>SUM(I10:I23)</f>
        <v/>
      </c>
      <c r="J24" s="16" t="n"/>
      <c r="K24" s="16" t="n"/>
      <c r="L24" s="16" t="n"/>
      <c r="M24" s="16" t="n"/>
      <c r="N24" s="16" t="n"/>
      <c r="O24" s="16" t="n"/>
      <c r="P24" s="16" t="n"/>
      <c r="Q24" s="17">
        <f>SUM(Q10:Q23)</f>
        <v/>
      </c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</row>
    <row r="25"/>
    <row r="26" ht="25.5" customHeight="1">
      <c r="A26" s="3" t="inlineStr">
        <is>
          <t>Subsequent clearance tests the invoice, the cash cleared into the bank in the subsequent period (date of deposit + agreed-to-bank), the purchase order, and the bill of lading / sea waybill evidencing delivery. Reliability/authenticity testing and address validation apply to confirmation responses (esp. electronic).</t>
        </is>
      </c>
    </row>
    <row r="27"/>
    <row r="28">
      <c r="A28" s="9" t="inlineStr">
        <is>
          <t>TM Legends</t>
        </is>
      </c>
    </row>
    <row r="29">
      <c r="A29" s="12" t="inlineStr">
        <is>
          <t>TB</t>
        </is>
      </c>
      <c r="B29" s="11" t="inlineStr">
        <is>
          <t>Agreed to trial balance</t>
        </is>
      </c>
      <c r="C29" s="30" t="n"/>
      <c r="D29" s="31" t="n"/>
    </row>
    <row r="30">
      <c r="A30" s="12" t="inlineStr">
        <is>
          <t>GL</t>
        </is>
      </c>
      <c r="B30" s="11" t="inlineStr">
        <is>
          <t>Agreed to general ledger</t>
        </is>
      </c>
      <c r="C30" s="30" t="n"/>
      <c r="D30" s="31" t="n"/>
    </row>
    <row r="31">
      <c r="A31" s="12" t="inlineStr">
        <is>
          <t>CF</t>
        </is>
      </c>
      <c r="B31" s="11" t="inlineStr">
        <is>
          <t>Confirmed with third party</t>
        </is>
      </c>
      <c r="C31" s="30" t="n"/>
      <c r="D31" s="31" t="n"/>
    </row>
    <row r="32">
      <c r="A32" s="12" t="inlineStr">
        <is>
          <t>V</t>
        </is>
      </c>
      <c r="B32" s="11" t="inlineStr">
        <is>
          <t>Vouched to source document</t>
        </is>
      </c>
      <c r="C32" s="30" t="n"/>
      <c r="D32" s="31" t="n"/>
    </row>
    <row r="33">
      <c r="A33" s="12" t="inlineStr">
        <is>
          <t>SR</t>
        </is>
      </c>
      <c r="B33" s="11" t="inlineStr">
        <is>
          <t>Agreed to subsequent bank-cleared receipt</t>
        </is>
      </c>
      <c r="C33" s="30" t="n"/>
      <c r="D33" s="31" t="n"/>
    </row>
    <row r="34">
      <c r="A34" s="12" t="inlineStr">
        <is>
          <t>R</t>
        </is>
      </c>
      <c r="B34" s="11" t="inlineStr">
        <is>
          <t>Recalculated independently</t>
        </is>
      </c>
      <c r="C34" s="30" t="n"/>
      <c r="D34" s="31" t="n"/>
    </row>
    <row r="35">
      <c r="A35" s="12" t="inlineStr">
        <is>
          <t>F</t>
        </is>
      </c>
      <c r="B35" s="11" t="inlineStr">
        <is>
          <t>Footed / cross-cast</t>
        </is>
      </c>
      <c r="C35" s="30" t="n"/>
      <c r="D35" s="31" t="n"/>
    </row>
    <row r="36">
      <c r="A36" s="12" t="inlineStr">
        <is>
          <t>T</t>
        </is>
      </c>
      <c r="B36" s="11" t="inlineStr">
        <is>
          <t>Traced to downstream record</t>
        </is>
      </c>
      <c r="C36" s="30" t="n"/>
      <c r="D36" s="31" t="n"/>
    </row>
    <row r="37">
      <c r="A37" s="12" t="inlineStr">
        <is>
          <t>PBC</t>
        </is>
      </c>
      <c r="B37" s="11" t="inlineStr">
        <is>
          <t>Prepared by client</t>
        </is>
      </c>
      <c r="C37" s="30" t="n"/>
      <c r="D37" s="31" t="n"/>
    </row>
    <row r="38"/>
    <row r="39" ht="25.5" customHeight="1">
      <c r="A39" s="3" t="inlineStr">
        <is>
          <t>Before sign-off complete Library Procedures 17-22 (confirmation control, reliability/AVT, exceptions, subsequent receipt to bank, invoice/PO/BOL support, statement reconciliation).</t>
        </is>
      </c>
    </row>
  </sheetData>
  <mergeCells count="18">
    <mergeCell ref="B33:D33"/>
    <mergeCell ref="B36:D36"/>
    <mergeCell ref="B37:D37"/>
    <mergeCell ref="B5:AG5"/>
    <mergeCell ref="B31:D31"/>
    <mergeCell ref="A39:AG39"/>
    <mergeCell ref="A7:K7"/>
    <mergeCell ref="B35:D35"/>
    <mergeCell ref="A26:AG26"/>
    <mergeCell ref="B32:D32"/>
    <mergeCell ref="B4:AG4"/>
    <mergeCell ref="Z7:AF7"/>
    <mergeCell ref="B30:D30"/>
    <mergeCell ref="L7:R7"/>
    <mergeCell ref="B29:D29"/>
    <mergeCell ref="S7:Y7"/>
    <mergeCell ref="B6:AG6"/>
    <mergeCell ref="B34:D34"/>
  </mergeCells>
  <pageMargins left="0.3" right="0.3" top="0.4" bottom="0.4" header="0.2" footer="0.2"/>
  <pageSetup orientation="landscape" paperSize="1" fitToHeight="1" fitToWidth="2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zoomScale="85" zoomScaleNormal="100" workbookViewId="0">
      <selection activeCell="A1" sqref="A1:A1048576"/>
    </sheetView>
  </sheetViews>
  <sheetFormatPr baseColWidth="8" defaultColWidth="8.6328125" defaultRowHeight="14.5"/>
  <cols>
    <col width="34" customWidth="1" min="1" max="1"/>
    <col width="16" customWidth="1" min="2" max="3"/>
    <col width="14" customWidth="1" min="4" max="4"/>
    <col width="34" customWidth="1" min="5" max="5"/>
  </cols>
  <sheetData>
    <row r="1" ht="17.5" customHeight="1">
      <c r="A1" s="6" t="inlineStr">
        <is>
          <t>Ratios &amp; Disclosures</t>
        </is>
      </c>
    </row>
    <row r="2">
      <c r="A2" s="7" t="inlineStr">
        <is>
          <t>Client / Entity</t>
        </is>
      </c>
      <c r="B2" s="8" t="inlineStr">
        <is>
          <t>[Client / Entity]</t>
        </is>
      </c>
      <c r="D2" s="7" t="inlineStr">
        <is>
          <t>Year-End</t>
        </is>
      </c>
      <c r="E2" s="8" t="inlineStr">
        <is>
          <t>[YYYY-MM-DD]</t>
        </is>
      </c>
      <c r="G2" s="7" t="inlineStr">
        <is>
          <t>Currency</t>
        </is>
      </c>
      <c r="H2" s="8" t="inlineStr">
        <is>
          <t>[CCY]</t>
        </is>
      </c>
    </row>
    <row r="3">
      <c r="A3" s="7" t="inlineStr">
        <is>
          <t>Performance Materiality</t>
        </is>
      </c>
      <c r="B3" s="8" t="inlineStr">
        <is>
          <t>[PM]</t>
        </is>
      </c>
      <c r="D3" s="7" t="inlineStr">
        <is>
          <t>Testing Threshold (SUM)</t>
        </is>
      </c>
      <c r="E3" s="8" t="inlineStr">
        <is>
          <t>[Threshold]</t>
        </is>
      </c>
    </row>
    <row r="4" ht="15" customHeight="1">
      <c r="A4" s="9" t="inlineStr">
        <is>
          <t>Purpose:</t>
        </is>
      </c>
      <c r="B4" s="5" t="inlineStr">
        <is>
          <t>Compute AR analytics and evaluate concentration and disclosure matters.</t>
        </is>
      </c>
    </row>
    <row r="5" ht="15" customHeight="1">
      <c r="A5" s="9" t="inlineStr">
        <is>
          <t>Scope:</t>
        </is>
      </c>
      <c r="B5" s="5" t="inlineStr">
        <is>
          <t>Lead-sheet, aging and allowance results; sales and prior-year data for ratios.</t>
        </is>
      </c>
    </row>
    <row r="6" ht="15" customHeight="1">
      <c r="A6" s="9" t="inlineStr">
        <is>
          <t>Assertions:</t>
        </is>
      </c>
      <c r="B6" s="5" t="inlineStr">
        <is>
          <t>Presentation &amp; Disclosure; Valuation; Classification</t>
        </is>
      </c>
    </row>
    <row r="7">
      <c r="A7" s="18" t="inlineStr">
        <is>
          <t>A. Analytics</t>
        </is>
      </c>
    </row>
    <row r="8" ht="18" customHeight="1">
      <c r="A8" s="10" t="inlineStr">
        <is>
          <t>Metric</t>
        </is>
      </c>
      <c r="B8" s="10" t="inlineStr">
        <is>
          <t>CY</t>
        </is>
      </c>
      <c r="C8" s="10" t="inlineStr">
        <is>
          <t>PY</t>
        </is>
      </c>
      <c r="D8" s="10" t="inlineStr">
        <is>
          <t>Change</t>
        </is>
      </c>
      <c r="E8" s="10" t="inlineStr">
        <is>
          <t>Note</t>
        </is>
      </c>
    </row>
    <row r="9">
      <c r="A9" s="11" t="inlineStr">
        <is>
          <t>Days sales outstanding (DSO)</t>
        </is>
      </c>
      <c r="B9" s="11" t="n"/>
      <c r="C9" s="11" t="n"/>
      <c r="D9" s="11">
        <f>IF(OR(B9="",C9=""),"",B9-C9)</f>
        <v/>
      </c>
      <c r="E9" s="11" t="n"/>
    </row>
    <row r="10">
      <c r="A10" s="11" t="inlineStr">
        <is>
          <t>AR turnover</t>
        </is>
      </c>
      <c r="B10" s="11" t="n"/>
      <c r="C10" s="11" t="n"/>
      <c r="D10" s="11">
        <f>IF(OR(B10="",C10=""),"",B10-C10)</f>
        <v/>
      </c>
      <c r="E10" s="11" t="n"/>
    </row>
    <row r="11">
      <c r="A11" s="11" t="inlineStr">
        <is>
          <t>Allowance as % of gross AR</t>
        </is>
      </c>
      <c r="B11" s="11" t="n"/>
      <c r="C11" s="11" t="n"/>
      <c r="D11" s="11">
        <f>IF(OR(B11="",C11=""),"",B11-C11)</f>
        <v/>
      </c>
      <c r="E11" s="11" t="n"/>
    </row>
    <row r="12">
      <c r="A12" s="11" t="inlineStr">
        <is>
          <t>Bad-debt expense as % of sales</t>
        </is>
      </c>
      <c r="B12" s="11" t="n"/>
      <c r="C12" s="11" t="n"/>
      <c r="D12" s="11">
        <f>IF(OR(B12="",C12=""),"",B12-C12)</f>
        <v/>
      </c>
      <c r="E12" s="11" t="n"/>
    </row>
    <row r="13">
      <c r="A13" s="11" t="inlineStr">
        <is>
          <t>Gross AR</t>
        </is>
      </c>
      <c r="B13" s="11" t="n"/>
      <c r="C13" s="11" t="n"/>
      <c r="D13" s="11">
        <f>IF(OR(B13="",C13=""),"",B13-C13)</f>
        <v/>
      </c>
      <c r="E13" s="11" t="n"/>
    </row>
    <row r="14">
      <c r="A14" s="11" t="inlineStr">
        <is>
          <t>Net AR</t>
        </is>
      </c>
      <c r="B14" s="11" t="n"/>
      <c r="C14" s="11" t="n"/>
      <c r="D14" s="11">
        <f>IF(OR(B14="",C14=""),"",B14-C14)</f>
        <v/>
      </c>
      <c r="E14" s="11" t="n"/>
    </row>
    <row r="15"/>
    <row r="16">
      <c r="A16" s="18" t="inlineStr">
        <is>
          <t>B. Customer concentration</t>
        </is>
      </c>
    </row>
    <row r="17" ht="18" customHeight="1">
      <c r="A17" s="10" t="inlineStr">
        <is>
          <t>Customer</t>
        </is>
      </c>
      <c r="B17" s="10" t="inlineStr">
        <is>
          <t>Balance</t>
        </is>
      </c>
      <c r="C17" s="10" t="inlineStr">
        <is>
          <t>% of total AR</t>
        </is>
      </c>
      <c r="D17" s="10" t="n"/>
      <c r="E17" s="10" t="inlineStr">
        <is>
          <t>Note</t>
        </is>
      </c>
    </row>
    <row r="18">
      <c r="A18" s="11" t="n"/>
      <c r="B18" s="14" t="n"/>
      <c r="C18" s="15" t="n"/>
      <c r="D18" s="11" t="n"/>
      <c r="E18" s="11" t="n"/>
    </row>
    <row r="19">
      <c r="A19" s="11" t="n"/>
      <c r="B19" s="14" t="n"/>
      <c r="C19" s="15" t="n"/>
      <c r="D19" s="11" t="n"/>
      <c r="E19" s="11" t="n"/>
    </row>
    <row r="20">
      <c r="A20" s="11" t="n"/>
      <c r="B20" s="14" t="n"/>
      <c r="C20" s="15" t="n"/>
      <c r="D20" s="11" t="n"/>
      <c r="E20" s="11" t="n"/>
    </row>
    <row r="21">
      <c r="A21" s="11" t="n"/>
      <c r="B21" s="14" t="n"/>
      <c r="C21" s="15" t="n"/>
      <c r="D21" s="11" t="n"/>
      <c r="E21" s="11" t="n"/>
    </row>
    <row r="22">
      <c r="A22" s="11" t="n"/>
      <c r="B22" s="14" t="n"/>
      <c r="C22" s="15" t="n"/>
      <c r="D22" s="11" t="n"/>
      <c r="E22" s="11" t="n"/>
    </row>
    <row r="23">
      <c r="A23" s="11" t="n"/>
      <c r="B23" s="14" t="n"/>
      <c r="C23" s="15" t="n"/>
      <c r="D23" s="11" t="n"/>
      <c r="E23" s="11" t="n"/>
    </row>
    <row r="24">
      <c r="A24" s="11" t="n"/>
      <c r="B24" s="14" t="n"/>
      <c r="C24" s="15" t="n"/>
      <c r="D24" s="11" t="n"/>
      <c r="E24" s="11" t="n"/>
    </row>
    <row r="25">
      <c r="A25" s="11" t="n"/>
      <c r="B25" s="14" t="n"/>
      <c r="C25" s="15" t="n"/>
      <c r="D25" s="11" t="n"/>
      <c r="E25" s="11" t="n"/>
    </row>
    <row r="26"/>
    <row r="27">
      <c r="A27" s="18" t="inlineStr">
        <is>
          <t>C. Disclosure matters</t>
        </is>
      </c>
    </row>
    <row r="28" ht="18" customHeight="1">
      <c r="A28" s="10" t="inlineStr">
        <is>
          <t>Area</t>
        </is>
      </c>
      <c r="B28" s="10" t="inlineStr">
        <is>
          <t>Conclusion / status</t>
        </is>
      </c>
      <c r="C28" s="10" t="n"/>
      <c r="D28" s="10" t="n"/>
      <c r="E28" s="10" t="inlineStr">
        <is>
          <t>Source / comments</t>
        </is>
      </c>
    </row>
    <row r="29">
      <c r="A29" s="11" t="inlineStr">
        <is>
          <t>Related-party / employee / officer receivables</t>
        </is>
      </c>
      <c r="B29" s="11" t="n"/>
      <c r="C29" s="11" t="n"/>
      <c r="D29" s="11" t="n"/>
      <c r="E29" s="11" t="n"/>
    </row>
    <row r="30">
      <c r="A30" s="11" t="inlineStr">
        <is>
          <t>Pledged / factored / assigned AR</t>
        </is>
      </c>
      <c r="B30" s="11" t="n"/>
      <c r="C30" s="11" t="n"/>
      <c r="D30" s="11" t="n"/>
      <c r="E30" s="11" t="n"/>
    </row>
    <row r="31">
      <c r="A31" s="11" t="inlineStr">
        <is>
          <t>Credit (negative) balances reclassified to liabilities</t>
        </is>
      </c>
      <c r="B31" s="11" t="n"/>
      <c r="C31" s="11" t="n"/>
      <c r="D31" s="11" t="n"/>
      <c r="E31" s="11" t="n"/>
    </row>
    <row r="32">
      <c r="A32" s="11" t="inlineStr">
        <is>
          <t>Significant terms (consignment / bill-and-hold)</t>
        </is>
      </c>
      <c r="B32" s="11" t="n"/>
      <c r="C32" s="11" t="n"/>
      <c r="D32" s="11" t="n"/>
      <c r="E32" s="11" t="n"/>
    </row>
    <row r="33">
      <c r="A33" s="11" t="inlineStr">
        <is>
          <t>Foreign-currency AR</t>
        </is>
      </c>
      <c r="B33" s="11" t="n"/>
      <c r="C33" s="11" t="n"/>
      <c r="D33" s="11" t="n"/>
      <c r="E33" s="11" t="n"/>
    </row>
    <row r="34"/>
    <row r="35">
      <c r="A35" s="9" t="inlineStr">
        <is>
          <t>TM Legends</t>
        </is>
      </c>
    </row>
    <row r="36">
      <c r="A36" s="12" t="inlineStr">
        <is>
          <t>TB</t>
        </is>
      </c>
      <c r="B36" s="11" t="inlineStr">
        <is>
          <t>Agreed to trial balance</t>
        </is>
      </c>
      <c r="C36" s="30" t="n"/>
      <c r="D36" s="31" t="n"/>
    </row>
    <row r="37">
      <c r="A37" s="12" t="inlineStr">
        <is>
          <t>GL</t>
        </is>
      </c>
      <c r="B37" s="11" t="inlineStr">
        <is>
          <t>Agreed to general ledger</t>
        </is>
      </c>
      <c r="C37" s="30" t="n"/>
      <c r="D37" s="31" t="n"/>
    </row>
    <row r="38">
      <c r="A38" s="12" t="inlineStr">
        <is>
          <t>CF</t>
        </is>
      </c>
      <c r="B38" s="11" t="inlineStr">
        <is>
          <t>Confirmed with third party</t>
        </is>
      </c>
      <c r="C38" s="30" t="n"/>
      <c r="D38" s="31" t="n"/>
    </row>
    <row r="39">
      <c r="A39" s="12" t="inlineStr">
        <is>
          <t>V</t>
        </is>
      </c>
      <c r="B39" s="11" t="inlineStr">
        <is>
          <t>Vouched to source document</t>
        </is>
      </c>
      <c r="C39" s="30" t="n"/>
      <c r="D39" s="31" t="n"/>
    </row>
    <row r="40">
      <c r="A40" s="12" t="inlineStr">
        <is>
          <t>SR</t>
        </is>
      </c>
      <c r="B40" s="11" t="inlineStr">
        <is>
          <t>Agreed to subsequent bank-cleared receipt</t>
        </is>
      </c>
      <c r="C40" s="30" t="n"/>
      <c r="D40" s="31" t="n"/>
    </row>
    <row r="41">
      <c r="A41" s="12" t="inlineStr">
        <is>
          <t>R</t>
        </is>
      </c>
      <c r="B41" s="11" t="inlineStr">
        <is>
          <t>Recalculated independently</t>
        </is>
      </c>
      <c r="C41" s="30" t="n"/>
      <c r="D41" s="31" t="n"/>
    </row>
    <row r="42">
      <c r="A42" s="12" t="inlineStr">
        <is>
          <t>F</t>
        </is>
      </c>
      <c r="B42" s="11" t="inlineStr">
        <is>
          <t>Footed / cross-cast</t>
        </is>
      </c>
      <c r="C42" s="30" t="n"/>
      <c r="D42" s="31" t="n"/>
    </row>
    <row r="43">
      <c r="A43" s="12" t="inlineStr">
        <is>
          <t>T</t>
        </is>
      </c>
      <c r="B43" s="11" t="inlineStr">
        <is>
          <t>Traced to downstream record</t>
        </is>
      </c>
      <c r="C43" s="30" t="n"/>
      <c r="D43" s="31" t="n"/>
    </row>
    <row r="44">
      <c r="A44" s="12" t="inlineStr">
        <is>
          <t>PBC</t>
        </is>
      </c>
      <c r="B44" s="11" t="inlineStr">
        <is>
          <t>Prepared by client</t>
        </is>
      </c>
      <c r="C44" s="30" t="n"/>
      <c r="D44" s="31" t="n"/>
    </row>
    <row r="45"/>
    <row r="46" ht="25.5" customHeight="1">
      <c r="A46" s="3" t="inlineStr">
        <is>
          <t>Before sign-off complete Library Procedures 23-26 (analytics, concentration, related-party, presentation &amp; disclosure).</t>
        </is>
      </c>
    </row>
  </sheetData>
  <mergeCells count="13">
    <mergeCell ref="B42:D42"/>
    <mergeCell ref="B36:D36"/>
    <mergeCell ref="B37:D37"/>
    <mergeCell ref="B4:E4"/>
    <mergeCell ref="B41:D41"/>
    <mergeCell ref="B6:E6"/>
    <mergeCell ref="B40:D40"/>
    <mergeCell ref="A46:E46"/>
    <mergeCell ref="B44:D44"/>
    <mergeCell ref="B5:E5"/>
    <mergeCell ref="B43:D43"/>
    <mergeCell ref="B39:D39"/>
    <mergeCell ref="B38:D38"/>
  </mergeCells>
  <pageMargins left="0.3" right="0.3" top="0.4" bottom="0.4" header="0.2" footer="0.2"/>
  <pageSetup orientation="portrait" paperSize="1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2026-06-30T15:42:56Z</dcterms:created>
  <dcterms:modified xmlns:dcterms="http://purl.org/dc/terms/" xmlns:xsi="http://www.w3.org/2001/XMLSchema-instance" xsi:type="dcterms:W3CDTF">2026-06-30T15:48:16Z</dcterms:modified>
  <cp:revision>0</cp:revision>
</cp:coreProperties>
</file>