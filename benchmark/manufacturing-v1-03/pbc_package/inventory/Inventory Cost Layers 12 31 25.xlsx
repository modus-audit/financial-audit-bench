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st Layer Detail" sheetId="1" state="visible" r:id="rId3"/>
  </sheets>
  <definedNames>
    <definedName function="false" hidden="false" localSheetId="0" name="_xlnm.Print_Area" vbProcedure="false">'Cost Layer Detail'!$A$1:$I$27</definedName>
    <definedName function="false" hidden="false" localSheetId="0" name="_xlnm.Print_Titles" vbProcedure="false">'Cost Layer Detail'!$5:$5</definedName>
    <definedName function="false" hidden="true" localSheetId="0" name="_xlnm._FilterDatabase" vbProcedure="false">'Cost Layer Detail'!$A$5:$I$26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<sst xmlns="http://schemas.openxmlformats.org/spreadsheetml/2006/main" count="118" uniqueCount="59">
  <si>
    <t xml:space="preserve">Vaquite Industries, Inc.</t>
  </si>
  <si>
    <t xml:space="preserve">Cost Layer Detail</t>
  </si>
  <si>
    <t xml:space="preserve">As of December 31, 2025</t>
  </si>
  <si>
    <t xml:space="preserve">Layers</t>
  </si>
  <si>
    <t xml:space="preserve">SKU</t>
  </si>
  <si>
    <t xml:space="preserve">Category</t>
  </si>
  <si>
    <t xml:space="preserve">Method</t>
  </si>
  <si>
    <t xml:space="preserve">Unit cost</t>
  </si>
  <si>
    <t xml:space="preserve">Effective date</t>
  </si>
  <si>
    <t xml:space="preserve">Quantities</t>
  </si>
  <si>
    <t xml:space="preserve">Variances</t>
  </si>
  <si>
    <t xml:space="preserve">Approvals</t>
  </si>
  <si>
    <t xml:space="preserve">Layer 0072</t>
  </si>
  <si>
    <t xml:space="preserve">RM-4075</t>
  </si>
  <si>
    <t xml:space="preserve">Raw material</t>
  </si>
  <si>
    <t xml:space="preserve">fifo</t>
  </si>
  <si>
    <t xml:space="preserve">Approved</t>
  </si>
  <si>
    <t xml:space="preserve">Layer 0073</t>
  </si>
  <si>
    <t xml:space="preserve">RM-4080</t>
  </si>
  <si>
    <t xml:space="preserve">LOT-6359</t>
  </si>
  <si>
    <t xml:space="preserve">RM-4087</t>
  </si>
  <si>
    <t xml:space="preserve">Layer 0074</t>
  </si>
  <si>
    <t xml:space="preserve">RM-4092</t>
  </si>
  <si>
    <t xml:space="preserve">Layer 0075</t>
  </si>
  <si>
    <t xml:space="preserve">RM-4096</t>
  </si>
  <si>
    <t xml:space="preserve">Layer 0076</t>
  </si>
  <si>
    <t xml:space="preserve">RM-4100</t>
  </si>
  <si>
    <t xml:space="preserve">Layer 0077</t>
  </si>
  <si>
    <t xml:space="preserve">Layer 0144</t>
  </si>
  <si>
    <t xml:space="preserve">WIP-4109</t>
  </si>
  <si>
    <t xml:space="preserve">Work in process</t>
  </si>
  <si>
    <t xml:space="preserve">Layer 0145</t>
  </si>
  <si>
    <t xml:space="preserve">WIP-4118</t>
  </si>
  <si>
    <t xml:space="preserve">Layer 0146</t>
  </si>
  <si>
    <t xml:space="preserve">WIP-4121</t>
  </si>
  <si>
    <t xml:space="preserve">Layer 0147</t>
  </si>
  <si>
    <t xml:space="preserve">WIP-4129</t>
  </si>
  <si>
    <t xml:space="preserve">Layer 0148</t>
  </si>
  <si>
    <t xml:space="preserve">WIP-4135</t>
  </si>
  <si>
    <t xml:space="preserve">Layer 0143</t>
  </si>
  <si>
    <t xml:space="preserve">WIP-4144</t>
  </si>
  <si>
    <t xml:space="preserve">Layer 0240</t>
  </si>
  <si>
    <t xml:space="preserve">FG-4152</t>
  </si>
  <si>
    <t xml:space="preserve">Finished goods</t>
  </si>
  <si>
    <t xml:space="preserve">LOT-6392</t>
  </si>
  <si>
    <t xml:space="preserve">FG-4158</t>
  </si>
  <si>
    <t xml:space="preserve">LOT-6395</t>
  </si>
  <si>
    <t xml:space="preserve">FG-4159</t>
  </si>
  <si>
    <t xml:space="preserve">Layer 0243</t>
  </si>
  <si>
    <t xml:space="preserve">FG-4166</t>
  </si>
  <si>
    <t xml:space="preserve">Layer 0244</t>
  </si>
  <si>
    <t xml:space="preserve">FG-4174</t>
  </si>
  <si>
    <t xml:space="preserve">Layer 0245</t>
  </si>
  <si>
    <t xml:space="preserve">FG-4182</t>
  </si>
  <si>
    <t xml:space="preserve">Layer 0246</t>
  </si>
  <si>
    <t xml:space="preserve">FG-4190</t>
  </si>
  <si>
    <t xml:space="preserve">Layer 0247</t>
  </si>
  <si>
    <t xml:space="preserve">FG-4192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</si>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</sst>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15" hidden="false" customHeight="false" outlineLevel="0" collapsed="false">
      <c r="A6" s="0" t="s">
        <v>12</v>
      </c>
      <c r="B6" s="0" t="s">
        <v>13</v>
      </c>
      <c r="C6" s="0" t="s">
        <v>14</v>
      </c>
      <c r="D6" s="0" t="s">
        <v>15</v>
      </c>
      <c r="E6" s="4" t="n">
        <v>2263.01</v>
      </c>
      <c r="F6" s="5" t="n">
        <v>45994</v>
      </c>
      <c r="G6" s="0" t="n">
        <v>3</v>
      </c>
      <c r="H6" s="4" t="n">
        <v>2263.01</v>
      </c>
      <c r="I6" s="0" t="s">
        <v>16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s">
        <v>14</v>
      </c>
      <c r="D7" s="0" t="s">
        <v>15</v>
      </c>
      <c r="E7" s="4" t="n">
        <v>6981.01</v>
      </c>
      <c r="F7" s="5" t="n">
        <v>45994</v>
      </c>
      <c r="G7" s="0" t="n">
        <v>1</v>
      </c>
      <c r="H7" s="4" t="n">
        <v>6981.01</v>
      </c>
      <c r="I7" s="0" t="s">
        <v>16</v>
      </c>
    </row>
    <row r="8" customFormat="false" ht="15" hidden="false" customHeight="false" outlineLevel="0" collapsed="false">
      <c r="A8" s="0" t="s">
        <v>19</v>
      </c>
      <c r="B8" s="0" t="s">
        <v>20</v>
      </c>
      <c r="C8" s="0" t="s">
        <v>14</v>
      </c>
      <c r="D8" s="0" t="s">
        <v>15</v>
      </c>
      <c r="E8" s="4" t="n">
        <v>24514.43</v>
      </c>
      <c r="F8" s="5" t="n">
        <v>45986</v>
      </c>
      <c r="G8" s="0" t="n">
        <v>0</v>
      </c>
      <c r="H8" s="4" t="n">
        <v>24514.43</v>
      </c>
      <c r="I8" s="0" t="s">
        <v>16</v>
      </c>
    </row>
    <row r="9" customFormat="false" ht="15" hidden="false" customHeight="false" outlineLevel="0" collapsed="false">
      <c r="A9" s="0" t="s">
        <v>21</v>
      </c>
      <c r="B9" s="0" t="s">
        <v>22</v>
      </c>
      <c r="C9" s="0" t="s">
        <v>14</v>
      </c>
      <c r="D9" s="0" t="s">
        <v>15</v>
      </c>
      <c r="E9" s="4" t="n">
        <v>10936.69</v>
      </c>
      <c r="F9" s="5" t="n">
        <v>45994</v>
      </c>
      <c r="G9" s="0" t="n">
        <v>1</v>
      </c>
      <c r="H9" s="4" t="n">
        <v>10936.69</v>
      </c>
      <c r="I9" s="0" t="s">
        <v>16</v>
      </c>
    </row>
    <row r="10" customFormat="false" ht="15" hidden="false" customHeight="false" outlineLevel="0" collapsed="false">
      <c r="A10" s="0" t="s">
        <v>23</v>
      </c>
      <c r="B10" s="0" t="s">
        <v>24</v>
      </c>
      <c r="C10" s="0" t="s">
        <v>14</v>
      </c>
      <c r="D10" s="0" t="s">
        <v>15</v>
      </c>
      <c r="E10" s="4" t="n">
        <v>10605.34</v>
      </c>
      <c r="F10" s="5" t="n">
        <v>45994</v>
      </c>
      <c r="G10" s="0" t="n">
        <v>1</v>
      </c>
      <c r="H10" s="4" t="n">
        <v>10605.34</v>
      </c>
      <c r="I10" s="0" t="s">
        <v>16</v>
      </c>
    </row>
    <row r="11" customFormat="false" ht="15" hidden="false" customHeight="false" outlineLevel="0" collapsed="false">
      <c r="A11" s="0" t="s">
        <v>25</v>
      </c>
      <c r="B11" s="0" t="s">
        <v>26</v>
      </c>
      <c r="C11" s="0" t="s">
        <v>14</v>
      </c>
      <c r="D11" s="0" t="s">
        <v>15</v>
      </c>
      <c r="E11" s="4" t="n">
        <v>1008.07</v>
      </c>
      <c r="F11" s="5" t="n">
        <v>45994</v>
      </c>
      <c r="G11" s="0" t="n">
        <v>6</v>
      </c>
      <c r="H11" s="4" t="n">
        <v>1008.07</v>
      </c>
      <c r="I11" s="0" t="s">
        <v>16</v>
      </c>
    </row>
    <row r="12" customFormat="false" ht="15" hidden="false" customHeight="false" outlineLevel="0" collapsed="false">
      <c r="A12" s="0" t="s">
        <v>27</v>
      </c>
      <c r="B12" s="0" t="s">
        <v>26</v>
      </c>
      <c r="C12" s="0" t="s">
        <v>14</v>
      </c>
      <c r="D12" s="0" t="s">
        <v>15</v>
      </c>
      <c r="E12" s="4" t="n">
        <v>1008.07</v>
      </c>
      <c r="F12" s="5" t="n">
        <v>46017</v>
      </c>
      <c r="G12" s="0" t="n">
        <v>5</v>
      </c>
      <c r="H12" s="4" t="n">
        <v>1008.07</v>
      </c>
      <c r="I12" s="0" t="s">
        <v>16</v>
      </c>
    </row>
    <row r="13" customFormat="false" ht="15" hidden="false" customHeight="false" outlineLevel="0" collapsed="false">
      <c r="A13" s="0" t="s">
        <v>28</v>
      </c>
      <c r="B13" s="0" t="s">
        <v>29</v>
      </c>
      <c r="C13" s="0" t="s">
        <v>30</v>
      </c>
      <c r="D13" s="0" t="s">
        <v>15</v>
      </c>
      <c r="E13" s="4" t="n">
        <v>3876.88</v>
      </c>
      <c r="F13" s="5" t="n">
        <v>46004</v>
      </c>
      <c r="G13" s="0" t="n">
        <v>2</v>
      </c>
      <c r="H13" s="4" t="n">
        <v>3876.88</v>
      </c>
      <c r="I13" s="0" t="s">
        <v>16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0" t="s">
        <v>30</v>
      </c>
      <c r="D14" s="0" t="s">
        <v>15</v>
      </c>
      <c r="E14" s="4" t="n">
        <v>3876.88</v>
      </c>
      <c r="F14" s="5" t="n">
        <v>46004</v>
      </c>
      <c r="G14" s="0" t="n">
        <v>1</v>
      </c>
      <c r="H14" s="4" t="n">
        <v>3876.88</v>
      </c>
      <c r="I14" s="0" t="s">
        <v>16</v>
      </c>
    </row>
    <row r="15" customFormat="false" ht="15" hidden="false" customHeight="false" outlineLevel="0" collapsed="false">
      <c r="A15" s="0" t="s">
        <v>33</v>
      </c>
      <c r="B15" s="0" t="s">
        <v>34</v>
      </c>
      <c r="C15" s="0" t="s">
        <v>30</v>
      </c>
      <c r="D15" s="0" t="s">
        <v>15</v>
      </c>
      <c r="E15" s="4" t="n">
        <v>3876.89</v>
      </c>
      <c r="F15" s="5" t="n">
        <v>46004</v>
      </c>
      <c r="G15" s="0" t="n">
        <v>2</v>
      </c>
      <c r="H15" s="4" t="n">
        <v>3876.89</v>
      </c>
      <c r="I15" s="0" t="s">
        <v>16</v>
      </c>
    </row>
    <row r="16" customFormat="false" ht="15" hidden="false" customHeight="false" outlineLevel="0" collapsed="false">
      <c r="A16" s="0" t="s">
        <v>35</v>
      </c>
      <c r="B16" s="0" t="s">
        <v>36</v>
      </c>
      <c r="C16" s="0" t="s">
        <v>30</v>
      </c>
      <c r="D16" s="0" t="s">
        <v>15</v>
      </c>
      <c r="E16" s="4" t="n">
        <v>3876.88</v>
      </c>
      <c r="F16" s="5" t="n">
        <v>46004</v>
      </c>
      <c r="G16" s="0" t="n">
        <v>2</v>
      </c>
      <c r="H16" s="4" t="n">
        <v>3876.88</v>
      </c>
      <c r="I16" s="0" t="s">
        <v>16</v>
      </c>
    </row>
    <row r="17" customFormat="false" ht="15" hidden="false" customHeight="false" outlineLevel="0" collapsed="false">
      <c r="A17" s="0" t="s">
        <v>37</v>
      </c>
      <c r="B17" s="0" t="s">
        <v>38</v>
      </c>
      <c r="C17" s="0" t="s">
        <v>30</v>
      </c>
      <c r="D17" s="0" t="s">
        <v>15</v>
      </c>
      <c r="E17" s="4" t="n">
        <v>3876.88</v>
      </c>
      <c r="F17" s="5" t="n">
        <v>46004</v>
      </c>
      <c r="G17" s="0" t="n">
        <v>8</v>
      </c>
      <c r="H17" s="4" t="n">
        <v>3876.88</v>
      </c>
      <c r="I17" s="0" t="s">
        <v>16</v>
      </c>
    </row>
    <row r="18" customFormat="false" ht="15" hidden="false" customHeight="false" outlineLevel="0" collapsed="false">
      <c r="A18" s="0" t="s">
        <v>39</v>
      </c>
      <c r="B18" s="0" t="s">
        <v>40</v>
      </c>
      <c r="C18" s="0" t="s">
        <v>30</v>
      </c>
      <c r="D18" s="0" t="s">
        <v>15</v>
      </c>
      <c r="E18" s="4" t="n">
        <v>3509.94</v>
      </c>
      <c r="F18" s="5" t="n">
        <v>45974</v>
      </c>
      <c r="G18" s="0" t="n">
        <v>1</v>
      </c>
      <c r="H18" s="4" t="n">
        <v>3509.94</v>
      </c>
      <c r="I18" s="0" t="s">
        <v>16</v>
      </c>
    </row>
    <row r="19" customFormat="false" ht="15" hidden="false" customHeight="false" outlineLevel="0" collapsed="false">
      <c r="A19" s="0" t="s">
        <v>41</v>
      </c>
      <c r="B19" s="0" t="s">
        <v>42</v>
      </c>
      <c r="C19" s="0" t="s">
        <v>43</v>
      </c>
      <c r="D19" s="0" t="s">
        <v>15</v>
      </c>
      <c r="E19" s="4" t="n">
        <v>3671.1</v>
      </c>
      <c r="F19" s="5" t="n">
        <v>46009</v>
      </c>
      <c r="G19" s="0" t="n">
        <v>1</v>
      </c>
      <c r="H19" s="4" t="n">
        <v>3671.1</v>
      </c>
      <c r="I19" s="0" t="s">
        <v>16</v>
      </c>
    </row>
    <row r="20" customFormat="false" ht="15" hidden="false" customHeight="false" outlineLevel="0" collapsed="false">
      <c r="A20" s="0" t="s">
        <v>44</v>
      </c>
      <c r="B20" s="0" t="s">
        <v>45</v>
      </c>
      <c r="C20" s="0" t="s">
        <v>43</v>
      </c>
      <c r="D20" s="0" t="s">
        <v>15</v>
      </c>
      <c r="E20" s="4" t="n">
        <v>18087.32</v>
      </c>
      <c r="F20" s="5" t="n">
        <v>46000</v>
      </c>
      <c r="G20" s="0" t="n">
        <v>0</v>
      </c>
      <c r="H20" s="4" t="n">
        <v>18087.32</v>
      </c>
      <c r="I20" s="0" t="s">
        <v>16</v>
      </c>
    </row>
    <row r="21" customFormat="false" ht="15" hidden="false" customHeight="false" outlineLevel="0" collapsed="false">
      <c r="A21" s="0" t="s">
        <v>46</v>
      </c>
      <c r="B21" s="0" t="s">
        <v>47</v>
      </c>
      <c r="C21" s="0" t="s">
        <v>43</v>
      </c>
      <c r="D21" s="0" t="s">
        <v>15</v>
      </c>
      <c r="E21" s="4" t="n">
        <v>19184.99</v>
      </c>
      <c r="F21" s="5" t="n">
        <v>45964</v>
      </c>
      <c r="G21" s="0" t="n">
        <v>0</v>
      </c>
      <c r="H21" s="4" t="n">
        <v>19184.99</v>
      </c>
      <c r="I21" s="0" t="s">
        <v>16</v>
      </c>
    </row>
    <row r="22" customFormat="false" ht="15" hidden="false" customHeight="false" outlineLevel="0" collapsed="false">
      <c r="A22" s="0" t="s">
        <v>48</v>
      </c>
      <c r="B22" s="0" t="s">
        <v>49</v>
      </c>
      <c r="C22" s="0" t="s">
        <v>43</v>
      </c>
      <c r="D22" s="0" t="s">
        <v>15</v>
      </c>
      <c r="E22" s="4" t="n">
        <v>3671.1</v>
      </c>
      <c r="F22" s="5" t="n">
        <v>46009</v>
      </c>
      <c r="G22" s="0" t="n">
        <v>1</v>
      </c>
      <c r="H22" s="4" t="n">
        <v>3671.1</v>
      </c>
      <c r="I22" s="0" t="s">
        <v>16</v>
      </c>
    </row>
    <row r="23" customFormat="false" ht="15" hidden="false" customHeight="false" outlineLevel="0" collapsed="false">
      <c r="A23" s="0" t="s">
        <v>50</v>
      </c>
      <c r="B23" s="0" t="s">
        <v>51</v>
      </c>
      <c r="C23" s="0" t="s">
        <v>43</v>
      </c>
      <c r="D23" s="0" t="s">
        <v>15</v>
      </c>
      <c r="E23" s="4" t="n">
        <v>3671.09</v>
      </c>
      <c r="F23" s="5" t="n">
        <v>46009</v>
      </c>
      <c r="G23" s="0" t="n">
        <v>1</v>
      </c>
      <c r="H23" s="4" t="n">
        <v>3671.09</v>
      </c>
      <c r="I23" s="0" t="s">
        <v>16</v>
      </c>
    </row>
    <row r="24" customFormat="false" ht="15" hidden="false" customHeight="false" outlineLevel="0" collapsed="false">
      <c r="A24" s="0" t="s">
        <v>52</v>
      </c>
      <c r="B24" s="0" t="s">
        <v>53</v>
      </c>
      <c r="C24" s="0" t="s">
        <v>43</v>
      </c>
      <c r="D24" s="0" t="s">
        <v>15</v>
      </c>
      <c r="E24" s="4" t="n">
        <v>3671.1</v>
      </c>
      <c r="F24" s="5" t="n">
        <v>46009</v>
      </c>
      <c r="G24" s="0" t="n">
        <v>1</v>
      </c>
      <c r="H24" s="4" t="n">
        <v>3671.1</v>
      </c>
      <c r="I24" s="0" t="s">
        <v>16</v>
      </c>
    </row>
    <row r="25" customFormat="false" ht="15" hidden="false" customHeight="false" outlineLevel="0" collapsed="false">
      <c r="A25" s="0" t="s">
        <v>54</v>
      </c>
      <c r="B25" s="0" t="s">
        <v>55</v>
      </c>
      <c r="C25" s="0" t="s">
        <v>43</v>
      </c>
      <c r="D25" s="0" t="s">
        <v>15</v>
      </c>
      <c r="E25" s="4" t="n">
        <v>3671.1</v>
      </c>
      <c r="F25" s="5" t="n">
        <v>46009</v>
      </c>
      <c r="G25" s="0" t="n">
        <v>5</v>
      </c>
      <c r="H25" s="4" t="n">
        <v>3671.1</v>
      </c>
      <c r="I25" s="0" t="s">
        <v>16</v>
      </c>
    </row>
    <row r="26" customFormat="false" ht="15" hidden="false" customHeight="false" outlineLevel="0" collapsed="false">
      <c r="A26" s="0" t="s">
        <v>56</v>
      </c>
      <c r="B26" s="0" t="s">
        <v>57</v>
      </c>
      <c r="C26" s="0" t="s">
        <v>43</v>
      </c>
      <c r="D26" s="0" t="s">
        <v>15</v>
      </c>
      <c r="E26" s="4" t="n">
        <v>3671.1</v>
      </c>
      <c r="F26" s="5" t="n">
        <v>46009</v>
      </c>
      <c r="G26" s="0" t="n">
        <v>1</v>
      </c>
      <c r="H26" s="4" t="n">
        <v>3671.1</v>
      </c>
      <c r="I26" s="0" t="s">
        <v>16</v>
      </c>
    </row>
    <row r="27" customFormat="false" ht="15" hidden="false" customHeight="false" outlineLevel="0" collapsed="false">
      <c r="A27" s="6" t="s">
        <v>58</v>
      </c>
      <c r="B27" s="7"/>
      <c r="C27" s="7"/>
      <c r="D27" s="7"/>
      <c r="E27" s="7"/>
      <c r="F27" s="7"/>
      <c r="G27" s="8" t="n">
        <f aca="false">SUM(G6:G26)</f>
        <v>43</v>
      </c>
      <c r="H27" s="8" t="n">
        <f aca="false">SUM(H6:H26)</f>
        <v>139509.87</v>
      </c>
      <c r="I27" s="7"/>
    </row>
  </sheetData>
  <autoFilter ref="A5:I26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Amanda Voxford</cp:lastModifiedBy>
  <dcterms:created xsi:type="dcterms:W3CDTF">2026-01-19T10:22:00Z</dcterms:created>
  <dcterms:modified xsi:type="dcterms:W3CDTF">2026-01-19T13:37:00Z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