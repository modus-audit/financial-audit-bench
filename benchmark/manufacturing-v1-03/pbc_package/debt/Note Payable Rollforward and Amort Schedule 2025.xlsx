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  <definedName function="false" hidden="false" name="aaa" vbProcedure="false">'Note Payable Rollforward and'!$A$1:$F$31</definedName>
    <definedName function="false" hidden="false" name="wrn.Print_Area1" vbProcedure="false">'Note Payable Rollforward and'!$A$1:$F$16</definedName>
    <definedName function="false" hidden="false" name="wrn.Report1" vbProcedure="false">'Note Payable Rollforward and'!$A$1:$F$17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<sst xmlns="http://schemas.openxmlformats.org/spreadsheetml/2006/main" count="31" uniqueCount="26">
  <si>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Vaquite Industries, Inc.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</si>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</sst>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8" min="8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1131826.06</v>
      </c>
      <c r="D11" s="3" t="n">
        <v>2921.95</v>
      </c>
      <c r="E11" s="3" t="n">
        <v>5659.13</v>
      </c>
      <c r="F11" s="3" t="n">
        <f aca="false">C11-D11</f>
        <v>1128904.11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1128904.11</v>
      </c>
      <c r="D12" s="3" t="n">
        <v>2936.56</v>
      </c>
      <c r="E12" s="3" t="n">
        <v>5644.52</v>
      </c>
      <c r="F12" s="3" t="n">
        <f aca="false">C12-D12</f>
        <v>1125967.55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1125967.55</v>
      </c>
      <c r="D13" s="3" t="n">
        <v>2951.24</v>
      </c>
      <c r="E13" s="3" t="n">
        <v>5629.84</v>
      </c>
      <c r="F13" s="3" t="n">
        <f aca="false">C13-D13</f>
        <v>1123016.31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1123016.31</v>
      </c>
      <c r="D14" s="3" t="n">
        <v>2966</v>
      </c>
      <c r="E14" s="3" t="n">
        <v>5615.08</v>
      </c>
      <c r="F14" s="3" t="n">
        <f aca="false">C14-D14</f>
        <v>1120050.31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1120050.31</v>
      </c>
      <c r="D15" s="3" t="n">
        <v>2980.83</v>
      </c>
      <c r="E15" s="3" t="n">
        <v>5600.25</v>
      </c>
      <c r="F15" s="3" t="n">
        <f aca="false">C15-D15</f>
        <v>1117069.48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1117069.48</v>
      </c>
      <c r="D16" s="3" t="n">
        <v>2995.73</v>
      </c>
      <c r="E16" s="3" t="n">
        <v>5585.35</v>
      </c>
      <c r="F16" s="3" t="n">
        <f aca="false">C16-D16</f>
        <v>1114073.75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1114073.75</v>
      </c>
      <c r="D17" s="3" t="n">
        <v>3010.71</v>
      </c>
      <c r="E17" s="3" t="n">
        <v>5570.37</v>
      </c>
      <c r="F17" s="3" t="n">
        <f aca="false">C17-D17</f>
        <v>1111063.04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1111063.04</v>
      </c>
      <c r="D18" s="3" t="n">
        <v>3025.76</v>
      </c>
      <c r="E18" s="3" t="n">
        <v>5555.32</v>
      </c>
      <c r="F18" s="3" t="n">
        <f aca="false">C18-D18</f>
        <v>1108037.28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1108037.28</v>
      </c>
      <c r="D19" s="3" t="n">
        <v>3040.89</v>
      </c>
      <c r="E19" s="3" t="n">
        <v>5540.19</v>
      </c>
      <c r="F19" s="3" t="n">
        <f aca="false">C19-D19</f>
        <v>1104996.39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1104996.39</v>
      </c>
      <c r="D20" s="3" t="n">
        <v>3056.1</v>
      </c>
      <c r="E20" s="3" t="n">
        <v>5524.98</v>
      </c>
      <c r="F20" s="3" t="n">
        <f aca="false">C20-D20</f>
        <v>1101940.29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1101940.29</v>
      </c>
      <c r="D21" s="3" t="n">
        <v>3071.38</v>
      </c>
      <c r="E21" s="3" t="n">
        <v>5509.7</v>
      </c>
      <c r="F21" s="3" t="n">
        <f aca="false">C21-D21</f>
        <v>1098868.91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1098868.91</v>
      </c>
      <c r="D22" s="3" t="n">
        <v>3086.74</v>
      </c>
      <c r="E22" s="3" t="n">
        <v>5494.34</v>
      </c>
      <c r="F22" s="3" t="n">
        <f aca="false">C22-D22</f>
        <v>1095782.17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13385813.48</v>
      </c>
      <c r="D23" s="8" t="n">
        <f aca="false">SUM(D11:D22)</f>
        <v>36043.89</v>
      </c>
      <c r="E23" s="8" t="n">
        <f aca="false">SUM(E11:E22)</f>
        <v>66929.07</v>
      </c>
      <c r="F23" s="8" t="n">
        <f aca="false">SUM(F11:F22)</f>
        <v>13349769.59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1131826.06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36043.89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1095782.17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2026-02-06T13:45:00Z</dcterms:created>
  <dcterms:modified xsi:type="dcterms:W3CDTF">2026-02-06T16:04:00Z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