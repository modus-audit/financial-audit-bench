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Debt Lead &amp; Rollforward" sheetId="3" state="visible" r:id="rId3"/>
    <sheet xmlns:r="http://schemas.openxmlformats.org/officeDocument/2006/relationships" name="&lt;.2&gt; Lender Confirmation" sheetId="4" state="visible" r:id="rId4"/>
    <sheet xmlns:r="http://schemas.openxmlformats.org/officeDocument/2006/relationships" name="&lt;.3&gt; Interest &amp; Accrued" sheetId="5" state="visible" r:id="rId5"/>
    <sheet xmlns:r="http://schemas.openxmlformats.org/officeDocument/2006/relationships" name="&lt;.4&gt; Maturities &amp; Class." sheetId="6" state="visible" r:id="rId6"/>
    <sheet xmlns:r="http://schemas.openxmlformats.org/officeDocument/2006/relationships" name="&lt;.5&gt; Agreements &amp; Additions" sheetId="7" state="visible" r:id="rId7"/>
    <sheet xmlns:r="http://schemas.openxmlformats.org/officeDocument/2006/relationships" name="&lt;.6&gt; Debt Issuance Costs" sheetId="8" state="visible" r:id="rId8"/>
    <sheet xmlns:r="http://schemas.openxmlformats.org/officeDocument/2006/relationships" name="&lt;.7&gt; Modification &amp; Extinguish" sheetId="9" state="visible" r:id="rId9"/>
    <sheet xmlns:r="http://schemas.openxmlformats.org/officeDocument/2006/relationships" name="&lt;.8&gt; Covenants" sheetId="10" state="visible" r:id="rId10"/>
    <sheet xmlns:r="http://schemas.openxmlformats.org/officeDocument/2006/relationships" name="&lt;.9&gt; Disclosures &amp; Analytics" sheetId="11" state="visible" r:id="rId11"/>
    <sheet xmlns:r="http://schemas.openxmlformats.org/officeDocument/2006/relationships" name="Planning Context" sheetId="12" state="visible" r:id="rId12"/>
    <sheet xmlns:r="http://schemas.openxmlformats.org/officeDocument/2006/relationships" name="Workpaper Sign-off" sheetId="13" state="visible" r:id="rId13"/>
  </sheets>
  <definedNames>
    <definedName name="WP_PLAN_S002_0_SOURCE_INDEX_ENTITY_NAME">'&lt;.0&gt; Source Index'!$B$2</definedName>
    <definedName name="WP_PLAN_S002_0_SOURCE_INDEX_FINANCIAL_STATEMENT_DATE">'&lt;.0&gt; Source Index'!$E$2</definedName>
    <definedName name="WP_PLAN_S002_0_SOURCE_INDEX_REPORTING_CURRENCY">'&lt;.0&gt; Source Index'!$H$2</definedName>
    <definedName name="WP_PLAN_S002_0_SOURCE_INDEX_PERFORMANCE_MATERIALITY">'&lt;.0&gt; Source Index'!$B$3</definedName>
    <definedName name="WP_PLAN_S002_0_SOURCE_INDEX_TOLERABLE_MISSTATEMENT">'&lt;.0&gt; Source Index'!$E$3</definedName>
    <definedName name="WP_PLAN_S003_1_DEBT_LEAD_ROLLFORWARD_ENTITY_NAME">'&lt;.1&gt; Debt Lead &amp; Rollforward'!$B$2</definedName>
    <definedName name="WP_PLAN_S003_1_DEBT_LEAD_ROLLFORWARD_FINANCIAL_STATEMENT_DATE">'&lt;.1&gt; Debt Lead &amp; Rollforward'!$E$2</definedName>
    <definedName name="WP_PLAN_S003_1_DEBT_LEAD_ROLLFORWARD_REPORTING_CURRENCY">'&lt;.1&gt; Debt Lead &amp; Rollforward'!$H$2</definedName>
    <definedName name="WP_PLAN_S003_1_DEBT_LEAD_ROLLFORWARD_PERFORMANCE_MATERIALITY">'&lt;.1&gt; Debt Lead &amp; Rollforward'!$B$3</definedName>
    <definedName name="WP_PLAN_S003_1_DEBT_LEAD_ROLLFORWARD_TOLERABLE_MISSTATEMENT">'&lt;.1&gt; Debt Lead &amp; Rollforward'!$E$3</definedName>
    <definedName name="WP_PLAN_S004_2_LENDER_CONFIRMATION_ENTITY_NAME">'&lt;.2&gt; Lender Confirmation'!$B$2</definedName>
    <definedName name="WP_PLAN_S004_2_LENDER_CONFIRMATION_FINANCIAL_STATEMENT_DATE">'&lt;.2&gt; Lender Confirmation'!$E$2</definedName>
    <definedName name="WP_PLAN_S004_2_LENDER_CONFIRMATION_REPORTING_CURRENCY">'&lt;.2&gt; Lender Confirmation'!$H$2</definedName>
    <definedName name="WP_PLAN_S004_2_LENDER_CONFIRMATION_PERFORMANCE_MATERIALITY">'&lt;.2&gt; Lender Confirmation'!$B$3</definedName>
    <definedName name="WP_PLAN_S004_2_LENDER_CONFIRMATION_TOLERABLE_MISSTATEMENT">'&lt;.2&gt; Lender Confirmation'!$E$3</definedName>
    <definedName name="WP_PLAN_S005_3_INTEREST_ACCRUED_ENTITY_NAME">'&lt;.3&gt; Interest &amp; Accrued'!$B$2</definedName>
    <definedName name="WP_PLAN_S005_3_INTEREST_ACCRUED_FINANCIAL_STATEMENT_DATE">'&lt;.3&gt; Interest &amp; Accrued'!$E$2</definedName>
    <definedName name="WP_PLAN_S005_3_INTEREST_ACCRUED_REPORTING_CURRENCY">'&lt;.3&gt; Interest &amp; Accrued'!$H$2</definedName>
    <definedName name="WP_PLAN_S005_3_INTEREST_ACCRUED_PERFORMANCE_MATERIALITY">'&lt;.3&gt; Interest &amp; Accrued'!$B$3</definedName>
    <definedName name="WP_PLAN_S005_3_INTEREST_ACCRUED_TOLERABLE_MISSTATEMENT">'&lt;.3&gt; Interest &amp; Accrued'!$E$3</definedName>
    <definedName name="WP_PLAN_S006_4_MATURITIES_CLASS_ENTITY_NAME">'&lt;.4&gt; Maturities &amp; Class.'!$B$2</definedName>
    <definedName name="WP_PLAN_S006_4_MATURITIES_CLASS_FINANCIAL_STATEMENT_DATE">'&lt;.4&gt; Maturities &amp; Class.'!$E$2</definedName>
    <definedName name="WP_PLAN_S006_4_MATURITIES_CLASS_REPORTING_CURRENCY">'&lt;.4&gt; Maturities &amp; Class.'!$H$2</definedName>
    <definedName name="WP_PLAN_S006_4_MATURITIES_CLASS_PERFORMANCE_MATERIALITY">'&lt;.4&gt; Maturities &amp; Class.'!$B$3</definedName>
    <definedName name="WP_PLAN_S006_4_MATURITIES_CLASS_TOLERABLE_MISSTATEMENT">'&lt;.4&gt; Maturities &amp; Class.'!$E$3</definedName>
    <definedName name="WP_PLAN_S007_5_AGREEMENTS_ADDITIONS_ENTITY_NAME">'&lt;.5&gt; Agreements &amp; Additions'!$B$2</definedName>
    <definedName name="WP_PLAN_S007_5_AGREEMENTS_ADDITIONS_FINANCIAL_STATEMENT_DATE">'&lt;.5&gt; Agreements &amp; Additions'!$E$2</definedName>
    <definedName name="WP_PLAN_S007_5_AGREEMENTS_ADDITIONS_REPORTING_CURRENCY">'&lt;.5&gt; Agreements &amp; Additions'!$H$2</definedName>
    <definedName name="WP_PLAN_S007_5_AGREEMENTS_ADDITIONS_PERFORMANCE_MATERIALITY">'&lt;.5&gt; Agreements &amp; Additions'!$B$3</definedName>
    <definedName name="WP_PLAN_S007_5_AGREEMENTS_ADDITIONS_TOLERABLE_MISSTATEMENT">'&lt;.5&gt; Agreements &amp; Additions'!$E$3</definedName>
    <definedName name="WP_PLAN_S008_6_DEBT_ISSUANCE_COSTS_ENTITY_NAME">'&lt;.6&gt; Debt Issuance Costs'!$B$2</definedName>
    <definedName name="WP_PLAN_S008_6_DEBT_ISSUANCE_COSTS_FINANCIAL_STATEMENT_DATE">'&lt;.6&gt; Debt Issuance Costs'!$E$2</definedName>
    <definedName name="WP_PLAN_S008_6_DEBT_ISSUANCE_COSTS_REPORTING_CURRENCY">'&lt;.6&gt; Debt Issuance Costs'!$H$2</definedName>
    <definedName name="WP_PLAN_S008_6_DEBT_ISSUANCE_COSTS_PERFORMANCE_MATERIALITY">'&lt;.6&gt; Debt Issuance Costs'!$B$3</definedName>
    <definedName name="WP_PLAN_S008_6_DEBT_ISSUANCE_COSTS_TOLERABLE_MISSTATEMENT">'&lt;.6&gt; Debt Issuance Costs'!$E$3</definedName>
    <definedName name="WP_PLAN_S009_7_MODIFICATION_EXTINGUISH_ENTITY_NAME">'&lt;.7&gt; Modification &amp; Extinguish'!$B$2</definedName>
    <definedName name="WP_PLAN_S009_7_MODIFICATION_EXTINGUISH_FINANCIAL_STATEMENT_DATE">'&lt;.7&gt; Modification &amp; Extinguish'!$E$2</definedName>
    <definedName name="WP_PLAN_S009_7_MODIFICATION_EXTINGUISH_REPORTING_CURRENCY">'&lt;.7&gt; Modification &amp; Extinguish'!$H$2</definedName>
    <definedName name="WP_PLAN_S009_7_MODIFICATION_EXTINGUISH_PERFORMANCE_MATERIALITY">'&lt;.7&gt; Modification &amp; Extinguish'!$B$3</definedName>
    <definedName name="WP_PLAN_S009_7_MODIFICATION_EXTINGUISH_TOLERABLE_MISSTATEMENT">'&lt;.7&gt; Modification &amp; Extinguish'!$E$3</definedName>
    <definedName name="WP_PLAN_S010_8_COVENANTS_ENTITY_NAME">'&lt;.8&gt; Covenants'!$B$2</definedName>
    <definedName name="WP_PLAN_S010_8_COVENANTS_FINANCIAL_STATEMENT_DATE">'&lt;.8&gt; Covenants'!$E$2</definedName>
    <definedName name="WP_PLAN_S010_8_COVENANTS_REPORTING_CURRENCY">'&lt;.8&gt; Covenants'!$H$2</definedName>
    <definedName name="WP_PLAN_S010_8_COVENANTS_PERFORMANCE_MATERIALITY">'&lt;.8&gt; Covenants'!$B$3</definedName>
    <definedName name="WP_PLAN_S010_8_COVENANTS_TOLERABLE_MISSTATEMENT">'&lt;.8&gt; Covenants'!$E$3</definedName>
    <definedName name="WP_PLAN_S011_9_DISCLOSURES_ANALYTICS_ENTITY_NAME">'&lt;.9&gt; Disclosures &amp; Analytics'!$B$2</definedName>
    <definedName name="WP_PLAN_S011_9_DISCLOSURES_ANALYTICS_FINANCIAL_STATEMENT_DATE">'&lt;.9&gt; Disclosures &amp; Analytics'!$E$2</definedName>
    <definedName name="WP_PLAN_S011_9_DISCLOSURES_ANALYTICS_REPORTING_CURRENCY">'&lt;.9&gt; Disclosures &amp; Analytics'!$H$2</definedName>
    <definedName name="WP_PLAN_S011_9_DISCLOSURES_ANALYTICS_PERFORMANCE_MATERIALITY">'&lt;.9&gt; Disclosures &amp; Analytics'!$B$3</definedName>
    <definedName name="WP_PLAN_S011_9_DISCLOSURES_ANALYTICS_TOLERABLE_MISSTATEMENT">'&lt;.9&gt; Disclosures &amp; Analytics'!$E$3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Procedures'!$A$10</definedName>
    <definedName name="WP_PROC_002_REQUIREMENT">'Library Procedures'!$B$10</definedName>
    <definedName name="WP_PROC_002_EXECUTION_STATE">'Library Procedures'!$C$10</definedName>
    <definedName name="WP_PROC_002_EVIDENCE_STATE">'Library Procedures'!$D$10</definedName>
    <definedName name="WP_PROC_002_RESULT_STATE">'Library Procedures'!$E$10</definedName>
    <definedName name="WP_PROC_002_ISSUE_STATE">'Library Procedures'!$F$10</definedName>
    <definedName name="WP_PROC_002_SIGNOFF_STATE">'Library Procedures'!$G$10</definedName>
    <definedName name="WP_PROC_002_DERIVED_OUTCOME">'Library Procedures'!$H$10</definedName>
    <definedName name="WP_PROC_002_PROCEDURE">'Library Procedures'!$I$10</definedName>
    <definedName name="WP_PROC_002_ASSERTION_S">'Library Procedures'!$J$10</definedName>
    <definedName name="WP_PROC_002_W_P_REF">'Library Procedures'!$K$10</definedName>
    <definedName name="WP_PROC_002_PERFORMED_BY">'Library Procedures'!$L$10</definedName>
    <definedName name="WP_PROC_002_DATE">'Library Procedures'!$M$10</definedName>
    <definedName name="WP_PROC_002_REASON_CODE">'Library Procedures'!$N$10</definedName>
    <definedName name="WP_PROC_002_SOURCE_FACT_EVIDENCE">'Library Procedures'!$O$10</definedName>
    <definedName name="WP_PROC_002_ISSUE_DEPENDENCY_IDS">'Library Procedures'!$P$10</definedName>
    <definedName name="WP_PROC_002_COMMENT_WORK_PERFORMED">'Library Procedures'!$Q$10</definedName>
    <definedName name="WP_PROC_003_APPLICABILITY">'Library Procedures'!$A$11</definedName>
    <definedName name="WP_PROC_003_REQUIREMENT">'Library Procedures'!$B$11</definedName>
    <definedName name="WP_PROC_003_EXECUTION_STATE">'Library Procedures'!$C$11</definedName>
    <definedName name="WP_PROC_003_EVIDENCE_STATE">'Library Procedures'!$D$11</definedName>
    <definedName name="WP_PROC_003_RESULT_STATE">'Library Procedures'!$E$11</definedName>
    <definedName name="WP_PROC_003_ISSUE_STATE">'Library Procedures'!$F$11</definedName>
    <definedName name="WP_PROC_003_SIGNOFF_STATE">'Library Procedures'!$G$11</definedName>
    <definedName name="WP_PROC_003_DERIVED_OUTCOME">'Library Procedures'!$H$11</definedName>
    <definedName name="WP_PROC_003_PROCEDURE">'Library Procedures'!$I$11</definedName>
    <definedName name="WP_PROC_003_ASSERTION_S">'Library Procedures'!$J$11</definedName>
    <definedName name="WP_PROC_003_W_P_REF">'Library Procedures'!$K$11</definedName>
    <definedName name="WP_PROC_003_PERFORMED_BY">'Library Procedures'!$L$11</definedName>
    <definedName name="WP_PROC_003_DATE">'Library Procedures'!$M$11</definedName>
    <definedName name="WP_PROC_003_REASON_CODE">'Library Procedures'!$N$11</definedName>
    <definedName name="WP_PROC_003_SOURCE_FACT_EVIDENCE">'Library Procedures'!$O$11</definedName>
    <definedName name="WP_PROC_003_ISSUE_DEPENDENCY_IDS">'Library Procedures'!$P$11</definedName>
    <definedName name="WP_PROC_003_COMMENT_WORK_PERFORMED">'Library Procedures'!$Q$11</definedName>
    <definedName name="WP_PROC_004_APPLICABILITY">'Library Procedures'!$A$12</definedName>
    <definedName name="WP_PROC_004_REQUIREMENT">'Library Procedures'!$B$12</definedName>
    <definedName name="WP_PROC_004_EXECUTION_STATE">'Library Procedures'!$C$12</definedName>
    <definedName name="WP_PROC_004_EVIDENCE_STATE">'Library Procedures'!$D$12</definedName>
    <definedName name="WP_PROC_004_RESULT_STATE">'Library Procedures'!$E$12</definedName>
    <definedName name="WP_PROC_004_ISSUE_STATE">'Library Procedures'!$F$12</definedName>
    <definedName name="WP_PROC_004_SIGNOFF_STATE">'Library Procedures'!$G$12</definedName>
    <definedName name="WP_PROC_004_DERIVED_OUTCOME">'Library Procedures'!$H$12</definedName>
    <definedName name="WP_PROC_004_PROCEDURE">'Library Procedures'!$I$12</definedName>
    <definedName name="WP_PROC_004_ASSERTION_S">'Library Procedures'!$J$12</definedName>
    <definedName name="WP_PROC_004_W_P_REF">'Library Procedures'!$K$12</definedName>
    <definedName name="WP_PROC_004_PERFORMED_BY">'Library Procedures'!$L$12</definedName>
    <definedName name="WP_PROC_004_DATE">'Library Procedures'!$M$12</definedName>
    <definedName name="WP_PROC_004_REASON_CODE">'Library Procedures'!$N$12</definedName>
    <definedName name="WP_PROC_004_SOURCE_FACT_EVIDENCE">'Library Procedures'!$O$12</definedName>
    <definedName name="WP_PROC_004_ISSUE_DEPENDENCY_IDS">'Library Procedures'!$P$12</definedName>
    <definedName name="WP_PROC_004_COMMENT_WORK_PERFORMED">'Library Procedures'!$Q$12</definedName>
    <definedName name="WP_PROC_005_APPLICABILITY">'Library Procedures'!$A$14</definedName>
    <definedName name="WP_PROC_005_REQUIREMENT">'Library Procedures'!$B$14</definedName>
    <definedName name="WP_PROC_005_EXECUTION_STATE">'Library Procedures'!$C$14</definedName>
    <definedName name="WP_PROC_005_EVIDENCE_STATE">'Library Procedures'!$D$14</definedName>
    <definedName name="WP_PROC_005_RESULT_STATE">'Library Procedures'!$E$14</definedName>
    <definedName name="WP_PROC_005_ISSUE_STATE">'Library Procedures'!$F$14</definedName>
    <definedName name="WP_PROC_005_SIGNOFF_STATE">'Library Procedures'!$G$14</definedName>
    <definedName name="WP_PROC_005_DERIVED_OUTCOME">'Library Procedures'!$H$14</definedName>
    <definedName name="WP_PROC_005_PROCEDURE">'Library Procedures'!$I$14</definedName>
    <definedName name="WP_PROC_005_ASSERTION_S">'Library Procedures'!$J$14</definedName>
    <definedName name="WP_PROC_005_W_P_REF">'Library Procedures'!$K$14</definedName>
    <definedName name="WP_PROC_005_PERFORMED_BY">'Library Procedures'!$L$14</definedName>
    <definedName name="WP_PROC_005_DATE">'Library Procedures'!$M$14</definedName>
    <definedName name="WP_PROC_005_REASON_CODE">'Library Procedures'!$N$14</definedName>
    <definedName name="WP_PROC_005_SOURCE_FACT_EVIDENCE">'Library Procedures'!$O$14</definedName>
    <definedName name="WP_PROC_005_ISSUE_DEPENDENCY_IDS">'Library Procedures'!$P$14</definedName>
    <definedName name="WP_PROC_005_COMMENT_WORK_PERFORMED">'Library Procedures'!$Q$14</definedName>
    <definedName name="WP_PROC_006_APPLICABILITY">'Library Procedures'!$A$15</definedName>
    <definedName name="WP_PROC_006_REQUIREMENT">'Library Procedures'!$B$15</definedName>
    <definedName name="WP_PROC_006_EXECUTION_STATE">'Library Procedures'!$C$15</definedName>
    <definedName name="WP_PROC_006_EVIDENCE_STATE">'Library Procedures'!$D$15</definedName>
    <definedName name="WP_PROC_006_RESULT_STATE">'Library Procedures'!$E$15</definedName>
    <definedName name="WP_PROC_006_ISSUE_STATE">'Library Procedures'!$F$15</definedName>
    <definedName name="WP_PROC_006_SIGNOFF_STATE">'Library Procedures'!$G$15</definedName>
    <definedName name="WP_PROC_006_DERIVED_OUTCOME">'Library Procedures'!$H$15</definedName>
    <definedName name="WP_PROC_006_PROCEDURE">'Library Procedures'!$I$15</definedName>
    <definedName name="WP_PROC_006_ASSERTION_S">'Library Procedures'!$J$15</definedName>
    <definedName name="WP_PROC_006_W_P_REF">'Library Procedures'!$K$15</definedName>
    <definedName name="WP_PROC_006_PERFORMED_BY">'Library Procedures'!$L$15</definedName>
    <definedName name="WP_PROC_006_DATE">'Library Procedures'!$M$15</definedName>
    <definedName name="WP_PROC_006_REASON_CODE">'Library Procedures'!$N$15</definedName>
    <definedName name="WP_PROC_006_SOURCE_FACT_EVIDENCE">'Library Procedures'!$O$15</definedName>
    <definedName name="WP_PROC_006_ISSUE_DEPENDENCY_IDS">'Library Procedures'!$P$15</definedName>
    <definedName name="WP_PROC_006_COMMENT_WORK_PERFORMED">'Library Procedures'!$Q$15</definedName>
    <definedName name="WP_PROC_007_APPLICABILITY">'Library Procedures'!$A$17</definedName>
    <definedName name="WP_PROC_007_REQUIREMENT">'Library Procedures'!$B$17</definedName>
    <definedName name="WP_PROC_007_EXECUTION_STATE">'Library Procedures'!$C$17</definedName>
    <definedName name="WP_PROC_007_EVIDENCE_STATE">'Library Procedures'!$D$17</definedName>
    <definedName name="WP_PROC_007_RESULT_STATE">'Library Procedures'!$E$17</definedName>
    <definedName name="WP_PROC_007_ISSUE_STATE">'Library Procedures'!$F$17</definedName>
    <definedName name="WP_PROC_007_SIGNOFF_STATE">'Library Procedures'!$G$17</definedName>
    <definedName name="WP_PROC_007_DERIVED_OUTCOME">'Library Procedures'!$H$17</definedName>
    <definedName name="WP_PROC_007_PROCEDURE">'Library Procedures'!$I$17</definedName>
    <definedName name="WP_PROC_007_ASSERTION_S">'Library Procedures'!$J$17</definedName>
    <definedName name="WP_PROC_007_W_P_REF">'Library Procedures'!$K$17</definedName>
    <definedName name="WP_PROC_007_PERFORMED_BY">'Library Procedures'!$L$17</definedName>
    <definedName name="WP_PROC_007_DATE">'Library Procedures'!$M$17</definedName>
    <definedName name="WP_PROC_007_REASON_CODE">'Library Procedures'!$N$17</definedName>
    <definedName name="WP_PROC_007_SOURCE_FACT_EVIDENCE">'Library Procedures'!$O$17</definedName>
    <definedName name="WP_PROC_007_ISSUE_DEPENDENCY_IDS">'Library Procedures'!$P$17</definedName>
    <definedName name="WP_PROC_007_COMMENT_WORK_PERFORMED">'Library Procedures'!$Q$17</definedName>
    <definedName name="WP_PROC_008_APPLICABILITY">'Library Procedures'!$A$18</definedName>
    <definedName name="WP_PROC_008_REQUIREMENT">'Library Procedures'!$B$18</definedName>
    <definedName name="WP_PROC_008_EXECUTION_STATE">'Library Procedures'!$C$18</definedName>
    <definedName name="WP_PROC_008_EVIDENCE_STATE">'Library Procedures'!$D$18</definedName>
    <definedName name="WP_PROC_008_RESULT_STATE">'Library Procedures'!$E$18</definedName>
    <definedName name="WP_PROC_008_ISSUE_STATE">'Library Procedures'!$F$18</definedName>
    <definedName name="WP_PROC_008_SIGNOFF_STATE">'Library Procedures'!$G$18</definedName>
    <definedName name="WP_PROC_008_DERIVED_OUTCOME">'Library Procedures'!$H$18</definedName>
    <definedName name="WP_PROC_008_PROCEDURE">'Library Procedures'!$I$18</definedName>
    <definedName name="WP_PROC_008_ASSERTION_S">'Library Procedures'!$J$18</definedName>
    <definedName name="WP_PROC_008_W_P_REF">'Library Procedures'!$K$18</definedName>
    <definedName name="WP_PROC_008_PERFORMED_BY">'Library Procedures'!$L$18</definedName>
    <definedName name="WP_PROC_008_DATE">'Library Procedures'!$M$18</definedName>
    <definedName name="WP_PROC_008_REASON_CODE">'Library Procedures'!$N$18</definedName>
    <definedName name="WP_PROC_008_SOURCE_FACT_EVIDENCE">'Library Procedures'!$O$18</definedName>
    <definedName name="WP_PROC_008_ISSUE_DEPENDENCY_IDS">'Library Procedures'!$P$18</definedName>
    <definedName name="WP_PROC_008_COMMENT_WORK_PERFORMED">'Library Procedures'!$Q$18</definedName>
    <definedName name="WP_PROC_009_APPLICABILITY">'Library Procedures'!$A$19</definedName>
    <definedName name="WP_PROC_009_REQUIREMENT">'Library Procedures'!$B$19</definedName>
    <definedName name="WP_PROC_009_EXECUTION_STATE">'Library Procedures'!$C$19</definedName>
    <definedName name="WP_PROC_009_EVIDENCE_STATE">'Library Procedures'!$D$19</definedName>
    <definedName name="WP_PROC_009_RESULT_STATE">'Library Procedures'!$E$19</definedName>
    <definedName name="WP_PROC_009_ISSUE_STATE">'Library Procedures'!$F$19</definedName>
    <definedName name="WP_PROC_009_SIGNOFF_STATE">'Library Procedures'!$G$19</definedName>
    <definedName name="WP_PROC_009_DERIVED_OUTCOME">'Library Procedures'!$H$19</definedName>
    <definedName name="WP_PROC_009_PROCEDURE">'Library Procedures'!$I$19</definedName>
    <definedName name="WP_PROC_009_ASSERTION_S">'Library Procedures'!$J$19</definedName>
    <definedName name="WP_PROC_009_W_P_REF">'Library Procedures'!$K$19</definedName>
    <definedName name="WP_PROC_009_PERFORMED_BY">'Library Procedures'!$L$19</definedName>
    <definedName name="WP_PROC_009_DATE">'Library Procedures'!$M$19</definedName>
    <definedName name="WP_PROC_009_REASON_CODE">'Library Procedures'!$N$19</definedName>
    <definedName name="WP_PROC_009_SOURCE_FACT_EVIDENCE">'Library Procedures'!$O$19</definedName>
    <definedName name="WP_PROC_009_ISSUE_DEPENDENCY_IDS">'Library Procedures'!$P$19</definedName>
    <definedName name="WP_PROC_009_COMMENT_WORK_PERFORMED">'Library Procedures'!$Q$19</definedName>
    <definedName name="WP_PROC_010_APPLICABILITY">'Library Procedures'!$A$21</definedName>
    <definedName name="WP_PROC_010_REQUIREMENT">'Library Procedures'!$B$21</definedName>
    <definedName name="WP_PROC_010_EXECUTION_STATE">'Library Procedures'!$C$21</definedName>
    <definedName name="WP_PROC_010_EVIDENCE_STATE">'Library Procedures'!$D$21</definedName>
    <definedName name="WP_PROC_010_RESULT_STATE">'Library Procedures'!$E$21</definedName>
    <definedName name="WP_PROC_010_ISSUE_STATE">'Library Procedures'!$F$21</definedName>
    <definedName name="WP_PROC_010_SIGNOFF_STATE">'Library Procedures'!$G$21</definedName>
    <definedName name="WP_PROC_010_DERIVED_OUTCOME">'Library Procedures'!$H$21</definedName>
    <definedName name="WP_PROC_010_PROCEDURE">'Library Procedures'!$I$21</definedName>
    <definedName name="WP_PROC_010_ASSERTION_S">'Library Procedures'!$J$21</definedName>
    <definedName name="WP_PROC_010_W_P_REF">'Library Procedures'!$K$21</definedName>
    <definedName name="WP_PROC_010_PERFORMED_BY">'Library Procedures'!$L$21</definedName>
    <definedName name="WP_PROC_010_DATE">'Library Procedures'!$M$21</definedName>
    <definedName name="WP_PROC_010_REASON_CODE">'Library Procedures'!$N$21</definedName>
    <definedName name="WP_PROC_010_SOURCE_FACT_EVIDENCE">'Library Procedures'!$O$21</definedName>
    <definedName name="WP_PROC_010_ISSUE_DEPENDENCY_IDS">'Library Procedures'!$P$21</definedName>
    <definedName name="WP_PROC_010_COMMENT_WORK_PERFORMED">'Library Procedures'!$Q$21</definedName>
    <definedName name="WP_PROC_011_APPLICABILITY">'Library Procedures'!$A$22</definedName>
    <definedName name="WP_PROC_011_REQUIREMENT">'Library Procedures'!$B$22</definedName>
    <definedName name="WP_PROC_011_EXECUTION_STATE">'Library Procedures'!$C$22</definedName>
    <definedName name="WP_PROC_011_EVIDENCE_STATE">'Library Procedures'!$D$22</definedName>
    <definedName name="WP_PROC_011_RESULT_STATE">'Library Procedures'!$E$22</definedName>
    <definedName name="WP_PROC_011_ISSUE_STATE">'Library Procedures'!$F$22</definedName>
    <definedName name="WP_PROC_011_SIGNOFF_STATE">'Library Procedures'!$G$22</definedName>
    <definedName name="WP_PROC_011_DERIVED_OUTCOME">'Library Procedures'!$H$22</definedName>
    <definedName name="WP_PROC_011_PROCEDURE">'Library Procedures'!$I$22</definedName>
    <definedName name="WP_PROC_011_ASSERTION_S">'Library Procedures'!$J$22</definedName>
    <definedName name="WP_PROC_011_W_P_REF">'Library Procedures'!$K$22</definedName>
    <definedName name="WP_PROC_011_PERFORMED_BY">'Library Procedures'!$L$22</definedName>
    <definedName name="WP_PROC_011_DATE">'Library Procedures'!$M$22</definedName>
    <definedName name="WP_PROC_011_REASON_CODE">'Library Procedures'!$N$22</definedName>
    <definedName name="WP_PROC_011_SOURCE_FACT_EVIDENCE">'Library Procedures'!$O$22</definedName>
    <definedName name="WP_PROC_011_ISSUE_DEPENDENCY_IDS">'Library Procedures'!$P$22</definedName>
    <definedName name="WP_PROC_011_COMMENT_WORK_PERFORMED">'Library Procedures'!$Q$22</definedName>
    <definedName name="WP_PROC_012_APPLICABILITY">'Library Procedures'!$A$24</definedName>
    <definedName name="WP_PROC_012_REQUIREMENT">'Library Procedures'!$B$24</definedName>
    <definedName name="WP_PROC_012_EXECUTION_STATE">'Library Procedures'!$C$24</definedName>
    <definedName name="WP_PROC_012_EVIDENCE_STATE">'Library Procedures'!$D$24</definedName>
    <definedName name="WP_PROC_012_RESULT_STATE">'Library Procedures'!$E$24</definedName>
    <definedName name="WP_PROC_012_ISSUE_STATE">'Library Procedures'!$F$24</definedName>
    <definedName name="WP_PROC_012_SIGNOFF_STATE">'Library Procedures'!$G$24</definedName>
    <definedName name="WP_PROC_012_DERIVED_OUTCOME">'Library Procedures'!$H$24</definedName>
    <definedName name="WP_PROC_012_PROCEDURE">'Library Procedures'!$I$24</definedName>
    <definedName name="WP_PROC_012_ASSERTION_S">'Library Procedures'!$J$24</definedName>
    <definedName name="WP_PROC_012_W_P_REF">'Library Procedures'!$K$24</definedName>
    <definedName name="WP_PROC_012_PERFORMED_BY">'Library Procedures'!$L$24</definedName>
    <definedName name="WP_PROC_012_DATE">'Library Procedures'!$M$24</definedName>
    <definedName name="WP_PROC_012_REASON_CODE">'Library Procedures'!$N$24</definedName>
    <definedName name="WP_PROC_012_SOURCE_FACT_EVIDENCE">'Library Procedures'!$O$24</definedName>
    <definedName name="WP_PROC_012_ISSUE_DEPENDENCY_IDS">'Library Procedures'!$P$24</definedName>
    <definedName name="WP_PROC_012_COMMENT_WORK_PERFORMED">'Library Procedures'!$Q$24</definedName>
    <definedName name="WP_PROC_013_APPLICABILITY">'Library Procedures'!$A$25</definedName>
    <definedName name="WP_PROC_013_REQUIREMENT">'Library Procedures'!$B$25</definedName>
    <definedName name="WP_PROC_013_EXECUTION_STATE">'Library Procedures'!$C$25</definedName>
    <definedName name="WP_PROC_013_EVIDENCE_STATE">'Library Procedures'!$D$25</definedName>
    <definedName name="WP_PROC_013_RESULT_STATE">'Library Procedures'!$E$25</definedName>
    <definedName name="WP_PROC_013_ISSUE_STATE">'Library Procedures'!$F$25</definedName>
    <definedName name="WP_PROC_013_SIGNOFF_STATE">'Library Procedures'!$G$25</definedName>
    <definedName name="WP_PROC_013_DERIVED_OUTCOME">'Library Procedures'!$H$25</definedName>
    <definedName name="WP_PROC_013_PROCEDURE">'Library Procedures'!$I$25</definedName>
    <definedName name="WP_PROC_013_ASSERTION_S">'Library Procedures'!$J$25</definedName>
    <definedName name="WP_PROC_013_W_P_REF">'Library Procedures'!$K$25</definedName>
    <definedName name="WP_PROC_013_PERFORMED_BY">'Library Procedures'!$L$25</definedName>
    <definedName name="WP_PROC_013_DATE">'Library Procedures'!$M$25</definedName>
    <definedName name="WP_PROC_013_REASON_CODE">'Library Procedures'!$N$25</definedName>
    <definedName name="WP_PROC_013_SOURCE_FACT_EVIDENCE">'Library Procedures'!$O$25</definedName>
    <definedName name="WP_PROC_013_ISSUE_DEPENDENCY_IDS">'Library Procedures'!$P$25</definedName>
    <definedName name="WP_PROC_013_COMMENT_WORK_PERFORMED">'Library Procedures'!$Q$25</definedName>
    <definedName name="WP_PROC_014_APPLICABILITY">'Library Procedures'!$A$26</definedName>
    <definedName name="WP_PROC_014_REQUIREMENT">'Library Procedures'!$B$26</definedName>
    <definedName name="WP_PROC_014_EXECUTION_STATE">'Library Procedures'!$C$26</definedName>
    <definedName name="WP_PROC_014_EVIDENCE_STATE">'Library Procedures'!$D$26</definedName>
    <definedName name="WP_PROC_014_RESULT_STATE">'Library Procedures'!$E$26</definedName>
    <definedName name="WP_PROC_014_ISSUE_STATE">'Library Procedures'!$F$26</definedName>
    <definedName name="WP_PROC_014_SIGNOFF_STATE">'Library Procedures'!$G$26</definedName>
    <definedName name="WP_PROC_014_DERIVED_OUTCOME">'Library Procedures'!$H$26</definedName>
    <definedName name="WP_PROC_014_PROCEDURE">'Library Procedures'!$I$26</definedName>
    <definedName name="WP_PROC_014_ASSERTION_S">'Library Procedures'!$J$26</definedName>
    <definedName name="WP_PROC_014_W_P_REF">'Library Procedures'!$K$26</definedName>
    <definedName name="WP_PROC_014_PERFORMED_BY">'Library Procedures'!$L$26</definedName>
    <definedName name="WP_PROC_014_DATE">'Library Procedures'!$M$26</definedName>
    <definedName name="WP_PROC_014_REASON_CODE">'Library Procedures'!$N$26</definedName>
    <definedName name="WP_PROC_014_SOURCE_FACT_EVIDENCE">'Library Procedures'!$O$26</definedName>
    <definedName name="WP_PROC_014_ISSUE_DEPENDENCY_IDS">'Library Procedures'!$P$26</definedName>
    <definedName name="WP_PROC_014_COMMENT_WORK_PERFORMED">'Library Procedures'!$Q$26</definedName>
    <definedName name="WP_PROC_015_APPLICABILITY">'Library Procedures'!$A$28</definedName>
    <definedName name="WP_PROC_015_REQUIREMENT">'Library Procedures'!$B$28</definedName>
    <definedName name="WP_PROC_015_EXECUTION_STATE">'Library Procedures'!$C$28</definedName>
    <definedName name="WP_PROC_015_EVIDENCE_STATE">'Library Procedures'!$D$28</definedName>
    <definedName name="WP_PROC_015_RESULT_STATE">'Library Procedures'!$E$28</definedName>
    <definedName name="WP_PROC_015_ISSUE_STATE">'Library Procedures'!$F$28</definedName>
    <definedName name="WP_PROC_015_SIGNOFF_STATE">'Library Procedures'!$G$28</definedName>
    <definedName name="WP_PROC_015_DERIVED_OUTCOME">'Library Procedures'!$H$28</definedName>
    <definedName name="WP_PROC_015_PROCEDURE">'Library Procedures'!$I$28</definedName>
    <definedName name="WP_PROC_015_ASSERTION_S">'Library Procedures'!$J$28</definedName>
    <definedName name="WP_PROC_015_W_P_REF">'Library Procedures'!$K$28</definedName>
    <definedName name="WP_PROC_015_PERFORMED_BY">'Library Procedures'!$L$28</definedName>
    <definedName name="WP_PROC_015_DATE">'Library Procedures'!$M$28</definedName>
    <definedName name="WP_PROC_015_REASON_CODE">'Library Procedures'!$N$28</definedName>
    <definedName name="WP_PROC_015_SOURCE_FACT_EVIDENCE">'Library Procedures'!$O$28</definedName>
    <definedName name="WP_PROC_015_ISSUE_DEPENDENCY_IDS">'Library Procedures'!$P$28</definedName>
    <definedName name="WP_PROC_015_COMMENT_WORK_PERFORMED">'Library Procedures'!$Q$28</definedName>
    <definedName name="WP_PROC_016_APPLICABILITY">'Library Procedures'!$A$29</definedName>
    <definedName name="WP_PROC_016_REQUIREMENT">'Library Procedures'!$B$29</definedName>
    <definedName name="WP_PROC_016_EXECUTION_STATE">'Library Procedures'!$C$29</definedName>
    <definedName name="WP_PROC_016_EVIDENCE_STATE">'Library Procedures'!$D$29</definedName>
    <definedName name="WP_PROC_016_RESULT_STATE">'Library Procedures'!$E$29</definedName>
    <definedName name="WP_PROC_016_ISSUE_STATE">'Library Procedures'!$F$29</definedName>
    <definedName name="WP_PROC_016_SIGNOFF_STATE">'Library Procedures'!$G$29</definedName>
    <definedName name="WP_PROC_016_DERIVED_OUTCOME">'Library Procedures'!$H$29</definedName>
    <definedName name="WP_PROC_016_PROCEDURE">'Library Procedures'!$I$29</definedName>
    <definedName name="WP_PROC_016_ASSERTION_S">'Library Procedures'!$J$29</definedName>
    <definedName name="WP_PROC_016_W_P_REF">'Library Procedures'!$K$29</definedName>
    <definedName name="WP_PROC_016_PERFORMED_BY">'Library Procedures'!$L$29</definedName>
    <definedName name="WP_PROC_016_DATE">'Library Procedures'!$M$29</definedName>
    <definedName name="WP_PROC_016_REASON_CODE">'Library Procedures'!$N$29</definedName>
    <definedName name="WP_PROC_016_SOURCE_FACT_EVIDENCE">'Library Procedures'!$O$29</definedName>
    <definedName name="WP_PROC_016_ISSUE_DEPENDENCY_IDS">'Library Procedures'!$P$29</definedName>
    <definedName name="WP_PROC_016_COMMENT_WORK_PERFORMED">'Library Procedures'!$Q$29</definedName>
    <definedName name="WP_PROC_017_APPLICABILITY">'Library Procedures'!$A$30</definedName>
    <definedName name="WP_PROC_017_REQUIREMENT">'Library Procedures'!$B$30</definedName>
    <definedName name="WP_PROC_017_EXECUTION_STATE">'Library Procedures'!$C$30</definedName>
    <definedName name="WP_PROC_017_EVIDENCE_STATE">'Library Procedures'!$D$30</definedName>
    <definedName name="WP_PROC_017_RESULT_STATE">'Library Procedures'!$E$30</definedName>
    <definedName name="WP_PROC_017_ISSUE_STATE">'Library Procedures'!$F$30</definedName>
    <definedName name="WP_PROC_017_SIGNOFF_STATE">'Library Procedures'!$G$30</definedName>
    <definedName name="WP_PROC_017_DERIVED_OUTCOME">'Library Procedures'!$H$30</definedName>
    <definedName name="WP_PROC_017_PROCEDURE">'Library Procedures'!$I$30</definedName>
    <definedName name="WP_PROC_017_ASSERTION_S">'Library Procedures'!$J$30</definedName>
    <definedName name="WP_PROC_017_W_P_REF">'Library Procedures'!$K$30</definedName>
    <definedName name="WP_PROC_017_PERFORMED_BY">'Library Procedures'!$L$30</definedName>
    <definedName name="WP_PROC_017_DATE">'Library Procedures'!$M$30</definedName>
    <definedName name="WP_PROC_017_REASON_CODE">'Library Procedures'!$N$30</definedName>
    <definedName name="WP_PROC_017_SOURCE_FACT_EVIDENCE">'Library Procedures'!$O$30</definedName>
    <definedName name="WP_PROC_017_ISSUE_DEPENDENCY_IDS">'Library Procedures'!$P$30</definedName>
    <definedName name="WP_PROC_017_COMMENT_WORK_PERFORMED">'Library Procedures'!$Q$30</definedName>
    <definedName name="WP_PROC_018_APPLICABILITY">'Library Procedures'!$A$31</definedName>
    <definedName name="WP_PROC_018_REQUIREMENT">'Library Procedures'!$B$31</definedName>
    <definedName name="WP_PROC_018_EXECUTION_STATE">'Library Procedures'!$C$31</definedName>
    <definedName name="WP_PROC_018_EVIDENCE_STATE">'Library Procedures'!$D$31</definedName>
    <definedName name="WP_PROC_018_RESULT_STATE">'Library Procedures'!$E$31</definedName>
    <definedName name="WP_PROC_018_ISSUE_STATE">'Library Procedures'!$F$31</definedName>
    <definedName name="WP_PROC_018_SIGNOFF_STATE">'Library Procedures'!$G$31</definedName>
    <definedName name="WP_PROC_018_DERIVED_OUTCOME">'Library Procedures'!$H$31</definedName>
    <definedName name="WP_PROC_018_PROCEDURE">'Library Procedures'!$I$31</definedName>
    <definedName name="WP_PROC_018_ASSERTION_S">'Library Procedures'!$J$31</definedName>
    <definedName name="WP_PROC_018_W_P_REF">'Library Procedures'!$K$31</definedName>
    <definedName name="WP_PROC_018_PERFORMED_BY">'Library Procedures'!$L$31</definedName>
    <definedName name="WP_PROC_018_DATE">'Library Procedures'!$M$31</definedName>
    <definedName name="WP_PROC_018_REASON_CODE">'Library Procedures'!$N$31</definedName>
    <definedName name="WP_PROC_018_SOURCE_FACT_EVIDENCE">'Library Procedures'!$O$31</definedName>
    <definedName name="WP_PROC_018_ISSUE_DEPENDENCY_IDS">'Library Procedures'!$P$31</definedName>
    <definedName name="WP_PROC_018_COMMENT_WORK_PERFORMED">'Library Procedures'!$Q$31</definedName>
    <definedName name="WP_PROC_019_APPLICABILITY">'Library Procedures'!$A$32</definedName>
    <definedName name="WP_PROC_019_REQUIREMENT">'Library Procedures'!$B$32</definedName>
    <definedName name="WP_PROC_019_EXECUTION_STATE">'Library Procedures'!$C$32</definedName>
    <definedName name="WP_PROC_019_EVIDENCE_STATE">'Library Procedures'!$D$32</definedName>
    <definedName name="WP_PROC_019_RESULT_STATE">'Library Procedures'!$E$32</definedName>
    <definedName name="WP_PROC_019_ISSUE_STATE">'Library Procedures'!$F$32</definedName>
    <definedName name="WP_PROC_019_SIGNOFF_STATE">'Library Procedures'!$G$32</definedName>
    <definedName name="WP_PROC_019_DERIVED_OUTCOME">'Library Procedures'!$H$32</definedName>
    <definedName name="WP_PROC_019_PROCEDURE">'Library Procedures'!$I$32</definedName>
    <definedName name="WP_PROC_019_ASSERTION_S">'Library Procedures'!$J$32</definedName>
    <definedName name="WP_PROC_019_W_P_REF">'Library Procedures'!$K$32</definedName>
    <definedName name="WP_PROC_019_PERFORMED_BY">'Library Procedures'!$L$32</definedName>
    <definedName name="WP_PROC_019_DATE">'Library Procedures'!$M$32</definedName>
    <definedName name="WP_PROC_019_REASON_CODE">'Library Procedures'!$N$32</definedName>
    <definedName name="WP_PROC_019_SOURCE_FACT_EVIDENCE">'Library Procedures'!$O$32</definedName>
    <definedName name="WP_PROC_019_ISSUE_DEPENDENCY_IDS">'Library Procedures'!$P$32</definedName>
    <definedName name="WP_PROC_019_COMMENT_WORK_PERFORMED">'Library Procedures'!$Q$32</definedName>
    <definedName name="WP_PROC_020_APPLICABILITY">'Library Procedures'!$A$34</definedName>
    <definedName name="WP_PROC_020_REQUIREMENT">'Library Procedures'!$B$34</definedName>
    <definedName name="WP_PROC_020_EXECUTION_STATE">'Library Procedures'!$C$34</definedName>
    <definedName name="WP_PROC_020_EVIDENCE_STATE">'Library Procedures'!$D$34</definedName>
    <definedName name="WP_PROC_020_RESULT_STATE">'Library Procedures'!$E$34</definedName>
    <definedName name="WP_PROC_020_ISSUE_STATE">'Library Procedures'!$F$34</definedName>
    <definedName name="WP_PROC_020_SIGNOFF_STATE">'Library Procedures'!$G$34</definedName>
    <definedName name="WP_PROC_020_DERIVED_OUTCOME">'Library Procedures'!$H$34</definedName>
    <definedName name="WP_PROC_020_PROCEDURE">'Library Procedures'!$I$34</definedName>
    <definedName name="WP_PROC_020_ASSERTION_S">'Library Procedures'!$J$34</definedName>
    <definedName name="WP_PROC_020_W_P_REF">'Library Procedures'!$K$34</definedName>
    <definedName name="WP_PROC_020_PERFORMED_BY">'Library Procedures'!$L$34</definedName>
    <definedName name="WP_PROC_020_DATE">'Library Procedures'!$M$34</definedName>
    <definedName name="WP_PROC_020_REASON_CODE">'Library Procedures'!$N$34</definedName>
    <definedName name="WP_PROC_020_SOURCE_FACT_EVIDENCE">'Library Procedures'!$O$34</definedName>
    <definedName name="WP_PROC_020_ISSUE_DEPENDENCY_IDS">'Library Procedures'!$P$34</definedName>
    <definedName name="WP_PROC_020_COMMENT_WORK_PERFORMED">'Library Procedures'!$Q$34</definedName>
    <definedName name="WP_PROC_021_APPLICABILITY">'Library Procedures'!$A$35</definedName>
    <definedName name="WP_PROC_021_REQUIREMENT">'Library Procedures'!$B$35</definedName>
    <definedName name="WP_PROC_021_EXECUTION_STATE">'Library Procedures'!$C$35</definedName>
    <definedName name="WP_PROC_021_EVIDENCE_STATE">'Library Procedures'!$D$35</definedName>
    <definedName name="WP_PROC_021_RESULT_STATE">'Library Procedures'!$E$35</definedName>
    <definedName name="WP_PROC_021_ISSUE_STATE">'Library Procedures'!$F$35</definedName>
    <definedName name="WP_PROC_021_SIGNOFF_STATE">'Library Procedures'!$G$35</definedName>
    <definedName name="WP_PROC_021_DERIVED_OUTCOME">'Library Procedures'!$H$35</definedName>
    <definedName name="WP_PROC_021_PROCEDURE">'Library Procedures'!$I$35</definedName>
    <definedName name="WP_PROC_021_ASSERTION_S">'Library Procedures'!$J$35</definedName>
    <definedName name="WP_PROC_021_W_P_REF">'Library Procedures'!$K$35</definedName>
    <definedName name="WP_PROC_021_PERFORMED_BY">'Library Procedures'!$L$35</definedName>
    <definedName name="WP_PROC_021_DATE">'Library Procedures'!$M$35</definedName>
    <definedName name="WP_PROC_021_REASON_CODE">'Library Procedures'!$N$35</definedName>
    <definedName name="WP_PROC_021_SOURCE_FACT_EVIDENCE">'Library Procedures'!$O$35</definedName>
    <definedName name="WP_PROC_021_ISSUE_DEPENDENCY_IDS">'Library Procedures'!$P$35</definedName>
    <definedName name="WP_PROC_021_COMMENT_WORK_PERFORMED">'Library Procedures'!$Q$35</definedName>
    <definedName name="WP_PROC_022_APPLICABILITY">'Library Procedures'!$A$36</definedName>
    <definedName name="WP_PROC_022_REQUIREMENT">'Library Procedures'!$B$36</definedName>
    <definedName name="WP_PROC_022_EXECUTION_STATE">'Library Procedures'!$C$36</definedName>
    <definedName name="WP_PROC_022_EVIDENCE_STATE">'Library Procedures'!$D$36</definedName>
    <definedName name="WP_PROC_022_RESULT_STATE">'Library Procedures'!$E$36</definedName>
    <definedName name="WP_PROC_022_ISSUE_STATE">'Library Procedures'!$F$36</definedName>
    <definedName name="WP_PROC_022_SIGNOFF_STATE">'Library Procedures'!$G$36</definedName>
    <definedName name="WP_PROC_022_DERIVED_OUTCOME">'Library Procedures'!$H$36</definedName>
    <definedName name="WP_PROC_022_PROCEDURE">'Library Procedures'!$I$36</definedName>
    <definedName name="WP_PROC_022_ASSERTION_S">'Library Procedures'!$J$36</definedName>
    <definedName name="WP_PROC_022_W_P_REF">'Library Procedures'!$K$36</definedName>
    <definedName name="WP_PROC_022_PERFORMED_BY">'Library Procedures'!$L$36</definedName>
    <definedName name="WP_PROC_022_DATE">'Library Procedures'!$M$36</definedName>
    <definedName name="WP_PROC_022_REASON_CODE">'Library Procedures'!$N$36</definedName>
    <definedName name="WP_PROC_022_SOURCE_FACT_EVIDENCE">'Library Procedures'!$O$36</definedName>
    <definedName name="WP_PROC_022_ISSUE_DEPENDENCY_IDS">'Library Procedures'!$P$36</definedName>
    <definedName name="WP_PROC_022_COMMENT_WORK_PERFORMED">'Library Procedures'!$Q$36</definedName>
    <definedName name="WP_PROC_023_APPLICABILITY">'Library Procedures'!$A$38</definedName>
    <definedName name="WP_PROC_023_REQUIREMENT">'Library Procedures'!$B$38</definedName>
    <definedName name="WP_PROC_023_EXECUTION_STATE">'Library Procedures'!$C$38</definedName>
    <definedName name="WP_PROC_023_EVIDENCE_STATE">'Library Procedures'!$D$38</definedName>
    <definedName name="WP_PROC_023_RESULT_STATE">'Library Procedures'!$E$38</definedName>
    <definedName name="WP_PROC_023_ISSUE_STATE">'Library Procedures'!$F$38</definedName>
    <definedName name="WP_PROC_023_SIGNOFF_STATE">'Library Procedures'!$G$38</definedName>
    <definedName name="WP_PROC_023_DERIVED_OUTCOME">'Library Procedures'!$H$38</definedName>
    <definedName name="WP_PROC_023_PROCEDURE">'Library Procedures'!$I$38</definedName>
    <definedName name="WP_PROC_023_ASSERTION_S">'Library Procedures'!$J$38</definedName>
    <definedName name="WP_PROC_023_W_P_REF">'Library Procedures'!$K$38</definedName>
    <definedName name="WP_PROC_023_PERFORMED_BY">'Library Procedures'!$L$38</definedName>
    <definedName name="WP_PROC_023_DATE">'Library Procedures'!$M$38</definedName>
    <definedName name="WP_PROC_023_REASON_CODE">'Library Procedures'!$N$38</definedName>
    <definedName name="WP_PROC_023_SOURCE_FACT_EVIDENCE">'Library Procedures'!$O$38</definedName>
    <definedName name="WP_PROC_023_ISSUE_DEPENDENCY_IDS">'Library Procedures'!$P$38</definedName>
    <definedName name="WP_PROC_023_COMMENT_WORK_PERFORMED">'Library Procedures'!$Q$38</definedName>
    <definedName name="WP_PROC_024_APPLICABILITY">'Library Procedures'!$A$39</definedName>
    <definedName name="WP_PROC_024_REQUIREMENT">'Library Procedures'!$B$39</definedName>
    <definedName name="WP_PROC_024_EXECUTION_STATE">'Library Procedures'!$C$39</definedName>
    <definedName name="WP_PROC_024_EVIDENCE_STATE">'Library Procedures'!$D$39</definedName>
    <definedName name="WP_PROC_024_RESULT_STATE">'Library Procedures'!$E$39</definedName>
    <definedName name="WP_PROC_024_ISSUE_STATE">'Library Procedures'!$F$39</definedName>
    <definedName name="WP_PROC_024_SIGNOFF_STATE">'Library Procedures'!$G$39</definedName>
    <definedName name="WP_PROC_024_DERIVED_OUTCOME">'Library Procedures'!$H$39</definedName>
    <definedName name="WP_PROC_024_PROCEDURE">'Library Procedures'!$I$39</definedName>
    <definedName name="WP_PROC_024_ASSERTION_S">'Library Procedures'!$J$39</definedName>
    <definedName name="WP_PROC_024_W_P_REF">'Library Procedures'!$K$39</definedName>
    <definedName name="WP_PROC_024_PERFORMED_BY">'Library Procedures'!$L$39</definedName>
    <definedName name="WP_PROC_024_DATE">'Library Procedures'!$M$39</definedName>
    <definedName name="WP_PROC_024_REASON_CODE">'Library Procedures'!$N$39</definedName>
    <definedName name="WP_PROC_024_SOURCE_FACT_EVIDENCE">'Library Procedures'!$O$39</definedName>
    <definedName name="WP_PROC_024_ISSUE_DEPENDENCY_IDS">'Library Procedures'!$P$39</definedName>
    <definedName name="WP_PROC_024_COMMENT_WORK_PERFORMED">'Library Procedures'!$Q$39</definedName>
    <definedName name="WP_PROC_025_APPLICABILITY">'Library Procedures'!$A$41</definedName>
    <definedName name="WP_PROC_025_REQUIREMENT">'Library Procedures'!$B$41</definedName>
    <definedName name="WP_PROC_025_EXECUTION_STATE">'Library Procedures'!$C$41</definedName>
    <definedName name="WP_PROC_025_EVIDENCE_STATE">'Library Procedures'!$D$41</definedName>
    <definedName name="WP_PROC_025_RESULT_STATE">'Library Procedures'!$E$41</definedName>
    <definedName name="WP_PROC_025_ISSUE_STATE">'Library Procedures'!$F$41</definedName>
    <definedName name="WP_PROC_025_SIGNOFF_STATE">'Library Procedures'!$G$41</definedName>
    <definedName name="WP_PROC_025_DERIVED_OUTCOME">'Library Procedures'!$H$41</definedName>
    <definedName name="WP_PROC_025_PROCEDURE">'Library Procedures'!$I$41</definedName>
    <definedName name="WP_PROC_025_ASSERTION_S">'Library Procedures'!$J$41</definedName>
    <definedName name="WP_PROC_025_W_P_REF">'Library Procedures'!$K$41</definedName>
    <definedName name="WP_PROC_025_PERFORMED_BY">'Library Procedures'!$L$41</definedName>
    <definedName name="WP_PROC_025_DATE">'Library Procedures'!$M$41</definedName>
    <definedName name="WP_PROC_025_REASON_CODE">'Library Procedures'!$N$41</definedName>
    <definedName name="WP_PROC_025_SOURCE_FACT_EVIDENCE">'Library Procedures'!$O$41</definedName>
    <definedName name="WP_PROC_025_ISSUE_DEPENDENCY_IDS">'Library Procedures'!$P$41</definedName>
    <definedName name="WP_PROC_025_COMMENT_WORK_PERFORMED">'Library Procedures'!$Q$41</definedName>
    <definedName name="WP_PROC_026_APPLICABILITY">'Library Procedures'!$A$42</definedName>
    <definedName name="WP_PROC_026_REQUIREMENT">'Library Procedures'!$B$42</definedName>
    <definedName name="WP_PROC_026_EXECUTION_STATE">'Library Procedures'!$C$42</definedName>
    <definedName name="WP_PROC_026_EVIDENCE_STATE">'Library Procedures'!$D$42</definedName>
    <definedName name="WP_PROC_026_RESULT_STATE">'Library Procedures'!$E$42</definedName>
    <definedName name="WP_PROC_026_ISSUE_STATE">'Library Procedures'!$F$42</definedName>
    <definedName name="WP_PROC_026_SIGNOFF_STATE">'Library Procedures'!$G$42</definedName>
    <definedName name="WP_PROC_026_DERIVED_OUTCOME">'Library Procedures'!$H$42</definedName>
    <definedName name="WP_PROC_026_PROCEDURE">'Library Procedures'!$I$42</definedName>
    <definedName name="WP_PROC_026_ASSERTION_S">'Library Procedures'!$J$42</definedName>
    <definedName name="WP_PROC_026_W_P_REF">'Library Procedures'!$K$42</definedName>
    <definedName name="WP_PROC_026_PERFORMED_BY">'Library Procedures'!$L$42</definedName>
    <definedName name="WP_PROC_026_DATE">'Library Procedures'!$M$42</definedName>
    <definedName name="WP_PROC_026_REASON_CODE">'Library Procedures'!$N$42</definedName>
    <definedName name="WP_PROC_026_SOURCE_FACT_EVIDENCE">'Library Procedures'!$O$42</definedName>
    <definedName name="WP_PROC_026_ISSUE_DEPENDENCY_IDS">'Library Procedures'!$P$42</definedName>
    <definedName name="WP_PROC_026_COMMENT_WORK_PERFORMED">'Library Procedures'!$Q$42</definedName>
    <definedName name="WP_PROC_027_APPLICABILITY">'Library Procedures'!$A$44</definedName>
    <definedName name="WP_PROC_027_REQUIREMENT">'Library Procedures'!$B$44</definedName>
    <definedName name="WP_PROC_027_EXECUTION_STATE">'Library Procedures'!$C$44</definedName>
    <definedName name="WP_PROC_027_EVIDENCE_STATE">'Library Procedures'!$D$44</definedName>
    <definedName name="WP_PROC_027_RESULT_STATE">'Library Procedures'!$E$44</definedName>
    <definedName name="WP_PROC_027_ISSUE_STATE">'Library Procedures'!$F$44</definedName>
    <definedName name="WP_PROC_027_SIGNOFF_STATE">'Library Procedures'!$G$44</definedName>
    <definedName name="WP_PROC_027_DERIVED_OUTCOME">'Library Procedures'!$H$44</definedName>
    <definedName name="WP_PROC_027_PROCEDURE">'Library Procedures'!$I$44</definedName>
    <definedName name="WP_PROC_027_ASSERTION_S">'Library Procedures'!$J$44</definedName>
    <definedName name="WP_PROC_027_W_P_REF">'Library Procedures'!$K$44</definedName>
    <definedName name="WP_PROC_027_PERFORMED_BY">'Library Procedures'!$L$44</definedName>
    <definedName name="WP_PROC_027_DATE">'Library Procedures'!$M$44</definedName>
    <definedName name="WP_PROC_027_REASON_CODE">'Library Procedures'!$N$44</definedName>
    <definedName name="WP_PROC_027_SOURCE_FACT_EVIDENCE">'Library Procedures'!$O$44</definedName>
    <definedName name="WP_PROC_027_ISSUE_DEPENDENCY_IDS">'Library Procedures'!$P$44</definedName>
    <definedName name="WP_PROC_027_COMMENT_WORK_PERFORMED">'Library Procedures'!$Q$44</definedName>
    <definedName name="WP_PROC_028_APPLICABILITY">'Library Procedures'!$A$45</definedName>
    <definedName name="WP_PROC_028_REQUIREMENT">'Library Procedures'!$B$45</definedName>
    <definedName name="WP_PROC_028_EXECUTION_STATE">'Library Procedures'!$C$45</definedName>
    <definedName name="WP_PROC_028_EVIDENCE_STATE">'Library Procedures'!$D$45</definedName>
    <definedName name="WP_PROC_028_RESULT_STATE">'Library Procedures'!$E$45</definedName>
    <definedName name="WP_PROC_028_ISSUE_STATE">'Library Procedures'!$F$45</definedName>
    <definedName name="WP_PROC_028_SIGNOFF_STATE">'Library Procedures'!$G$45</definedName>
    <definedName name="WP_PROC_028_DERIVED_OUTCOME">'Library Procedures'!$H$45</definedName>
    <definedName name="WP_PROC_028_PROCEDURE">'Library Procedures'!$I$45</definedName>
    <definedName name="WP_PROC_028_ASSERTION_S">'Library Procedures'!$J$45</definedName>
    <definedName name="WP_PROC_028_W_P_REF">'Library Procedures'!$K$45</definedName>
    <definedName name="WP_PROC_028_PERFORMED_BY">'Library Procedures'!$L$45</definedName>
    <definedName name="WP_PROC_028_DATE">'Library Procedures'!$M$45</definedName>
    <definedName name="WP_PROC_028_REASON_CODE">'Library Procedures'!$N$45</definedName>
    <definedName name="WP_PROC_028_SOURCE_FACT_EVIDENCE">'Library Procedures'!$O$45</definedName>
    <definedName name="WP_PROC_028_ISSUE_DEPENDENCY_IDS">'Library Procedures'!$P$45</definedName>
    <definedName name="WP_PROC_028_COMMENT_WORK_PERFORMED">'Library Procedures'!$Q$45</definedName>
    <definedName name="WP_PROC_029_APPLICABILITY">'Library Procedures'!$A$47</definedName>
    <definedName name="WP_PROC_029_REQUIREMENT">'Library Procedures'!$B$47</definedName>
    <definedName name="WP_PROC_029_EXECUTION_STATE">'Library Procedures'!$C$47</definedName>
    <definedName name="WP_PROC_029_EVIDENCE_STATE">'Library Procedures'!$D$47</definedName>
    <definedName name="WP_PROC_029_RESULT_STATE">'Library Procedures'!$E$47</definedName>
    <definedName name="WP_PROC_029_ISSUE_STATE">'Library Procedures'!$F$47</definedName>
    <definedName name="WP_PROC_029_SIGNOFF_STATE">'Library Procedures'!$G$47</definedName>
    <definedName name="WP_PROC_029_DERIVED_OUTCOME">'Library Procedures'!$H$47</definedName>
    <definedName name="WP_PROC_029_PROCEDURE">'Library Procedures'!$I$47</definedName>
    <definedName name="WP_PROC_029_ASSERTION_S">'Library Procedures'!$J$47</definedName>
    <definedName name="WP_PROC_029_W_P_REF">'Library Procedures'!$K$47</definedName>
    <definedName name="WP_PROC_029_PERFORMED_BY">'Library Procedures'!$L$47</definedName>
    <definedName name="WP_PROC_029_DATE">'Library Procedures'!$M$47</definedName>
    <definedName name="WP_PROC_029_REASON_CODE">'Library Procedures'!$N$47</definedName>
    <definedName name="WP_PROC_029_SOURCE_FACT_EVIDENCE">'Library Procedures'!$O$47</definedName>
    <definedName name="WP_PROC_029_ISSUE_DEPENDENCY_IDS">'Library Procedures'!$P$47</definedName>
    <definedName name="WP_PROC_029_COMMENT_WORK_PERFORMED">'Library Procedures'!$Q$47</definedName>
    <definedName name="WP_ANALYTIC_DEBT_GROSS_PRINCIPAL_ANCHOR">'&lt;.9&gt; Disclosures &amp; Analytics'!$A$9</definedName>
    <definedName name="WP_ANALYTIC_DEBT_GROSS_PRINCIPAL_CURRENT_VALUE">'&lt;.9&gt; Disclosures &amp; Analytics'!$B$9</definedName>
    <definedName name="WP_ANALYTIC_DEBT_GROSS_PRINCIPAL_COMPARATOR_VALUE">'&lt;.9&gt; Disclosures &amp; Analytics'!$C$9</definedName>
    <definedName name="WP_ANALYTIC_DEBT_GROSS_PRINCIPAL_CHANGE">'&lt;.9&gt; Disclosures &amp; Analytics'!$D$9</definedName>
    <definedName name="WP_ANALYTIC_DEBT_GROSS_PRINCIPAL_EXPLANATION">'&lt;.9&gt; Disclosures &amp; Analytics'!$E$9</definedName>
    <definedName name="WP_ANALYTIC_DEBT_NET_CARRYING_VALUE_ANCHOR">'&lt;.9&gt; Disclosures &amp; Analytics'!$A$10</definedName>
    <definedName name="WP_ANALYTIC_DEBT_NET_CARRYING_VALUE_CURRENT_VALUE">'&lt;.9&gt; Disclosures &amp; Analytics'!$B$10</definedName>
    <definedName name="WP_ANALYTIC_DEBT_NET_CARRYING_VALUE_COMPARATOR_VALUE">'&lt;.9&gt; Disclosures &amp; Analytics'!$C$10</definedName>
    <definedName name="WP_ANALYTIC_DEBT_NET_CARRYING_VALUE_CHANGE">'&lt;.9&gt; Disclosures &amp; Analytics'!$D$10</definedName>
    <definedName name="WP_ANALYTIC_DEBT_NET_CARRYING_VALUE_EXPLANATION">'&lt;.9&gt; Disclosures &amp; Analytics'!$E$10</definedName>
    <definedName name="WP_ANALYTIC_DEBT_WEIGHTED_AVERAGE_RATE_ANCHOR">'&lt;.9&gt; Disclosures &amp; Analytics'!$A$11</definedName>
    <definedName name="WP_ANALYTIC_DEBT_WEIGHTED_AVERAGE_RATE_CURRENT_VALUE">'&lt;.9&gt; Disclosures &amp; Analytics'!$B$11</definedName>
    <definedName name="WP_ANALYTIC_DEBT_WEIGHTED_AVERAGE_RATE_COMPARATOR_VALUE">'&lt;.9&gt; Disclosures &amp; Analytics'!$C$11</definedName>
    <definedName name="WP_ANALYTIC_DEBT_WEIGHTED_AVERAGE_RATE_CHANGE">'&lt;.9&gt; Disclosures &amp; Analytics'!$D$11</definedName>
    <definedName name="WP_ANALYTIC_DEBT_WEIGHTED_AVERAGE_RATE_EXPLANATION">'&lt;.9&gt; Disclosures &amp; Analytics'!$E$11</definedName>
    <definedName name="WP_ANALYTIC_DEBT_INTEREST_EXPENSE_ANCHOR">'&lt;.9&gt; Disclosures &amp; Analytics'!$A$12</definedName>
    <definedName name="WP_ANALYTIC_DEBT_INTEREST_EXPENSE_CURRENT_VALUE">'&lt;.9&gt; Disclosures &amp; Analytics'!$B$12</definedName>
    <definedName name="WP_ANALYTIC_DEBT_INTEREST_EXPENSE_COMPARATOR_VALUE">'&lt;.9&gt; Disclosures &amp; Analytics'!$C$12</definedName>
    <definedName name="WP_ANALYTIC_DEBT_INTEREST_EXPENSE_CHANGE">'&lt;.9&gt; Disclosures &amp; Analytics'!$D$12</definedName>
    <definedName name="WP_ANALYTIC_DEBT_INTEREST_EXPENSE_EXPLANATION">'&lt;.9&gt; Disclosures &amp; Analytics'!$E$12</definedName>
    <definedName name="WP_ANALYTIC_DEBT_DEBT_TO_EBITDA_ANCHOR">'&lt;.9&gt; Disclosures &amp; Analytics'!$A$13</definedName>
    <definedName name="WP_ANALYTIC_DEBT_DEBT_TO_EBITDA_CURRENT_VALUE">'&lt;.9&gt; Disclosures &amp; Analytics'!$B$13</definedName>
    <definedName name="WP_ANALYTIC_DEBT_DEBT_TO_EBITDA_COMPARATOR_VALUE">'&lt;.9&gt; Disclosures &amp; Analytics'!$C$13</definedName>
    <definedName name="WP_ANALYTIC_DEBT_DEBT_TO_EBITDA_CHANGE">'&lt;.9&gt; Disclosures &amp; Analytics'!$D$13</definedName>
    <definedName name="WP_ANALYTIC_DEBT_DEBT_TO_EBITDA_EXPLANATION">'&lt;.9&gt; Disclosures &amp; Analytics'!$E$13</definedName>
    <definedName name="WP_ANALYTIC_DEBT_UNUSED_AVAILABILITY_ANCHOR">'&lt;.9&gt; Disclosures &amp; Analytics'!$A$14</definedName>
    <definedName name="WP_ANALYTIC_DEBT_UNUSED_AVAILABILITY_CURRENT_VALUE">'&lt;.9&gt; Disclosures &amp; Analytics'!$B$14</definedName>
    <definedName name="WP_ANALYTIC_DEBT_UNUSED_AVAILABILITY_COMPARATOR_VALUE">'&lt;.9&gt; Disclosures &amp; Analytics'!$C$14</definedName>
    <definedName name="WP_ANALYTIC_DEBT_UNUSED_AVAILABILITY_CHANGE">'&lt;.9&gt; Disclosures &amp; Analytics'!$D$14</definedName>
    <definedName name="WP_ANALYTIC_DEBT_UNUSED_AVAILABILITY_EXPLANATION">'&lt;.9&gt; Disclosures &amp; Analytics'!$E$14</definedName>
    <definedName name="WP_DISCLOSURE_DEBT_TERMS_ANCHOR">'&lt;.9&gt; Disclosures &amp; Analytics'!$A$18</definedName>
    <definedName name="WP_DISCLOSURE_DEBT_TERMS_RELEVANT">'&lt;.9&gt; Disclosures &amp; Analytics'!$B$18</definedName>
    <definedName name="WP_DISCLOSURE_DEBT_TERMS_SOURCE_REFERENCE">'&lt;.9&gt; Disclosures &amp; Analytics'!$C$18</definedName>
    <definedName name="WP_DISCLOSURE_DEBT_TERMS_CONCLUSION">'&lt;.9&gt; Disclosures &amp; Analytics'!$D$18</definedName>
    <definedName name="WP_DISCLOSURE_DEBT_TERMS_COMMENTS">'&lt;.9&gt; Disclosures &amp; Analytics'!$E$18</definedName>
    <definedName name="WP_DISCLOSURE_DEBT_MATURITIES_ANCHOR">'&lt;.9&gt; Disclosures &amp; Analytics'!$A$19</definedName>
    <definedName name="WP_DISCLOSURE_DEBT_MATURITIES_RELEVANT">'&lt;.9&gt; Disclosures &amp; Analytics'!$B$19</definedName>
    <definedName name="WP_DISCLOSURE_DEBT_MATURITIES_SOURCE_REFERENCE">'&lt;.9&gt; Disclosures &amp; Analytics'!$C$19</definedName>
    <definedName name="WP_DISCLOSURE_DEBT_MATURITIES_CONCLUSION">'&lt;.9&gt; Disclosures &amp; Analytics'!$D$19</definedName>
    <definedName name="WP_DISCLOSURE_DEBT_MATURITIES_COMMENTS">'&lt;.9&gt; Disclosures &amp; Analytics'!$E$19</definedName>
    <definedName name="WP_DISCLOSURE_DEBT_COLLATERAL_ANCHOR">'&lt;.9&gt; Disclosures &amp; Analytics'!$A$20</definedName>
    <definedName name="WP_DISCLOSURE_DEBT_COLLATERAL_RELEVANT">'&lt;.9&gt; Disclosures &amp; Analytics'!$B$20</definedName>
    <definedName name="WP_DISCLOSURE_DEBT_COLLATERAL_SOURCE_REFERENCE">'&lt;.9&gt; Disclosures &amp; Analytics'!$C$20</definedName>
    <definedName name="WP_DISCLOSURE_DEBT_COLLATERAL_CONCLUSION">'&lt;.9&gt; Disclosures &amp; Analytics'!$D$20</definedName>
    <definedName name="WP_DISCLOSURE_DEBT_COLLATERAL_COMMENTS">'&lt;.9&gt; Disclosures &amp; Analytics'!$E$20</definedName>
    <definedName name="WP_DISCLOSURE_DEBT_ISSUANCE_COSTS_ANCHOR">'&lt;.9&gt; Disclosures &amp; Analytics'!$A$21</definedName>
    <definedName name="WP_DISCLOSURE_DEBT_ISSUANCE_COSTS_RELEVANT">'&lt;.9&gt; Disclosures &amp; Analytics'!$B$21</definedName>
    <definedName name="WP_DISCLOSURE_DEBT_ISSUANCE_COSTS_SOURCE_REFERENCE">'&lt;.9&gt; Disclosures &amp; Analytics'!$C$21</definedName>
    <definedName name="WP_DISCLOSURE_DEBT_ISSUANCE_COSTS_CONCLUSION">'&lt;.9&gt; Disclosures &amp; Analytics'!$D$21</definedName>
    <definedName name="WP_DISCLOSURE_DEBT_ISSUANCE_COSTS_COMMENTS">'&lt;.9&gt; Disclosures &amp; Analytics'!$E$21</definedName>
    <definedName name="WP_DISCLOSURE_DEBT_UNUSED_AVAILABILITY_ANCHOR">'&lt;.9&gt; Disclosures &amp; Analytics'!$A$22</definedName>
    <definedName name="WP_DISCLOSURE_DEBT_UNUSED_AVAILABILITY_RELEVANT">'&lt;.9&gt; Disclosures &amp; Analytics'!$B$22</definedName>
    <definedName name="WP_DISCLOSURE_DEBT_UNUSED_AVAILABILITY_SOURCE_REFERENCE">'&lt;.9&gt; Disclosures &amp; Analytics'!$C$22</definedName>
    <definedName name="WP_DISCLOSURE_DEBT_UNUSED_AVAILABILITY_CONCLUSION">'&lt;.9&gt; Disclosures &amp; Analytics'!$D$22</definedName>
    <definedName name="WP_DISCLOSURE_DEBT_UNUSED_AVAILABILITY_COMMENTS">'&lt;.9&gt; Disclosures &amp; Analytics'!$E$22</definedName>
    <definedName name="WP_DISCLOSURE_DEBT_COVENANT_WAIVER_ANCHOR">'&lt;.9&gt; Disclosures &amp; Analytics'!$A$23</definedName>
    <definedName name="WP_DISCLOSURE_DEBT_COVENANT_WAIVER_RELEVANT">'&lt;.9&gt; Disclosures &amp; Analytics'!$B$23</definedName>
    <definedName name="WP_DISCLOSURE_DEBT_COVENANT_WAIVER_SOURCE_REFERENCE">'&lt;.9&gt; Disclosures &amp; Analytics'!$C$23</definedName>
    <definedName name="WP_DISCLOSURE_DEBT_COVENANT_WAIVER_CONCLUSION">'&lt;.9&gt; Disclosures &amp; Analytics'!$D$23</definedName>
    <definedName name="WP_DISCLOSURE_DEBT_COVENANT_WAIVER_COMMENTS">'&lt;.9&gt; Disclosures &amp; Analytics'!$E$23</definedName>
    <definedName name="WP_DISCLOSURE_DEBT_SUBSEQUENT_REFINANCING_ANCHOR">'&lt;.9&gt; Disclosures &amp; Analytics'!$A$24</definedName>
    <definedName name="WP_DISCLOSURE_DEBT_SUBSEQUENT_REFINANCING_RELEVANT">'&lt;.9&gt; Disclosures &amp; Analytics'!$B$24</definedName>
    <definedName name="WP_DISCLOSURE_DEBT_SUBSEQUENT_REFINANCING_SOURCE_REFERENCE">'&lt;.9&gt; Disclosures &amp; Analytics'!$C$24</definedName>
    <definedName name="WP_DISCLOSURE_DEBT_SUBSEQUENT_REFINANCING_CONCLUSION">'&lt;.9&gt; Disclosures &amp; Analytics'!$D$24</definedName>
    <definedName name="WP_DISCLOSURE_DEBT_SUBSEQUENT_REFINANCING_COMMENTS">'&lt;.9&gt; Disclosures &amp; Analytics'!$E$24</definedName>
    <definedName name="WP_DISCLOSURE_DEBT_FAIR_VALUE_ANCHOR">'&lt;.9&gt; Disclosures &amp; Analytics'!$A$25</definedName>
    <definedName name="WP_DISCLOSURE_DEBT_FAIR_VALUE_RELEVANT">'&lt;.9&gt; Disclosures &amp; Analytics'!$B$25</definedName>
    <definedName name="WP_DISCLOSURE_DEBT_FAIR_VALUE_SOURCE_REFERENCE">'&lt;.9&gt; Disclosures &amp; Analytics'!$C$25</definedName>
    <definedName name="WP_DISCLOSURE_DEBT_FAIR_VALUE_CONCLUSION">'&lt;.9&gt; Disclosures &amp; Analytics'!$D$25</definedName>
    <definedName name="WP_DISCLOSURE_DEBT_FAIR_VALUE_COMMENTS">'&lt;.9&gt; Disclosures &amp; Analytics'!$E$25</definedName>
    <definedName name="WP_DISCLOSURE_DEBT_RELATED_PARTY_ANCHOR">'&lt;.9&gt; Disclosures &amp; Analytics'!$A$26</definedName>
    <definedName name="WP_DISCLOSURE_DEBT_RELATED_PARTY_RELEVANT">'&lt;.9&gt; Disclosures &amp; Analytics'!$B$26</definedName>
    <definedName name="WP_DISCLOSURE_DEBT_RELATED_PARTY_SOURCE_REFERENCE">'&lt;.9&gt; Disclosures &amp; Analytics'!$C$26</definedName>
    <definedName name="WP_DISCLOSURE_DEBT_RELATED_PARTY_CONCLUSION">'&lt;.9&gt; Disclosures &amp; Analytics'!$D$26</definedName>
    <definedName name="WP_DISCLOSURE_DEBT_RELATED_PARTY_COMMENTS">'&lt;.9&gt; Disclosures &amp; Analytics'!$E$26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_xlnm._FilterDatabase" localSheetId="0" hidden="1">'Library Procedures'!$A$6:$Q$47</definedName>
    <definedName name="_xlnm.Print_Titles" localSheetId="0">'Library Procedures'!$1:$6</definedName>
    <definedName name="_xlnm.Print_Area" localSheetId="0">'Library Procedures'!$A$1:$Q$47</definedName>
    <definedName name="_xlnm.Print_Area" localSheetId="1">'&lt;.0&gt; Source Index'!$A$1:$H$32</definedName>
    <definedName name="_xlnm.Print_Area" localSheetId="2">'&lt;.1&gt; Debt Lead &amp; Rollforward'!$A$1:$O$32</definedName>
    <definedName name="_xlnm.Print_Area" localSheetId="3">'&lt;.2&gt; Lender Confirmation'!$A$1:$P$32</definedName>
    <definedName name="_xlnm.Print_Titles" localSheetId="4">'&lt;.3&gt; Interest &amp; Accrued'!$1:$7</definedName>
    <definedName name="_xlnm.Print_Area" localSheetId="4">'&lt;.3&gt; Interest &amp; Accrued'!$A$1:$I$50</definedName>
    <definedName name="_xlnm.Print_Titles" localSheetId="5">'&lt;.4&gt; Maturities &amp; Class.'!$1:$7</definedName>
    <definedName name="_xlnm.Print_Area" localSheetId="5">'&lt;.4&gt; Maturities &amp; Class.'!$A$1:$I$42</definedName>
    <definedName name="_xlnm.Print_Titles" localSheetId="6">'&lt;.5&gt; Agreements &amp; Additions'!$1:$7</definedName>
    <definedName name="_xlnm.Print_Area" localSheetId="6">'&lt;.5&gt; Agreements &amp; Additions'!$A$1:$L$52</definedName>
    <definedName name="_xlnm.Print_Titles" localSheetId="7">'&lt;.6&gt; Debt Issuance Costs'!$1:$7</definedName>
    <definedName name="_xlnm.Print_Area" localSheetId="7">'&lt;.6&gt; Debt Issuance Costs'!$A$1:$K$74</definedName>
    <definedName name="_xlnm.Print_Titles" localSheetId="8">'&lt;.7&gt; Modification &amp; Extinguish'!$1:$7</definedName>
    <definedName name="_xlnm.Print_Area" localSheetId="8">'&lt;.7&gt; Modification &amp; Extinguish'!$A$1:$I$43</definedName>
    <definedName name="_xlnm.Print_Area" localSheetId="9">'&lt;.8&gt; Covenants'!$A$1:$L$29</definedName>
    <definedName name="_xlnm.Print_Area" localSheetId="10">'&lt;.9&gt; Disclosures &amp; Analytics'!$A$1:$H$39</definedName>
    <definedName name="_xlnm.Print_Area" localSheetId="11">'Planning Context'!$A$1:$B$21</definedName>
    <definedName name="_xlnm.Print_Area" localSheetId="12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0.000%"/>
    <numFmt numFmtId="165" formatCode="0.000"/>
    <numFmt numFmtId="166" formatCode="yyyy-mm-dd"/>
    <numFmt numFmtId="167" formatCode="m/d/yyyy"/>
  </numFmts>
  <fonts count="32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A32020"/>
      <sz val="10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9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charset val="1"/>
      <b val="1"/>
      <color rgb="FFA32020"/>
      <sz val="10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118">
    <xf numFmtId="0" fontId="0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3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4" fontId="3" fillId="0" borderId="1" pivotButton="0" quotePrefix="0" xfId="0"/>
    <xf numFmtId="0" fontId="9" fillId="3" borderId="1" pivotButton="0" quotePrefix="0" xfId="0"/>
    <xf numFmtId="4" fontId="9" fillId="3" borderId="1" pivotButton="0" quotePrefix="0" xfId="0"/>
    <xf numFmtId="0" fontId="10" fillId="0" borderId="0" pivotButton="0" quotePrefix="0" xfId="0"/>
    <xf numFmtId="164" fontId="3" fillId="0" borderId="1" pivotButton="0" quotePrefix="0" xfId="0"/>
    <xf numFmtId="0" fontId="2" fillId="0" borderId="1" pivotButton="0" quotePrefix="0" xfId="0"/>
    <xf numFmtId="4" fontId="2" fillId="3" borderId="1" pivotButton="0" quotePrefix="0" xfId="0"/>
    <xf numFmtId="0" fontId="2" fillId="3" borderId="1" pivotButton="0" quotePrefix="0" xfId="0"/>
    <xf numFmtId="165" fontId="3" fillId="0" borderId="1" pivotButton="0" quotePrefix="0" xfId="0"/>
    <xf numFmtId="10" fontId="3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2" fontId="3" fillId="0" borderId="1" pivotButton="0" quotePrefix="0" xfId="0"/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4" fillId="0" borderId="2" pivotButton="0" quotePrefix="0" xfId="0"/>
    <xf numFmtId="4" fontId="3" fillId="0" borderId="4" pivotButton="0" quotePrefix="0" xfId="0"/>
    <xf numFmtId="0" fontId="2" fillId="0" borderId="5" pivotButton="0" quotePrefix="0" xfId="0"/>
    <xf numFmtId="0" fontId="2" fillId="0" borderId="3" pivotButton="0" quotePrefix="0" xfId="0"/>
    <xf numFmtId="0" fontId="3" fillId="0" borderId="2" pivotButton="0" quotePrefix="0" xfId="0"/>
    <xf numFmtId="0" fontId="2" fillId="0" borderId="6" pivotButton="0" quotePrefix="0" xfId="0"/>
    <xf numFmtId="0" fontId="9" fillId="3" borderId="1" applyAlignment="1" pivotButton="0" quotePrefix="0" xfId="0">
      <alignment wrapText="1"/>
    </xf>
    <xf numFmtId="0" fontId="11" fillId="2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3" fillId="0" borderId="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3" fillId="0" borderId="7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16" fillId="0" borderId="0" applyAlignment="1" pivotButton="0" quotePrefix="0" xfId="0">
      <alignment vertical="top" wrapText="1"/>
    </xf>
    <xf numFmtId="0" fontId="20" fillId="0" borderId="0" pivotButton="0" quotePrefix="0" xfId="0"/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9" fillId="2" borderId="1" applyAlignment="1" pivotButton="0" quotePrefix="0" xfId="0">
      <alignment horizontal="left" vertical="center" wrapText="1"/>
    </xf>
    <xf numFmtId="0" fontId="19" fillId="2" borderId="1" pivotButton="0" quotePrefix="0" xfId="0"/>
    <xf numFmtId="0" fontId="19" fillId="2" borderId="0" pivotButton="0" quotePrefix="0" xfId="0"/>
    <xf numFmtId="0" fontId="17" fillId="0" borderId="1" applyAlignment="1" pivotButton="0" quotePrefix="0" xfId="0">
      <alignment vertical="top" wrapText="1"/>
    </xf>
    <xf numFmtId="0" fontId="20" fillId="0" borderId="1" applyAlignment="1" pivotButton="0" quotePrefix="0" xfId="0">
      <alignment vertical="top" wrapText="1"/>
    </xf>
    <xf numFmtId="167" fontId="20" fillId="0" borderId="1" applyAlignment="1" pivotButton="0" quotePrefix="0" xfId="0">
      <alignment vertical="top" wrapText="1"/>
    </xf>
    <xf numFmtId="0" fontId="19" fillId="2" borderId="0" applyAlignment="1" pivotButton="0" quotePrefix="0" xfId="0">
      <alignment vertical="top" wrapText="1"/>
    </xf>
    <xf numFmtId="0" fontId="16" fillId="0" borderId="0" pivotButton="0" quotePrefix="0" xfId="0"/>
    <xf numFmtId="0" fontId="21" fillId="0" borderId="0" pivotButton="0" quotePrefix="0" xfId="0"/>
    <xf numFmtId="167" fontId="17" fillId="0" borderId="0" pivotButton="0" quotePrefix="0" xfId="0"/>
    <xf numFmtId="0" fontId="17" fillId="0" borderId="0" pivotButton="0" quotePrefix="0" xfId="0"/>
    <xf numFmtId="0" fontId="21" fillId="0" borderId="0" applyAlignment="1" pivotButton="0" quotePrefix="0" xfId="0">
      <alignment vertical="top" wrapText="1"/>
    </xf>
    <xf numFmtId="4" fontId="17" fillId="0" borderId="0" pivotButton="0" quotePrefix="0" xfId="0"/>
    <xf numFmtId="0" fontId="22" fillId="0" borderId="2" pivotButton="0" quotePrefix="0" xfId="0"/>
    <xf numFmtId="0" fontId="17" fillId="0" borderId="2" applyAlignment="1" pivotButton="0" quotePrefix="0" xfId="0">
      <alignment horizontal="left" vertical="center" wrapText="1"/>
    </xf>
    <xf numFmtId="0" fontId="20" fillId="0" borderId="13" pivotButton="0" quotePrefix="0" xfId="0"/>
    <xf numFmtId="0" fontId="20" fillId="0" borderId="14" pivotButton="0" quotePrefix="0" xfId="0"/>
    <xf numFmtId="0" fontId="23" fillId="2" borderId="3" applyAlignment="1" pivotButton="0" quotePrefix="0" xfId="0">
      <alignment horizontal="center" vertical="center" wrapText="1"/>
    </xf>
    <xf numFmtId="0" fontId="17" fillId="0" borderId="1" pivotButton="0" quotePrefix="0" xfId="0"/>
    <xf numFmtId="0" fontId="22" fillId="0" borderId="0" pivotButton="0" quotePrefix="0" xfId="0"/>
    <xf numFmtId="0" fontId="24" fillId="0" borderId="1" applyAlignment="1" pivotButton="0" quotePrefix="0" xfId="0">
      <alignment horizontal="center" vertical="center"/>
    </xf>
    <xf numFmtId="0" fontId="20" fillId="0" borderId="10" pivotButton="0" quotePrefix="0" xfId="0"/>
    <xf numFmtId="0" fontId="20" fillId="0" borderId="4" pivotButton="0" quotePrefix="0" xfId="0"/>
    <xf numFmtId="0" fontId="25" fillId="0" borderId="0" applyAlignment="1" pivotButton="0" quotePrefix="0" xfId="0">
      <alignment horizontal="center" vertical="center"/>
    </xf>
    <xf numFmtId="4" fontId="17" fillId="0" borderId="1" pivotButton="0" quotePrefix="0" xfId="0"/>
    <xf numFmtId="4" fontId="17" fillId="0" borderId="1" applyAlignment="1" pivotButton="0" quotePrefix="0" xfId="0">
      <alignment vertical="top" wrapText="1"/>
    </xf>
    <xf numFmtId="0" fontId="26" fillId="3" borderId="1" pivotButton="0" quotePrefix="0" xfId="0"/>
    <xf numFmtId="4" fontId="26" fillId="3" borderId="1" pivotButton="0" quotePrefix="0" xfId="0"/>
    <xf numFmtId="0" fontId="27" fillId="0" borderId="0" applyAlignment="1" pivotButton="0" quotePrefix="0" xfId="0">
      <alignment vertical="top" wrapText="1"/>
    </xf>
    <xf numFmtId="0" fontId="23" fillId="2" borderId="1" applyAlignment="1" pivotButton="0" quotePrefix="0" xfId="0">
      <alignment horizontal="center" vertical="center" wrapText="1"/>
    </xf>
    <xf numFmtId="164" fontId="17" fillId="0" borderId="1" pivotButton="0" quotePrefix="0" xfId="0"/>
    <xf numFmtId="0" fontId="21" fillId="0" borderId="5" applyAlignment="1" pivotButton="0" quotePrefix="0" xfId="0">
      <alignment vertical="top" wrapText="1"/>
    </xf>
    <xf numFmtId="4" fontId="21" fillId="3" borderId="1" pivotButton="0" quotePrefix="0" xfId="0"/>
    <xf numFmtId="0" fontId="17" fillId="0" borderId="2" applyAlignment="1" pivotButton="0" quotePrefix="0" xfId="0">
      <alignment vertical="top" wrapText="1"/>
    </xf>
    <xf numFmtId="4" fontId="17" fillId="0" borderId="4" pivotButton="0" quotePrefix="0" xfId="0"/>
    <xf numFmtId="0" fontId="21" fillId="0" borderId="6" pivotButton="0" quotePrefix="0" xfId="0"/>
    <xf numFmtId="0" fontId="21" fillId="0" borderId="3" applyAlignment="1" pivotButton="0" quotePrefix="0" xfId="0">
      <alignment vertical="top" wrapText="1"/>
    </xf>
    <xf numFmtId="0" fontId="21" fillId="3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17" fillId="0" borderId="0" applyAlignment="1" pivotButton="0" quotePrefix="0" xfId="0">
      <alignment horizontal="left" vertical="center" wrapText="1"/>
    </xf>
    <xf numFmtId="0" fontId="26" fillId="3" borderId="1" applyAlignment="1" pivotButton="0" quotePrefix="0" xfId="0">
      <alignment vertical="top" wrapText="1"/>
    </xf>
    <xf numFmtId="0" fontId="18" fillId="0" borderId="0" pivotButton="0" quotePrefix="0" xfId="0"/>
    <xf numFmtId="165" fontId="17" fillId="0" borderId="1" pivotButton="0" quotePrefix="0" xfId="0"/>
    <xf numFmtId="0" fontId="27" fillId="0" borderId="0" pivotButton="0" quotePrefix="0" xfId="0"/>
    <xf numFmtId="10" fontId="17" fillId="0" borderId="1" applyAlignment="1" pivotButton="0" quotePrefix="0" xfId="0">
      <alignment vertical="top" wrapText="1"/>
    </xf>
    <xf numFmtId="0" fontId="23" fillId="2" borderId="7" applyAlignment="1" pivotButton="0" quotePrefix="0" xfId="0">
      <alignment horizontal="center" vertical="center" wrapText="1"/>
    </xf>
    <xf numFmtId="0" fontId="23" fillId="2" borderId="2" applyAlignment="1" pivotButton="0" quotePrefix="0" xfId="0">
      <alignment vertical="center" wrapText="1"/>
    </xf>
    <xf numFmtId="0" fontId="21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/>
    </xf>
    <xf numFmtId="4" fontId="17" fillId="0" borderId="1" applyAlignment="1" pivotButton="0" quotePrefix="0" xfId="0">
      <alignment horizontal="right" vertical="center"/>
    </xf>
    <xf numFmtId="0" fontId="17" fillId="0" borderId="7" applyAlignment="1" pivotButton="0" quotePrefix="0" xfId="0">
      <alignment horizontal="center" vertical="center"/>
    </xf>
    <xf numFmtId="0" fontId="18" fillId="0" borderId="0" applyAlignment="1" pivotButton="0" quotePrefix="0" xfId="0">
      <alignment wrapText="1"/>
    </xf>
    <xf numFmtId="2" fontId="17" fillId="0" borderId="1" applyAlignment="1" pivotButton="0" quotePrefix="0" xfId="0">
      <alignment vertical="top" wrapText="1"/>
    </xf>
    <xf numFmtId="2" fontId="17" fillId="0" borderId="1" pivotButton="0" quotePrefix="0" xfId="0"/>
    <xf numFmtId="0" fontId="20" fillId="0" borderId="0" applyAlignment="1" pivotButton="0" quotePrefix="0" xfId="0">
      <alignment vertical="top" wrapText="1"/>
    </xf>
    <xf numFmtId="167" fontId="20" fillId="0" borderId="0" pivotButton="0" quotePrefix="0" xfId="0"/>
    <xf numFmtId="4" fontId="20" fillId="0" borderId="0" pivotButton="0" quotePrefix="0" xfId="0"/>
    <xf numFmtId="0" fontId="28" fillId="4" borderId="0" applyAlignment="1" pivotButton="0" quotePrefix="0" xfId="0">
      <alignment horizontal="left" vertical="center" wrapText="1"/>
    </xf>
    <xf numFmtId="0" fontId="29" fillId="5" borderId="15" pivotButton="0" quotePrefix="0" xfId="0"/>
    <xf numFmtId="0" fontId="30" fillId="0" borderId="15" pivotButton="0" quotePrefix="0" xfId="0"/>
    <xf numFmtId="0" fontId="30" fillId="0" borderId="15" applyAlignment="1" pivotButton="0" quotePrefix="0" xfId="0">
      <alignment vertical="top" wrapText="1"/>
    </xf>
    <xf numFmtId="167" fontId="30" fillId="0" borderId="15" pivotButton="0" quotePrefix="0" xfId="0"/>
    <xf numFmtId="0" fontId="31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47"/>
  <sheetViews>
    <sheetView showGridLines="0" tabSelected="1" zoomScale="90" zoomScaleNormal="100" workbookViewId="0">
      <pane xSplit="8" ySplit="6" topLeftCell="I7" activePane="bottomRight" state="frozen"/>
      <selection pane="topRight"/>
      <selection pane="bottomLeft"/>
      <selection pane="bottomRight" activeCell="B34" sqref="B34"/>
    </sheetView>
  </sheetViews>
  <sheetFormatPr baseColWidth="8" defaultColWidth="8.6328125" defaultRowHeight="14.5"/>
  <cols>
    <col width="42" customWidth="1" style="41" min="1" max="1"/>
    <col width="15" customWidth="1" style="41" min="2" max="2"/>
    <col width="15" customWidth="1" style="41" min="3" max="3"/>
    <col width="17" customWidth="1" style="41" min="4" max="4"/>
    <col width="18" customWidth="1" style="41" min="5" max="5"/>
    <col width="14" customWidth="1" style="41" min="6" max="6"/>
    <col width="14" customWidth="1" style="41" min="7" max="7"/>
    <col width="42" customWidth="1" style="41" min="8" max="8"/>
    <col width="88" customWidth="1" style="41" min="9" max="9"/>
    <col width="41.95" customWidth="1" style="41" min="10" max="10"/>
    <col width="14" customWidth="1" style="41" min="11" max="11"/>
    <col width="18" customWidth="1" style="41" min="12" max="12"/>
    <col width="14" customWidth="1" style="41" min="13" max="13"/>
    <col width="18" customWidth="1" style="41" min="14" max="14"/>
    <col width="34" customWidth="1" style="41" min="15" max="15"/>
    <col width="42" customWidth="1" style="41" min="16" max="16"/>
    <col width="64" customWidth="1" style="41" min="17" max="17"/>
  </cols>
  <sheetData>
    <row r="1" ht="17.5" customHeight="1" s="41">
      <c r="A1" s="50" t="inlineStr">
        <is>
          <t>Debt — Library of Audit Procedures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</row>
    <row r="2">
      <c r="A2" s="52" t="inlineStr">
        <is>
          <t>Client / Entity: Vaquite Industries, Inc.</t>
        </is>
      </c>
      <c r="B2" s="51" t="n"/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</row>
    <row r="3" ht="40.5" customHeight="1" s="41">
      <c r="A3" s="52" t="inlineStr">
        <is>
          <t>Prepared by: Audit Senior 80A0 (assigned)      Reviewed by: Audit Manager 403F (assigned)</t>
        </is>
      </c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</row>
    <row r="4" ht="25.5" customHeight="1" s="41">
      <c r="A4" s="53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51" t="n"/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</row>
    <row r="5">
      <c r="A5" s="51" t="n"/>
      <c r="B5" s="51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</row>
    <row r="6" ht="19.5" customHeight="1" s="41">
      <c r="A6" s="54" t="inlineStr">
        <is>
          <t>Applicability</t>
        </is>
      </c>
      <c r="B6" s="54" t="inlineStr">
        <is>
          <t>Requirement</t>
        </is>
      </c>
      <c r="C6" s="54" t="inlineStr">
        <is>
          <t>Execution state</t>
        </is>
      </c>
      <c r="D6" s="54" t="inlineStr">
        <is>
          <t>Evidence state</t>
        </is>
      </c>
      <c r="E6" s="54" t="inlineStr">
        <is>
          <t>Result state</t>
        </is>
      </c>
      <c r="F6" s="54" t="inlineStr">
        <is>
          <t>Issue state</t>
        </is>
      </c>
      <c r="G6" s="54" t="inlineStr">
        <is>
          <t>Signoff state</t>
        </is>
      </c>
      <c r="H6" s="54" t="inlineStr">
        <is>
          <t>Derived outcome</t>
        </is>
      </c>
      <c r="I6" s="54" t="inlineStr">
        <is>
          <t>Procedure</t>
        </is>
      </c>
      <c r="J6" s="54" t="inlineStr">
        <is>
          <t>Assertion(s)</t>
        </is>
      </c>
      <c r="K6" s="54" t="inlineStr">
        <is>
          <t>W/P Ref</t>
        </is>
      </c>
      <c r="L6" s="54" t="inlineStr">
        <is>
          <t>Performed by</t>
        </is>
      </c>
      <c r="M6" s="54" t="inlineStr">
        <is>
          <t>Date</t>
        </is>
      </c>
      <c r="N6" s="54" t="inlineStr">
        <is>
          <t>Reason code</t>
        </is>
      </c>
      <c r="O6" s="54" t="inlineStr">
        <is>
          <t>Source fact / evidence</t>
        </is>
      </c>
      <c r="P6" s="54" t="inlineStr">
        <is>
          <t>Issue / dependency IDs</t>
        </is>
      </c>
      <c r="Q6" s="54" t="inlineStr">
        <is>
          <t>Comment / Work performed</t>
        </is>
      </c>
    </row>
    <row r="7">
      <c r="A7" s="55" t="n"/>
      <c r="B7" s="51" t="n"/>
      <c r="C7" s="51" t="n"/>
      <c r="D7" s="51" t="n"/>
      <c r="E7" s="51" t="n"/>
      <c r="F7" s="51" t="n"/>
      <c r="G7" s="51" t="n"/>
      <c r="H7" s="51" t="n"/>
      <c r="I7" s="56" t="inlineStr">
        <is>
          <t>&lt;.0&gt; Source Index</t>
        </is>
      </c>
      <c r="J7" s="51" t="n"/>
      <c r="K7" s="51" t="n"/>
      <c r="L7" s="51" t="n"/>
      <c r="M7" s="51" t="n"/>
      <c r="N7" s="51" t="n"/>
      <c r="O7" s="51" t="n"/>
      <c r="P7" s="51" t="n"/>
      <c r="Q7" s="51" t="n"/>
    </row>
    <row r="8" ht="120" customHeight="1" s="41">
      <c r="A8" s="57" t="inlineStr">
        <is>
          <t>Applicable</t>
        </is>
      </c>
      <c r="B8" s="57" t="inlineStr">
        <is>
          <t>Required</t>
        </is>
      </c>
      <c r="C8" s="57" t="inlineStr">
        <is>
          <t>Not Started</t>
        </is>
      </c>
      <c r="D8" s="57" t="inlineStr">
        <is>
          <t>Missing</t>
        </is>
      </c>
      <c r="E8" s="57" t="inlineStr">
        <is>
          <t>Unable to Conclude</t>
        </is>
      </c>
      <c r="F8" s="57" t="inlineStr">
        <is>
          <t>None</t>
        </is>
      </c>
      <c r="G8" s="58" t="inlineStr">
        <is>
          <t>Unsigned</t>
        </is>
      </c>
      <c r="H8" s="58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58" t="inlineStr">
        <is>
          <t>1. Obtain and index all debt PBC sources (facility listing, executed agreements &amp; amendments, lender statements / confirmations, amortization &amp; maturity schedules, covenant certificates &amp; calculations, closing / fee statements, board minutes); document limitations.</t>
        </is>
      </c>
      <c r="J8" s="58" t="inlineStr">
        <is>
          <t>Completeness</t>
        </is>
      </c>
      <c r="K8" s="58" t="inlineStr">
        <is>
          <t>&lt;.0&gt;</t>
        </is>
      </c>
      <c r="L8" s="58" t="n"/>
      <c r="M8" s="59" t="n"/>
      <c r="N8" s="58" t="n"/>
      <c r="O8" s="58" t="n"/>
      <c r="P8" s="58" t="inlineStr">
        <is>
          <t>PROC:PROC-DEBT; WINDOW:WIN-CONFIRMATION-CONTROL</t>
        </is>
      </c>
      <c r="Q8" s="58" t="n"/>
    </row>
    <row r="9">
      <c r="A9" s="55" t="n"/>
      <c r="B9" s="51" t="n"/>
      <c r="C9" s="51" t="n"/>
      <c r="D9" s="51" t="n"/>
      <c r="E9" s="51" t="n"/>
      <c r="F9" s="51" t="n"/>
      <c r="G9" s="51" t="n"/>
      <c r="H9" s="51" t="n"/>
      <c r="I9" s="60" t="inlineStr">
        <is>
          <t>&lt;.1&gt; Debt Lead &amp; Rollforward</t>
        </is>
      </c>
      <c r="J9" s="51" t="n"/>
      <c r="K9" s="51" t="n"/>
      <c r="L9" s="51" t="n"/>
      <c r="M9" s="51" t="n"/>
      <c r="N9" s="51" t="n"/>
      <c r="O9" s="51" t="n"/>
      <c r="P9" s="51" t="n"/>
      <c r="Q9" s="51" t="n"/>
    </row>
    <row r="10" ht="120" customHeight="1" s="41">
      <c r="A10" s="57" t="inlineStr">
        <is>
          <t>Applicable</t>
        </is>
      </c>
      <c r="B10" s="57" t="inlineStr">
        <is>
          <t>Required</t>
        </is>
      </c>
      <c r="C10" s="57" t="inlineStr">
        <is>
          <t>Not Started</t>
        </is>
      </c>
      <c r="D10" s="57" t="inlineStr">
        <is>
          <t>Missing</t>
        </is>
      </c>
      <c r="E10" s="57" t="inlineStr">
        <is>
          <t>Unable to Conclude</t>
        </is>
      </c>
      <c r="F10" s="57" t="inlineStr">
        <is>
          <t>None</t>
        </is>
      </c>
      <c r="G10" s="58" t="inlineStr">
        <is>
          <t>Unsigned</t>
        </is>
      </c>
      <c r="H10" s="58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58" t="inlineStr">
        <is>
          <t>2. Build the debt population from the loan listing, agree ending principal to the trial balance, and bridge the opening balance to the prior-year TB closing balance.</t>
        </is>
      </c>
      <c r="J10" s="58" t="inlineStr">
        <is>
          <t>Completeness; Existence</t>
        </is>
      </c>
      <c r="K10" s="58" t="inlineStr">
        <is>
          <t>&lt;.1&gt;</t>
        </is>
      </c>
      <c r="L10" s="58" t="n"/>
      <c r="M10" s="59" t="n"/>
      <c r="N10" s="58" t="n"/>
      <c r="O10" s="58" t="n"/>
      <c r="P10" s="58" t="inlineStr">
        <is>
          <t>PROC:PROC-DEBT</t>
        </is>
      </c>
      <c r="Q10" s="58" t="n"/>
    </row>
    <row r="11" ht="120" customHeight="1" s="41">
      <c r="A11" s="57" t="inlineStr">
        <is>
          <t>Applicable</t>
        </is>
      </c>
      <c r="B11" s="57" t="inlineStr">
        <is>
          <t>Required</t>
        </is>
      </c>
      <c r="C11" s="57" t="inlineStr">
        <is>
          <t>Not Started</t>
        </is>
      </c>
      <c r="D11" s="57" t="inlineStr">
        <is>
          <t>Missing</t>
        </is>
      </c>
      <c r="E11" s="57" t="inlineStr">
        <is>
          <t>Unable to Conclude</t>
        </is>
      </c>
      <c r="F11" s="57" t="inlineStr">
        <is>
          <t>None</t>
        </is>
      </c>
      <c r="G11" s="58" t="inlineStr">
        <is>
          <t>Unsigned</t>
        </is>
      </c>
      <c r="H11" s="58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58" t="inlineStr">
        <is>
          <t>3. Roll each facility forward — beginning + borrowings − repayments = ending — and agree activity to &lt;.5&gt; additions and payment support.</t>
        </is>
      </c>
      <c r="J11" s="58" t="inlineStr">
        <is>
          <t>Completeness; Accuracy</t>
        </is>
      </c>
      <c r="K11" s="58" t="inlineStr">
        <is>
          <t>&lt;.1&gt;</t>
        </is>
      </c>
      <c r="L11" s="58" t="n"/>
      <c r="M11" s="59" t="n"/>
      <c r="N11" s="58" t="n"/>
      <c r="O11" s="58" t="n"/>
      <c r="P11" s="58" t="inlineStr">
        <is>
          <t>PROC:PROC-DEBT</t>
        </is>
      </c>
      <c r="Q11" s="58" t="n"/>
    </row>
    <row r="12" ht="120" customHeight="1" s="41">
      <c r="A12" s="57" t="inlineStr">
        <is>
          <t>Applicable</t>
        </is>
      </c>
      <c r="B12" s="57" t="inlineStr">
        <is>
          <t>Required</t>
        </is>
      </c>
      <c r="C12" s="57" t="inlineStr">
        <is>
          <t>Not Started</t>
        </is>
      </c>
      <c r="D12" s="57" t="inlineStr">
        <is>
          <t>Missing</t>
        </is>
      </c>
      <c r="E12" s="57" t="inlineStr">
        <is>
          <t>Unable to Conclude</t>
        </is>
      </c>
      <c r="F12" s="57" t="inlineStr">
        <is>
          <t>None</t>
        </is>
      </c>
      <c r="G12" s="58" t="inlineStr">
        <is>
          <t>Unsigned</t>
        </is>
      </c>
      <c r="H12" s="58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58" t="inlineStr">
        <is>
          <t>4. Inspect the agreements for collateral and liens and cross-reference pledged assets to the related asset workpapers; derive the net carrying value (principal less unamortized issuance costs).</t>
        </is>
      </c>
      <c r="J12" s="58" t="inlineStr">
        <is>
          <t>Rights &amp; Obligations; Valuation</t>
        </is>
      </c>
      <c r="K12" s="58" t="inlineStr">
        <is>
          <t>&lt;.1&gt;</t>
        </is>
      </c>
      <c r="L12" s="58" t="n"/>
      <c r="M12" s="59" t="n"/>
      <c r="N12" s="58" t="n"/>
      <c r="O12" s="58" t="n"/>
      <c r="P12" s="58" t="inlineStr">
        <is>
          <t>PROC:PROC-DEBT</t>
        </is>
      </c>
      <c r="Q12" s="58" t="n"/>
    </row>
    <row r="13">
      <c r="A13" s="55" t="n"/>
      <c r="B13" s="51" t="n"/>
      <c r="C13" s="51" t="n"/>
      <c r="D13" s="51" t="n"/>
      <c r="E13" s="51" t="n"/>
      <c r="F13" s="51" t="n"/>
      <c r="G13" s="51" t="n"/>
      <c r="H13" s="51" t="n"/>
      <c r="I13" s="60" t="inlineStr">
        <is>
          <t>&lt;.2&gt; Lender Confirmation</t>
        </is>
      </c>
      <c r="J13" s="51" t="n"/>
      <c r="K13" s="51" t="n"/>
      <c r="L13" s="51" t="n"/>
      <c r="M13" s="51" t="n"/>
      <c r="N13" s="51" t="n"/>
      <c r="O13" s="51" t="n"/>
      <c r="P13" s="51" t="n"/>
      <c r="Q13" s="51" t="n"/>
    </row>
    <row r="14" ht="120" customHeight="1" s="41">
      <c r="A14" s="57" t="inlineStr">
        <is>
          <t>Applicable</t>
        </is>
      </c>
      <c r="B14" s="57" t="inlineStr">
        <is>
          <t>Required</t>
        </is>
      </c>
      <c r="C14" s="57" t="inlineStr">
        <is>
          <t>Not Started</t>
        </is>
      </c>
      <c r="D14" s="57" t="inlineStr">
        <is>
          <t>Missing</t>
        </is>
      </c>
      <c r="E14" s="57" t="inlineStr">
        <is>
          <t>Unable to Conclude</t>
        </is>
      </c>
      <c r="F14" s="57" t="inlineStr">
        <is>
          <t>None</t>
        </is>
      </c>
      <c r="G14" s="58" t="inlineStr">
        <is>
          <t>Unsigned</t>
        </is>
      </c>
      <c r="H14" s="58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58" t="inlineStr">
        <is>
          <t>5. Confirm each facility directly with the lender — principal, rate, maturity, collateral / guarantees and undrawn availability — controlling the process (sent directly, returned directly, dates and method logged).</t>
        </is>
      </c>
      <c r="J14" s="58" t="inlineStr">
        <is>
          <t>Existence; Rights &amp; Obligations; Completeness</t>
        </is>
      </c>
      <c r="K14" s="58" t="inlineStr">
        <is>
          <t>&lt;.2&gt;</t>
        </is>
      </c>
      <c r="L14" s="58" t="n"/>
      <c r="M14" s="59" t="n"/>
      <c r="N14" s="58" t="n"/>
      <c r="O14" s="58" t="n"/>
      <c r="P14" s="58" t="inlineStr">
        <is>
          <t>PROC:PROC-DEBT</t>
        </is>
      </c>
      <c r="Q14" s="58" t="n"/>
    </row>
    <row r="15" ht="120" customHeight="1" s="41">
      <c r="A15" s="57" t="inlineStr">
        <is>
          <t>Applicable</t>
        </is>
      </c>
      <c r="B15" s="57" t="inlineStr">
        <is>
          <t>Required</t>
        </is>
      </c>
      <c r="C15" s="57" t="inlineStr">
        <is>
          <t>Not Started</t>
        </is>
      </c>
      <c r="D15" s="57" t="inlineStr">
        <is>
          <t>Missing</t>
        </is>
      </c>
      <c r="E15" s="57" t="inlineStr">
        <is>
          <t>Unable to Conclude</t>
        </is>
      </c>
      <c r="F15" s="57" t="inlineStr">
        <is>
          <t>None</t>
        </is>
      </c>
      <c r="G15" s="58" t="inlineStr">
        <is>
          <t>Unsigned</t>
        </is>
      </c>
      <c r="H15" s="58">
        <f>IF(A15="Not Applicable - Fact Driven",IF(AND(C15="Not Performed",D15="Not Required",OR(F15="None",F15="Resolved",F15="Passed"),OR(G15="Prepared",G15="Reviewed"),LEFT(O15,6)="FACT:/",Q15&lt;&gt;""),"Valid N/A","Blocked"),IF(AND(B15="Recommended",C15="Not Performed",D15="Not Required",OR(F15="None",F15="Resolved",F15="Passed")),"Recommended - Not Performed",IF(C15&lt;&gt;"Performed","Open - "&amp;C15,IF(D15&lt;&gt;"Sufficient","Open - "&amp;D15&amp;" Evidence",IF(E15="Unable to Conclude","Open - Unable to Conclude",IF(AND(E15="Exception Identified",ISERROR(SEARCH("ISSUE:",P15))),"Open - Missing Issue ID",IF(AND(F15="Open",ISERROR(SEARCH("ISSUE:",P15))),"Open - Missing Issue ID",IF(OR(F15="Open",F15="Superseded"),"Open - "&amp;F15&amp;" Issue",IF(AND(E15="Exception Identified",NOT(OR(F15="Adjusted",F15="Passed",F15="Resolved"))),"Open - Undispositioned Exception",IF(OR(G15="Prepared",G15="Reviewed"),"Passed","Open - Unsigned"))))))))))</f>
        <v/>
      </c>
      <c r="I15" s="58" t="inlineStr">
        <is>
          <t>6. Test the authenticity of electronic confirmation responses (domain check, independent call-back) and perform alternative procedures (lender statements, agreements, subsequent payments) for non-replies.</t>
        </is>
      </c>
      <c r="J15" s="58" t="inlineStr">
        <is>
          <t>Existence</t>
        </is>
      </c>
      <c r="K15" s="58" t="inlineStr">
        <is>
          <t>&lt;.2&gt;</t>
        </is>
      </c>
      <c r="L15" s="58" t="n"/>
      <c r="M15" s="59" t="n"/>
      <c r="N15" s="58" t="n"/>
      <c r="O15" s="58" t="n"/>
      <c r="P15" s="58" t="inlineStr">
        <is>
          <t>PROC:PROC-DEBT; WINDOW:WIN-CONFIRMATION-CONTROL</t>
        </is>
      </c>
      <c r="Q15" s="58" t="n"/>
    </row>
    <row r="16">
      <c r="A16" s="55" t="n"/>
      <c r="B16" s="51" t="n"/>
      <c r="C16" s="51" t="n"/>
      <c r="D16" s="51" t="n"/>
      <c r="E16" s="51" t="n"/>
      <c r="F16" s="51" t="n"/>
      <c r="G16" s="51" t="n"/>
      <c r="H16" s="51" t="n"/>
      <c r="I16" s="60" t="inlineStr">
        <is>
          <t>&lt;.3&gt; Interest &amp; Accrued</t>
        </is>
      </c>
      <c r="J16" s="51" t="n"/>
      <c r="K16" s="51" t="n"/>
      <c r="L16" s="51" t="n"/>
      <c r="M16" s="51" t="n"/>
      <c r="N16" s="51" t="n"/>
      <c r="O16" s="51" t="n"/>
      <c r="P16" s="51" t="n"/>
      <c r="Q16" s="51" t="n"/>
    </row>
    <row r="17" ht="120" customHeight="1" s="41">
      <c r="A17" s="57" t="inlineStr">
        <is>
          <t>Applicable</t>
        </is>
      </c>
      <c r="B17" s="57" t="inlineStr">
        <is>
          <t>Required</t>
        </is>
      </c>
      <c r="C17" s="57" t="inlineStr">
        <is>
          <t>Not Started</t>
        </is>
      </c>
      <c r="D17" s="57" t="inlineStr">
        <is>
          <t>Missing</t>
        </is>
      </c>
      <c r="E17" s="57" t="inlineStr">
        <is>
          <t>Unable to Conclude</t>
        </is>
      </c>
      <c r="F17" s="57" t="inlineStr">
        <is>
          <t>None</t>
        </is>
      </c>
      <c r="G17" s="58" t="inlineStr">
        <is>
          <t>Unsigned</t>
        </is>
      </c>
      <c r="H17" s="58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58" t="inlineStr">
        <is>
          <t>7. Independently recompute interest expense by facility, stating the basis used (period-end principal, average balance, or the amortization schedule), and corroborate rates and payments to lender statements.</t>
        </is>
      </c>
      <c r="J17" s="58" t="inlineStr">
        <is>
          <t>Accuracy</t>
        </is>
      </c>
      <c r="K17" s="58" t="inlineStr">
        <is>
          <t>&lt;.3&gt;</t>
        </is>
      </c>
      <c r="L17" s="58" t="n"/>
      <c r="M17" s="59" t="n"/>
      <c r="N17" s="58" t="n"/>
      <c r="O17" s="58" t="n"/>
      <c r="P17" s="58" t="inlineStr">
        <is>
          <t>PROC:PROC-DEBT</t>
        </is>
      </c>
      <c r="Q17" s="58" t="n"/>
    </row>
    <row r="18" ht="120" customHeight="1" s="41">
      <c r="A18" s="57" t="inlineStr">
        <is>
          <t>Applicable</t>
        </is>
      </c>
      <c r="B18" s="57" t="inlineStr">
        <is>
          <t>Required</t>
        </is>
      </c>
      <c r="C18" s="57" t="inlineStr">
        <is>
          <t>Not Started</t>
        </is>
      </c>
      <c r="D18" s="57" t="inlineStr">
        <is>
          <t>Missing</t>
        </is>
      </c>
      <c r="E18" s="57" t="inlineStr">
        <is>
          <t>Unable to Conclude</t>
        </is>
      </c>
      <c r="F18" s="57" t="inlineStr">
        <is>
          <t>None</t>
        </is>
      </c>
      <c r="G18" s="58" t="inlineStr">
        <is>
          <t>Unsigned</t>
        </is>
      </c>
      <c r="H18" s="58">
        <f>IF(A18="Not Applicable - Fact Driven",IF(AND(C18="Not Performed",D18="Not Required",OR(F18="None",F18="Resolved",F18="Passed"),OR(G18="Prepared",G18="Reviewed"),LEFT(O18,6)="FACT:/",Q18&lt;&gt;""),"Valid N/A","Blocked"),IF(AND(B18="Recommended",C18="Not Performed",D18="Not Required",OR(F18="None",F18="Resolved",F18="Passed")),"Recommended - Not Performed",IF(C18&lt;&gt;"Performed","Open - "&amp;C18,IF(D18&lt;&gt;"Sufficient","Open - "&amp;D18&amp;" Evidence",IF(E18="Unable to Conclude","Open - Unable to Conclude",IF(AND(E18="Exception Identified",ISERROR(SEARCH("ISSUE:",P18))),"Open - Missing Issue ID",IF(AND(F18="Open",ISERROR(SEARCH("ISSUE:",P18))),"Open - Missing Issue ID",IF(OR(F18="Open",F18="Superseded"),"Open - "&amp;F18&amp;" Issue",IF(AND(E18="Exception Identified",NOT(OR(F18="Adjusted",F18="Passed",F18="Resolved"))),"Open - Undispositioned Exception",IF(OR(G18="Prepared",G18="Reviewed"),"Passed","Open - Unsigned"))))))))))</f>
        <v/>
      </c>
      <c r="I18" s="58" t="inlineStr">
        <is>
          <t>8. Develop an average-balance substantive-analytic expectation, define a threshold for a significant difference, and investigate differences from the recorded amount.</t>
        </is>
      </c>
      <c r="J18" s="58" t="inlineStr">
        <is>
          <t>Accuracy; Completeness</t>
        </is>
      </c>
      <c r="K18" s="58" t="inlineStr">
        <is>
          <t>&lt;.3&gt;</t>
        </is>
      </c>
      <c r="L18" s="58" t="n"/>
      <c r="M18" s="59" t="n"/>
      <c r="N18" s="58" t="n"/>
      <c r="O18" s="58" t="n"/>
      <c r="P18" s="58" t="inlineStr">
        <is>
          <t>PROC:PROC-DEBT</t>
        </is>
      </c>
      <c r="Q18" s="58" t="n"/>
    </row>
    <row r="19" ht="120" customHeight="1" s="41">
      <c r="A19" s="57" t="inlineStr">
        <is>
          <t>Applicable</t>
        </is>
      </c>
      <c r="B19" s="57" t="inlineStr">
        <is>
          <t>Required</t>
        </is>
      </c>
      <c r="C19" s="57" t="inlineStr">
        <is>
          <t>Not Started</t>
        </is>
      </c>
      <c r="D19" s="57" t="inlineStr">
        <is>
          <t>Missing</t>
        </is>
      </c>
      <c r="E19" s="57" t="inlineStr">
        <is>
          <t>Unable to Conclude</t>
        </is>
      </c>
      <c r="F19" s="57" t="inlineStr">
        <is>
          <t>None</t>
        </is>
      </c>
      <c r="G19" s="58" t="inlineStr">
        <is>
          <t>Unsigned</t>
        </is>
      </c>
      <c r="H19" s="58">
        <f>IF(A19="Not Applicable - Fact Driven",IF(AND(C19="Not Performed",D19="Not Required",OR(F19="None",F19="Resolved",F19="Passed"),OR(G19="Prepared",G19="Reviewed"),LEFT(O19,6)="FACT:/",Q19&lt;&gt;""),"Valid N/A","Blocked"),IF(AND(B19="Recommended",C19="Not Performed",D19="Not Required",OR(F19="None",F19="Resolved",F19="Passed")),"Recommended - Not Performed",IF(C19&lt;&gt;"Performed","Open - "&amp;C19,IF(D19&lt;&gt;"Sufficient","Open - "&amp;D19&amp;" Evidence",IF(E19="Unable to Conclude","Open - Unable to Conclude",IF(AND(E19="Exception Identified",ISERROR(SEARCH("ISSUE:",P19))),"Open - Missing Issue ID",IF(AND(F19="Open",ISERROR(SEARCH("ISSUE:",P19))),"Open - Missing Issue ID",IF(OR(F19="Open",F19="Superseded"),"Open - "&amp;F19&amp;" Issue",IF(AND(E19="Exception Identified",NOT(OR(F19="Adjusted",F19="Passed",F19="Resolved"))),"Open - Undispositioned Exception",IF(OR(G19="Prepared",G19="Reviewed"),"Passed","Open - Unsigned"))))))))))</f>
        <v/>
      </c>
      <c r="I19" s="58" t="inlineStr">
        <is>
          <t>9. Recompute accrued interest at period end (principal × rate × days since last payment) and agree to the books.</t>
        </is>
      </c>
      <c r="J19" s="58" t="inlineStr">
        <is>
          <t>Accuracy; Cutoff</t>
        </is>
      </c>
      <c r="K19" s="58" t="inlineStr">
        <is>
          <t>&lt;.3&gt;</t>
        </is>
      </c>
      <c r="L19" s="58" t="n"/>
      <c r="M19" s="59" t="n"/>
      <c r="N19" s="58" t="n"/>
      <c r="O19" s="58" t="n"/>
      <c r="P19" s="58" t="inlineStr">
        <is>
          <t>PROC:PROC-DEBT</t>
        </is>
      </c>
      <c r="Q19" s="58" t="n"/>
    </row>
    <row r="20">
      <c r="A20" s="55" t="n"/>
      <c r="B20" s="51" t="n"/>
      <c r="C20" s="51" t="n"/>
      <c r="D20" s="51" t="n"/>
      <c r="E20" s="51" t="n"/>
      <c r="F20" s="51" t="n"/>
      <c r="G20" s="51" t="n"/>
      <c r="H20" s="51" t="n"/>
      <c r="I20" s="60" t="inlineStr">
        <is>
          <t>&lt;.4&gt; Maturities &amp; Classification</t>
        </is>
      </c>
      <c r="J20" s="51" t="n"/>
      <c r="K20" s="51" t="n"/>
      <c r="L20" s="51" t="n"/>
      <c r="M20" s="51" t="n"/>
      <c r="N20" s="51" t="n"/>
      <c r="O20" s="51" t="n"/>
      <c r="P20" s="51" t="n"/>
      <c r="Q20" s="51" t="n"/>
    </row>
    <row r="21" ht="120" customHeight="1" s="41">
      <c r="A21" s="57" t="inlineStr">
        <is>
          <t>Applicable</t>
        </is>
      </c>
      <c r="B21" s="57" t="inlineStr">
        <is>
          <t>Required</t>
        </is>
      </c>
      <c r="C21" s="57" t="inlineStr">
        <is>
          <t>Not Started</t>
        </is>
      </c>
      <c r="D21" s="57" t="inlineStr">
        <is>
          <t>Missing</t>
        </is>
      </c>
      <c r="E21" s="57" t="inlineStr">
        <is>
          <t>Unable to Conclude</t>
        </is>
      </c>
      <c r="F21" s="57" t="inlineStr">
        <is>
          <t>None</t>
        </is>
      </c>
      <c r="G21" s="58" t="inlineStr">
        <is>
          <t>Unsigned</t>
        </is>
      </c>
      <c r="H21" s="58">
        <f>IF(A21="Not Applicable - Fact Driven",IF(AND(C21="Not Performed",D21="Not Required",OR(F21="None",F21="Resolved",F21="Passed"),OR(G21="Prepared",G21="Reviewed"),LEFT(O21,6)="FACT:/",Q21&lt;&gt;""),"Valid N/A","Blocked"),IF(AND(B21="Recommended",C21="Not Performed",D21="Not Required",OR(F21="None",F21="Resolved",F21="Passed")),"Recommended - Not Performed",IF(C21&lt;&gt;"Performed","Open - "&amp;C21,IF(D21&lt;&gt;"Sufficient","Open - "&amp;D21&amp;" Evidence",IF(E21="Unable to Conclude","Open - Unable to Conclude",IF(AND(E21="Exception Identified",ISERROR(SEARCH("ISSUE:",P21))),"Open - Missing Issue ID",IF(AND(F21="Open",ISERROR(SEARCH("ISSUE:",P21))),"Open - Missing Issue ID",IF(OR(F21="Open",F21="Superseded"),"Open - "&amp;F21&amp;" Issue",IF(AND(E21="Exception Identified",NOT(OR(F21="Adjusted",F21="Passed",F21="Resolved"))),"Open - Undispositioned Exception",IF(OR(G21="Prepared",G21="Reviewed"),"Passed","Open - Unsigned"))))))))))</f>
        <v/>
      </c>
      <c r="I21" s="58" t="inlineStr">
        <is>
          <t>10. Obtain the full annual maturity ladder (years 1-5 and thereafter), foot it, and agree the total to recorded principal.</t>
        </is>
      </c>
      <c r="J21" s="58" t="inlineStr">
        <is>
          <t>Presentation &amp; Disclosure</t>
        </is>
      </c>
      <c r="K21" s="58" t="inlineStr">
        <is>
          <t>&lt;.4&gt;</t>
        </is>
      </c>
      <c r="L21" s="58" t="n"/>
      <c r="M21" s="59" t="n"/>
      <c r="N21" s="58" t="n"/>
      <c r="O21" s="58" t="n"/>
      <c r="P21" s="58" t="inlineStr">
        <is>
          <t>PROC:PROC-DEBT</t>
        </is>
      </c>
      <c r="Q21" s="58" t="n"/>
    </row>
    <row r="22" ht="120" customHeight="1" s="41">
      <c r="A22" s="57" t="inlineStr">
        <is>
          <t>Applicable</t>
        </is>
      </c>
      <c r="B22" s="57" t="inlineStr">
        <is>
          <t>Required</t>
        </is>
      </c>
      <c r="C22" s="57" t="inlineStr">
        <is>
          <t>Not Started</t>
        </is>
      </c>
      <c r="D22" s="57" t="inlineStr">
        <is>
          <t>Missing</t>
        </is>
      </c>
      <c r="E22" s="57" t="inlineStr">
        <is>
          <t>Unable to Conclude</t>
        </is>
      </c>
      <c r="F22" s="57" t="inlineStr">
        <is>
          <t>None</t>
        </is>
      </c>
      <c r="G22" s="58" t="inlineStr">
        <is>
          <t>Unsigned</t>
        </is>
      </c>
      <c r="H22" s="58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58" t="inlineStr">
        <is>
          <t>11. Reconcile the current / long-term split to the trial balance with a difference check; obtain management's classification basis and resolve differences, considering covenant violations and post-period refinancing (ASC 470-10).</t>
        </is>
      </c>
      <c r="J22" s="58" t="inlineStr">
        <is>
          <t>Classification; Presentation &amp; Disclosure</t>
        </is>
      </c>
      <c r="K22" s="58" t="inlineStr">
        <is>
          <t>&lt;.4&gt;</t>
        </is>
      </c>
      <c r="L22" s="58" t="n"/>
      <c r="M22" s="59" t="n"/>
      <c r="N22" s="58" t="n"/>
      <c r="O22" s="58" t="n"/>
      <c r="P22" s="58" t="inlineStr">
        <is>
          <t>PROC:PROC-DEBT</t>
        </is>
      </c>
      <c r="Q22" s="58" t="n"/>
    </row>
    <row r="23">
      <c r="A23" s="55" t="n"/>
      <c r="B23" s="51" t="n"/>
      <c r="C23" s="51" t="n"/>
      <c r="D23" s="51" t="n"/>
      <c r="E23" s="51" t="n"/>
      <c r="F23" s="51" t="n"/>
      <c r="G23" s="51" t="n"/>
      <c r="H23" s="51" t="n"/>
      <c r="I23" s="60" t="inlineStr">
        <is>
          <t>&lt;.5&gt; Agreements &amp; Additions</t>
        </is>
      </c>
      <c r="J23" s="51" t="n"/>
      <c r="K23" s="51" t="n"/>
      <c r="L23" s="51" t="n"/>
      <c r="M23" s="51" t="n"/>
      <c r="N23" s="51" t="n"/>
      <c r="O23" s="51" t="n"/>
      <c r="P23" s="51" t="n"/>
      <c r="Q23" s="51" t="n"/>
    </row>
    <row r="24" ht="120" customHeight="1" s="41">
      <c r="A24" s="57" t="inlineStr">
        <is>
          <t>Applicable</t>
        </is>
      </c>
      <c r="B24" s="57" t="inlineStr">
        <is>
          <t>Required</t>
        </is>
      </c>
      <c r="C24" s="57" t="inlineStr">
        <is>
          <t>Not Started</t>
        </is>
      </c>
      <c r="D24" s="57" t="inlineStr">
        <is>
          <t>Missing</t>
        </is>
      </c>
      <c r="E24" s="57" t="inlineStr">
        <is>
          <t>Unable to Conclude</t>
        </is>
      </c>
      <c r="F24" s="57" t="inlineStr">
        <is>
          <t>None</t>
        </is>
      </c>
      <c r="G24" s="58" t="inlineStr">
        <is>
          <t>Unsigned</t>
        </is>
      </c>
      <c r="H24" s="58">
        <f>IF(A24="Not Applicable - Fact Driven",IF(AND(C24="Not Performed",D24="Not Required",OR(F24="None",F24="Resolved",F24="Passed"),OR(G24="Prepared",G24="Reviewed"),LEFT(O24,6)="FACT:/",Q24&lt;&gt;""),"Valid N/A","Blocked"),IF(AND(B24="Recommended",C24="Not Performed",D24="Not Required",OR(F24="None",F24="Resolved",F24="Passed")),"Recommended - Not Performed",IF(C24&lt;&gt;"Performed","Open - "&amp;C24,IF(D24&lt;&gt;"Sufficient","Open - "&amp;D24&amp;" Evidence",IF(E24="Unable to Conclude","Open - Unable to Conclude",IF(AND(E24="Exception Identified",ISERROR(SEARCH("ISSUE:",P24))),"Open - Missing Issue ID",IF(AND(F24="Open",ISERROR(SEARCH("ISSUE:",P24))),"Open - Missing Issue ID",IF(OR(F24="Open",F24="Superseded"),"Open - "&amp;F24&amp;" Issue",IF(AND(E24="Exception Identified",NOT(OR(F24="Adjusted",F24="Passed",F24="Resolved"))),"Open - Undispositioned Exception",IF(OR(G24="Prepared",G24="Reviewed"),"Passed","Open - Unsigned"))))))))))</f>
        <v/>
      </c>
      <c r="I24" s="58" t="inlineStr">
        <is>
          <t>12. Obtain and read every executed loan / credit agreement and amendment; abstract the key terms (amount, rate, maturity, payment terms, collateral, guarantees, covenants, reporting, cross-default, prepayment).</t>
        </is>
      </c>
      <c r="J24" s="58" t="inlineStr">
        <is>
          <t>Rights &amp; Obligations; Completeness</t>
        </is>
      </c>
      <c r="K24" s="58" t="inlineStr">
        <is>
          <t>&lt;.5&gt;</t>
        </is>
      </c>
      <c r="L24" s="58" t="n"/>
      <c r="M24" s="59" t="n"/>
      <c r="N24" s="58" t="n"/>
      <c r="O24" s="58" t="n"/>
      <c r="P24" s="58" t="inlineStr">
        <is>
          <t>PROC:PROC-DEBT</t>
        </is>
      </c>
      <c r="Q24" s="58" t="n"/>
    </row>
    <row r="25" ht="120" customHeight="1" s="41">
      <c r="A25" s="57" t="inlineStr">
        <is>
          <t>Applicable</t>
        </is>
      </c>
      <c r="B25" s="57" t="inlineStr">
        <is>
          <t>Required</t>
        </is>
      </c>
      <c r="C25" s="57" t="inlineStr">
        <is>
          <t>Not Started</t>
        </is>
      </c>
      <c r="D25" s="57" t="inlineStr">
        <is>
          <t>Missing</t>
        </is>
      </c>
      <c r="E25" s="57" t="inlineStr">
        <is>
          <t>Unable to Conclude</t>
        </is>
      </c>
      <c r="F25" s="57" t="inlineStr">
        <is>
          <t>None</t>
        </is>
      </c>
      <c r="G25" s="58" t="inlineStr">
        <is>
          <t>Unsigned</t>
        </is>
      </c>
      <c r="H25" s="58">
        <f>IF(A25="Not Applicable - Fact Driven",IF(AND(C25="Not Performed",D25="Not Required",OR(F25="None",F25="Resolved",F25="Passed"),OR(G25="Prepared",G25="Reviewed"),LEFT(O25,6)="FACT:/",Q25&lt;&gt;""),"Valid N/A","Blocked"),IF(AND(B25="Recommended",C25="Not Performed",D25="Not Required",OR(F25="None",F25="Resolved",F25="Passed")),"Recommended - Not Performed",IF(C25&lt;&gt;"Performed","Open - "&amp;C25,IF(D25&lt;&gt;"Sufficient","Open - "&amp;D25&amp;" Evidence",IF(E25="Unable to Conclude","Open - Unable to Conclude",IF(AND(E25="Exception Identified",ISERROR(SEARCH("ISSUE:",P25))),"Open - Missing Issue ID",IF(AND(F25="Open",ISERROR(SEARCH("ISSUE:",P25))),"Open - Missing Issue ID",IF(OR(F25="Open",F25="Superseded"),"Open - "&amp;F25&amp;" Issue",IF(AND(E25="Exception Identified",NOT(OR(F25="Adjusted",F25="Passed",F25="Resolved"))),"Open - Undispositioned Exception",IF(OR(G25="Prepared",G25="Reviewed"),"Passed","Open - Unsigned"))))))))))</f>
        <v/>
      </c>
      <c r="I25" s="58" t="inlineStr">
        <is>
          <t>13. Test compliance with the agreement terms beyond financial covenants — payment terms, restrictions / negative covenants and reporting requirements — against evidence.</t>
        </is>
      </c>
      <c r="J25" s="58" t="inlineStr">
        <is>
          <t>Presentation &amp; Disclosure; Rights &amp; Obligations</t>
        </is>
      </c>
      <c r="K25" s="58" t="inlineStr">
        <is>
          <t>&lt;.5&gt;</t>
        </is>
      </c>
      <c r="L25" s="58" t="n"/>
      <c r="M25" s="59" t="n"/>
      <c r="N25" s="58" t="n"/>
      <c r="O25" s="58" t="n"/>
      <c r="P25" s="58" t="inlineStr">
        <is>
          <t>PROC:PROC-DEBT</t>
        </is>
      </c>
      <c r="Q25" s="58" t="n"/>
    </row>
    <row r="26" ht="120" customHeight="1" s="41">
      <c r="A26" s="57" t="inlineStr">
        <is>
          <t>Applicable</t>
        </is>
      </c>
      <c r="B26" s="57" t="inlineStr">
        <is>
          <t>Required</t>
        </is>
      </c>
      <c r="C26" s="57" t="inlineStr">
        <is>
          <t>Not Started</t>
        </is>
      </c>
      <c r="D26" s="57" t="inlineStr">
        <is>
          <t>Missing</t>
        </is>
      </c>
      <c r="E26" s="57" t="inlineStr">
        <is>
          <t>Unable to Conclude</t>
        </is>
      </c>
      <c r="F26" s="57" t="inlineStr">
        <is>
          <t>None</t>
        </is>
      </c>
      <c r="G26" s="58" t="inlineStr">
        <is>
          <t>Unsigned</t>
        </is>
      </c>
      <c r="H26" s="58">
        <f>IF(A26="Not Applicable - Fact Driven",IF(AND(C26="Not Performed",D26="Not Required",OR(F26="None",F26="Resolved",F26="Passed"),OR(G26="Prepared",G26="Reviewed"),LEFT(O26,6)="FACT:/",Q26&lt;&gt;""),"Valid N/A","Blocked"),IF(AND(B26="Recommended",C26="Not Performed",D26="Not Required",OR(F26="None",F26="Resolved",F26="Passed")),"Recommended - Not Performed",IF(C26&lt;&gt;"Performed","Open - "&amp;C26,IF(D26&lt;&gt;"Sufficient","Open - "&amp;D26&amp;" Evidence",IF(E26="Unable to Conclude","Open - Unable to Conclude",IF(AND(E26="Exception Identified",ISERROR(SEARCH("ISSUE:",P26))),"Open - Missing Issue ID",IF(AND(F26="Open",ISERROR(SEARCH("ISSUE:",P26))),"Open - Missing Issue ID",IF(OR(F26="Open",F26="Superseded"),"Open - "&amp;F26&amp;" Issue",IF(AND(E26="Exception Identified",NOT(OR(F26="Adjusted",F26="Passed",F26="Resolved"))),"Open - Undispositioned Exception",IF(OR(G26="Prepared",G26="Reviewed"),"Passed","Open - Unsigned"))))))))))</f>
        <v/>
      </c>
      <c r="I26" s="58" t="inlineStr">
        <is>
          <t>14. Test additions (new borrowings / draws) — authorization (board minutes / agreement), trace proceeds to the bank, reconcile fees withheld from proceeds, and tie the total to the rollforward.</t>
        </is>
      </c>
      <c r="J26" s="58" t="inlineStr">
        <is>
          <t>Existence; Accuracy; Completeness</t>
        </is>
      </c>
      <c r="K26" s="58" t="inlineStr">
        <is>
          <t>&lt;.5&gt;/&lt;.1&gt;</t>
        </is>
      </c>
      <c r="L26" s="58" t="n"/>
      <c r="M26" s="59" t="n"/>
      <c r="N26" s="58" t="n"/>
      <c r="O26" s="58" t="n"/>
      <c r="P26" s="58" t="inlineStr">
        <is>
          <t>PROC:PROC-DEBT; WINDOW:WIN-Debt reference Subsequent</t>
        </is>
      </c>
      <c r="Q26" s="58" t="n"/>
    </row>
    <row r="27">
      <c r="A27" s="55" t="n"/>
      <c r="B27" s="51" t="n"/>
      <c r="C27" s="51" t="n"/>
      <c r="D27" s="51" t="n"/>
      <c r="E27" s="51" t="n"/>
      <c r="F27" s="51" t="n"/>
      <c r="G27" s="51" t="n"/>
      <c r="H27" s="51" t="n"/>
      <c r="I27" s="60" t="inlineStr">
        <is>
          <t>&lt;.6&gt; Debt Issuance Costs (Deferred Charges)</t>
        </is>
      </c>
      <c r="J27" s="51" t="n"/>
      <c r="K27" s="51" t="n"/>
      <c r="L27" s="51" t="n"/>
      <c r="M27" s="51" t="n"/>
      <c r="N27" s="51" t="n"/>
      <c r="O27" s="51" t="n"/>
      <c r="P27" s="51" t="n"/>
      <c r="Q27" s="51" t="n"/>
    </row>
    <row r="28" ht="120" customHeight="1" s="41">
      <c r="A28" s="57" t="inlineStr">
        <is>
          <t>Applicable</t>
        </is>
      </c>
      <c r="B28" s="57" t="inlineStr">
        <is>
          <t>Required</t>
        </is>
      </c>
      <c r="C28" s="57" t="inlineStr">
        <is>
          <t>Not Started</t>
        </is>
      </c>
      <c r="D28" s="57" t="inlineStr">
        <is>
          <t>Missing</t>
        </is>
      </c>
      <c r="E28" s="57" t="inlineStr">
        <is>
          <t>Unable to Conclude</t>
        </is>
      </c>
      <c r="F28" s="57" t="inlineStr">
        <is>
          <t>None</t>
        </is>
      </c>
      <c r="G28" s="58" t="inlineStr">
        <is>
          <t>Unsigned</t>
        </is>
      </c>
      <c r="H28" s="58">
        <f>IF(A28="Not Applicable - Fact Driven",IF(AND(C28="Not Performed",D28="Not Required",OR(F28="None",F28="Resolved",F28="Passed"),OR(G28="Prepared",G28="Reviewed"),LEFT(O28,6)="FACT:/",Q28&lt;&gt;""),"Valid N/A","Blocked"),IF(AND(B28="Recommended",C28="Not Performed",D28="Not Required",OR(F28="None",F28="Resolved",F28="Passed")),"Recommended - Not Performed",IF(C28&lt;&gt;"Performed","Open - "&amp;C28,IF(D28&lt;&gt;"Sufficient","Open - "&amp;D28&amp;" Evidence",IF(E28="Unable to Conclude","Open - Unable to Conclude",IF(AND(E28="Exception Identified",ISERROR(SEARCH("ISSUE:",P28))),"Open - Missing Issue ID",IF(AND(F28="Open",ISERROR(SEARCH("ISSUE:",P28))),"Open - Missing Issue ID",IF(OR(F28="Open",F28="Superseded"),"Open - "&amp;F28&amp;" Issue",IF(AND(E28="Exception Identified",NOT(OR(F28="Adjusted",F28="Passed",F28="Resolved"))),"Open - Undispositioned Exception",IF(OR(G28="Prepared",G28="Reviewed"),"Passed","Open - Unsigned"))))))))))</f>
        <v/>
      </c>
      <c r="I28" s="58" t="inlineStr">
        <is>
          <t>15. Obtain a detailed listing of issuance costs (OID, lender fees, third-party costs), assess completeness against costs that typically give rise to deferred charges, and vouch significant fees to closing / fee statements.</t>
        </is>
      </c>
      <c r="J28" s="58" t="inlineStr">
        <is>
          <t>Completeness; Existence; Accuracy</t>
        </is>
      </c>
      <c r="K28" s="58" t="inlineStr">
        <is>
          <t>&lt;.6&gt;</t>
        </is>
      </c>
      <c r="L28" s="58" t="n"/>
      <c r="M28" s="59" t="n"/>
      <c r="N28" s="58" t="n"/>
      <c r="O28" s="58" t="n"/>
      <c r="P28" s="58" t="inlineStr">
        <is>
          <t>PROC:PROC-DEBT</t>
        </is>
      </c>
      <c r="Q28" s="58" t="n"/>
    </row>
    <row r="29" ht="120" customHeight="1" s="41">
      <c r="A29" s="57" t="inlineStr">
        <is>
          <t>Applicable</t>
        </is>
      </c>
      <c r="B29" s="57" t="inlineStr">
        <is>
          <t>Required</t>
        </is>
      </c>
      <c r="C29" s="57" t="inlineStr">
        <is>
          <t>Not Started</t>
        </is>
      </c>
      <c r="D29" s="57" t="inlineStr">
        <is>
          <t>Missing</t>
        </is>
      </c>
      <c r="E29" s="57" t="inlineStr">
        <is>
          <t>Unable to Conclude</t>
        </is>
      </c>
      <c r="F29" s="57" t="inlineStr">
        <is>
          <t>None</t>
        </is>
      </c>
      <c r="G29" s="58" t="inlineStr">
        <is>
          <t>Unsigned</t>
        </is>
      </c>
      <c r="H29" s="58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58" t="inlineStr">
        <is>
          <t>16. Test the allocation of costs across facilities (specific identification or % of facility capacity) and recompute the allocation.</t>
        </is>
      </c>
      <c r="J29" s="58" t="inlineStr">
        <is>
          <t>Valuation &amp; Allocation; Accuracy</t>
        </is>
      </c>
      <c r="K29" s="58" t="inlineStr">
        <is>
          <t>&lt;.6&gt;</t>
        </is>
      </c>
      <c r="L29" s="58" t="n"/>
      <c r="M29" s="59" t="n"/>
      <c r="N29" s="58" t="n"/>
      <c r="O29" s="58" t="n"/>
      <c r="P29" s="58" t="inlineStr">
        <is>
          <t>PROC:PROC-DEBT</t>
        </is>
      </c>
      <c r="Q29" s="58" t="n"/>
    </row>
    <row r="30" ht="120" customHeight="1" s="41">
      <c r="A30" s="57" t="inlineStr">
        <is>
          <t>Applicable</t>
        </is>
      </c>
      <c r="B30" s="57" t="inlineStr">
        <is>
          <t>Required</t>
        </is>
      </c>
      <c r="C30" s="57" t="inlineStr">
        <is>
          <t>Not Started</t>
        </is>
      </c>
      <c r="D30" s="57" t="inlineStr">
        <is>
          <t>Missing</t>
        </is>
      </c>
      <c r="E30" s="57" t="inlineStr">
        <is>
          <t>Unable to Conclude</t>
        </is>
      </c>
      <c r="F30" s="57" t="inlineStr">
        <is>
          <t>None</t>
        </is>
      </c>
      <c r="G30" s="58" t="inlineStr">
        <is>
          <t>Unsigned</t>
        </is>
      </c>
      <c r="H30" s="58">
        <f>IF(A30="Not Applicable - Fact Driven",IF(AND(C30="Not Performed",D30="Not Required",OR(F30="None",F30="Resolved",F30="Passed"),OR(G30="Prepared",G30="Reviewed"),LEFT(O30,6)="FACT:/",Q30&lt;&gt;""),"Valid N/A","Blocked"),IF(AND(B30="Recommended",C30="Not Performed",D30="Not Required",OR(F30="None",F30="Resolved",F30="Passed")),"Recommended - Not Performed",IF(C30&lt;&gt;"Performed","Open - "&amp;C30,IF(D30&lt;&gt;"Sufficient","Open - "&amp;D30&amp;" Evidence",IF(E30="Unable to Conclude","Open - Unable to Conclude",IF(AND(E30="Exception Identified",ISERROR(SEARCH("ISSUE:",P30))),"Open - Missing Issue ID",IF(AND(F30="Open",ISERROR(SEARCH("ISSUE:",P30))),"Open - Missing Issue ID",IF(OR(F30="Open",F30="Superseded"),"Open - "&amp;F30&amp;" Issue",IF(AND(E30="Exception Identified",NOT(OR(F30="Adjusted",F30="Passed",F30="Resolved"))),"Open - Undispositioned Exception",IF(OR(G30="Prepared",G30="Reviewed"),"Passed","Open - Unsigned"))))))))))</f>
        <v/>
      </c>
      <c r="I30" s="58" t="inlineStr">
        <is>
          <t>17. Evaluate presentation: costs of recognized term debt as a direct deduction from the liability (ASC 835-30-45-1A); line-of-credit / revolver costs may be presented as an asset amortized ratably over the facility term regardless of draws (ASU 2015-15).</t>
        </is>
      </c>
      <c r="J30" s="58" t="inlineStr">
        <is>
          <t>Classification; Presentation &amp; Disclosure</t>
        </is>
      </c>
      <c r="K30" s="58" t="inlineStr">
        <is>
          <t>&lt;.6&gt;</t>
        </is>
      </c>
      <c r="L30" s="58" t="n"/>
      <c r="M30" s="59" t="n"/>
      <c r="N30" s="58" t="n"/>
      <c r="O30" s="58" t="n"/>
      <c r="P30" s="58" t="inlineStr">
        <is>
          <t>PROC:PROC-DEBT</t>
        </is>
      </c>
      <c r="Q30" s="58" t="n"/>
    </row>
    <row r="31" ht="120" customHeight="1" s="41">
      <c r="A31" s="57" t="inlineStr">
        <is>
          <t>Applicable</t>
        </is>
      </c>
      <c r="B31" s="57" t="inlineStr">
        <is>
          <t>Required</t>
        </is>
      </c>
      <c r="C31" s="57" t="inlineStr">
        <is>
          <t>Not Started</t>
        </is>
      </c>
      <c r="D31" s="57" t="inlineStr">
        <is>
          <t>Missing</t>
        </is>
      </c>
      <c r="E31" s="57" t="inlineStr">
        <is>
          <t>Unable to Conclude</t>
        </is>
      </c>
      <c r="F31" s="57" t="inlineStr">
        <is>
          <t>None</t>
        </is>
      </c>
      <c r="G31" s="58" t="inlineStr">
        <is>
          <t>Unsigned</t>
        </is>
      </c>
      <c r="H31" s="58">
        <f>IF(A31="Not Applicable - Fact Driven",IF(AND(C31="Not Performed",D31="Not Required",OR(F31="None",F31="Resolved",F31="Passed"),OR(G31="Prepared",G31="Reviewed"),LEFT(O31,6)="FACT:/",Q31&lt;&gt;""),"Valid N/A","Blocked"),IF(AND(B31="Recommended",C31="Not Performed",D31="Not Required",OR(F31="None",F31="Resolved",F31="Passed")),"Recommended - Not Performed",IF(C31&lt;&gt;"Performed","Open - "&amp;C31,IF(D31&lt;&gt;"Sufficient","Open - "&amp;D31&amp;" Evidence",IF(E31="Unable to Conclude","Open - Unable to Conclude",IF(AND(E31="Exception Identified",ISERROR(SEARCH("ISSUE:",P31))),"Open - Missing Issue ID",IF(AND(F31="Open",ISERROR(SEARCH("ISSUE:",P31))),"Open - Missing Issue ID",IF(OR(F31="Open",F31="Superseded"),"Open - "&amp;F31&amp;" Issue",IF(AND(E31="Exception Identified",NOT(OR(F31="Adjusted",F31="Passed",F31="Resolved"))),"Open - Undispositioned Exception",IF(OR(G31="Prepared",G31="Reviewed"),"Passed","Open - Unsigned"))))))))))</f>
        <v/>
      </c>
      <c r="I31" s="58" t="inlineStr">
        <is>
          <t>18. Recompute amortization — effective-interest method for term debt (EIR discounting contractual cash flows to the initial net carrying amount) and straight-line over the facility term for LOC-presented costs — and agree to recorded amortization within interest expense.</t>
        </is>
      </c>
      <c r="J31" s="58" t="inlineStr">
        <is>
          <t>Valuation &amp; Allocation; Accuracy</t>
        </is>
      </c>
      <c r="K31" s="58" t="inlineStr">
        <is>
          <t>&lt;.6&gt;</t>
        </is>
      </c>
      <c r="L31" s="58" t="n"/>
      <c r="M31" s="59" t="n"/>
      <c r="N31" s="58" t="n"/>
      <c r="O31" s="58" t="n"/>
      <c r="P31" s="58" t="inlineStr">
        <is>
          <t>PROC:PROC-DEBT</t>
        </is>
      </c>
      <c r="Q31" s="58" t="n"/>
    </row>
    <row r="32" ht="120" customHeight="1" s="41">
      <c r="A32" s="57" t="inlineStr">
        <is>
          <t>Applicable</t>
        </is>
      </c>
      <c r="B32" s="57" t="inlineStr">
        <is>
          <t>Required</t>
        </is>
      </c>
      <c r="C32" s="57" t="inlineStr">
        <is>
          <t>Not Started</t>
        </is>
      </c>
      <c r="D32" s="57" t="inlineStr">
        <is>
          <t>Missing</t>
        </is>
      </c>
      <c r="E32" s="57" t="inlineStr">
        <is>
          <t>Unable to Conclude</t>
        </is>
      </c>
      <c r="F32" s="57" t="inlineStr">
        <is>
          <t>None</t>
        </is>
      </c>
      <c r="G32" s="58" t="inlineStr">
        <is>
          <t>Unsigned</t>
        </is>
      </c>
      <c r="H32" s="58">
        <f>IF(A32="Not Applicable - Fact Driven",IF(AND(C32="Not Performed",D32="Not Required",OR(F32="None",F32="Resolved",F32="Passed"),OR(G32="Prepared",G32="Reviewed"),LEFT(O32,6)="FACT:/",Q32&lt;&gt;""),"Valid N/A","Blocked"),IF(AND(B32="Recommended",C32="Not Performed",D32="Not Required",OR(F32="None",F32="Resolved",F32="Passed")),"Recommended - Not Performed",IF(C32&lt;&gt;"Performed","Open - "&amp;C32,IF(D32&lt;&gt;"Sufficient","Open - "&amp;D32&amp;" Evidence",IF(E32="Unable to Conclude","Open - Unable to Conclude",IF(AND(E32="Exception Identified",ISERROR(SEARCH("ISSUE:",P32))),"Open - Missing Issue ID",IF(AND(F32="Open",ISERROR(SEARCH("ISSUE:",P32))),"Open - Missing Issue ID",IF(OR(F32="Open",F32="Superseded"),"Open - "&amp;F32&amp;" Issue",IF(AND(E32="Exception Identified",NOT(OR(F32="Adjusted",F32="Passed",F32="Resolved"))),"Open - Undispositioned Exception",IF(OR(G32="Prepared",G32="Reviewed"),"Passed","Open - Unsigned"))))))))))</f>
        <v/>
      </c>
      <c r="I32" s="58" t="inlineStr">
        <is>
          <t>19. Roll the unamortized balance forward (opening + additions − amortization − extinguishment write-offs = closing), split it between contra-debt and asset presentation, and bridge to the net carrying value on &lt;.1&gt;.</t>
        </is>
      </c>
      <c r="J32" s="58" t="inlineStr">
        <is>
          <t>Valuation &amp; Allocation; Completeness</t>
        </is>
      </c>
      <c r="K32" s="58" t="inlineStr">
        <is>
          <t>&lt;.6&gt;/&lt;.1&gt;</t>
        </is>
      </c>
      <c r="L32" s="58" t="n"/>
      <c r="M32" s="59" t="n"/>
      <c r="N32" s="58" t="n"/>
      <c r="O32" s="58" t="n"/>
      <c r="P32" s="58" t="inlineStr">
        <is>
          <t>PROC:PROC-DEBT</t>
        </is>
      </c>
      <c r="Q32" s="58" t="n"/>
    </row>
    <row r="33">
      <c r="A33" s="55" t="n"/>
      <c r="B33" s="51" t="n"/>
      <c r="C33" s="51" t="n"/>
      <c r="D33" s="51" t="n"/>
      <c r="E33" s="51" t="n"/>
      <c r="F33" s="51" t="n"/>
      <c r="G33" s="51" t="n"/>
      <c r="H33" s="51" t="n"/>
      <c r="I33" s="60" t="inlineStr">
        <is>
          <t>&lt;.7&gt; Modification &amp; Extinguishment (ASC 470-50)</t>
        </is>
      </c>
      <c r="J33" s="51" t="n"/>
      <c r="K33" s="51" t="n"/>
      <c r="L33" s="51" t="n"/>
      <c r="M33" s="51" t="n"/>
      <c r="N33" s="51" t="n"/>
      <c r="O33" s="51" t="n"/>
      <c r="P33" s="51" t="n"/>
      <c r="Q33" s="51" t="n"/>
    </row>
    <row r="34" ht="120" customHeight="1" s="41">
      <c r="A34" s="57" t="inlineStr">
        <is>
          <t>Applicable</t>
        </is>
      </c>
      <c r="B34" s="57" t="inlineStr">
        <is>
          <t>Required</t>
        </is>
      </c>
      <c r="C34" s="57" t="inlineStr">
        <is>
          <t>Not Started</t>
        </is>
      </c>
      <c r="D34" s="57" t="inlineStr">
        <is>
          <t>Missing</t>
        </is>
      </c>
      <c r="E34" s="57" t="inlineStr">
        <is>
          <t>Unable to Conclude</t>
        </is>
      </c>
      <c r="F34" s="57" t="inlineStr">
        <is>
          <t>None</t>
        </is>
      </c>
      <c r="G34" s="58" t="inlineStr">
        <is>
          <t>Unsigned</t>
        </is>
      </c>
      <c r="H34" s="58">
        <f>IF(A34="Not Applicable - Fact Driven",IF(AND(C34="Not Performed",D34="Not Required",OR(F34="None",F34="Resolved",F34="Passed"),OR(G34="Prepared",G34="Reviewed"),LEFT(O34,6)="FACT:/",Q34&lt;&gt;""),"Valid N/A","Blocked"),IF(AND(B34="Recommended",C34="Not Performed",D34="Not Required",OR(F34="None",F34="Resolved",F34="Passed")),"Recommended - Not Performed",IF(C34&lt;&gt;"Performed","Open - "&amp;C34,IF(D34&lt;&gt;"Sufficient","Open - "&amp;D34&amp;" Evidence",IF(E34="Unable to Conclude","Open - Unable to Conclude",IF(AND(E34="Exception Identified",ISERROR(SEARCH("ISSUE:",P34))),"Open - Missing Issue ID",IF(AND(F34="Open",ISERROR(SEARCH("ISSUE:",P34))),"Open - Missing Issue ID",IF(OR(F34="Open",F34="Superseded"),"Open - "&amp;F34&amp;" Issue",IF(AND(E34="Exception Identified",NOT(OR(F34="Adjusted",F34="Passed",F34="Resolved"))),"Open - Undispositioned Exception",IF(OR(G34="Prepared",G34="Reviewed"),"Passed","Open - Unsigned"))))))))))</f>
        <v/>
      </c>
      <c r="I34" s="58" t="inlineStr">
        <is>
          <t>20. Identify all amendments, refinancings, payoffs and exchanges in the period from board minutes, lender confirmations, agreements and inquiry.</t>
        </is>
      </c>
      <c r="J34" s="58" t="inlineStr">
        <is>
          <t>Completeness</t>
        </is>
      </c>
      <c r="K34" s="58" t="inlineStr">
        <is>
          <t>&lt;.7&gt;</t>
        </is>
      </c>
      <c r="L34" s="58" t="n"/>
      <c r="M34" s="59" t="n"/>
      <c r="N34" s="58" t="n"/>
      <c r="O34" s="58" t="n"/>
      <c r="P34" s="58" t="inlineStr">
        <is>
          <t>PROC:PROC-DEBT; WINDOW:WIN-CONFIRMATION-CONTROL</t>
        </is>
      </c>
      <c r="Q34" s="58" t="n"/>
    </row>
    <row r="35" ht="120" customHeight="1" s="41">
      <c r="A35" s="57" t="inlineStr">
        <is>
          <t>Applicable</t>
        </is>
      </c>
      <c r="B35" s="57" t="inlineStr">
        <is>
          <t>Required</t>
        </is>
      </c>
      <c r="C35" s="57" t="inlineStr">
        <is>
          <t>Not Started</t>
        </is>
      </c>
      <c r="D35" s="57" t="inlineStr">
        <is>
          <t>Missing</t>
        </is>
      </c>
      <c r="E35" s="57" t="inlineStr">
        <is>
          <t>Unable to Conclude</t>
        </is>
      </c>
      <c r="F35" s="57" t="inlineStr">
        <is>
          <t>None</t>
        </is>
      </c>
      <c r="G35" s="58" t="inlineStr">
        <is>
          <t>Unsigned</t>
        </is>
      </c>
      <c r="H35" s="58">
        <f>IF(A35="Not Applicable - Fact Driven",IF(AND(C35="Not Performed",D35="Not Required",OR(F35="None",F35="Resolved",F35="Passed"),OR(G35="Prepared",G35="Reviewed"),LEFT(O35,6)="FACT:/",Q35&lt;&gt;""),"Valid N/A","Blocked"),IF(AND(B35="Recommended",C35="Not Performed",D35="Not Required",OR(F35="None",F35="Resolved",F35="Passed")),"Recommended - Not Performed",IF(C35&lt;&gt;"Performed","Open - "&amp;C35,IF(D35&lt;&gt;"Sufficient","Open - "&amp;D35&amp;" Evidence",IF(E35="Unable to Conclude","Open - Unable to Conclude",IF(AND(E35="Exception Identified",ISERROR(SEARCH("ISSUE:",P35))),"Open - Missing Issue ID",IF(AND(F35="Open",ISERROR(SEARCH("ISSUE:",P35))),"Open - Missing Issue ID",IF(OR(F35="Open",F35="Superseded"),"Open - "&amp;F35&amp;" Issue",IF(AND(E35="Exception Identified",NOT(OR(F35="Adjusted",F35="Passed",F35="Resolved"))),"Open - Undispositioned Exception",IF(OR(G35="Prepared",G35="Reviewed"),"Passed","Open - Unsigned"))))))))))</f>
        <v/>
      </c>
      <c r="I35" s="58" t="inlineStr">
        <is>
          <t>21. Perform the 10% cash-flow test per facility — compare the present value of cash flows under the new terms (including lender fees) to the remaining cash flows of the original debt at the original effective rate — and conclude modification (≤10%) vs extinguishment (&gt;10%).</t>
        </is>
      </c>
      <c r="J35" s="58" t="inlineStr">
        <is>
          <t>Accuracy; Valuation</t>
        </is>
      </c>
      <c r="K35" s="58" t="inlineStr">
        <is>
          <t>&lt;.7&gt;</t>
        </is>
      </c>
      <c r="L35" s="58" t="n"/>
      <c r="M35" s="59" t="n"/>
      <c r="N35" s="58" t="n"/>
      <c r="O35" s="58" t="n"/>
      <c r="P35" s="58" t="inlineStr">
        <is>
          <t>PROC:PROC-DEBT</t>
        </is>
      </c>
      <c r="Q35" s="58" t="n"/>
    </row>
    <row r="36" ht="120" customHeight="1" s="41">
      <c r="A36" s="57" t="inlineStr">
        <is>
          <t>Applicable</t>
        </is>
      </c>
      <c r="B36" s="57" t="inlineStr">
        <is>
          <t>Required</t>
        </is>
      </c>
      <c r="C36" s="57" t="inlineStr">
        <is>
          <t>Not Started</t>
        </is>
      </c>
      <c r="D36" s="57" t="inlineStr">
        <is>
          <t>Missing</t>
        </is>
      </c>
      <c r="E36" s="57" t="inlineStr">
        <is>
          <t>Unable to Conclude</t>
        </is>
      </c>
      <c r="F36" s="57" t="inlineStr">
        <is>
          <t>None</t>
        </is>
      </c>
      <c r="G36" s="58" t="inlineStr">
        <is>
          <t>Unsigned</t>
        </is>
      </c>
      <c r="H36" s="58">
        <f>IF(A36="Not Applicable - Fact Driven",IF(AND(C36="Not Performed",D36="Not Required",OR(F36="None",F36="Resolved",F36="Passed"),OR(G36="Prepared",G36="Reviewed"),LEFT(O36,6)="FACT:/",Q36&lt;&gt;""),"Valid N/A","Blocked"),IF(AND(B36="Recommended",C36="Not Performed",D36="Not Required",OR(F36="None",F36="Resolved",F36="Passed")),"Recommended - Not Performed",IF(C36&lt;&gt;"Performed","Open - "&amp;C36,IF(D36&lt;&gt;"Sufficient","Open - "&amp;D36&amp;" Evidence",IF(E36="Unable to Conclude","Open - Unable to Conclude",IF(AND(E36="Exception Identified",ISERROR(SEARCH("ISSUE:",P36))),"Open - Missing Issue ID",IF(AND(F36="Open",ISERROR(SEARCH("ISSUE:",P36))),"Open - Missing Issue ID",IF(OR(F36="Open",F36="Superseded"),"Open - "&amp;F36&amp;" Issue",IF(AND(E36="Exception Identified",NOT(OR(F36="Adjusted",F36="Passed",F36="Resolved"))),"Open - Undispositioned Exception",IF(OR(G36="Prepared",G36="Reviewed"),"Passed","Open - Unsigned"))))))))))</f>
        <v/>
      </c>
      <c r="I36" s="58" t="inlineStr">
        <is>
          <t>22. Apply the accounting consequence: modification — capitalize lender fees over the modified term and expense third-party costs (ASC 470-50-40-17(b)/40-18(b)); extinguishment — recognize gain/loss (reacquisition price vs net carrying amount incl. unamortized costs) and capitalize new-debt third-party costs (40-17(a)/40-18(a)).</t>
        </is>
      </c>
      <c r="J36" s="58" t="inlineStr">
        <is>
          <t>Accuracy; Presentation &amp; Disclosure</t>
        </is>
      </c>
      <c r="K36" s="58" t="inlineStr">
        <is>
          <t>&lt;.7&gt;/&lt;.6&gt;</t>
        </is>
      </c>
      <c r="L36" s="58" t="n"/>
      <c r="M36" s="59" t="n"/>
      <c r="N36" s="58" t="n"/>
      <c r="O36" s="58" t="n"/>
      <c r="P36" s="58" t="inlineStr">
        <is>
          <t>PROC:PROC-DEBT</t>
        </is>
      </c>
      <c r="Q36" s="58" t="n"/>
    </row>
    <row r="37">
      <c r="A37" s="55" t="n"/>
      <c r="B37" s="51" t="n"/>
      <c r="C37" s="51" t="n"/>
      <c r="D37" s="51" t="n"/>
      <c r="E37" s="51" t="n"/>
      <c r="F37" s="51" t="n"/>
      <c r="G37" s="51" t="n"/>
      <c r="H37" s="51" t="n"/>
      <c r="I37" s="56" t="inlineStr">
        <is>
          <t>&lt;.8&gt; Covenants</t>
        </is>
      </c>
      <c r="J37" s="51" t="n"/>
      <c r="K37" s="51" t="n"/>
      <c r="L37" s="51" t="n"/>
      <c r="M37" s="51" t="n"/>
      <c r="N37" s="51" t="n"/>
      <c r="O37" s="51" t="n"/>
      <c r="P37" s="51" t="n"/>
      <c r="Q37" s="51" t="n"/>
    </row>
    <row r="38" ht="120" customHeight="1" s="41">
      <c r="A38" s="57" t="inlineStr">
        <is>
          <t>Applicable</t>
        </is>
      </c>
      <c r="B38" s="57" t="inlineStr">
        <is>
          <t>Required</t>
        </is>
      </c>
      <c r="C38" s="57" t="inlineStr">
        <is>
          <t>Not Started</t>
        </is>
      </c>
      <c r="D38" s="57" t="inlineStr">
        <is>
          <t>Missing</t>
        </is>
      </c>
      <c r="E38" s="57" t="inlineStr">
        <is>
          <t>Unable to Conclude</t>
        </is>
      </c>
      <c r="F38" s="57" t="inlineStr">
        <is>
          <t>None</t>
        </is>
      </c>
      <c r="G38" s="58" t="inlineStr">
        <is>
          <t>Unsigned</t>
        </is>
      </c>
      <c r="H38" s="58">
        <f>IF(A38="Not Applicable - Fact Driven",IF(AND(C38="Not Performed",D38="Not Required",OR(F38="None",F38="Resolved",F38="Passed"),OR(G38="Prepared",G38="Reviewed"),LEFT(O38,6)="FACT:/",Q38&lt;&gt;""),"Valid N/A","Blocked"),IF(AND(B38="Recommended",C38="Not Performed",D38="Not Required",OR(F38="None",F38="Resolved",F38="Passed")),"Recommended - Not Performed",IF(C38&lt;&gt;"Performed","Open - "&amp;C38,IF(D38&lt;&gt;"Sufficient","Open - "&amp;D38&amp;" Evidence",IF(E38="Unable to Conclude","Open - Unable to Conclude",IF(AND(E38="Exception Identified",ISERROR(SEARCH("ISSUE:",P38))),"Open - Missing Issue ID",IF(AND(F38="Open",ISERROR(SEARCH("ISSUE:",P38))),"Open - Missing Issue ID",IF(OR(F38="Open",F38="Superseded"),"Open - "&amp;F38&amp;" Issue",IF(AND(E38="Exception Identified",NOT(OR(F38="Adjusted",F38="Passed",F38="Resolved"))),"Open - Undispositioned Exception",IF(OR(G38="Prepared",G38="Reviewed"),"Passed","Open - Unsigned"))))))))))</f>
        <v/>
      </c>
      <c r="I38" s="58" t="inlineStr">
        <is>
          <t>23. Independently recompute each financial covenant from the agreement's DEFINED terms (numerator / denominator components mapped to the definitions) and evaluate compliance and headroom.</t>
        </is>
      </c>
      <c r="J38" s="58" t="inlineStr">
        <is>
          <t>Accuracy; Presentation &amp; Disclosure</t>
        </is>
      </c>
      <c r="K38" s="58" t="inlineStr">
        <is>
          <t>&lt;.8&gt;</t>
        </is>
      </c>
      <c r="L38" s="58" t="n"/>
      <c r="M38" s="59" t="n"/>
      <c r="N38" s="58" t="n"/>
      <c r="O38" s="58" t="n"/>
      <c r="P38" s="58" t="inlineStr">
        <is>
          <t>PROC:PROC-DEBT</t>
        </is>
      </c>
      <c r="Q38" s="58" t="n"/>
    </row>
    <row r="39" ht="120" customHeight="1" s="41">
      <c r="A39" s="57" t="inlineStr">
        <is>
          <t>Applicable</t>
        </is>
      </c>
      <c r="B39" s="57" t="inlineStr">
        <is>
          <t>Required</t>
        </is>
      </c>
      <c r="C39" s="57" t="inlineStr">
        <is>
          <t>Not Started</t>
        </is>
      </c>
      <c r="D39" s="57" t="inlineStr">
        <is>
          <t>Missing</t>
        </is>
      </c>
      <c r="E39" s="57" t="inlineStr">
        <is>
          <t>Unable to Conclude</t>
        </is>
      </c>
      <c r="F39" s="57" t="inlineStr">
        <is>
          <t>None</t>
        </is>
      </c>
      <c r="G39" s="58" t="inlineStr">
        <is>
          <t>Unsigned</t>
        </is>
      </c>
      <c r="H39" s="58">
        <f>IF(A39="Not Applicable - Fact Driven",IF(AND(C39="Not Performed",D39="Not Required",OR(F39="None",F39="Resolved",F39="Passed"),OR(G39="Prepared",G39="Reviewed"),LEFT(O39,6)="FACT:/",Q39&lt;&gt;""),"Valid N/A","Blocked"),IF(AND(B39="Recommended",C39="Not Performed",D39="Not Required",OR(F39="None",F39="Resolved",F39="Passed")),"Recommended - Not Performed",IF(C39&lt;&gt;"Performed","Open - "&amp;C39,IF(D39&lt;&gt;"Sufficient","Open - "&amp;D39&amp;" Evidence",IF(E39="Unable to Conclude","Open - Unable to Conclude",IF(AND(E39="Exception Identified",ISERROR(SEARCH("ISSUE:",P39))),"Open - Missing Issue ID",IF(AND(F39="Open",ISERROR(SEARCH("ISSUE:",P39))),"Open - Missing Issue ID",IF(OR(F39="Open",F39="Superseded"),"Open - "&amp;F39&amp;" Issue",IF(AND(E39="Exception Identified",NOT(OR(F39="Adjusted",F39="Passed",F39="Resolved"))),"Open - Undispositioned Exception",IF(OR(G39="Prepared",G39="Reviewed"),"Passed","Open - Unsigned"))))))))))</f>
        <v/>
      </c>
      <c r="I39" s="58" t="inlineStr">
        <is>
          <t>24. Obtain the covenant compliance certificate and lender acknowledgment; where violated, obtain the waiver and assess the classification impact (current unless waived for at least 12 months — ASC 470-10-45); update &lt;.4&gt;.</t>
        </is>
      </c>
      <c r="J39" s="58" t="inlineStr">
        <is>
          <t>Presentation &amp; Disclosure; Classification</t>
        </is>
      </c>
      <c r="K39" s="58" t="inlineStr">
        <is>
          <t>&lt;.8&gt;/&lt;.4&gt;</t>
        </is>
      </c>
      <c r="L39" s="58" t="n"/>
      <c r="M39" s="59" t="n"/>
      <c r="N39" s="58" t="n"/>
      <c r="O39" s="58" t="n"/>
      <c r="P39" s="58" t="inlineStr">
        <is>
          <t>PROC:PROC-DEBT</t>
        </is>
      </c>
      <c r="Q39" s="58" t="n"/>
    </row>
    <row r="40">
      <c r="A40" s="55" t="n"/>
      <c r="B40" s="51" t="n"/>
      <c r="C40" s="51" t="n"/>
      <c r="D40" s="51" t="n"/>
      <c r="E40" s="51" t="n"/>
      <c r="F40" s="51" t="n"/>
      <c r="G40" s="51" t="n"/>
      <c r="H40" s="51" t="n"/>
      <c r="I40" s="60" t="inlineStr">
        <is>
          <t>&lt;.9&gt; Disclosures &amp; Analytics</t>
        </is>
      </c>
      <c r="J40" s="51" t="n"/>
      <c r="K40" s="51" t="n"/>
      <c r="L40" s="51" t="n"/>
      <c r="M40" s="51" t="n"/>
      <c r="N40" s="51" t="n"/>
      <c r="O40" s="51" t="n"/>
      <c r="P40" s="51" t="n"/>
      <c r="Q40" s="51" t="n"/>
    </row>
    <row r="41" ht="120" customHeight="1" s="41">
      <c r="A41" s="57" t="inlineStr">
        <is>
          <t>Applicable</t>
        </is>
      </c>
      <c r="B41" s="57" t="inlineStr">
        <is>
          <t>Required</t>
        </is>
      </c>
      <c r="C41" s="57" t="inlineStr">
        <is>
          <t>Not Started</t>
        </is>
      </c>
      <c r="D41" s="57" t="inlineStr">
        <is>
          <t>Missing</t>
        </is>
      </c>
      <c r="E41" s="57" t="inlineStr">
        <is>
          <t>Unable to Conclude</t>
        </is>
      </c>
      <c r="F41" s="57" t="inlineStr">
        <is>
          <t>None</t>
        </is>
      </c>
      <c r="G41" s="58" t="inlineStr">
        <is>
          <t>Unsigned</t>
        </is>
      </c>
      <c r="H41" s="58">
        <f>IF(A41="Not Applicable - Fact Driven",IF(AND(C41="Not Performed",D41="Not Required",OR(F41="None",F41="Resolved",F41="Passed"),OR(G41="Prepared",G41="Reviewed"),LEFT(O41,6)="FACT:/",Q41&lt;&gt;""),"Valid N/A","Blocked"),IF(AND(B41="Recommended",C41="Not Performed",D41="Not Required",OR(F41="None",F41="Resolved",F41="Passed")),"Recommended - Not Performed",IF(C41&lt;&gt;"Performed","Open - "&amp;C41,IF(D41&lt;&gt;"Sufficient","Open - "&amp;D41&amp;" Evidence",IF(E41="Unable to Conclude","Open - Unable to Conclude",IF(AND(E41="Exception Identified",ISERROR(SEARCH("ISSUE:",P41))),"Open - Missing Issue ID",IF(AND(F41="Open",ISERROR(SEARCH("ISSUE:",P41))),"Open - Missing Issue ID",IF(OR(F41="Open",F41="Superseded"),"Open - "&amp;F41&amp;" Issue",IF(AND(E41="Exception Identified",NOT(OR(F41="Adjusted",F41="Passed",F41="Resolved"))),"Open - Undispositioned Exception",IF(OR(G41="Prepared",G41="Reviewed"),"Passed","Open - Unsigned"))))))))))</f>
        <v/>
      </c>
      <c r="I41" s="58" t="inlineStr">
        <is>
          <t>25. Evaluate debt presentation and disclosure — terms, rates and maturities by facility, five-year maturity table, collateral / guarantees, issuance-cost presentation policy, unused availability, covenant violations / waivers, subsequent refinancing, fair value, related-party debt.</t>
        </is>
      </c>
      <c r="J41" s="58" t="inlineStr">
        <is>
          <t>Presentation &amp; Disclosure</t>
        </is>
      </c>
      <c r="K41" s="58" t="inlineStr">
        <is>
          <t>&lt;.9&gt;</t>
        </is>
      </c>
      <c r="L41" s="58" t="n"/>
      <c r="M41" s="59" t="n"/>
      <c r="N41" s="58" t="n"/>
      <c r="O41" s="58" t="n"/>
      <c r="P41" s="58" t="inlineStr">
        <is>
          <t>PROC:PROC-DEBT; WINDOW:WIN-Debt reference Subsequent</t>
        </is>
      </c>
      <c r="Q41" s="58" t="n"/>
    </row>
    <row r="42" ht="120" customHeight="1" s="41">
      <c r="A42" s="57" t="inlineStr">
        <is>
          <t>Applicable</t>
        </is>
      </c>
      <c r="B42" s="57" t="inlineStr">
        <is>
          <t>Required</t>
        </is>
      </c>
      <c r="C42" s="57" t="inlineStr">
        <is>
          <t>Not Started</t>
        </is>
      </c>
      <c r="D42" s="57" t="inlineStr">
        <is>
          <t>Missing</t>
        </is>
      </c>
      <c r="E42" s="57" t="inlineStr">
        <is>
          <t>Unable to Conclude</t>
        </is>
      </c>
      <c r="F42" s="57" t="inlineStr">
        <is>
          <t>None</t>
        </is>
      </c>
      <c r="G42" s="58" t="inlineStr">
        <is>
          <t>Unsigned</t>
        </is>
      </c>
      <c r="H42" s="58">
        <f>IF(A42="Not Applicable - Fact Driven",IF(AND(C42="Not Performed",D42="Not Required",OR(F42="None",F42="Resolved",F42="Passed"),OR(G42="Prepared",G42="Reviewed"),LEFT(O42,6)="FACT:/",Q42&lt;&gt;""),"Valid N/A","Blocked"),IF(AND(B42="Recommended",C42="Not Performed",D42="Not Required",OR(F42="None",F42="Resolved",F42="Passed")),"Recommended - Not Performed",IF(C42&lt;&gt;"Performed","Open - "&amp;C42,IF(D42&lt;&gt;"Sufficient","Open - "&amp;D42&amp;" Evidence",IF(E42="Unable to Conclude","Open - Unable to Conclude",IF(AND(E42="Exception Identified",ISERROR(SEARCH("ISSUE:",P42))),"Open - Missing Issue ID",IF(AND(F42="Open",ISERROR(SEARCH("ISSUE:",P42))),"Open - Missing Issue ID",IF(OR(F42="Open",F42="Superseded"),"Open - "&amp;F42&amp;" Issue",IF(AND(E42="Exception Identified",NOT(OR(F42="Adjusted",F42="Passed",F42="Resolved"))),"Open - Undispositioned Exception",IF(OR(G42="Prepared",G42="Reviewed"),"Passed","Open - Unsigned"))))))))))</f>
        <v/>
      </c>
      <c r="I42" s="58" t="inlineStr">
        <is>
          <t>26. Perform debt analytics (gross vs net carrying value, weighted-average rate, interest coverage, unused availability) and investigate unusual movements.</t>
        </is>
      </c>
      <c r="J42" s="58" t="inlineStr">
        <is>
          <t>Valuation &amp; Allocation</t>
        </is>
      </c>
      <c r="K42" s="58" t="inlineStr">
        <is>
          <t>&lt;.9&gt;</t>
        </is>
      </c>
      <c r="L42" s="58" t="n"/>
      <c r="M42" s="59" t="n"/>
      <c r="N42" s="58" t="n"/>
      <c r="O42" s="58" t="n"/>
      <c r="P42" s="58" t="inlineStr">
        <is>
          <t>PROC:PROC-DEBT</t>
        </is>
      </c>
      <c r="Q42" s="58" t="n"/>
    </row>
    <row r="43">
      <c r="A43" s="55" t="n"/>
      <c r="B43" s="51" t="n"/>
      <c r="C43" s="51" t="n"/>
      <c r="D43" s="51" t="n"/>
      <c r="E43" s="51" t="n"/>
      <c r="F43" s="51" t="n"/>
      <c r="G43" s="51" t="n"/>
      <c r="H43" s="51" t="n"/>
      <c r="I43" s="60" t="inlineStr">
        <is>
          <t>Documentation &amp; Review</t>
        </is>
      </c>
      <c r="J43" s="51" t="n"/>
      <c r="K43" s="51" t="n"/>
      <c r="L43" s="51" t="n"/>
      <c r="M43" s="51" t="n"/>
      <c r="N43" s="51" t="n"/>
      <c r="O43" s="51" t="n"/>
      <c r="P43" s="51" t="n"/>
      <c r="Q43" s="51" t="n"/>
    </row>
    <row r="44" ht="120" customHeight="1" s="41">
      <c r="A44" s="57" t="inlineStr">
        <is>
          <t>Applicable</t>
        </is>
      </c>
      <c r="B44" s="57" t="inlineStr">
        <is>
          <t>Required</t>
        </is>
      </c>
      <c r="C44" s="57" t="inlineStr">
        <is>
          <t>Not Started</t>
        </is>
      </c>
      <c r="D44" s="57" t="inlineStr">
        <is>
          <t>Missing</t>
        </is>
      </c>
      <c r="E44" s="57" t="inlineStr">
        <is>
          <t>Unable to Conclude</t>
        </is>
      </c>
      <c r="F44" s="57" t="inlineStr">
        <is>
          <t>None</t>
        </is>
      </c>
      <c r="G44" s="58" t="inlineStr">
        <is>
          <t>Unsigned</t>
        </is>
      </c>
      <c r="H44" s="58">
        <f>IF(A44="Not Applicable - Fact Driven",IF(AND(C44="Not Performed",D44="Not Required",OR(F44="None",F44="Resolved",F44="Passed"),OR(G44="Prepared",G44="Reviewed"),LEFT(O44,6)="FACT:/",Q44&lt;&gt;""),"Valid N/A","Blocked"),IF(AND(B44="Recommended",C44="Not Performed",D44="Not Required",OR(F44="None",F44="Resolved",F44="Passed")),"Recommended - Not Performed",IF(C44&lt;&gt;"Performed","Open - "&amp;C44,IF(D44&lt;&gt;"Sufficient","Open - "&amp;D44&amp;" Evidence",IF(E44="Unable to Conclude","Open - Unable to Conclude",IF(AND(E44="Exception Identified",ISERROR(SEARCH("ISSUE:",P44))),"Open - Missing Issue ID",IF(AND(F44="Open",ISERROR(SEARCH("ISSUE:",P44))),"Open - Missing Issue ID",IF(OR(F44="Open",F44="Superseded"),"Open - "&amp;F44&amp;" Issue",IF(AND(E44="Exception Identified",NOT(OR(F44="Adjusted",F44="Passed",F44="Resolved"))),"Open - Undispositioned Exception",IF(OR(G44="Prepared",G44="Reviewed"),"Passed","Open - Unsigned"))))))))))</f>
        <v/>
      </c>
      <c r="I44" s="58" t="inlineStr">
        <is>
          <t>27. Cross-reference each procedure to its workpaper tab and link it to the relevant assertion(s).</t>
        </is>
      </c>
      <c r="J44" s="58" t="inlineStr">
        <is>
          <t>Overall</t>
        </is>
      </c>
      <c r="K44" s="58" t="inlineStr">
        <is>
          <t>&lt;.0&gt;-&lt;.9&gt;</t>
        </is>
      </c>
      <c r="L44" s="58" t="n"/>
      <c r="M44" s="59" t="n"/>
      <c r="N44" s="58" t="n"/>
      <c r="O44" s="58" t="n"/>
      <c r="P44" s="58" t="inlineStr">
        <is>
          <t>PROC:PROC-DEBT</t>
        </is>
      </c>
      <c r="Q44" s="58" t="n"/>
    </row>
    <row r="45" ht="120" customHeight="1" s="41">
      <c r="A45" s="57" t="inlineStr">
        <is>
          <t>Applicable</t>
        </is>
      </c>
      <c r="B45" s="57" t="inlineStr">
        <is>
          <t>Required</t>
        </is>
      </c>
      <c r="C45" s="57" t="inlineStr">
        <is>
          <t>Not Started</t>
        </is>
      </c>
      <c r="D45" s="57" t="inlineStr">
        <is>
          <t>Missing</t>
        </is>
      </c>
      <c r="E45" s="57" t="inlineStr">
        <is>
          <t>Unable to Conclude</t>
        </is>
      </c>
      <c r="F45" s="57" t="inlineStr">
        <is>
          <t>None</t>
        </is>
      </c>
      <c r="G45" s="58" t="inlineStr">
        <is>
          <t>Unsigned</t>
        </is>
      </c>
      <c r="H45" s="58">
        <f>IF(A45="Not Applicable - Fact Driven",IF(AND(C45="Not Performed",D45="Not Required",OR(F45="None",F45="Resolved",F45="Passed"),OR(G45="Prepared",G45="Reviewed"),LEFT(O45,6)="FACT:/",Q45&lt;&gt;""),"Valid N/A","Blocked"),IF(AND(B45="Recommended",C45="Not Performed",D45="Not Required",OR(F45="None",F45="Resolved",F45="Passed")),"Recommended - Not Performed",IF(C45&lt;&gt;"Performed","Open - "&amp;C45,IF(D45&lt;&gt;"Sufficient","Open - "&amp;D45&amp;" Evidence",IF(E45="Unable to Conclude","Open - Unable to Conclude",IF(AND(E45="Exception Identified",ISERROR(SEARCH("ISSUE:",P45))),"Open - Missing Issue ID",IF(AND(F45="Open",ISERROR(SEARCH("ISSUE:",P45))),"Open - Missing Issue ID",IF(OR(F45="Open",F45="Superseded"),"Open - "&amp;F45&amp;" Issue",IF(AND(E45="Exception Identified",NOT(OR(F45="Adjusted",F45="Passed",F45="Resolved"))),"Open - Undispositioned Exception",IF(OR(G45="Prepared",G45="Reviewed"),"Passed","Open - Unsigned"))))))))))</f>
        <v/>
      </c>
      <c r="I45" s="58" t="inlineStr">
        <is>
          <t>28. Verify rollforward, maturity, issuance-cost and covenant tie-out formulas foot correctly and the workbook source trail is complete.</t>
        </is>
      </c>
      <c r="J45" s="58" t="inlineStr">
        <is>
          <t>Accuracy; Completeness</t>
        </is>
      </c>
      <c r="K45" s="58" t="inlineStr">
        <is>
          <t>&lt;.1&gt;/&lt;.4&gt;/&lt;.6&gt;</t>
        </is>
      </c>
      <c r="L45" s="58" t="n"/>
      <c r="M45" s="59" t="n"/>
      <c r="N45" s="58" t="n"/>
      <c r="O45" s="58" t="n"/>
      <c r="P45" s="58" t="inlineStr">
        <is>
          <t>PROC:PROC-DEBT; WINDOW:WIN-Debt reference Subsequent</t>
        </is>
      </c>
      <c r="Q45" s="58" t="n"/>
    </row>
    <row r="46">
      <c r="A46" s="55" t="n"/>
      <c r="B46" s="51" t="n"/>
      <c r="C46" s="51" t="n"/>
      <c r="D46" s="51" t="n"/>
      <c r="E46" s="51" t="n"/>
      <c r="F46" s="51" t="n"/>
      <c r="G46" s="51" t="n"/>
      <c r="H46" s="51" t="n"/>
      <c r="I46" s="56" t="inlineStr">
        <is>
          <t>Conclusion</t>
        </is>
      </c>
      <c r="J46" s="51" t="n"/>
      <c r="K46" s="51" t="n"/>
      <c r="L46" s="51" t="n"/>
      <c r="M46" s="51" t="n"/>
      <c r="N46" s="51" t="n"/>
      <c r="O46" s="51" t="n"/>
      <c r="P46" s="51" t="n"/>
      <c r="Q46" s="51" t="n"/>
    </row>
    <row r="47" ht="120" customHeight="1" s="41">
      <c r="A47" s="57" t="inlineStr">
        <is>
          <t>Applicable</t>
        </is>
      </c>
      <c r="B47" s="57" t="inlineStr">
        <is>
          <t>Required</t>
        </is>
      </c>
      <c r="C47" s="57" t="inlineStr">
        <is>
          <t>Not Started</t>
        </is>
      </c>
      <c r="D47" s="57" t="inlineStr">
        <is>
          <t>Missing</t>
        </is>
      </c>
      <c r="E47" s="57" t="inlineStr">
        <is>
          <t>Unable to Conclude</t>
        </is>
      </c>
      <c r="F47" s="57" t="inlineStr">
        <is>
          <t>None</t>
        </is>
      </c>
      <c r="G47" s="58" t="inlineStr">
        <is>
          <t>Unsigned</t>
        </is>
      </c>
      <c r="H47" s="58">
        <f>IF(A47="Not Applicable - Fact Driven",IF(AND(C47="Not Performed",D47="Not Required",OR(F47="None",F47="Resolved",F47="Passed"),OR(G47="Prepared",G47="Reviewed"),LEFT(O47,6)="FACT:/",Q47&lt;&gt;""),"Valid N/A","Blocked"),IF(AND(B47="Recommended",C47="Not Performed",D47="Not Required",OR(F47="None",F47="Resolved",F47="Passed")),"Recommended - Not Performed",IF(C47&lt;&gt;"Performed","Open - "&amp;C47,IF(D47&lt;&gt;"Sufficient","Open - "&amp;D47&amp;" Evidence",IF(E47="Unable to Conclude","Open - Unable to Conclude",IF(AND(E47="Exception Identified",ISERROR(SEARCH("ISSUE:",P47))),"Open - Missing Issue ID",IF(AND(F47="Open",ISERROR(SEARCH("ISSUE:",P47))),"Open - Missing Issue ID",IF(OR(F47="Open",F47="Superseded"),"Open - "&amp;F47&amp;" Issue",IF(AND(E47="Exception Identified",NOT(OR(F47="Adjusted",F47="Passed",F47="Resolved"))),"Open - Undispositioned Exception",IF(OR(G47="Prepared",G47="Reviewed"),"Passed","Open - Unsigned"))))))))))</f>
        <v/>
      </c>
      <c r="I47" s="58" t="inlineStr">
        <is>
          <t>29. All planned debt audit procedures above were performed; results support the recorded principal, net carrying value, interest, classification and related disclosures, subject to documented open items.</t>
        </is>
      </c>
      <c r="J47" s="58" t="inlineStr">
        <is>
          <t>Overall</t>
        </is>
      </c>
      <c r="K47" s="58" t="inlineStr">
        <is>
          <t>&lt;.0&gt;-&lt;.9&gt;</t>
        </is>
      </c>
      <c r="L47" s="58" t="n"/>
      <c r="M47" s="59" t="n"/>
      <c r="N47" s="58" t="n"/>
      <c r="O47" s="58" t="n"/>
      <c r="P47" s="58" t="inlineStr">
        <is>
          <t>PROC:PROC-DEBT</t>
        </is>
      </c>
      <c r="Q47" s="58" t="n"/>
    </row>
  </sheetData>
  <autoFilter ref="A6:Q47"/>
  <mergeCells count="13">
    <mergeCell ref="I20:Q20"/>
    <mergeCell ref="I16:Q16"/>
    <mergeCell ref="I7:Q7"/>
    <mergeCell ref="I37:Q37"/>
    <mergeCell ref="I13:Q13"/>
    <mergeCell ref="I40:Q40"/>
    <mergeCell ref="I9:Q9"/>
    <mergeCell ref="I43:Q43"/>
    <mergeCell ref="I46:Q46"/>
    <mergeCell ref="I33:Q33"/>
    <mergeCell ref="I27:Q27"/>
    <mergeCell ref="A4:Q4"/>
    <mergeCell ref="I23:Q23"/>
  </mergeCells>
  <conditionalFormatting sqref="A8:Q47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10 A11 A12 A14 A15 A17 A18 A19 A21 A22 A24 A25 A26 A28 A29 A30 A31 A32 A34 A35 A36 A38 A39 A41 A42 A44 A45 A47" showDropDown="0" showInputMessage="0" showErrorMessage="0" allowBlank="0" type="list">
      <formula1>"Applicable,Not Applicable - Fact Driven"</formula1>
    </dataValidation>
    <dataValidation sqref="B8 B10 B11 B12 B14 B15 B17 B18 B19 B21 B22 B24 B25 B26 B28 B29 B30 B31 B32 B34 B35 B36 B38 B39 B41 B42 B44 B45 B47" showDropDown="0" showInputMessage="0" showErrorMessage="0" allowBlank="0" type="list">
      <formula1>"Required,Recommended"</formula1>
    </dataValidation>
    <dataValidation sqref="C8 C10 C11 C12 C14 C15 C17 C18 C19 C21 C22 C24 C25 C26 C28 C29 C30 C31 C32 C34 C35 C36 C38 C39 C41 C42 C44 C45 C47" showDropDown="0" showInputMessage="0" showErrorMessage="0" allowBlank="0" type="list">
      <formula1>"Not Started,In Progress,Performed,Not Performed"</formula1>
    </dataValidation>
    <dataValidation sqref="D8 D10 D11 D12 D14 D15 D17 D18 D19 D21 D22 D24 D25 D26 D28 D29 D30 D31 D32 D34 D35 D36 D38 D39 D41 D42 D44 D45 D47" showDropDown="0" showInputMessage="0" showErrorMessage="0" allowBlank="0" type="list">
      <formula1>"Sufficient,Missing,Unreadable,Unreliable,Contradictory,Not Required"</formula1>
    </dataValidation>
    <dataValidation sqref="E8 E10 E11 E12 E14 E15 E17 E18 E19 E21 E22 E24 E25 E26 E28 E29 E30 E31 E32 E34 E35 E36 E38 E39 E41 E42 E44 E45 E47" showDropDown="0" showInputMessage="0" showErrorMessage="0" allowBlank="0" type="list">
      <formula1>"No Exception,Exception Identified,Unable to Conclude"</formula1>
    </dataValidation>
    <dataValidation sqref="F8 F10 F11 F12 F14 F15 F17 F18 F19 F21 F22 F24 F25 F26 F28 F29 F30 F31 F32 F34 F35 F36 F38 F39 F41 F42 F44 F45 F47" showDropDown="0" showInputMessage="0" showErrorMessage="0" allowBlank="0" type="list">
      <formula1>"None,Open,Adjusted,Passed,Resolved,Superseded"</formula1>
    </dataValidation>
    <dataValidation sqref="G8 G10 G11 G12 G14 G15 G17 G18 G19 G21 G22 G24 G25 G26 G28 G29 G30 G31 G32 G34 G35 G36 G38 G39 G41 G42 G44 G45 G47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4" sqref="A4:G6"/>
    </sheetView>
  </sheetViews>
  <sheetFormatPr baseColWidth="8" defaultColWidth="8.6328125" defaultRowHeight="14.5"/>
  <cols>
    <col width="21.55" bestFit="1" customWidth="1" style="41" min="1" max="1"/>
    <col width="38" customWidth="1" style="41" min="2" max="2"/>
    <col width="20" customWidth="1" style="41" min="3" max="3"/>
    <col width="37.7" customWidth="1" style="41" min="4" max="4"/>
    <col width="12" customWidth="1" style="41" min="5" max="5"/>
    <col width="24" customWidth="1" style="41" min="6" max="6"/>
    <col width="34" customWidth="1" style="41" min="7" max="7"/>
    <col width="13" customWidth="1" style="41" min="8" max="8"/>
  </cols>
  <sheetData>
    <row r="1" ht="17.5" customHeight="1" s="41">
      <c r="A1" s="61" t="inlineStr">
        <is>
          <t>Source Index</t>
        </is>
      </c>
      <c r="B1" s="51" t="n"/>
      <c r="C1" s="51" t="n"/>
      <c r="D1" s="51" t="n"/>
      <c r="E1" s="51" t="n"/>
      <c r="F1" s="51" t="n"/>
      <c r="G1" s="51" t="n"/>
      <c r="H1" s="51" t="n"/>
    </row>
    <row r="2">
      <c r="A2" s="62" t="inlineStr">
        <is>
          <t>Client / Entity</t>
        </is>
      </c>
      <c r="B2" s="52" t="inlineStr">
        <is>
          <t>Vaquite Industries, Inc.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</row>
    <row r="3" ht="27" customHeight="1" s="41">
      <c r="A3" s="65" t="inlineStr">
        <is>
          <t>Performance Materiality</t>
        </is>
      </c>
      <c r="B3" s="66" t="n">
        <v>23100</v>
      </c>
      <c r="C3" s="51" t="n"/>
      <c r="D3" s="65" t="inlineStr">
        <is>
          <t>Tolerable misstatement / testing threshold</t>
        </is>
      </c>
      <c r="E3" s="66" t="n">
        <v>20800</v>
      </c>
      <c r="F3" s="51" t="n"/>
      <c r="G3" s="51" t="n"/>
      <c r="H3" s="51" t="n"/>
    </row>
    <row r="4">
      <c r="A4" s="67" t="inlineStr">
        <is>
          <t>Purpose:</t>
        </is>
      </c>
      <c r="B4" s="68" t="inlineStr">
        <is>
          <t>Map every debt PBC source and its limitations so the evidence trail is complete and traceable.</t>
        </is>
      </c>
      <c r="C4" s="69" t="n"/>
      <c r="D4" s="69" t="n"/>
      <c r="E4" s="69" t="n"/>
      <c r="F4" s="69" t="n"/>
      <c r="G4" s="70" t="n"/>
      <c r="H4" s="51" t="n"/>
    </row>
    <row r="5" ht="27" customHeight="1" s="41">
      <c r="A5" s="67" t="inlineStr">
        <is>
          <t>Scope:</t>
        </is>
      </c>
      <c r="B5" s="68" t="inlineStr">
        <is>
          <t>Loan/facility listing, executed agreements &amp; amendments, lender statements/confirmations, amortization &amp; maturity schedules, covenant certificates &amp; calculations, fee/closing statements, board minutes.</t>
        </is>
      </c>
      <c r="C5" s="69" t="n"/>
      <c r="D5" s="69" t="n"/>
      <c r="E5" s="69" t="n"/>
      <c r="F5" s="69" t="n"/>
      <c r="G5" s="70" t="n"/>
      <c r="H5" s="51" t="n"/>
    </row>
    <row r="6">
      <c r="A6" s="67" t="inlineStr">
        <is>
          <t>Assertions:</t>
        </is>
      </c>
      <c r="B6" s="68" t="inlineStr">
        <is>
          <t>Completeness</t>
        </is>
      </c>
      <c r="C6" s="69" t="n"/>
      <c r="D6" s="69" t="n"/>
      <c r="E6" s="69" t="n"/>
      <c r="F6" s="69" t="n"/>
      <c r="G6" s="70" t="n"/>
      <c r="H6" s="51" t="n"/>
    </row>
    <row r="7" ht="30" customHeight="1" s="41">
      <c r="A7" s="71" t="inlineStr">
        <is>
          <t>Ref</t>
        </is>
      </c>
      <c r="B7" s="71" t="inlineStr">
        <is>
          <t>Source document / PBC</t>
        </is>
      </c>
      <c r="C7" s="71" t="inlineStr">
        <is>
          <t>Provided by</t>
        </is>
      </c>
      <c r="D7" s="71" t="inlineStr">
        <is>
          <t>Date received</t>
        </is>
      </c>
      <c r="E7" s="71" t="inlineStr">
        <is>
          <t>Format</t>
        </is>
      </c>
      <c r="F7" s="71" t="inlineStr">
        <is>
          <t>Used in tab(s)</t>
        </is>
      </c>
      <c r="G7" s="71" t="inlineStr">
        <is>
          <t>Limitations / notes</t>
        </is>
      </c>
      <c r="H7" s="51" t="n"/>
    </row>
    <row r="8">
      <c r="A8" s="72" t="n"/>
      <c r="B8" s="72" t="n"/>
      <c r="C8" s="72" t="n"/>
      <c r="D8" s="72" t="n"/>
      <c r="E8" s="72" t="n"/>
      <c r="F8" s="72" t="n"/>
      <c r="G8" s="72" t="n"/>
      <c r="H8" s="51" t="n"/>
    </row>
    <row r="9">
      <c r="A9" s="72" t="n"/>
      <c r="B9" s="72" t="n"/>
      <c r="C9" s="72" t="n"/>
      <c r="D9" s="72" t="n"/>
      <c r="E9" s="72" t="n"/>
      <c r="F9" s="72" t="n"/>
      <c r="G9" s="72" t="n"/>
      <c r="H9" s="51" t="n"/>
    </row>
    <row r="10">
      <c r="A10" s="72" t="n"/>
      <c r="B10" s="72" t="n"/>
      <c r="C10" s="72" t="n"/>
      <c r="D10" s="72" t="n"/>
      <c r="E10" s="72" t="n"/>
      <c r="F10" s="72" t="n"/>
      <c r="G10" s="72" t="n"/>
      <c r="H10" s="51" t="n"/>
    </row>
    <row r="11">
      <c r="A11" s="72" t="n"/>
      <c r="B11" s="72" t="n"/>
      <c r="C11" s="72" t="n"/>
      <c r="D11" s="72" t="n"/>
      <c r="E11" s="72" t="n"/>
      <c r="F11" s="72" t="n"/>
      <c r="G11" s="72" t="n"/>
      <c r="H11" s="51" t="n"/>
    </row>
    <row r="12">
      <c r="A12" s="72" t="n"/>
      <c r="B12" s="72" t="n"/>
      <c r="C12" s="72" t="n"/>
      <c r="D12" s="72" t="n"/>
      <c r="E12" s="72" t="n"/>
      <c r="F12" s="72" t="n"/>
      <c r="G12" s="72" t="n"/>
      <c r="H12" s="51" t="n"/>
    </row>
    <row r="13">
      <c r="A13" s="72" t="n"/>
      <c r="B13" s="72" t="n"/>
      <c r="C13" s="72" t="n"/>
      <c r="D13" s="72" t="n"/>
      <c r="E13" s="72" t="n"/>
      <c r="F13" s="72" t="n"/>
      <c r="G13" s="72" t="n"/>
      <c r="H13" s="51" t="n"/>
    </row>
    <row r="14">
      <c r="A14" s="72" t="n"/>
      <c r="B14" s="72" t="n"/>
      <c r="C14" s="72" t="n"/>
      <c r="D14" s="72" t="n"/>
      <c r="E14" s="72" t="n"/>
      <c r="F14" s="72" t="n"/>
      <c r="G14" s="72" t="n"/>
      <c r="H14" s="51" t="n"/>
    </row>
    <row r="15">
      <c r="A15" s="72" t="n"/>
      <c r="B15" s="72" t="n"/>
      <c r="C15" s="72" t="n"/>
      <c r="D15" s="72" t="n"/>
      <c r="E15" s="72" t="n"/>
      <c r="F15" s="72" t="n"/>
      <c r="G15" s="72" t="n"/>
      <c r="H15" s="51" t="n"/>
    </row>
    <row r="16">
      <c r="A16" s="72" t="n"/>
      <c r="B16" s="72" t="n"/>
      <c r="C16" s="72" t="n"/>
      <c r="D16" s="72" t="n"/>
      <c r="E16" s="72" t="n"/>
      <c r="F16" s="72" t="n"/>
      <c r="G16" s="72" t="n"/>
      <c r="H16" s="51" t="n"/>
    </row>
    <row r="17">
      <c r="A17" s="72" t="n"/>
      <c r="B17" s="72" t="n"/>
      <c r="C17" s="72" t="n"/>
      <c r="D17" s="72" t="n"/>
      <c r="E17" s="72" t="n"/>
      <c r="F17" s="72" t="n"/>
      <c r="G17" s="72" t="n"/>
      <c r="H17" s="51" t="n"/>
    </row>
    <row r="18">
      <c r="A18" s="72" t="n"/>
      <c r="B18" s="72" t="n"/>
      <c r="C18" s="72" t="n"/>
      <c r="D18" s="72" t="n"/>
      <c r="E18" s="72" t="n"/>
      <c r="F18" s="72" t="n"/>
      <c r="G18" s="72" t="n"/>
      <c r="H18" s="51" t="n"/>
    </row>
    <row r="19">
      <c r="A19" s="72" t="n"/>
      <c r="B19" s="72" t="n"/>
      <c r="C19" s="72" t="n"/>
      <c r="D19" s="72" t="n"/>
      <c r="E19" s="72" t="n"/>
      <c r="F19" s="72" t="n"/>
      <c r="G19" s="72" t="n"/>
      <c r="H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</row>
    <row r="21">
      <c r="A21" s="73" t="inlineStr">
        <is>
          <t>TM Legends</t>
        </is>
      </c>
      <c r="B21" s="51" t="n"/>
      <c r="C21" s="51" t="n"/>
      <c r="D21" s="51" t="n"/>
      <c r="E21" s="51" t="n"/>
      <c r="F21" s="51" t="n"/>
      <c r="G21" s="51" t="n"/>
      <c r="H21" s="51" t="n"/>
    </row>
    <row r="22">
      <c r="A22" s="74" t="inlineStr">
        <is>
          <t>TB</t>
        </is>
      </c>
      <c r="B22" s="57" t="inlineStr">
        <is>
          <t>Agreed to trial balance</t>
        </is>
      </c>
      <c r="C22" s="75" t="n"/>
      <c r="D22" s="76" t="n"/>
      <c r="E22" s="51" t="n"/>
      <c r="F22" s="51" t="n"/>
      <c r="G22" s="51" t="n"/>
      <c r="H22" s="51" t="n"/>
    </row>
    <row r="23">
      <c r="A23" s="74" t="inlineStr">
        <is>
          <t>GL</t>
        </is>
      </c>
      <c r="B23" s="57" t="inlineStr">
        <is>
          <t>Agreed to general ledger</t>
        </is>
      </c>
      <c r="C23" s="75" t="n"/>
      <c r="D23" s="76" t="n"/>
      <c r="E23" s="51" t="n"/>
      <c r="F23" s="51" t="n"/>
      <c r="G23" s="51" t="n"/>
      <c r="H23" s="51" t="n"/>
    </row>
    <row r="24">
      <c r="A24" s="74" t="inlineStr">
        <is>
          <t>CF</t>
        </is>
      </c>
      <c r="B24" s="57" t="inlineStr">
        <is>
          <t>Confirmed with third party</t>
        </is>
      </c>
      <c r="C24" s="75" t="n"/>
      <c r="D24" s="76" t="n"/>
      <c r="E24" s="51" t="n"/>
      <c r="F24" s="51" t="n"/>
      <c r="G24" s="51" t="n"/>
      <c r="H24" s="51" t="n"/>
    </row>
    <row r="25">
      <c r="A25" s="74" t="inlineStr">
        <is>
          <t>V</t>
        </is>
      </c>
      <c r="B25" s="57" t="inlineStr">
        <is>
          <t>Vouched to source document</t>
        </is>
      </c>
      <c r="C25" s="75" t="n"/>
      <c r="D25" s="76" t="n"/>
      <c r="E25" s="51" t="n"/>
      <c r="F25" s="51" t="n"/>
      <c r="G25" s="51" t="n"/>
      <c r="H25" s="51" t="n"/>
    </row>
    <row r="26">
      <c r="A26" s="74" t="inlineStr">
        <is>
          <t>SR</t>
        </is>
      </c>
      <c r="B26" s="57" t="inlineStr">
        <is>
          <t>Agreed to subsequent bank-cleared receipt</t>
        </is>
      </c>
      <c r="C26" s="75" t="n"/>
      <c r="D26" s="76" t="n"/>
      <c r="E26" s="51" t="n"/>
      <c r="F26" s="51" t="n"/>
      <c r="G26" s="51" t="n"/>
      <c r="H26" s="51" t="n"/>
    </row>
    <row r="27">
      <c r="A27" s="74" t="inlineStr">
        <is>
          <t>R</t>
        </is>
      </c>
      <c r="B27" s="57" t="inlineStr">
        <is>
          <t>Recalculated independently</t>
        </is>
      </c>
      <c r="C27" s="75" t="n"/>
      <c r="D27" s="76" t="n"/>
      <c r="E27" s="51" t="n"/>
      <c r="F27" s="51" t="n"/>
      <c r="G27" s="51" t="n"/>
      <c r="H27" s="51" t="n"/>
    </row>
    <row r="28">
      <c r="A28" s="74" t="inlineStr">
        <is>
          <t>F</t>
        </is>
      </c>
      <c r="B28" s="57" t="inlineStr">
        <is>
          <t>Footed / cross-cast</t>
        </is>
      </c>
      <c r="C28" s="75" t="n"/>
      <c r="D28" s="76" t="n"/>
      <c r="E28" s="51" t="n"/>
      <c r="F28" s="51" t="n"/>
      <c r="G28" s="51" t="n"/>
      <c r="H28" s="51" t="n"/>
    </row>
    <row r="29">
      <c r="A29" s="74" t="inlineStr">
        <is>
          <t>T</t>
        </is>
      </c>
      <c r="B29" s="57" t="inlineStr">
        <is>
          <t>Traced to downstream record</t>
        </is>
      </c>
      <c r="C29" s="75" t="n"/>
      <c r="D29" s="76" t="n"/>
      <c r="E29" s="51" t="n"/>
      <c r="F29" s="51" t="n"/>
      <c r="G29" s="51" t="n"/>
      <c r="H29" s="51" t="n"/>
    </row>
    <row r="30">
      <c r="A30" s="74" t="inlineStr">
        <is>
          <t>PBC</t>
        </is>
      </c>
      <c r="B30" s="57" t="inlineStr">
        <is>
          <t>Prepared by client</t>
        </is>
      </c>
      <c r="C30" s="75" t="n"/>
      <c r="D30" s="76" t="n"/>
      <c r="E30" s="51" t="n"/>
      <c r="F30" s="51" t="n"/>
      <c r="G30" s="51" t="n"/>
      <c r="H30" s="51" t="n"/>
    </row>
    <row r="31">
      <c r="A31" s="51" t="n"/>
      <c r="B31" s="51" t="n"/>
      <c r="C31" s="51" t="n"/>
      <c r="D31" s="51" t="n"/>
      <c r="E31" s="51" t="n"/>
      <c r="F31" s="51" t="n"/>
      <c r="G31" s="51" t="n"/>
      <c r="H31" s="51" t="n"/>
    </row>
    <row r="32" ht="27.75" customHeight="1" s="41">
      <c r="A32" s="53" t="inlineStr">
        <is>
          <t>Before sign-off complete Library Procedure 1 (source completeness &amp; limitations).</t>
        </is>
      </c>
      <c r="B32" s="51" t="n"/>
      <c r="C32" s="51" t="n"/>
      <c r="D32" s="51" t="n"/>
      <c r="E32" s="51" t="n"/>
      <c r="F32" s="51" t="n"/>
      <c r="G32" s="51" t="n"/>
      <c r="H32" s="51" t="n"/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O3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6" sqref="A6"/>
    </sheetView>
  </sheetViews>
  <sheetFormatPr baseColWidth="8" defaultColWidth="8.6328125" defaultRowHeight="14.5"/>
  <cols>
    <col width="22" customWidth="1" style="41" min="1" max="1"/>
    <col width="22.4" customWidth="1" style="41" min="2" max="2"/>
    <col width="22.4" customWidth="1" style="41" min="3" max="3"/>
    <col width="37.7" customWidth="1" style="41" min="4" max="4"/>
    <col width="13.05" customWidth="1" style="41" min="5" max="5"/>
    <col width="21.55" customWidth="1" style="41" min="6" max="6"/>
    <col width="17.3" customWidth="1" style="41" min="7" max="7"/>
    <col width="14" customWidth="1" style="41" min="8" max="8"/>
    <col width="32.59999999999999" customWidth="1" style="41" min="9" max="9"/>
    <col width="14" customWidth="1" style="41" min="10" max="10"/>
    <col width="30.9" customWidth="1" style="41" min="11" max="11"/>
    <col width="30.05" customWidth="1" style="41" min="12" max="12"/>
    <col width="20.7" customWidth="1" style="41" min="13" max="13"/>
    <col width="20" customWidth="1" style="41" min="14" max="14"/>
    <col width="22" customWidth="1" style="41" min="15" max="15"/>
  </cols>
  <sheetData>
    <row r="1" ht="17.5" customHeight="1" s="41">
      <c r="A1" s="50" t="inlineStr">
        <is>
          <t>Debt Lead &amp; Rollforward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</row>
    <row r="2" ht="27" customHeight="1" s="41">
      <c r="A2" s="62" t="inlineStr">
        <is>
          <t>Client / Entity</t>
        </is>
      </c>
      <c r="B2" s="52" t="inlineStr">
        <is>
          <t>Vaquite Industries, Inc.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  <c r="J2" s="51" t="n"/>
      <c r="K2" s="51" t="n"/>
      <c r="L2" s="51" t="n"/>
      <c r="M2" s="51" t="n"/>
      <c r="N2" s="51" t="n"/>
      <c r="O2" s="51" t="n"/>
    </row>
    <row r="3" ht="27" customHeight="1" s="41">
      <c r="A3" s="65" t="inlineStr">
        <is>
          <t>Performance Materiality</t>
        </is>
      </c>
      <c r="B3" s="66" t="n">
        <v>23100</v>
      </c>
      <c r="C3" s="51" t="n"/>
      <c r="D3" s="65" t="inlineStr">
        <is>
          <t>Tolerable misstatement / testing threshold</t>
        </is>
      </c>
      <c r="E3" s="66" t="n">
        <v>20800</v>
      </c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</row>
    <row r="4">
      <c r="A4" s="67" t="inlineStr">
        <is>
          <t>Purpose:</t>
        </is>
      </c>
      <c r="B4" s="68" t="inlineStr">
        <is>
          <t>Build the debt population, roll each facility forward (beginning + borrowings − repayments = ending), tie to the trial balance, bridge the opening balance to the prior-year TB, and derive the net carrying value.</t>
        </is>
      </c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70" t="n"/>
    </row>
    <row r="5">
      <c r="A5" s="67" t="inlineStr">
        <is>
          <t>Scope:</t>
        </is>
      </c>
      <c r="B5" s="68" t="inlineStr">
        <is>
          <t>Every facility: term loans, delayed-draw term loans, revolving lines (drawn or undrawn), related-party and subordinated debt.</t>
        </is>
      </c>
      <c r="C5" s="69" t="n"/>
      <c r="D5" s="69" t="n"/>
      <c r="E5" s="69" t="n"/>
      <c r="F5" s="69" t="n"/>
      <c r="G5" s="69" t="n"/>
      <c r="H5" s="69" t="n"/>
      <c r="I5" s="69" t="n"/>
      <c r="J5" s="69" t="n"/>
      <c r="K5" s="69" t="n"/>
      <c r="L5" s="69" t="n"/>
      <c r="M5" s="69" t="n"/>
      <c r="N5" s="69" t="n"/>
      <c r="O5" s="70" t="n"/>
    </row>
    <row r="6">
      <c r="A6" s="67" t="inlineStr">
        <is>
          <t>Assertions:</t>
        </is>
      </c>
      <c r="B6" s="68" t="inlineStr">
        <is>
          <t>Completeness; Existence; Rights &amp; Obligations; Accuracy; Valuation</t>
        </is>
      </c>
      <c r="C6" s="69" t="n"/>
      <c r="D6" s="69" t="n"/>
      <c r="E6" s="69" t="n"/>
      <c r="F6" s="69" t="n"/>
      <c r="G6" s="69" t="n"/>
      <c r="H6" s="69" t="n"/>
      <c r="I6" s="69" t="n"/>
      <c r="J6" s="69" t="n"/>
      <c r="K6" s="69" t="n"/>
      <c r="L6" s="69" t="n"/>
      <c r="M6" s="69" t="n"/>
      <c r="N6" s="69" t="n"/>
      <c r="O6" s="70" t="n"/>
    </row>
    <row r="7" ht="39.75" customHeight="1" s="41">
      <c r="A7" s="71" t="inlineStr">
        <is>
          <t>Facility / Loan</t>
        </is>
      </c>
      <c r="B7" s="71" t="inlineStr">
        <is>
          <t>Lender</t>
        </is>
      </c>
      <c r="C7" s="71" t="inlineStr">
        <is>
          <t>Type (term / LOC / DDTL)</t>
        </is>
      </c>
      <c r="D7" s="71" t="inlineStr">
        <is>
          <t>Stated rate</t>
        </is>
      </c>
      <c r="E7" s="71" t="inlineStr">
        <is>
          <t>Maturity date</t>
        </is>
      </c>
      <c r="F7" s="71" t="inlineStr">
        <is>
          <t>Beg principal (= PY TB)</t>
        </is>
      </c>
      <c r="G7" s="71" t="inlineStr">
        <is>
          <t>Borrowings / draws</t>
        </is>
      </c>
      <c r="H7" s="71" t="inlineStr">
        <is>
          <t>Repayments</t>
        </is>
      </c>
      <c r="I7" s="71" t="inlineStr">
        <is>
          <t>Ending principal</t>
        </is>
      </c>
      <c r="J7" s="71" t="inlineStr">
        <is>
          <t>Per TB / GL</t>
        </is>
      </c>
      <c r="K7" s="71" t="inlineStr">
        <is>
          <t>Diff</t>
        </is>
      </c>
      <c r="L7" s="71" t="inlineStr">
        <is>
          <t>Unamortized issuance costs (&lt;.5&gt;)</t>
        </is>
      </c>
      <c r="M7" s="71" t="inlineStr">
        <is>
          <t>Net carrying value</t>
        </is>
      </c>
      <c r="N7" s="71" t="inlineStr">
        <is>
          <t>Collateral / liens</t>
        </is>
      </c>
      <c r="O7" s="71" t="inlineStr">
        <is>
          <t>Comments</t>
        </is>
      </c>
    </row>
    <row r="8">
      <c r="A8" s="51" t="n"/>
      <c r="B8" s="51" t="n"/>
      <c r="C8" s="51" t="n"/>
      <c r="D8" s="51" t="n"/>
      <c r="E8" s="51" t="n"/>
      <c r="F8" s="77" t="inlineStr">
        <is>
          <t>PY</t>
        </is>
      </c>
      <c r="G8" s="51" t="n"/>
      <c r="H8" s="51" t="n"/>
      <c r="I8" s="77" t="inlineStr">
        <is>
          <t>F</t>
        </is>
      </c>
      <c r="J8" s="77" t="inlineStr">
        <is>
          <t>TB</t>
        </is>
      </c>
      <c r="K8" s="51" t="n"/>
      <c r="L8" s="77" t="inlineStr">
        <is>
          <t>T</t>
        </is>
      </c>
      <c r="M8" s="51" t="n"/>
      <c r="N8" s="51" t="n"/>
      <c r="O8" s="51" t="n"/>
    </row>
    <row r="9">
      <c r="A9" s="72" t="n"/>
      <c r="B9" s="72" t="n"/>
      <c r="C9" s="72" t="n"/>
      <c r="D9" s="72" t="n"/>
      <c r="E9" s="72" t="n"/>
      <c r="F9" s="78" t="n"/>
      <c r="G9" s="78" t="n"/>
      <c r="H9" s="78" t="n"/>
      <c r="I9" s="79">
        <f>IF(COUNT(F9:H9)=0,"",F9+G9-H9)</f>
        <v/>
      </c>
      <c r="J9" s="78" t="n"/>
      <c r="K9" s="79">
        <f>IF(AND(I9="",J9=""),"",I9-J9)</f>
        <v/>
      </c>
      <c r="L9" s="78" t="n"/>
      <c r="M9" s="79">
        <f>IF(I9="","",I9-L9)</f>
        <v/>
      </c>
      <c r="N9" s="72" t="n"/>
      <c r="O9" s="72" t="n"/>
    </row>
    <row r="10" ht="27" customHeight="1" s="41">
      <c r="A10" s="72" t="n"/>
      <c r="B10" s="72" t="n"/>
      <c r="C10" s="72" t="n"/>
      <c r="D10" s="72" t="n"/>
      <c r="E10" s="72" t="n"/>
      <c r="F10" s="78" t="n"/>
      <c r="G10" s="78" t="n"/>
      <c r="H10" s="78" t="n"/>
      <c r="I10" s="79">
        <f>IF(COUNT(F10:H10)=0,"",F10+G10-H10)</f>
        <v/>
      </c>
      <c r="J10" s="78" t="n"/>
      <c r="K10" s="79">
        <f>IF(AND(I10="",J10=""),"",I10-J10)</f>
        <v/>
      </c>
      <c r="L10" s="78" t="n"/>
      <c r="M10" s="79">
        <f>IF(I10="","",I10-L10)</f>
        <v/>
      </c>
      <c r="N10" s="72" t="n"/>
      <c r="O10" s="72" t="n"/>
    </row>
    <row r="11" ht="27" customHeight="1" s="41">
      <c r="A11" s="72" t="n"/>
      <c r="B11" s="72" t="n"/>
      <c r="C11" s="72" t="n"/>
      <c r="D11" s="72" t="n"/>
      <c r="E11" s="72" t="n"/>
      <c r="F11" s="78" t="n"/>
      <c r="G11" s="78" t="n"/>
      <c r="H11" s="78" t="n"/>
      <c r="I11" s="79">
        <f>IF(COUNT(F11:H11)=0,"",F11+G11-H11)</f>
        <v/>
      </c>
      <c r="J11" s="78" t="n"/>
      <c r="K11" s="79">
        <f>IF(AND(I11="",J11=""),"",I11-J11)</f>
        <v/>
      </c>
      <c r="L11" s="78" t="n"/>
      <c r="M11" s="79">
        <f>IF(I11="","",I11-L11)</f>
        <v/>
      </c>
      <c r="N11" s="72" t="n"/>
      <c r="O11" s="72" t="n"/>
    </row>
    <row r="12" ht="27" customHeight="1" s="41">
      <c r="A12" s="72" t="n"/>
      <c r="B12" s="72" t="n"/>
      <c r="C12" s="72" t="n"/>
      <c r="D12" s="72" t="n"/>
      <c r="E12" s="72" t="n"/>
      <c r="F12" s="78" t="n"/>
      <c r="G12" s="78" t="n"/>
      <c r="H12" s="78" t="n"/>
      <c r="I12" s="79">
        <f>IF(COUNT(F12:H12)=0,"",F12+G12-H12)</f>
        <v/>
      </c>
      <c r="J12" s="78" t="n"/>
      <c r="K12" s="79">
        <f>IF(AND(I12="",J12=""),"",I12-J12)</f>
        <v/>
      </c>
      <c r="L12" s="78" t="n"/>
      <c r="M12" s="79">
        <f>IF(I12="","",I12-L12)</f>
        <v/>
      </c>
      <c r="N12" s="72" t="n"/>
      <c r="O12" s="72" t="n"/>
    </row>
    <row r="13" ht="27" customHeight="1" s="41">
      <c r="A13" s="72" t="n"/>
      <c r="B13" s="72" t="n"/>
      <c r="C13" s="72" t="n"/>
      <c r="D13" s="72" t="n"/>
      <c r="E13" s="72" t="n"/>
      <c r="F13" s="78" t="n"/>
      <c r="G13" s="78" t="n"/>
      <c r="H13" s="78" t="n"/>
      <c r="I13" s="79">
        <f>IF(COUNT(F13:H13)=0,"",F13+G13-H13)</f>
        <v/>
      </c>
      <c r="J13" s="78" t="n"/>
      <c r="K13" s="79">
        <f>IF(AND(I13="",J13=""),"",I13-J13)</f>
        <v/>
      </c>
      <c r="L13" s="78" t="n"/>
      <c r="M13" s="79">
        <f>IF(I13="","",I13-L13)</f>
        <v/>
      </c>
      <c r="N13" s="72" t="n"/>
      <c r="O13" s="72" t="n"/>
    </row>
    <row r="14" ht="27" customHeight="1" s="41">
      <c r="A14" s="72" t="n"/>
      <c r="B14" s="72" t="n"/>
      <c r="C14" s="72" t="n"/>
      <c r="D14" s="72" t="n"/>
      <c r="E14" s="72" t="n"/>
      <c r="F14" s="78" t="n"/>
      <c r="G14" s="78" t="n"/>
      <c r="H14" s="78" t="n"/>
      <c r="I14" s="79">
        <f>IF(COUNT(F14:H14)=0,"",F14+G14-H14)</f>
        <v/>
      </c>
      <c r="J14" s="78" t="n"/>
      <c r="K14" s="79">
        <f>IF(AND(I14="",J14=""),"",I14-J14)</f>
        <v/>
      </c>
      <c r="L14" s="78" t="n"/>
      <c r="M14" s="79">
        <f>IF(I14="","",I14-L14)</f>
        <v/>
      </c>
      <c r="N14" s="72" t="n"/>
      <c r="O14" s="72" t="n"/>
    </row>
    <row r="15" ht="27" customHeight="1" s="41">
      <c r="A15" s="72" t="n"/>
      <c r="B15" s="72" t="n"/>
      <c r="C15" s="72" t="n"/>
      <c r="D15" s="72" t="n"/>
      <c r="E15" s="72" t="n"/>
      <c r="F15" s="78" t="n"/>
      <c r="G15" s="78" t="n"/>
      <c r="H15" s="78" t="n"/>
      <c r="I15" s="79">
        <f>IF(COUNT(F15:H15)=0,"",F15+G15-H15)</f>
        <v/>
      </c>
      <c r="J15" s="78" t="n"/>
      <c r="K15" s="79">
        <f>IF(AND(I15="",J15=""),"",I15-J15)</f>
        <v/>
      </c>
      <c r="L15" s="78" t="n"/>
      <c r="M15" s="79">
        <f>IF(I15="","",I15-L15)</f>
        <v/>
      </c>
      <c r="N15" s="72" t="n"/>
      <c r="O15" s="72" t="n"/>
    </row>
    <row r="16" ht="27" customHeight="1" s="41">
      <c r="A16" s="72" t="n"/>
      <c r="B16" s="72" t="n"/>
      <c r="C16" s="72" t="n"/>
      <c r="D16" s="72" t="n"/>
      <c r="E16" s="72" t="n"/>
      <c r="F16" s="78" t="n"/>
      <c r="G16" s="78" t="n"/>
      <c r="H16" s="78" t="n"/>
      <c r="I16" s="79">
        <f>IF(COUNT(F16:H16)=0,"",F16+G16-H16)</f>
        <v/>
      </c>
      <c r="J16" s="78" t="n"/>
      <c r="K16" s="79">
        <f>IF(AND(I16="",J16=""),"",I16-J16)</f>
        <v/>
      </c>
      <c r="L16" s="78" t="n"/>
      <c r="M16" s="79">
        <f>IF(I16="","",I16-L16)</f>
        <v/>
      </c>
      <c r="N16" s="72" t="n"/>
      <c r="O16" s="72" t="n"/>
    </row>
    <row r="17">
      <c r="A17" s="80" t="inlineStr">
        <is>
          <t>Total</t>
        </is>
      </c>
      <c r="B17" s="80" t="n"/>
      <c r="C17" s="80" t="n"/>
      <c r="D17" s="80" t="n"/>
      <c r="E17" s="80" t="n"/>
      <c r="F17" s="81">
        <f>SUM(F9:F16)</f>
        <v/>
      </c>
      <c r="G17" s="81">
        <f>SUM(G9:G16)</f>
        <v/>
      </c>
      <c r="H17" s="81">
        <f>SUM(H9:H16)</f>
        <v/>
      </c>
      <c r="I17" s="81">
        <f>SUM(I9:I16)</f>
        <v/>
      </c>
      <c r="J17" s="81">
        <f>SUM(J9:J16)</f>
        <v/>
      </c>
      <c r="K17" s="81">
        <f>SUM(K9:K16)</f>
        <v/>
      </c>
      <c r="L17" s="81">
        <f>SUM(L9:L16)</f>
        <v/>
      </c>
      <c r="M17" s="81">
        <f>SUM(M9:M16)</f>
        <v/>
      </c>
      <c r="N17" s="80" t="n"/>
      <c r="O17" s="80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</row>
    <row r="19" ht="27.75" customHeight="1" s="41">
      <c r="A19" s="53" t="inlineStr">
        <is>
          <t>Beginning principal must tie to the prior-year TB closing balance (bridge any difference). Ending principal ties to the TB and to the lender confirmation (&lt;.2&gt;); unamortized issuance costs flow from &lt;.5&gt;; net carrying value is the presented debt amount (ASC 835-30-45-1A).</t>
        </is>
      </c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</row>
    <row r="21">
      <c r="A21" s="73" t="inlineStr">
        <is>
          <t>TM Legends</t>
        </is>
      </c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</row>
    <row r="22">
      <c r="A22" s="74" t="inlineStr">
        <is>
          <t>TB</t>
        </is>
      </c>
      <c r="B22" s="57" t="inlineStr">
        <is>
          <t>Agreed to trial balance</t>
        </is>
      </c>
      <c r="C22" s="75" t="n"/>
      <c r="D22" s="76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</row>
    <row r="23">
      <c r="A23" s="74" t="inlineStr">
        <is>
          <t>GL</t>
        </is>
      </c>
      <c r="B23" s="57" t="inlineStr">
        <is>
          <t>Agreed to general ledger</t>
        </is>
      </c>
      <c r="C23" s="75" t="n"/>
      <c r="D23" s="76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</row>
    <row r="24">
      <c r="A24" s="74" t="inlineStr">
        <is>
          <t>CF</t>
        </is>
      </c>
      <c r="B24" s="57" t="inlineStr">
        <is>
          <t>Confirmed with third party</t>
        </is>
      </c>
      <c r="C24" s="75" t="n"/>
      <c r="D24" s="76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</row>
    <row r="25">
      <c r="A25" s="74" t="inlineStr">
        <is>
          <t>V</t>
        </is>
      </c>
      <c r="B25" s="57" t="inlineStr">
        <is>
          <t>Vouched to source document</t>
        </is>
      </c>
      <c r="C25" s="75" t="n"/>
      <c r="D25" s="76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</row>
    <row r="26">
      <c r="A26" s="74" t="inlineStr">
        <is>
          <t>SR</t>
        </is>
      </c>
      <c r="B26" s="57" t="inlineStr">
        <is>
          <t>Agreed to subsequent bank-cleared receipt</t>
        </is>
      </c>
      <c r="C26" s="75" t="n"/>
      <c r="D26" s="76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</row>
    <row r="27">
      <c r="A27" s="74" t="inlineStr">
        <is>
          <t>R</t>
        </is>
      </c>
      <c r="B27" s="57" t="inlineStr">
        <is>
          <t>Recalculated independently</t>
        </is>
      </c>
      <c r="C27" s="75" t="n"/>
      <c r="D27" s="76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</row>
    <row r="28">
      <c r="A28" s="74" t="inlineStr">
        <is>
          <t>F</t>
        </is>
      </c>
      <c r="B28" s="57" t="inlineStr">
        <is>
          <t>Footed / cross-cast</t>
        </is>
      </c>
      <c r="C28" s="75" t="n"/>
      <c r="D28" s="76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</row>
    <row r="29">
      <c r="A29" s="74" t="inlineStr">
        <is>
          <t>T</t>
        </is>
      </c>
      <c r="B29" s="57" t="inlineStr">
        <is>
          <t>Traced to downstream record</t>
        </is>
      </c>
      <c r="C29" s="75" t="n"/>
      <c r="D29" s="76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</row>
    <row r="30">
      <c r="A30" s="74" t="inlineStr">
        <is>
          <t>PBC</t>
        </is>
      </c>
      <c r="B30" s="57" t="inlineStr">
        <is>
          <t>Prepared by client</t>
        </is>
      </c>
      <c r="C30" s="75" t="n"/>
      <c r="D30" s="76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</row>
    <row r="31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</row>
    <row r="32" ht="27.75" customHeight="1" s="41">
      <c r="A32" s="53" t="inlineStr">
        <is>
          <t>Before sign-off complete Library Procedures 2-4 (population &amp; PY bridge, rollforward, agreements / collateral / liens).</t>
        </is>
      </c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</row>
  </sheetData>
  <mergeCells count="14">
    <mergeCell ref="B28:D28"/>
    <mergeCell ref="B4:O4"/>
    <mergeCell ref="B23:D23"/>
    <mergeCell ref="B22:D22"/>
    <mergeCell ref="B6:O6"/>
    <mergeCell ref="A19:O19"/>
    <mergeCell ref="B26:D26"/>
    <mergeCell ref="B27:D27"/>
    <mergeCell ref="A32:O32"/>
    <mergeCell ref="B5:O5"/>
    <mergeCell ref="B30:D30"/>
    <mergeCell ref="B29:D29"/>
    <mergeCell ref="B25:D25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P3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3" sqref="A3"/>
    </sheetView>
  </sheetViews>
  <sheetFormatPr baseColWidth="8" defaultColWidth="8.6328125" defaultRowHeight="14.5"/>
  <cols>
    <col width="21.90625" bestFit="1" customWidth="1" style="41" min="1" max="1"/>
    <col width="22.4" customWidth="1" style="41" min="2" max="2"/>
    <col width="14" customWidth="1" style="41" min="3" max="3"/>
    <col width="37.7" customWidth="1" style="41" min="4" max="4"/>
    <col width="30.9" customWidth="1" style="41" min="5" max="5"/>
    <col width="13.9" customWidth="1" style="41" min="6" max="6"/>
    <col width="17.3" customWidth="1" style="41" min="7" max="7"/>
    <col width="30.05" customWidth="1" style="41" min="8" max="9"/>
    <col width="27.5" customWidth="1" style="41" min="9" max="9"/>
    <col width="12" customWidth="1" style="41" min="10" max="10"/>
    <col width="16.45" customWidth="1" style="41" min="11" max="11"/>
    <col width="21.55" customWidth="1" style="41" min="12" max="12"/>
    <col width="39.4" customWidth="1" style="41" min="13" max="13"/>
    <col width="23.25" customWidth="1" style="41" min="14" max="14"/>
    <col width="32.59999999999999" customWidth="1" style="41" min="15" max="15"/>
    <col width="24" customWidth="1" style="41" min="16" max="16"/>
  </cols>
  <sheetData>
    <row r="1" ht="17.5" customHeight="1" s="41">
      <c r="A1" s="50" t="inlineStr">
        <is>
          <t>Lender Confirmation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</row>
    <row r="2" ht="27" customHeight="1" s="41">
      <c r="A2" s="62" t="inlineStr">
        <is>
          <t>Client / Entity</t>
        </is>
      </c>
      <c r="B2" s="52" t="inlineStr">
        <is>
          <t>Vaquite Industries, Inc.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  <c r="J2" s="51" t="n"/>
      <c r="K2" s="51" t="n"/>
      <c r="L2" s="51" t="n"/>
      <c r="M2" s="51" t="n"/>
      <c r="N2" s="51" t="n"/>
      <c r="O2" s="51" t="n"/>
      <c r="P2" s="51" t="n"/>
    </row>
    <row r="3" ht="27" customHeight="1" s="41">
      <c r="A3" s="65" t="inlineStr">
        <is>
          <t>Performance Materiality</t>
        </is>
      </c>
      <c r="B3" s="66" t="n">
        <v>23100</v>
      </c>
      <c r="C3" s="51" t="n"/>
      <c r="D3" s="65" t="inlineStr">
        <is>
          <t>Tolerable misstatement / testing threshold</t>
        </is>
      </c>
      <c r="E3" s="66" t="n">
        <v>20800</v>
      </c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</row>
    <row r="4" ht="27.75" customHeight="1" s="41">
      <c r="A4" s="67" t="inlineStr">
        <is>
          <t>Purpose:</t>
        </is>
      </c>
      <c r="B4" s="68" t="inlineStr">
        <is>
          <t>Confirm each facility directly with the lender — principal, rate, maturity, collateral/guarantees and undrawn availability — controlling the process and testing authenticity of responses.</t>
        </is>
      </c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69" t="n"/>
      <c r="P4" s="70" t="n"/>
    </row>
    <row r="5" ht="15" customHeight="1" s="41">
      <c r="A5" s="67" t="inlineStr">
        <is>
          <t>Scope:</t>
        </is>
      </c>
      <c r="B5" s="68" t="inlineStr">
        <is>
          <t>All facilities, including undrawn lines (confirm availability and any amounts drawn).</t>
        </is>
      </c>
      <c r="C5" s="69" t="n"/>
      <c r="D5" s="69" t="n"/>
      <c r="E5" s="69" t="n"/>
      <c r="F5" s="69" t="n"/>
      <c r="G5" s="69" t="n"/>
      <c r="H5" s="69" t="n"/>
      <c r="I5" s="69" t="n"/>
      <c r="J5" s="69" t="n"/>
      <c r="K5" s="69" t="n"/>
      <c r="L5" s="69" t="n"/>
      <c r="M5" s="69" t="n"/>
      <c r="N5" s="69" t="n"/>
      <c r="O5" s="69" t="n"/>
      <c r="P5" s="70" t="n"/>
    </row>
    <row r="6" ht="15" customHeight="1" s="41">
      <c r="A6" s="67" t="inlineStr">
        <is>
          <t>Assertions:</t>
        </is>
      </c>
      <c r="B6" s="68" t="inlineStr">
        <is>
          <t>Existence; Rights &amp; Obligations; Completeness; Valuation</t>
        </is>
      </c>
      <c r="C6" s="69" t="n"/>
      <c r="D6" s="69" t="n"/>
      <c r="E6" s="69" t="n"/>
      <c r="F6" s="69" t="n"/>
      <c r="G6" s="69" t="n"/>
      <c r="H6" s="69" t="n"/>
      <c r="I6" s="69" t="n"/>
      <c r="J6" s="69" t="n"/>
      <c r="K6" s="69" t="n"/>
      <c r="L6" s="69" t="n"/>
      <c r="M6" s="69" t="n"/>
      <c r="N6" s="69" t="n"/>
      <c r="O6" s="69" t="n"/>
      <c r="P6" s="70" t="n"/>
    </row>
    <row r="7" ht="43.5" customHeight="1" s="41">
      <c r="A7" s="71" t="inlineStr">
        <is>
          <t>Facility / Loan</t>
        </is>
      </c>
      <c r="B7" s="71" t="inlineStr">
        <is>
          <t>Lender</t>
        </is>
      </c>
      <c r="C7" s="71" t="inlineStr">
        <is>
          <t>Balance per GL</t>
        </is>
      </c>
      <c r="D7" s="71" t="inlineStr">
        <is>
          <t>Principal per confirmation</t>
        </is>
      </c>
      <c r="E7" s="71" t="inlineStr">
        <is>
          <t>Diff</t>
        </is>
      </c>
      <c r="F7" s="71" t="inlineStr">
        <is>
          <t>Rate confirmed</t>
        </is>
      </c>
      <c r="G7" s="71" t="inlineStr">
        <is>
          <t>Maturity confirmed</t>
        </is>
      </c>
      <c r="H7" s="71" t="inlineStr">
        <is>
          <t>Collateral / guarantees confirmed</t>
        </is>
      </c>
      <c r="I7" s="71" t="inlineStr">
        <is>
          <t>Undrawn availability confirmed</t>
        </is>
      </c>
      <c r="J7" s="71" t="inlineStr">
        <is>
          <t>Date sent</t>
        </is>
      </c>
      <c r="K7" s="71" t="inlineStr">
        <is>
          <t>Follow-up date(s)</t>
        </is>
      </c>
      <c r="L7" s="71" t="inlineStr">
        <is>
          <t>Response received (Y/N)</t>
        </is>
      </c>
      <c r="M7" s="71" t="inlineStr">
        <is>
          <t>Method (email / physical / Confirmation.com)</t>
        </is>
      </c>
      <c r="N7" s="71" t="inlineStr">
        <is>
          <t>Authenticity tested (Y/N)</t>
        </is>
      </c>
      <c r="O7" s="71" t="inlineStr">
        <is>
          <t>Alternative procedures (if no reply)</t>
        </is>
      </c>
      <c r="P7" s="71" t="inlineStr">
        <is>
          <t>Conclusion / Comments</t>
        </is>
      </c>
    </row>
    <row r="8">
      <c r="A8" s="51" t="n"/>
      <c r="B8" s="51" t="n"/>
      <c r="C8" s="77" t="inlineStr">
        <is>
          <t>TB</t>
        </is>
      </c>
      <c r="D8" s="77" t="inlineStr">
        <is>
          <t>CF</t>
        </is>
      </c>
      <c r="E8" s="77" t="inlineStr">
        <is>
          <t>R</t>
        </is>
      </c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</row>
    <row r="9">
      <c r="A9" s="72" t="n"/>
      <c r="B9" s="72" t="n"/>
      <c r="C9" s="78" t="n"/>
      <c r="D9" s="78" t="n"/>
      <c r="E9" s="79">
        <f>IF(AND(C9="",D9=""),"",C9-D9)</f>
        <v/>
      </c>
      <c r="F9" s="72" t="n"/>
      <c r="G9" s="72" t="n"/>
      <c r="H9" s="72" t="n"/>
      <c r="I9" s="72" t="n"/>
      <c r="J9" s="72" t="n"/>
      <c r="K9" s="72" t="n"/>
      <c r="L9" s="72" t="n"/>
      <c r="M9" s="72" t="n"/>
      <c r="N9" s="72" t="n"/>
      <c r="O9" s="72" t="n"/>
      <c r="P9" s="72" t="n"/>
    </row>
    <row r="10" ht="27" customHeight="1" s="41">
      <c r="A10" s="72" t="n"/>
      <c r="B10" s="72" t="n"/>
      <c r="C10" s="78" t="n"/>
      <c r="D10" s="78" t="n"/>
      <c r="E10" s="79">
        <f>IF(AND(C10="",D10=""),"",C10-D10)</f>
        <v/>
      </c>
      <c r="F10" s="72" t="n"/>
      <c r="G10" s="72" t="n"/>
      <c r="H10" s="72" t="n"/>
      <c r="I10" s="72" t="n"/>
      <c r="J10" s="72" t="n"/>
      <c r="K10" s="72" t="n"/>
      <c r="L10" s="72" t="n"/>
      <c r="M10" s="72" t="n"/>
      <c r="N10" s="72" t="n"/>
      <c r="O10" s="72" t="n"/>
      <c r="P10" s="72" t="n"/>
    </row>
    <row r="11" ht="27" customHeight="1" s="41">
      <c r="A11" s="72" t="n"/>
      <c r="B11" s="72" t="n"/>
      <c r="C11" s="78" t="n"/>
      <c r="D11" s="78" t="n"/>
      <c r="E11" s="79">
        <f>IF(AND(C11="",D11=""),"",C11-D11)</f>
        <v/>
      </c>
      <c r="F11" s="72" t="n"/>
      <c r="G11" s="72" t="n"/>
      <c r="H11" s="72" t="n"/>
      <c r="I11" s="72" t="n"/>
      <c r="J11" s="72" t="n"/>
      <c r="K11" s="72" t="n"/>
      <c r="L11" s="72" t="n"/>
      <c r="M11" s="72" t="n"/>
      <c r="N11" s="72" t="n"/>
      <c r="O11" s="72" t="n"/>
      <c r="P11" s="72" t="n"/>
    </row>
    <row r="12" ht="27" customHeight="1" s="41">
      <c r="A12" s="72" t="n"/>
      <c r="B12" s="72" t="n"/>
      <c r="C12" s="78" t="n"/>
      <c r="D12" s="78" t="n"/>
      <c r="E12" s="79">
        <f>IF(AND(C12="",D12=""),"",C12-D12)</f>
        <v/>
      </c>
      <c r="F12" s="72" t="n"/>
      <c r="G12" s="72" t="n"/>
      <c r="H12" s="72" t="n"/>
      <c r="I12" s="72" t="n"/>
      <c r="J12" s="72" t="n"/>
      <c r="K12" s="72" t="n"/>
      <c r="L12" s="72" t="n"/>
      <c r="M12" s="72" t="n"/>
      <c r="N12" s="72" t="n"/>
      <c r="O12" s="72" t="n"/>
      <c r="P12" s="72" t="n"/>
    </row>
    <row r="13" ht="27" customHeight="1" s="41">
      <c r="A13" s="72" t="n"/>
      <c r="B13" s="72" t="n"/>
      <c r="C13" s="78" t="n"/>
      <c r="D13" s="78" t="n"/>
      <c r="E13" s="79">
        <f>IF(AND(C13="",D13=""),"",C13-D13)</f>
        <v/>
      </c>
      <c r="F13" s="72" t="n"/>
      <c r="G13" s="72" t="n"/>
      <c r="H13" s="72" t="n"/>
      <c r="I13" s="72" t="n"/>
      <c r="J13" s="72" t="n"/>
      <c r="K13" s="72" t="n"/>
      <c r="L13" s="72" t="n"/>
      <c r="M13" s="72" t="n"/>
      <c r="N13" s="72" t="n"/>
      <c r="O13" s="72" t="n"/>
      <c r="P13" s="72" t="n"/>
    </row>
    <row r="14" ht="27" customHeight="1" s="41">
      <c r="A14" s="72" t="n"/>
      <c r="B14" s="72" t="n"/>
      <c r="C14" s="78" t="n"/>
      <c r="D14" s="78" t="n"/>
      <c r="E14" s="79">
        <f>IF(AND(C14="",D14=""),"",C14-D14)</f>
        <v/>
      </c>
      <c r="F14" s="72" t="n"/>
      <c r="G14" s="72" t="n"/>
      <c r="H14" s="72" t="n"/>
      <c r="I14" s="72" t="n"/>
      <c r="J14" s="72" t="n"/>
      <c r="K14" s="72" t="n"/>
      <c r="L14" s="72" t="n"/>
      <c r="M14" s="72" t="n"/>
      <c r="N14" s="72" t="n"/>
      <c r="O14" s="72" t="n"/>
      <c r="P14" s="72" t="n"/>
    </row>
    <row r="15" ht="27" customHeight="1" s="41">
      <c r="A15" s="72" t="n"/>
      <c r="B15" s="72" t="n"/>
      <c r="C15" s="78" t="n"/>
      <c r="D15" s="78" t="n"/>
      <c r="E15" s="79">
        <f>IF(AND(C15="",D15=""),"",C15-D15)</f>
        <v/>
      </c>
      <c r="F15" s="72" t="n"/>
      <c r="G15" s="72" t="n"/>
      <c r="H15" s="72" t="n"/>
      <c r="I15" s="72" t="n"/>
      <c r="J15" s="72" t="n"/>
      <c r="K15" s="72" t="n"/>
      <c r="L15" s="72" t="n"/>
      <c r="M15" s="72" t="n"/>
      <c r="N15" s="72" t="n"/>
      <c r="O15" s="72" t="n"/>
      <c r="P15" s="72" t="n"/>
    </row>
    <row r="16" ht="27" customHeight="1" s="41">
      <c r="A16" s="72" t="n"/>
      <c r="B16" s="72" t="n"/>
      <c r="C16" s="78" t="n"/>
      <c r="D16" s="78" t="n"/>
      <c r="E16" s="79">
        <f>IF(AND(C16="",D16=""),"",C16-D16)</f>
        <v/>
      </c>
      <c r="F16" s="72" t="n"/>
      <c r="G16" s="72" t="n"/>
      <c r="H16" s="72" t="n"/>
      <c r="I16" s="72" t="n"/>
      <c r="J16" s="72" t="n"/>
      <c r="K16" s="72" t="n"/>
      <c r="L16" s="72" t="n"/>
      <c r="M16" s="72" t="n"/>
      <c r="N16" s="72" t="n"/>
      <c r="O16" s="72" t="n"/>
      <c r="P16" s="72" t="n"/>
    </row>
    <row r="17">
      <c r="A17" s="80" t="inlineStr">
        <is>
          <t>Total</t>
        </is>
      </c>
      <c r="B17" s="80" t="n"/>
      <c r="C17" s="81">
        <f>SUM(C9:C16)</f>
        <v/>
      </c>
      <c r="D17" s="81">
        <f>SUM(D9:D16)</f>
        <v/>
      </c>
      <c r="E17" s="81">
        <f>SUM(E9:E16)</f>
        <v/>
      </c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</row>
    <row r="19" ht="27.75" customHeight="1" s="41">
      <c r="A19" s="53" t="inlineStr">
        <is>
          <t>Send directly to the lender and require direct return; log dates, follow-ups and method; for email responses verify the sender domain and perform an independent call-back; perform alternative procedures (lender statements, agreements, subsequent payments) for non-replies.</t>
        </is>
      </c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</row>
    <row r="21">
      <c r="A21" s="73" t="inlineStr">
        <is>
          <t>TM Legends</t>
        </is>
      </c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</row>
    <row r="22">
      <c r="A22" s="74" t="inlineStr">
        <is>
          <t>TB</t>
        </is>
      </c>
      <c r="B22" s="57" t="inlineStr">
        <is>
          <t>Agreed to trial balance</t>
        </is>
      </c>
      <c r="C22" s="75" t="n"/>
      <c r="D22" s="76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</row>
    <row r="23">
      <c r="A23" s="74" t="inlineStr">
        <is>
          <t>GL</t>
        </is>
      </c>
      <c r="B23" s="57" t="inlineStr">
        <is>
          <t>Agreed to general ledger</t>
        </is>
      </c>
      <c r="C23" s="75" t="n"/>
      <c r="D23" s="76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</row>
    <row r="24">
      <c r="A24" s="74" t="inlineStr">
        <is>
          <t>CF</t>
        </is>
      </c>
      <c r="B24" s="57" t="inlineStr">
        <is>
          <t>Confirmed with third party</t>
        </is>
      </c>
      <c r="C24" s="75" t="n"/>
      <c r="D24" s="76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</row>
    <row r="25">
      <c r="A25" s="74" t="inlineStr">
        <is>
          <t>V</t>
        </is>
      </c>
      <c r="B25" s="57" t="inlineStr">
        <is>
          <t>Vouched to source document</t>
        </is>
      </c>
      <c r="C25" s="75" t="n"/>
      <c r="D25" s="76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</row>
    <row r="26">
      <c r="A26" s="74" t="inlineStr">
        <is>
          <t>SR</t>
        </is>
      </c>
      <c r="B26" s="57" t="inlineStr">
        <is>
          <t>Agreed to subsequent bank-cleared receipt</t>
        </is>
      </c>
      <c r="C26" s="75" t="n"/>
      <c r="D26" s="76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</row>
    <row r="27">
      <c r="A27" s="74" t="inlineStr">
        <is>
          <t>R</t>
        </is>
      </c>
      <c r="B27" s="57" t="inlineStr">
        <is>
          <t>Recalculated independently</t>
        </is>
      </c>
      <c r="C27" s="75" t="n"/>
      <c r="D27" s="76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</row>
    <row r="28">
      <c r="A28" s="74" t="inlineStr">
        <is>
          <t>F</t>
        </is>
      </c>
      <c r="B28" s="57" t="inlineStr">
        <is>
          <t>Footed / cross-cast</t>
        </is>
      </c>
      <c r="C28" s="75" t="n"/>
      <c r="D28" s="76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</row>
    <row r="29">
      <c r="A29" s="74" t="inlineStr">
        <is>
          <t>T</t>
        </is>
      </c>
      <c r="B29" s="57" t="inlineStr">
        <is>
          <t>Traced to downstream record</t>
        </is>
      </c>
      <c r="C29" s="75" t="n"/>
      <c r="D29" s="76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</row>
    <row r="30">
      <c r="A30" s="74" t="inlineStr">
        <is>
          <t>PBC</t>
        </is>
      </c>
      <c r="B30" s="57" t="inlineStr">
        <is>
          <t>Prepared by client</t>
        </is>
      </c>
      <c r="C30" s="75" t="n"/>
      <c r="D30" s="76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</row>
    <row r="31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</row>
    <row r="32" ht="27.75" customHeight="1" s="41">
      <c r="A32" s="53" t="inlineStr">
        <is>
          <t>Before sign-off complete Library Procedures 5-6 (confirmation control; authenticity &amp; alternatives).</t>
        </is>
      </c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</row>
  </sheetData>
  <mergeCells count="14">
    <mergeCell ref="B28:D28"/>
    <mergeCell ref="B6:P6"/>
    <mergeCell ref="A32:P32"/>
    <mergeCell ref="B23:D23"/>
    <mergeCell ref="B22:D22"/>
    <mergeCell ref="B5:P5"/>
    <mergeCell ref="B26:D26"/>
    <mergeCell ref="B27:D27"/>
    <mergeCell ref="B30:D30"/>
    <mergeCell ref="B4:P4"/>
    <mergeCell ref="B29:D29"/>
    <mergeCell ref="B25:D25"/>
    <mergeCell ref="B24:D24"/>
    <mergeCell ref="A19:P19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I50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22" sqref="A22"/>
    </sheetView>
  </sheetViews>
  <sheetFormatPr baseColWidth="8" defaultColWidth="8.6328125" defaultRowHeight="14.5"/>
  <cols>
    <col width="42" bestFit="1" customWidth="1" style="41" min="1" max="1"/>
    <col width="42" customWidth="1" style="41" min="2" max="3"/>
    <col width="21.55" customWidth="1" style="41" min="3" max="3"/>
    <col width="37.7" customWidth="1" style="41" min="4" max="4"/>
    <col width="14.75" customWidth="1" style="41" min="5" max="5"/>
    <col width="42" customWidth="1" style="41" min="6" max="7"/>
    <col width="16.45" customWidth="1" style="41" min="7" max="7"/>
    <col width="30.9" customWidth="1" style="41" min="8" max="8"/>
    <col width="26" customWidth="1" style="41" min="9" max="9"/>
  </cols>
  <sheetData>
    <row r="1" ht="17.5" customHeight="1" s="41">
      <c r="A1" s="50" t="inlineStr">
        <is>
          <t>Interest Expense &amp; Accrued Interest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</row>
    <row r="2">
      <c r="A2" s="62" t="inlineStr">
        <is>
          <t>Client / Entity</t>
        </is>
      </c>
      <c r="B2" s="52" t="inlineStr">
        <is>
          <t>Vaquite Industries, Inc.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</row>
    <row r="3" ht="27" customHeight="1" s="41">
      <c r="A3" s="65" t="inlineStr">
        <is>
          <t>Performance Materiality</t>
        </is>
      </c>
      <c r="B3" s="66" t="n">
        <v>23100</v>
      </c>
      <c r="C3" s="51" t="n"/>
      <c r="D3" s="65" t="inlineStr">
        <is>
          <t>Tolerable misstatement / testing threshold</t>
        </is>
      </c>
      <c r="E3" s="66" t="n">
        <v>20800</v>
      </c>
      <c r="F3" s="51" t="n"/>
      <c r="G3" s="51" t="n"/>
      <c r="H3" s="51" t="n"/>
      <c r="I3" s="51" t="n"/>
    </row>
    <row r="4" ht="42" customHeight="1" s="41">
      <c r="A4" s="67" t="inlineStr">
        <is>
          <t>Purpose:</t>
        </is>
      </c>
      <c r="B4" s="68" t="inlineStr">
        <is>
          <t>Independently recompute interest by facility on a stated basis, build an average-balance expectation, define a threshold, and investigate differences; recompute accrued interest at period end.</t>
        </is>
      </c>
      <c r="C4" s="69" t="n"/>
      <c r="D4" s="69" t="n"/>
      <c r="E4" s="69" t="n"/>
      <c r="F4" s="69" t="n"/>
      <c r="G4" s="69" t="n"/>
      <c r="H4" s="69" t="n"/>
      <c r="I4" s="70" t="n"/>
    </row>
    <row r="5" ht="27.75" customHeight="1" s="41">
      <c r="A5" s="67" t="inlineStr">
        <is>
          <t>Scope:</t>
        </is>
      </c>
      <c r="B5" s="68" t="inlineStr">
        <is>
          <t>Interest expense and accrued interest for every facility; basis selector: period-end principal, average balance, or the amortization schedule.</t>
        </is>
      </c>
      <c r="C5" s="69" t="n"/>
      <c r="D5" s="69" t="n"/>
      <c r="E5" s="69" t="n"/>
      <c r="F5" s="69" t="n"/>
      <c r="G5" s="69" t="n"/>
      <c r="H5" s="69" t="n"/>
      <c r="I5" s="70" t="n"/>
    </row>
    <row r="6" ht="15" customHeight="1" s="41">
      <c r="A6" s="67" t="inlineStr">
        <is>
          <t>Assertions:</t>
        </is>
      </c>
      <c r="B6" s="68" t="inlineStr">
        <is>
          <t>Accuracy; Completeness; Cutoff</t>
        </is>
      </c>
      <c r="C6" s="69" t="n"/>
      <c r="D6" s="69" t="n"/>
      <c r="E6" s="69" t="n"/>
      <c r="F6" s="69" t="n"/>
      <c r="G6" s="69" t="n"/>
      <c r="H6" s="69" t="n"/>
      <c r="I6" s="70" t="n"/>
    </row>
    <row r="7">
      <c r="A7" s="82" t="inlineStr">
        <is>
          <t>A. Interest recompute by facility</t>
        </is>
      </c>
      <c r="B7" s="51" t="n"/>
      <c r="C7" s="51" t="n"/>
      <c r="D7" s="51" t="n"/>
      <c r="E7" s="51" t="n"/>
      <c r="F7" s="51" t="n"/>
      <c r="G7" s="51" t="n"/>
      <c r="H7" s="51" t="n"/>
      <c r="I7" s="51" t="n"/>
    </row>
    <row r="8" ht="31.5" customHeight="1" s="41">
      <c r="A8" s="83" t="inlineStr">
        <is>
          <t>Facility / Loan</t>
        </is>
      </c>
      <c r="B8" s="83" t="inlineStr">
        <is>
          <t>Basis (period-end / average / schedule)</t>
        </is>
      </c>
      <c r="C8" s="83" t="inlineStr">
        <is>
          <t>Principal / avg balance</t>
        </is>
      </c>
      <c r="D8" s="83" t="inlineStr">
        <is>
          <t>Stated rate</t>
        </is>
      </c>
      <c r="E8" s="83" t="inlineStr">
        <is>
          <t>Days / fraction</t>
        </is>
      </c>
      <c r="F8" s="83" t="inlineStr">
        <is>
          <t>Recomputed interest</t>
        </is>
      </c>
      <c r="G8" s="83" t="inlineStr">
        <is>
          <t>Recorded interest</t>
        </is>
      </c>
      <c r="H8" s="83" t="inlineStr">
        <is>
          <t>Difference</t>
        </is>
      </c>
      <c r="I8" s="83" t="inlineStr">
        <is>
          <t>Comments</t>
        </is>
      </c>
    </row>
    <row r="9">
      <c r="A9" s="51" t="n"/>
      <c r="B9" s="51" t="n"/>
      <c r="C9" s="51" t="n"/>
      <c r="D9" s="51" t="n"/>
      <c r="E9" s="51" t="n"/>
      <c r="F9" s="77" t="inlineStr">
        <is>
          <t>R</t>
        </is>
      </c>
      <c r="G9" s="77" t="inlineStr">
        <is>
          <t>TB</t>
        </is>
      </c>
      <c r="H9" s="51" t="n"/>
      <c r="I9" s="51" t="n"/>
    </row>
    <row r="10" ht="27" customHeight="1" s="41">
      <c r="A10" s="72" t="n"/>
      <c r="B10" s="72" t="n"/>
      <c r="C10" s="78" t="n"/>
      <c r="D10" s="84" t="n"/>
      <c r="E10" s="72" t="n"/>
      <c r="F10" s="79">
        <f>IF(OR(C10="",D10=""),"",C10*D10*IF(E10="",1,E10))</f>
        <v/>
      </c>
      <c r="G10" s="78" t="n"/>
      <c r="H10" s="79">
        <f>IF(OR(F10="",G10=""),"",G10-F10)</f>
        <v/>
      </c>
      <c r="I10" s="72" t="n"/>
    </row>
    <row r="11" ht="27" customHeight="1" s="41">
      <c r="A11" s="72" t="n"/>
      <c r="B11" s="72" t="n"/>
      <c r="C11" s="78" t="n"/>
      <c r="D11" s="84" t="n"/>
      <c r="E11" s="72" t="n"/>
      <c r="F11" s="79">
        <f>IF(OR(C11="",D11=""),"",C11*D11*IF(E11="",1,E11))</f>
        <v/>
      </c>
      <c r="G11" s="78" t="n"/>
      <c r="H11" s="79">
        <f>IF(OR(F11="",G11=""),"",G11-F11)</f>
        <v/>
      </c>
      <c r="I11" s="72" t="n"/>
    </row>
    <row r="12" ht="27" customHeight="1" s="41">
      <c r="A12" s="72" t="n"/>
      <c r="B12" s="72" t="n"/>
      <c r="C12" s="78" t="n"/>
      <c r="D12" s="84" t="n"/>
      <c r="E12" s="72" t="n"/>
      <c r="F12" s="79">
        <f>IF(OR(C12="",D12=""),"",C12*D12*IF(E12="",1,E12))</f>
        <v/>
      </c>
      <c r="G12" s="78" t="n"/>
      <c r="H12" s="79">
        <f>IF(OR(F12="",G12=""),"",G12-F12)</f>
        <v/>
      </c>
      <c r="I12" s="72" t="n"/>
    </row>
    <row r="13" ht="27" customHeight="1" s="41">
      <c r="A13" s="72" t="n"/>
      <c r="B13" s="72" t="n"/>
      <c r="C13" s="78" t="n"/>
      <c r="D13" s="84" t="n"/>
      <c r="E13" s="72" t="n"/>
      <c r="F13" s="79">
        <f>IF(OR(C13="",D13=""),"",C13*D13*IF(E13="",1,E13))</f>
        <v/>
      </c>
      <c r="G13" s="78" t="n"/>
      <c r="H13" s="79">
        <f>IF(OR(F13="",G13=""),"",G13-F13)</f>
        <v/>
      </c>
      <c r="I13" s="72" t="n"/>
    </row>
    <row r="14" ht="27" customHeight="1" s="41">
      <c r="A14" s="72" t="n"/>
      <c r="B14" s="72" t="n"/>
      <c r="C14" s="78" t="n"/>
      <c r="D14" s="84" t="n"/>
      <c r="E14" s="72" t="n"/>
      <c r="F14" s="79">
        <f>IF(OR(C14="",D14=""),"",C14*D14*IF(E14="",1,E14))</f>
        <v/>
      </c>
      <c r="G14" s="78" t="n"/>
      <c r="H14" s="79">
        <f>IF(OR(F14="",G14=""),"",G14-F14)</f>
        <v/>
      </c>
      <c r="I14" s="72" t="n"/>
    </row>
    <row r="15" ht="27" customHeight="1" s="41">
      <c r="A15" s="72" t="n"/>
      <c r="B15" s="72" t="n"/>
      <c r="C15" s="78" t="n"/>
      <c r="D15" s="84" t="n"/>
      <c r="E15" s="72" t="n"/>
      <c r="F15" s="79">
        <f>IF(OR(C15="",D15=""),"",C15*D15*IF(E15="",1,E15))</f>
        <v/>
      </c>
      <c r="G15" s="78" t="n"/>
      <c r="H15" s="79">
        <f>IF(OR(F15="",G15=""),"",G15-F15)</f>
        <v/>
      </c>
      <c r="I15" s="72" t="n"/>
    </row>
    <row r="16" ht="27" customHeight="1" s="41">
      <c r="A16" s="72" t="n"/>
      <c r="B16" s="72" t="n"/>
      <c r="C16" s="78" t="n"/>
      <c r="D16" s="84" t="n"/>
      <c r="E16" s="72" t="n"/>
      <c r="F16" s="79">
        <f>IF(OR(C16="",D16=""),"",C16*D16*IF(E16="",1,E16))</f>
        <v/>
      </c>
      <c r="G16" s="78" t="n"/>
      <c r="H16" s="79">
        <f>IF(OR(F16="",G16=""),"",G16-F16)</f>
        <v/>
      </c>
      <c r="I16" s="72" t="n"/>
    </row>
    <row r="17" ht="27" customHeight="1" s="41">
      <c r="A17" s="72" t="n"/>
      <c r="B17" s="72" t="n"/>
      <c r="C17" s="78" t="n"/>
      <c r="D17" s="84" t="n"/>
      <c r="E17" s="72" t="n"/>
      <c r="F17" s="79">
        <f>IF(OR(C17="",D17=""),"",C17*D17*IF(E17="",1,E17))</f>
        <v/>
      </c>
      <c r="G17" s="78" t="n"/>
      <c r="H17" s="79">
        <f>IF(OR(F17="",G17=""),"",G17-F17)</f>
        <v/>
      </c>
      <c r="I17" s="72" t="n"/>
    </row>
    <row r="18">
      <c r="A18" s="80" t="inlineStr">
        <is>
          <t>Total</t>
        </is>
      </c>
      <c r="B18" s="80" t="n"/>
      <c r="C18" s="80" t="n"/>
      <c r="D18" s="80" t="n"/>
      <c r="E18" s="80" t="n"/>
      <c r="F18" s="81">
        <f>SUM(F10:F17)</f>
        <v/>
      </c>
      <c r="G18" s="81">
        <f>SUM(G10:G17)</f>
        <v/>
      </c>
      <c r="H18" s="81">
        <f>SUM(H10:H17)</f>
        <v/>
      </c>
      <c r="I18" s="80" t="n"/>
    </row>
    <row r="19">
      <c r="A19" s="51" t="n"/>
      <c r="B19" s="51" t="n"/>
      <c r="C19" s="51" t="n"/>
      <c r="D19" s="51" t="n"/>
      <c r="E19" s="51" t="n"/>
      <c r="F19" s="51" t="n"/>
      <c r="G19" s="51" t="n"/>
      <c r="H19" s="51" t="n"/>
      <c r="I19" s="51" t="n"/>
    </row>
    <row r="20" ht="27" customHeight="1" s="41">
      <c r="A20" s="82" t="inlineStr">
        <is>
          <t>B. Substantive-analytic expectation (average balance)</t>
        </is>
      </c>
      <c r="B20" s="51" t="n"/>
      <c r="C20" s="51" t="n"/>
      <c r="D20" s="51" t="n"/>
      <c r="E20" s="51" t="n"/>
      <c r="F20" s="51" t="n"/>
      <c r="G20" s="51" t="n"/>
      <c r="H20" s="51" t="n"/>
      <c r="I20" s="51" t="n"/>
    </row>
    <row r="21">
      <c r="A21" s="51" t="n"/>
      <c r="B21" s="51" t="n"/>
      <c r="C21" s="51" t="n"/>
      <c r="D21" s="51" t="n"/>
      <c r="E21" s="51" t="n"/>
      <c r="F21" s="51" t="n"/>
      <c r="G21" s="51" t="n"/>
      <c r="H21" s="51" t="n"/>
      <c r="I21" s="51" t="n"/>
    </row>
    <row r="22" ht="27" customHeight="1" s="41">
      <c r="A22" s="57" t="inlineStr">
        <is>
          <t>Average outstanding principal (all facilities)</t>
        </is>
      </c>
      <c r="B22" s="78" t="n"/>
      <c r="C22" s="51" t="n"/>
      <c r="D22" s="51" t="n"/>
      <c r="E22" s="51" t="n"/>
      <c r="F22" s="51" t="n"/>
      <c r="G22" s="51" t="n"/>
      <c r="H22" s="51" t="n"/>
      <c r="I22" s="51" t="n"/>
    </row>
    <row r="23">
      <c r="A23" s="57" t="inlineStr">
        <is>
          <t>Weighted-average stated rate</t>
        </is>
      </c>
      <c r="B23" s="84" t="n"/>
      <c r="C23" s="51" t="n"/>
      <c r="D23" s="51" t="n"/>
      <c r="E23" s="51" t="n"/>
      <c r="F23" s="51" t="n"/>
      <c r="G23" s="51" t="n"/>
      <c r="H23" s="51" t="n"/>
      <c r="I23" s="51" t="n"/>
    </row>
    <row r="24">
      <c r="A24" s="85" t="inlineStr">
        <is>
          <t>Independent expectation (avg × rate)</t>
        </is>
      </c>
      <c r="B24" s="86">
        <f>B22*B23</f>
        <v/>
      </c>
      <c r="C24" s="51" t="n"/>
      <c r="D24" s="51" t="n"/>
      <c r="E24" s="51" t="n"/>
      <c r="F24" s="51" t="n"/>
      <c r="G24" s="51" t="n"/>
      <c r="H24" s="51" t="n"/>
      <c r="I24" s="51" t="n"/>
    </row>
    <row r="25">
      <c r="A25" s="87" t="inlineStr">
        <is>
          <t>Recorded interest expense (TB)</t>
        </is>
      </c>
      <c r="B25" s="88" t="n"/>
      <c r="C25" s="51" t="n"/>
      <c r="D25" s="51" t="n"/>
      <c r="E25" s="51" t="n"/>
      <c r="F25" s="51" t="n"/>
      <c r="G25" s="51" t="n"/>
      <c r="H25" s="51" t="n"/>
      <c r="I25" s="51" t="n"/>
    </row>
    <row r="26">
      <c r="A26" s="89" t="inlineStr">
        <is>
          <t>Difference</t>
        </is>
      </c>
      <c r="B26" s="86">
        <f>B25-B24</f>
        <v/>
      </c>
      <c r="C26" s="51" t="n"/>
      <c r="D26" s="51" t="n"/>
      <c r="E26" s="51" t="n"/>
      <c r="F26" s="51" t="n"/>
      <c r="G26" s="51" t="n"/>
      <c r="H26" s="51" t="n"/>
      <c r="I26" s="51" t="n"/>
    </row>
    <row r="27">
      <c r="A27" s="87" t="inlineStr">
        <is>
          <t>Threshold (significant difference)</t>
        </is>
      </c>
      <c r="B27" s="88" t="n"/>
      <c r="C27" s="51" t="n"/>
      <c r="D27" s="51" t="n"/>
      <c r="E27" s="51" t="n"/>
      <c r="F27" s="51" t="n"/>
      <c r="G27" s="51" t="n"/>
      <c r="H27" s="51" t="n"/>
      <c r="I27" s="51" t="n"/>
    </row>
    <row r="28" ht="27" customHeight="1" s="41">
      <c r="A28" s="90" t="inlineStr">
        <is>
          <t>Within threshold? (Y/N)</t>
        </is>
      </c>
      <c r="B28" s="91">
        <f>IF(OR(B26="",B27=""),"",IF(ABS(B26)&lt;=B27,"Y","N"))</f>
        <v/>
      </c>
      <c r="C28" s="51" t="n"/>
      <c r="D28" s="51" t="n"/>
      <c r="E28" s="51" t="n"/>
      <c r="F28" s="51" t="n"/>
      <c r="G28" s="51" t="n"/>
      <c r="H28" s="51" t="n"/>
      <c r="I28" s="51" t="n"/>
    </row>
    <row r="29">
      <c r="A29" s="51" t="n"/>
      <c r="B29" s="51" t="n"/>
      <c r="C29" s="51" t="n"/>
      <c r="D29" s="51" t="n"/>
      <c r="E29" s="51" t="n"/>
      <c r="F29" s="51" t="n"/>
      <c r="G29" s="51" t="n"/>
      <c r="H29" s="51" t="n"/>
      <c r="I29" s="51" t="n"/>
    </row>
    <row r="30">
      <c r="A30" s="82" t="inlineStr">
        <is>
          <t>C. Accrued interest at period end</t>
        </is>
      </c>
      <c r="B30" s="51" t="n"/>
      <c r="C30" s="51" t="n"/>
      <c r="D30" s="51" t="n"/>
      <c r="E30" s="51" t="n"/>
      <c r="F30" s="51" t="n"/>
      <c r="G30" s="51" t="n"/>
      <c r="H30" s="51" t="n"/>
      <c r="I30" s="51" t="n"/>
    </row>
    <row r="31" ht="25.5" customHeight="1" s="41">
      <c r="A31" s="83" t="inlineStr">
        <is>
          <t>Facility / Loan</t>
        </is>
      </c>
      <c r="B31" s="83" t="inlineStr">
        <is>
          <t>Last payment date</t>
        </is>
      </c>
      <c r="C31" s="83" t="inlineStr">
        <is>
          <t>Days accrued</t>
        </is>
      </c>
      <c r="D31" s="83" t="inlineStr">
        <is>
          <t>Principal</t>
        </is>
      </c>
      <c r="E31" s="83" t="inlineStr">
        <is>
          <t>Rate</t>
        </is>
      </c>
      <c r="F31" s="83" t="inlineStr">
        <is>
          <t>Recomputed accrual</t>
        </is>
      </c>
      <c r="G31" s="83" t="inlineStr">
        <is>
          <t>Per books</t>
        </is>
      </c>
      <c r="H31" s="83" t="inlineStr">
        <is>
          <t>Difference</t>
        </is>
      </c>
      <c r="I31" s="83" t="n"/>
    </row>
    <row r="32" ht="27" customHeight="1" s="41">
      <c r="A32" s="72" t="n"/>
      <c r="B32" s="72" t="n"/>
      <c r="C32" s="72" t="n"/>
      <c r="D32" s="78" t="n"/>
      <c r="E32" s="84" t="n"/>
      <c r="F32" s="79">
        <f>IF(OR(D32="",E32="",C32=""),"",D32*E32*C32/365)</f>
        <v/>
      </c>
      <c r="G32" s="78" t="n"/>
      <c r="H32" s="79">
        <f>IF(AND(F32="",G32=""),"",G32-F32)</f>
        <v/>
      </c>
      <c r="I32" s="72" t="n"/>
    </row>
    <row r="33" ht="27" customHeight="1" s="41">
      <c r="A33" s="72" t="n"/>
      <c r="B33" s="72" t="n"/>
      <c r="C33" s="72" t="n"/>
      <c r="D33" s="78" t="n"/>
      <c r="E33" s="84" t="n"/>
      <c r="F33" s="79">
        <f>IF(OR(D33="",E33="",C33=""),"",D33*E33*C33/365)</f>
        <v/>
      </c>
      <c r="G33" s="78" t="n"/>
      <c r="H33" s="79">
        <f>IF(AND(F33="",G33=""),"",G33-F33)</f>
        <v/>
      </c>
      <c r="I33" s="72" t="n"/>
    </row>
    <row r="34" ht="27" customHeight="1" s="41">
      <c r="A34" s="72" t="n"/>
      <c r="B34" s="72" t="n"/>
      <c r="C34" s="72" t="n"/>
      <c r="D34" s="78" t="n"/>
      <c r="E34" s="84" t="n"/>
      <c r="F34" s="79">
        <f>IF(OR(D34="",E34="",C34=""),"",D34*E34*C34/365)</f>
        <v/>
      </c>
      <c r="G34" s="78" t="n"/>
      <c r="H34" s="79">
        <f>IF(AND(F34="",G34=""),"",G34-F34)</f>
        <v/>
      </c>
      <c r="I34" s="72" t="n"/>
    </row>
    <row r="35" ht="27" customHeight="1" s="41">
      <c r="A35" s="72" t="n"/>
      <c r="B35" s="72" t="n"/>
      <c r="C35" s="72" t="n"/>
      <c r="D35" s="78" t="n"/>
      <c r="E35" s="84" t="n"/>
      <c r="F35" s="79">
        <f>IF(OR(D35="",E35="",C35=""),"",D35*E35*C35/365)</f>
        <v/>
      </c>
      <c r="G35" s="78" t="n"/>
      <c r="H35" s="79">
        <f>IF(AND(F35="",G35=""),"",G35-F35)</f>
        <v/>
      </c>
      <c r="I35" s="72" t="n"/>
    </row>
    <row r="36" ht="27" customHeight="1" s="41">
      <c r="A36" s="72" t="n"/>
      <c r="B36" s="72" t="n"/>
      <c r="C36" s="72" t="n"/>
      <c r="D36" s="78" t="n"/>
      <c r="E36" s="84" t="n"/>
      <c r="F36" s="79">
        <f>IF(OR(D36="",E36="",C36=""),"",D36*E36*C36/365)</f>
        <v/>
      </c>
      <c r="G36" s="78" t="n"/>
      <c r="H36" s="79">
        <f>IF(AND(F36="",G36=""),"",G36-F36)</f>
        <v/>
      </c>
      <c r="I36" s="72" t="n"/>
    </row>
    <row r="37">
      <c r="A37" s="51" t="n"/>
      <c r="B37" s="51" t="n"/>
      <c r="C37" s="51" t="n"/>
      <c r="D37" s="51" t="n"/>
      <c r="E37" s="51" t="n"/>
      <c r="F37" s="51" t="n"/>
      <c r="G37" s="51" t="n"/>
      <c r="H37" s="51" t="n"/>
      <c r="I37" s="51" t="n"/>
    </row>
    <row r="38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</row>
    <row r="39">
      <c r="A39" s="73" t="inlineStr">
        <is>
          <t>TM Legends</t>
        </is>
      </c>
      <c r="B39" s="51" t="n"/>
      <c r="C39" s="51" t="n"/>
      <c r="D39" s="51" t="n"/>
      <c r="E39" s="51" t="n"/>
      <c r="F39" s="51" t="n"/>
      <c r="G39" s="51" t="n"/>
      <c r="H39" s="51" t="n"/>
      <c r="I39" s="51" t="n"/>
    </row>
    <row r="40">
      <c r="A40" s="74" t="inlineStr">
        <is>
          <t>TB</t>
        </is>
      </c>
      <c r="B40" s="57" t="inlineStr">
        <is>
          <t>Agreed to trial balance</t>
        </is>
      </c>
      <c r="C40" s="75" t="n"/>
      <c r="D40" s="76" t="n"/>
      <c r="E40" s="51" t="n"/>
      <c r="F40" s="51" t="n"/>
      <c r="G40" s="51" t="n"/>
      <c r="H40" s="51" t="n"/>
      <c r="I40" s="51" t="n"/>
    </row>
    <row r="41">
      <c r="A41" s="74" t="inlineStr">
        <is>
          <t>GL</t>
        </is>
      </c>
      <c r="B41" s="57" t="inlineStr">
        <is>
          <t>Agreed to general ledger</t>
        </is>
      </c>
      <c r="C41" s="75" t="n"/>
      <c r="D41" s="76" t="n"/>
      <c r="E41" s="51" t="n"/>
      <c r="F41" s="51" t="n"/>
      <c r="G41" s="51" t="n"/>
      <c r="H41" s="51" t="n"/>
      <c r="I41" s="51" t="n"/>
    </row>
    <row r="42">
      <c r="A42" s="74" t="inlineStr">
        <is>
          <t>CF</t>
        </is>
      </c>
      <c r="B42" s="57" t="inlineStr">
        <is>
          <t>Confirmed with third party</t>
        </is>
      </c>
      <c r="C42" s="75" t="n"/>
      <c r="D42" s="76" t="n"/>
      <c r="E42" s="51" t="n"/>
      <c r="F42" s="51" t="n"/>
      <c r="G42" s="51" t="n"/>
      <c r="H42" s="51" t="n"/>
      <c r="I42" s="51" t="n"/>
    </row>
    <row r="43">
      <c r="A43" s="74" t="inlineStr">
        <is>
          <t>V</t>
        </is>
      </c>
      <c r="B43" s="57" t="inlineStr">
        <is>
          <t>Vouched to source document</t>
        </is>
      </c>
      <c r="C43" s="75" t="n"/>
      <c r="D43" s="76" t="n"/>
      <c r="E43" s="51" t="n"/>
      <c r="F43" s="51" t="n"/>
      <c r="G43" s="51" t="n"/>
      <c r="H43" s="51" t="n"/>
      <c r="I43" s="51" t="n"/>
    </row>
    <row r="44">
      <c r="A44" s="74" t="inlineStr">
        <is>
          <t>SR</t>
        </is>
      </c>
      <c r="B44" s="57" t="inlineStr">
        <is>
          <t>Agreed to subsequent bank-cleared receipt</t>
        </is>
      </c>
      <c r="C44" s="75" t="n"/>
      <c r="D44" s="76" t="n"/>
      <c r="E44" s="51" t="n"/>
      <c r="F44" s="51" t="n"/>
      <c r="G44" s="51" t="n"/>
      <c r="H44" s="51" t="n"/>
      <c r="I44" s="51" t="n"/>
    </row>
    <row r="45">
      <c r="A45" s="74" t="inlineStr">
        <is>
          <t>R</t>
        </is>
      </c>
      <c r="B45" s="57" t="inlineStr">
        <is>
          <t>Recalculated independently</t>
        </is>
      </c>
      <c r="C45" s="75" t="n"/>
      <c r="D45" s="76" t="n"/>
      <c r="E45" s="51" t="n"/>
      <c r="F45" s="51" t="n"/>
      <c r="G45" s="51" t="n"/>
      <c r="H45" s="51" t="n"/>
      <c r="I45" s="51" t="n"/>
    </row>
    <row r="46">
      <c r="A46" s="74" t="inlineStr">
        <is>
          <t>F</t>
        </is>
      </c>
      <c r="B46" s="57" t="inlineStr">
        <is>
          <t>Footed / cross-cast</t>
        </is>
      </c>
      <c r="C46" s="75" t="n"/>
      <c r="D46" s="76" t="n"/>
      <c r="E46" s="51" t="n"/>
      <c r="F46" s="51" t="n"/>
      <c r="G46" s="51" t="n"/>
      <c r="H46" s="51" t="n"/>
      <c r="I46" s="51" t="n"/>
    </row>
    <row r="47">
      <c r="A47" s="74" t="inlineStr">
        <is>
          <t>T</t>
        </is>
      </c>
      <c r="B47" s="57" t="inlineStr">
        <is>
          <t>Traced to downstream record</t>
        </is>
      </c>
      <c r="C47" s="75" t="n"/>
      <c r="D47" s="76" t="n"/>
      <c r="E47" s="51" t="n"/>
      <c r="F47" s="51" t="n"/>
      <c r="G47" s="51" t="n"/>
      <c r="H47" s="51" t="n"/>
      <c r="I47" s="51" t="n"/>
    </row>
    <row r="48">
      <c r="A48" s="74" t="inlineStr">
        <is>
          <t>PBC</t>
        </is>
      </c>
      <c r="B48" s="57" t="inlineStr">
        <is>
          <t>Prepared by client</t>
        </is>
      </c>
      <c r="C48" s="75" t="n"/>
      <c r="D48" s="76" t="n"/>
      <c r="E48" s="51" t="n"/>
      <c r="F48" s="51" t="n"/>
      <c r="G48" s="51" t="n"/>
      <c r="H48" s="51" t="n"/>
      <c r="I48" s="51" t="n"/>
    </row>
    <row r="49">
      <c r="A49" s="51" t="n"/>
      <c r="B49" s="51" t="n"/>
      <c r="C49" s="51" t="n"/>
      <c r="D49" s="51" t="n"/>
      <c r="E49" s="51" t="n"/>
      <c r="F49" s="51" t="n"/>
      <c r="G49" s="51" t="n"/>
      <c r="H49" s="51" t="n"/>
      <c r="I49" s="51" t="n"/>
    </row>
    <row r="50" ht="27.75" customHeight="1" s="41">
      <c r="A50" s="53" t="inlineStr">
        <is>
          <t>Before sign-off complete Library Procedures 7-9 (per-facility recompute with basis stated; average-balance expectation vs threshold; accrued interest). Corroborate rates and payments to lender statements.</t>
        </is>
      </c>
      <c r="B50" s="51" t="n"/>
      <c r="C50" s="51" t="n"/>
      <c r="D50" s="51" t="n"/>
      <c r="E50" s="51" t="n"/>
      <c r="F50" s="51" t="n"/>
      <c r="G50" s="51" t="n"/>
      <c r="H50" s="51" t="n"/>
      <c r="I50" s="51" t="n"/>
    </row>
  </sheetData>
  <mergeCells count="13">
    <mergeCell ref="B42:D42"/>
    <mergeCell ref="B45:D45"/>
    <mergeCell ref="B46:D46"/>
    <mergeCell ref="B6:I6"/>
    <mergeCell ref="B41:D41"/>
    <mergeCell ref="B40:D40"/>
    <mergeCell ref="B4:I4"/>
    <mergeCell ref="B5:I5"/>
    <mergeCell ref="B44:D44"/>
    <mergeCell ref="B43:D43"/>
    <mergeCell ref="A50:I50"/>
    <mergeCell ref="B47:D47"/>
    <mergeCell ref="B48:D48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I4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21" sqref="A21"/>
    </sheetView>
  </sheetViews>
  <sheetFormatPr baseColWidth="8" defaultColWidth="8.6328125" defaultRowHeight="14.5"/>
  <cols>
    <col width="39.4" bestFit="1" customWidth="1" style="41" min="1" max="1"/>
    <col width="22.4" customWidth="1" style="41" min="2" max="7"/>
    <col width="13.05" customWidth="1" style="41" min="3" max="3"/>
    <col width="37.7" customWidth="1" style="41" min="4" max="4"/>
    <col width="13.05" customWidth="1" style="41" min="5" max="5"/>
    <col width="13.05" customWidth="1" style="41" min="6" max="6"/>
    <col width="13.05" customWidth="1" style="41" min="7" max="7"/>
    <col width="33.45" customWidth="1" style="41" min="8" max="8"/>
    <col width="24" customWidth="1" style="41" min="9" max="9"/>
  </cols>
  <sheetData>
    <row r="1" ht="17.5" customHeight="1" s="41">
      <c r="A1" s="50" t="inlineStr">
        <is>
          <t>Maturities &amp; Classification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</row>
    <row r="2" ht="27" customHeight="1" s="41">
      <c r="A2" s="62" t="inlineStr">
        <is>
          <t>Client / Entity</t>
        </is>
      </c>
      <c r="B2" s="52" t="inlineStr">
        <is>
          <t>Vaquite Industries, Inc.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</row>
    <row r="3" ht="27" customHeight="1" s="41">
      <c r="A3" s="65" t="inlineStr">
        <is>
          <t>Performance Materiality</t>
        </is>
      </c>
      <c r="B3" s="66" t="n">
        <v>23100</v>
      </c>
      <c r="C3" s="51" t="n"/>
      <c r="D3" s="65" t="inlineStr">
        <is>
          <t>Tolerable misstatement / testing threshold</t>
        </is>
      </c>
      <c r="E3" s="66" t="n">
        <v>20800</v>
      </c>
      <c r="F3" s="51" t="n"/>
      <c r="G3" s="51" t="n"/>
      <c r="H3" s="51" t="n"/>
      <c r="I3" s="51" t="n"/>
    </row>
    <row r="4" ht="42" customHeight="1" s="41">
      <c r="A4" s="67" t="inlineStr">
        <is>
          <t>Purpose:</t>
        </is>
      </c>
      <c r="B4" s="68" t="inlineStr">
        <is>
          <t>Build the full annual maturity ladder (years 1-5 and thereafter), agree the total to recorded principal, and reconcile the current / long-term split to the trial balance with a difference check.</t>
        </is>
      </c>
      <c r="C4" s="69" t="n"/>
      <c r="D4" s="69" t="n"/>
      <c r="E4" s="69" t="n"/>
      <c r="F4" s="69" t="n"/>
      <c r="G4" s="69" t="n"/>
      <c r="H4" s="69" t="n"/>
      <c r="I4" s="70" t="n"/>
    </row>
    <row r="5" ht="27.75" customHeight="1" s="41">
      <c r="A5" s="67" t="inlineStr">
        <is>
          <t>Scope:</t>
        </is>
      </c>
      <c r="B5" s="68" t="inlineStr">
        <is>
          <t>Contractual principal maturities per the amortization schedule for every facility; classification per ASC 470 (incl. covenant-violation and refinancing effects).</t>
        </is>
      </c>
      <c r="C5" s="69" t="n"/>
      <c r="D5" s="69" t="n"/>
      <c r="E5" s="69" t="n"/>
      <c r="F5" s="69" t="n"/>
      <c r="G5" s="69" t="n"/>
      <c r="H5" s="69" t="n"/>
      <c r="I5" s="70" t="n"/>
    </row>
    <row r="6" ht="15" customHeight="1" s="41">
      <c r="A6" s="67" t="inlineStr">
        <is>
          <t>Assertions:</t>
        </is>
      </c>
      <c r="B6" s="68" t="inlineStr">
        <is>
          <t>Presentation &amp; Disclosure; Classification</t>
        </is>
      </c>
      <c r="C6" s="69" t="n"/>
      <c r="D6" s="69" t="n"/>
      <c r="E6" s="69" t="n"/>
      <c r="F6" s="69" t="n"/>
      <c r="G6" s="69" t="n"/>
      <c r="H6" s="69" t="n"/>
      <c r="I6" s="70" t="n"/>
    </row>
    <row r="7">
      <c r="A7" s="82" t="inlineStr">
        <is>
          <t>A. Annual maturity ladder</t>
        </is>
      </c>
      <c r="B7" s="51" t="n"/>
      <c r="C7" s="51" t="n"/>
      <c r="D7" s="51" t="n"/>
      <c r="E7" s="51" t="n"/>
      <c r="F7" s="51" t="n"/>
      <c r="G7" s="51" t="n"/>
      <c r="H7" s="51" t="n"/>
      <c r="I7" s="51" t="n"/>
    </row>
    <row r="8" ht="24" customHeight="1" s="41">
      <c r="A8" s="83" t="inlineStr">
        <is>
          <t>Facility / Loan</t>
        </is>
      </c>
      <c r="B8" s="83" t="inlineStr">
        <is>
          <t>Year 1</t>
        </is>
      </c>
      <c r="C8" s="83" t="inlineStr">
        <is>
          <t>Year 2</t>
        </is>
      </c>
      <c r="D8" s="83" t="inlineStr">
        <is>
          <t>Year 3</t>
        </is>
      </c>
      <c r="E8" s="83" t="inlineStr">
        <is>
          <t>Year 4</t>
        </is>
      </c>
      <c r="F8" s="83" t="inlineStr">
        <is>
          <t>Year 5</t>
        </is>
      </c>
      <c r="G8" s="83" t="inlineStr">
        <is>
          <t>Thereafter</t>
        </is>
      </c>
      <c r="H8" s="83" t="inlineStr">
        <is>
          <t>Total (= principal)</t>
        </is>
      </c>
      <c r="I8" s="83" t="inlineStr">
        <is>
          <t>Comments</t>
        </is>
      </c>
    </row>
    <row r="9">
      <c r="A9" s="51" t="n"/>
      <c r="B9" s="77" t="inlineStr">
        <is>
          <t>V</t>
        </is>
      </c>
      <c r="C9" s="51" t="n"/>
      <c r="D9" s="51" t="n"/>
      <c r="E9" s="51" t="n"/>
      <c r="F9" s="51" t="n"/>
      <c r="G9" s="51" t="n"/>
      <c r="H9" s="77" t="inlineStr">
        <is>
          <t>F</t>
        </is>
      </c>
      <c r="I9" s="51" t="n"/>
    </row>
    <row r="10" ht="27" customHeight="1" s="41">
      <c r="A10" s="72" t="n"/>
      <c r="B10" s="78" t="n"/>
      <c r="C10" s="78" t="n"/>
      <c r="D10" s="78" t="n"/>
      <c r="E10" s="78" t="n"/>
      <c r="F10" s="78" t="n"/>
      <c r="G10" s="78" t="n"/>
      <c r="H10" s="79">
        <f>IF(COUNT(B10:G10)=0,"",SUM(B10:G10))</f>
        <v/>
      </c>
      <c r="I10" s="72" t="n"/>
    </row>
    <row r="11" ht="27" customHeight="1" s="41">
      <c r="A11" s="72" t="n"/>
      <c r="B11" s="78" t="n"/>
      <c r="C11" s="78" t="n"/>
      <c r="D11" s="78" t="n"/>
      <c r="E11" s="78" t="n"/>
      <c r="F11" s="78" t="n"/>
      <c r="G11" s="78" t="n"/>
      <c r="H11" s="79">
        <f>IF(COUNT(B11:G11)=0,"",SUM(B11:G11))</f>
        <v/>
      </c>
      <c r="I11" s="72" t="n"/>
    </row>
    <row r="12" ht="27" customHeight="1" s="41">
      <c r="A12" s="72" t="n"/>
      <c r="B12" s="78" t="n"/>
      <c r="C12" s="78" t="n"/>
      <c r="D12" s="78" t="n"/>
      <c r="E12" s="78" t="n"/>
      <c r="F12" s="78" t="n"/>
      <c r="G12" s="78" t="n"/>
      <c r="H12" s="79">
        <f>IF(COUNT(B12:G12)=0,"",SUM(B12:G12))</f>
        <v/>
      </c>
      <c r="I12" s="72" t="n"/>
    </row>
    <row r="13" ht="27" customHeight="1" s="41">
      <c r="A13" s="72" t="n"/>
      <c r="B13" s="78" t="n"/>
      <c r="C13" s="78" t="n"/>
      <c r="D13" s="78" t="n"/>
      <c r="E13" s="78" t="n"/>
      <c r="F13" s="78" t="n"/>
      <c r="G13" s="78" t="n"/>
      <c r="H13" s="79">
        <f>IF(COUNT(B13:G13)=0,"",SUM(B13:G13))</f>
        <v/>
      </c>
      <c r="I13" s="72" t="n"/>
    </row>
    <row r="14" ht="27" customHeight="1" s="41">
      <c r="A14" s="72" t="n"/>
      <c r="B14" s="78" t="n"/>
      <c r="C14" s="78" t="n"/>
      <c r="D14" s="78" t="n"/>
      <c r="E14" s="78" t="n"/>
      <c r="F14" s="78" t="n"/>
      <c r="G14" s="78" t="n"/>
      <c r="H14" s="79">
        <f>IF(COUNT(B14:G14)=0,"",SUM(B14:G14))</f>
        <v/>
      </c>
      <c r="I14" s="72" t="n"/>
    </row>
    <row r="15" ht="27" customHeight="1" s="41">
      <c r="A15" s="72" t="n"/>
      <c r="B15" s="78" t="n"/>
      <c r="C15" s="78" t="n"/>
      <c r="D15" s="78" t="n"/>
      <c r="E15" s="78" t="n"/>
      <c r="F15" s="78" t="n"/>
      <c r="G15" s="78" t="n"/>
      <c r="H15" s="79">
        <f>IF(COUNT(B15:G15)=0,"",SUM(B15:G15))</f>
        <v/>
      </c>
      <c r="I15" s="72" t="n"/>
    </row>
    <row r="16" ht="27" customHeight="1" s="41">
      <c r="A16" s="72" t="n"/>
      <c r="B16" s="78" t="n"/>
      <c r="C16" s="78" t="n"/>
      <c r="D16" s="78" t="n"/>
      <c r="E16" s="78" t="n"/>
      <c r="F16" s="78" t="n"/>
      <c r="G16" s="78" t="n"/>
      <c r="H16" s="79">
        <f>IF(COUNT(B16:G16)=0,"",SUM(B16:G16))</f>
        <v/>
      </c>
      <c r="I16" s="72" t="n"/>
    </row>
    <row r="17">
      <c r="A17" s="80" t="inlineStr">
        <is>
          <t>Total</t>
        </is>
      </c>
      <c r="B17" s="81">
        <f>SUM(B10:B16)</f>
        <v/>
      </c>
      <c r="C17" s="81">
        <f>SUM(C10:C16)</f>
        <v/>
      </c>
      <c r="D17" s="81">
        <f>SUM(D10:D16)</f>
        <v/>
      </c>
      <c r="E17" s="81">
        <f>SUM(E10:E16)</f>
        <v/>
      </c>
      <c r="F17" s="81">
        <f>SUM(F10:F16)</f>
        <v/>
      </c>
      <c r="G17" s="81">
        <f>SUM(G10:G16)</f>
        <v/>
      </c>
      <c r="H17" s="81">
        <f>SUM(H10:H16)</f>
        <v/>
      </c>
      <c r="I17" s="80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</row>
    <row r="19">
      <c r="A19" s="82" t="inlineStr">
        <is>
          <t>B. Current / long-term reconciliation</t>
        </is>
      </c>
      <c r="B19" s="51" t="n"/>
      <c r="C19" s="51" t="n"/>
      <c r="D19" s="51" t="n"/>
      <c r="E19" s="51" t="n"/>
      <c r="F19" s="51" t="n"/>
      <c r="G19" s="51" t="n"/>
      <c r="H19" s="51" t="n"/>
      <c r="I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</row>
    <row r="21" ht="27" customHeight="1" s="41">
      <c r="A21" s="57" t="inlineStr">
        <is>
          <t>Current portion per maturity ladder (Year 1)</t>
        </is>
      </c>
      <c r="B21" s="78">
        <f>B17</f>
        <v/>
      </c>
      <c r="C21" s="51" t="n"/>
      <c r="D21" s="51" t="n"/>
      <c r="E21" s="51" t="n"/>
      <c r="F21" s="51" t="n"/>
      <c r="G21" s="51" t="n"/>
      <c r="H21" s="51" t="n"/>
      <c r="I21" s="51" t="n"/>
    </row>
    <row r="22">
      <c r="A22" s="57" t="inlineStr">
        <is>
          <t>Current portion per trial balance</t>
        </is>
      </c>
      <c r="B22" s="78" t="n"/>
      <c r="C22" s="51" t="n"/>
      <c r="D22" s="51" t="n"/>
      <c r="E22" s="51" t="n"/>
      <c r="F22" s="51" t="n"/>
      <c r="G22" s="51" t="n"/>
      <c r="H22" s="51" t="n"/>
      <c r="I22" s="51" t="n"/>
    </row>
    <row r="23">
      <c r="A23" s="92" t="inlineStr">
        <is>
          <t>Difference — current (should be 0)</t>
        </is>
      </c>
      <c r="B23" s="86">
        <f>B21-B22</f>
        <v/>
      </c>
      <c r="C23" s="51" t="n"/>
      <c r="D23" s="51" t="n"/>
      <c r="E23" s="51" t="n"/>
      <c r="F23" s="51" t="n"/>
      <c r="G23" s="51" t="n"/>
      <c r="H23" s="51" t="n"/>
      <c r="I23" s="51" t="n"/>
    </row>
    <row r="24" ht="27" customHeight="1" s="41">
      <c r="A24" s="57" t="inlineStr">
        <is>
          <t>Long-term per ladder (Years 2+ &amp; thereafter)</t>
        </is>
      </c>
      <c r="B24" s="78">
        <f>SUM(C17:G17)</f>
        <v/>
      </c>
      <c r="C24" s="51" t="n"/>
      <c r="D24" s="51" t="n"/>
      <c r="E24" s="51" t="n"/>
      <c r="F24" s="51" t="n"/>
      <c r="G24" s="51" t="n"/>
      <c r="H24" s="51" t="n"/>
      <c r="I24" s="51" t="n"/>
    </row>
    <row r="25">
      <c r="A25" s="57" t="inlineStr">
        <is>
          <t>Long-term per trial balance</t>
        </is>
      </c>
      <c r="B25" s="78" t="n"/>
      <c r="C25" s="51" t="n"/>
      <c r="D25" s="51" t="n"/>
      <c r="E25" s="51" t="n"/>
      <c r="F25" s="51" t="n"/>
      <c r="G25" s="51" t="n"/>
      <c r="H25" s="51" t="n"/>
      <c r="I25" s="51" t="n"/>
    </row>
    <row r="26">
      <c r="A26" s="92" t="inlineStr">
        <is>
          <t>Difference — long-term (should be 0)</t>
        </is>
      </c>
      <c r="B26" s="86">
        <f>B24-B25</f>
        <v/>
      </c>
      <c r="C26" s="51" t="n"/>
      <c r="D26" s="51" t="n"/>
      <c r="E26" s="51" t="n"/>
      <c r="F26" s="51" t="n"/>
      <c r="G26" s="51" t="n"/>
      <c r="H26" s="51" t="n"/>
      <c r="I26" s="51" t="n"/>
    </row>
    <row r="27" ht="27" customHeight="1" s="41">
      <c r="A27" s="57" t="inlineStr">
        <is>
          <t>Management's classification basis (describe)</t>
        </is>
      </c>
      <c r="B27" s="72" t="n"/>
      <c r="C27" s="75" t="n"/>
      <c r="D27" s="75" t="n"/>
      <c r="E27" s="75" t="n"/>
      <c r="F27" s="75" t="n"/>
      <c r="G27" s="75" t="n"/>
      <c r="H27" s="75" t="n"/>
      <c r="I27" s="76" t="n"/>
    </row>
    <row r="28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</row>
    <row r="29" ht="27.75" customHeight="1" s="41">
      <c r="A29" s="53" t="inlineStr">
        <is>
          <t>Where the TB split differs from the contractual ladder, obtain management's classification basis and resolve. Consider reclassification to current for covenant violations without a 12-month waiver, and the effect of refinancing after period end (ASC 470-10).</t>
        </is>
      </c>
      <c r="B29" s="51" t="n"/>
      <c r="C29" s="51" t="n"/>
      <c r="D29" s="51" t="n"/>
      <c r="E29" s="51" t="n"/>
      <c r="F29" s="51" t="n"/>
      <c r="G29" s="51" t="n"/>
      <c r="H29" s="51" t="n"/>
      <c r="I29" s="51" t="n"/>
    </row>
    <row r="30">
      <c r="A30" s="51" t="n"/>
      <c r="B30" s="51" t="n"/>
      <c r="C30" s="51" t="n"/>
      <c r="D30" s="51" t="n"/>
      <c r="E30" s="51" t="n"/>
      <c r="F30" s="51" t="n"/>
      <c r="G30" s="51" t="n"/>
      <c r="H30" s="51" t="n"/>
      <c r="I30" s="51" t="n"/>
    </row>
    <row r="31">
      <c r="A31" s="73" t="inlineStr">
        <is>
          <t>TM Legends</t>
        </is>
      </c>
      <c r="B31" s="51" t="n"/>
      <c r="C31" s="51" t="n"/>
      <c r="D31" s="51" t="n"/>
      <c r="E31" s="51" t="n"/>
      <c r="F31" s="51" t="n"/>
      <c r="G31" s="51" t="n"/>
      <c r="H31" s="51" t="n"/>
      <c r="I31" s="51" t="n"/>
    </row>
    <row r="32">
      <c r="A32" s="74" t="inlineStr">
        <is>
          <t>TB</t>
        </is>
      </c>
      <c r="B32" s="57" t="inlineStr">
        <is>
          <t>Agreed to trial balance</t>
        </is>
      </c>
      <c r="C32" s="75" t="n"/>
      <c r="D32" s="76" t="n"/>
      <c r="E32" s="51" t="n"/>
      <c r="F32" s="51" t="n"/>
      <c r="G32" s="51" t="n"/>
      <c r="H32" s="51" t="n"/>
      <c r="I32" s="51" t="n"/>
    </row>
    <row r="33">
      <c r="A33" s="74" t="inlineStr">
        <is>
          <t>GL</t>
        </is>
      </c>
      <c r="B33" s="57" t="inlineStr">
        <is>
          <t>Agreed to general ledger</t>
        </is>
      </c>
      <c r="C33" s="75" t="n"/>
      <c r="D33" s="76" t="n"/>
      <c r="E33" s="51" t="n"/>
      <c r="F33" s="51" t="n"/>
      <c r="G33" s="51" t="n"/>
      <c r="H33" s="51" t="n"/>
      <c r="I33" s="51" t="n"/>
    </row>
    <row r="34">
      <c r="A34" s="74" t="inlineStr">
        <is>
          <t>CF</t>
        </is>
      </c>
      <c r="B34" s="57" t="inlineStr">
        <is>
          <t>Confirmed with third party</t>
        </is>
      </c>
      <c r="C34" s="75" t="n"/>
      <c r="D34" s="76" t="n"/>
      <c r="E34" s="51" t="n"/>
      <c r="F34" s="51" t="n"/>
      <c r="G34" s="51" t="n"/>
      <c r="H34" s="51" t="n"/>
      <c r="I34" s="51" t="n"/>
    </row>
    <row r="35">
      <c r="A35" s="74" t="inlineStr">
        <is>
          <t>V</t>
        </is>
      </c>
      <c r="B35" s="57" t="inlineStr">
        <is>
          <t>Vouched to source document</t>
        </is>
      </c>
      <c r="C35" s="75" t="n"/>
      <c r="D35" s="76" t="n"/>
      <c r="E35" s="51" t="n"/>
      <c r="F35" s="51" t="n"/>
      <c r="G35" s="51" t="n"/>
      <c r="H35" s="51" t="n"/>
      <c r="I35" s="51" t="n"/>
    </row>
    <row r="36">
      <c r="A36" s="74" t="inlineStr">
        <is>
          <t>SR</t>
        </is>
      </c>
      <c r="B36" s="57" t="inlineStr">
        <is>
          <t>Agreed to subsequent bank-cleared receipt</t>
        </is>
      </c>
      <c r="C36" s="75" t="n"/>
      <c r="D36" s="76" t="n"/>
      <c r="E36" s="51" t="n"/>
      <c r="F36" s="51" t="n"/>
      <c r="G36" s="51" t="n"/>
      <c r="H36" s="51" t="n"/>
      <c r="I36" s="51" t="n"/>
    </row>
    <row r="37">
      <c r="A37" s="74" t="inlineStr">
        <is>
          <t>R</t>
        </is>
      </c>
      <c r="B37" s="57" t="inlineStr">
        <is>
          <t>Recalculated independently</t>
        </is>
      </c>
      <c r="C37" s="75" t="n"/>
      <c r="D37" s="76" t="n"/>
      <c r="E37" s="51" t="n"/>
      <c r="F37" s="51" t="n"/>
      <c r="G37" s="51" t="n"/>
      <c r="H37" s="51" t="n"/>
      <c r="I37" s="51" t="n"/>
    </row>
    <row r="38">
      <c r="A38" s="74" t="inlineStr">
        <is>
          <t>F</t>
        </is>
      </c>
      <c r="B38" s="57" t="inlineStr">
        <is>
          <t>Footed / cross-cast</t>
        </is>
      </c>
      <c r="C38" s="75" t="n"/>
      <c r="D38" s="76" t="n"/>
      <c r="E38" s="51" t="n"/>
      <c r="F38" s="51" t="n"/>
      <c r="G38" s="51" t="n"/>
      <c r="H38" s="51" t="n"/>
      <c r="I38" s="51" t="n"/>
    </row>
    <row r="39">
      <c r="A39" s="74" t="inlineStr">
        <is>
          <t>T</t>
        </is>
      </c>
      <c r="B39" s="57" t="inlineStr">
        <is>
          <t>Traced to downstream record</t>
        </is>
      </c>
      <c r="C39" s="75" t="n"/>
      <c r="D39" s="76" t="n"/>
      <c r="E39" s="51" t="n"/>
      <c r="F39" s="51" t="n"/>
      <c r="G39" s="51" t="n"/>
      <c r="H39" s="51" t="n"/>
      <c r="I39" s="51" t="n"/>
    </row>
    <row r="40">
      <c r="A40" s="74" t="inlineStr">
        <is>
          <t>PBC</t>
        </is>
      </c>
      <c r="B40" s="57" t="inlineStr">
        <is>
          <t>Prepared by client</t>
        </is>
      </c>
      <c r="C40" s="75" t="n"/>
      <c r="D40" s="76" t="n"/>
      <c r="E40" s="51" t="n"/>
      <c r="F40" s="51" t="n"/>
      <c r="G40" s="51" t="n"/>
      <c r="H40" s="51" t="n"/>
      <c r="I40" s="51" t="n"/>
    </row>
    <row r="41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</row>
    <row r="42" ht="27.75" customHeight="1" s="41">
      <c r="A42" s="53" t="inlineStr">
        <is>
          <t>Before sign-off complete Library Procedures 10-11 (maturity ladder tie; current/LT reconciliation &amp; classification basis).</t>
        </is>
      </c>
      <c r="B42" s="51" t="n"/>
      <c r="C42" s="51" t="n"/>
      <c r="D42" s="51" t="n"/>
      <c r="E42" s="51" t="n"/>
      <c r="F42" s="51" t="n"/>
      <c r="G42" s="51" t="n"/>
      <c r="H42" s="51" t="n"/>
      <c r="I42" s="51" t="n"/>
    </row>
  </sheetData>
  <mergeCells count="15">
    <mergeCell ref="A29:I29"/>
    <mergeCell ref="B33:D33"/>
    <mergeCell ref="B36:D36"/>
    <mergeCell ref="B37:D37"/>
    <mergeCell ref="A42:I42"/>
    <mergeCell ref="B6:I6"/>
    <mergeCell ref="B32:D32"/>
    <mergeCell ref="B35:D35"/>
    <mergeCell ref="B40:D40"/>
    <mergeCell ref="B5:I5"/>
    <mergeCell ref="B27:I27"/>
    <mergeCell ref="B39:D39"/>
    <mergeCell ref="B38:D38"/>
    <mergeCell ref="B4:I4"/>
    <mergeCell ref="B34:D3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L5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9" sqref="A19:XFD19"/>
    </sheetView>
  </sheetViews>
  <sheetFormatPr baseColWidth="8" defaultColWidth="8.6328125" defaultRowHeight="14.5"/>
  <cols>
    <col width="42" customWidth="1" style="41" min="1" max="1"/>
    <col width="22.4" bestFit="1" customWidth="1" style="41" min="2" max="2"/>
    <col width="30.9" customWidth="1" style="41" min="3" max="3"/>
    <col width="37.7" bestFit="1" customWidth="1" style="41" min="4" max="4"/>
    <col width="23.25" customWidth="1" style="41" min="5" max="5"/>
    <col width="26.65" customWidth="1" style="41" min="6" max="7"/>
    <col width="24.95" customWidth="1" style="41" min="7" max="7"/>
    <col width="30.9" customWidth="1" style="41" min="8" max="9"/>
    <col width="24.1" customWidth="1" style="41" min="9" max="9"/>
    <col width="29.2" customWidth="1" style="41" min="10" max="10"/>
    <col width="20.7" customWidth="1" style="41" min="11" max="11"/>
    <col width="30.9" customWidth="1" style="41" min="12" max="12"/>
  </cols>
  <sheetData>
    <row r="1" ht="17.5" customHeight="1" s="41">
      <c r="A1" s="50" t="inlineStr">
        <is>
          <t>Debt Agreements &amp; Additions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</row>
    <row r="2" ht="27" customHeight="1" s="41">
      <c r="A2" s="62" t="inlineStr">
        <is>
          <t>Client / Entity</t>
        </is>
      </c>
      <c r="B2" s="52" t="inlineStr">
        <is>
          <t>Vaquite Industries, Inc.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  <c r="J2" s="51" t="n"/>
      <c r="K2" s="51" t="n"/>
      <c r="L2" s="51" t="n"/>
    </row>
    <row r="3" ht="27" customHeight="1" s="41">
      <c r="A3" s="65" t="inlineStr">
        <is>
          <t>Performance Materiality</t>
        </is>
      </c>
      <c r="B3" s="66" t="n">
        <v>23100</v>
      </c>
      <c r="C3" s="51" t="n"/>
      <c r="D3" s="65" t="inlineStr">
        <is>
          <t>Tolerable misstatement / testing threshold</t>
        </is>
      </c>
      <c r="E3" s="66" t="n">
        <v>20800</v>
      </c>
      <c r="F3" s="51" t="n"/>
      <c r="G3" s="51" t="n"/>
      <c r="H3" s="51" t="n"/>
      <c r="I3" s="51" t="n"/>
      <c r="J3" s="51" t="n"/>
      <c r="K3" s="51" t="n"/>
      <c r="L3" s="51" t="n"/>
    </row>
    <row r="4" ht="27.75" customHeight="1" s="41">
      <c r="A4" s="73" t="inlineStr">
        <is>
          <t>Purpose:</t>
        </is>
      </c>
      <c r="B4" s="93" t="inlineStr">
        <is>
          <t>Read the executed agreements and amendments, abstract the key terms, test compliance with those terms, and test additions (new borrowings / draws) to authorization and bank proceeds.</t>
        </is>
      </c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</row>
    <row r="5" ht="15" customHeight="1" s="41">
      <c r="A5" s="73" t="inlineStr">
        <is>
          <t>Scope:</t>
        </is>
      </c>
      <c r="B5" s="93" t="inlineStr">
        <is>
          <t>Every executed loan / credit agreement and amendment; all current-year borrowings and draws.</t>
        </is>
      </c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</row>
    <row r="6" ht="15" customHeight="1" s="41">
      <c r="A6" s="73" t="inlineStr">
        <is>
          <t>Assertions:</t>
        </is>
      </c>
      <c r="B6" s="93" t="inlineStr">
        <is>
          <t>Rights &amp; Obligations; Completeness; Accuracy; Presentation &amp; Disclosure</t>
        </is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</row>
    <row r="7" ht="27" customHeight="1" s="41">
      <c r="A7" s="82" t="inlineStr">
        <is>
          <t>A. Agreement understanding — key terms abstract</t>
        </is>
      </c>
      <c r="B7" s="51" t="n"/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</row>
    <row r="8" ht="39.75" customHeight="1" s="41">
      <c r="A8" s="83" t="inlineStr">
        <is>
          <t>Facility / Agreement</t>
        </is>
      </c>
      <c r="B8" s="83" t="inlineStr">
        <is>
          <t>Agreement date</t>
        </is>
      </c>
      <c r="C8" s="83" t="inlineStr">
        <is>
          <t>Amendments (dates)</t>
        </is>
      </c>
      <c r="D8" s="83" t="inlineStr">
        <is>
          <t>Facility amount</t>
        </is>
      </c>
      <c r="E8" s="83" t="inlineStr">
        <is>
          <t>Rate &amp; basis</t>
        </is>
      </c>
      <c r="F8" s="83" t="inlineStr">
        <is>
          <t>Maturity &amp; payment terms</t>
        </is>
      </c>
      <c r="G8" s="83" t="inlineStr">
        <is>
          <t>Collateral / security</t>
        </is>
      </c>
      <c r="H8" s="83" t="inlineStr">
        <is>
          <t>Guarantees</t>
        </is>
      </c>
      <c r="I8" s="83" t="inlineStr">
        <is>
          <t>Financial covenants (list)</t>
        </is>
      </c>
      <c r="J8" s="83" t="inlineStr">
        <is>
          <t>Restrictive / negative covenants</t>
        </is>
      </c>
      <c r="K8" s="83" t="inlineStr">
        <is>
          <t>Reporting requirements</t>
        </is>
      </c>
      <c r="L8" s="83" t="inlineStr">
        <is>
          <t>Cross-default / prepayment / other</t>
        </is>
      </c>
    </row>
    <row r="9">
      <c r="A9" s="77" t="inlineStr">
        <is>
          <t>V</t>
        </is>
      </c>
      <c r="B9" s="51" t="n"/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</row>
    <row r="10">
      <c r="A10" s="72" t="n"/>
      <c r="B10" s="72" t="n"/>
      <c r="C10" s="72" t="n"/>
      <c r="D10" s="78" t="n"/>
      <c r="E10" s="72" t="n"/>
      <c r="F10" s="72" t="n"/>
      <c r="G10" s="72" t="n"/>
      <c r="H10" s="72" t="n"/>
      <c r="I10" s="72" t="n"/>
      <c r="J10" s="72" t="n"/>
      <c r="K10" s="72" t="n"/>
      <c r="L10" s="72" t="n"/>
    </row>
    <row r="11">
      <c r="A11" s="72" t="n"/>
      <c r="B11" s="72" t="n"/>
      <c r="C11" s="72" t="n"/>
      <c r="D11" s="78" t="n"/>
      <c r="E11" s="72" t="n"/>
      <c r="F11" s="72" t="n"/>
      <c r="G11" s="72" t="n"/>
      <c r="H11" s="72" t="n"/>
      <c r="I11" s="72" t="n"/>
      <c r="J11" s="72" t="n"/>
      <c r="K11" s="72" t="n"/>
      <c r="L11" s="72" t="n"/>
    </row>
    <row r="12">
      <c r="A12" s="72" t="n"/>
      <c r="B12" s="72" t="n"/>
      <c r="C12" s="72" t="n"/>
      <c r="D12" s="78" t="n"/>
      <c r="E12" s="72" t="n"/>
      <c r="F12" s="72" t="n"/>
      <c r="G12" s="72" t="n"/>
      <c r="H12" s="72" t="n"/>
      <c r="I12" s="72" t="n"/>
      <c r="J12" s="72" t="n"/>
      <c r="K12" s="72" t="n"/>
      <c r="L12" s="72" t="n"/>
    </row>
    <row r="13">
      <c r="A13" s="72" t="n"/>
      <c r="B13" s="72" t="n"/>
      <c r="C13" s="72" t="n"/>
      <c r="D13" s="78" t="n"/>
      <c r="E13" s="72" t="n"/>
      <c r="F13" s="72" t="n"/>
      <c r="G13" s="72" t="n"/>
      <c r="H13" s="72" t="n"/>
      <c r="I13" s="72" t="n"/>
      <c r="J13" s="72" t="n"/>
      <c r="K13" s="72" t="n"/>
      <c r="L13" s="72" t="n"/>
    </row>
    <row r="14">
      <c r="A14" s="72" t="n"/>
      <c r="B14" s="72" t="n"/>
      <c r="C14" s="72" t="n"/>
      <c r="D14" s="78" t="n"/>
      <c r="E14" s="72" t="n"/>
      <c r="F14" s="72" t="n"/>
      <c r="G14" s="72" t="n"/>
      <c r="H14" s="72" t="n"/>
      <c r="I14" s="72" t="n"/>
      <c r="J14" s="72" t="n"/>
      <c r="K14" s="72" t="n"/>
      <c r="L14" s="72" t="n"/>
    </row>
    <row r="15">
      <c r="A15" s="72" t="n"/>
      <c r="B15" s="72" t="n"/>
      <c r="C15" s="72" t="n"/>
      <c r="D15" s="78" t="n"/>
      <c r="E15" s="72" t="n"/>
      <c r="F15" s="72" t="n"/>
      <c r="G15" s="72" t="n"/>
      <c r="H15" s="72" t="n"/>
      <c r="I15" s="72" t="n"/>
      <c r="J15" s="72" t="n"/>
      <c r="K15" s="72" t="n"/>
      <c r="L15" s="72" t="n"/>
    </row>
    <row r="16">
      <c r="A16" s="53" t="inlineStr">
        <is>
          <t>Agreements are read in full; terms above are agreed to the executed document (not summaries).</t>
        </is>
      </c>
      <c r="B16" s="51" t="n"/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</row>
    <row r="17">
      <c r="A17" s="51" t="n"/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</row>
    <row r="18">
      <c r="A18" s="82" t="inlineStr">
        <is>
          <t>B. Compliance with agreement terms</t>
        </is>
      </c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</row>
    <row r="19" ht="33" customHeight="1" s="41">
      <c r="A19" s="83" t="inlineStr">
        <is>
          <t>Facility</t>
        </is>
      </c>
      <c r="B19" s="83" t="inlineStr">
        <is>
          <t>Term / requirement</t>
        </is>
      </c>
      <c r="C19" s="83" t="inlineStr">
        <is>
          <t>Requirement detail (per agreement)</t>
        </is>
      </c>
      <c r="D19" s="83" t="inlineStr">
        <is>
          <t>Evidence examined</t>
        </is>
      </c>
      <c r="E19" s="83" t="inlineStr">
        <is>
          <t>Complied? (Y/N)</t>
        </is>
      </c>
      <c r="F19" s="83" t="inlineStr">
        <is>
          <t>Exception / follow-up</t>
        </is>
      </c>
      <c r="G19" s="51" t="n"/>
      <c r="H19" s="51" t="n"/>
      <c r="I19" s="51" t="n"/>
      <c r="J19" s="51" t="n"/>
      <c r="K19" s="51" t="n"/>
      <c r="L19" s="51" t="n"/>
    </row>
    <row r="20">
      <c r="A20" s="72" t="n"/>
      <c r="B20" s="72" t="n"/>
      <c r="C20" s="72" t="n"/>
      <c r="D20" s="72" t="n"/>
      <c r="E20" s="72" t="n"/>
      <c r="F20" s="72" t="n"/>
      <c r="G20" s="51" t="n"/>
      <c r="H20" s="51" t="n"/>
      <c r="I20" s="51" t="n"/>
      <c r="J20" s="51" t="n"/>
      <c r="K20" s="51" t="n"/>
      <c r="L20" s="51" t="n"/>
    </row>
    <row r="21">
      <c r="A21" s="72" t="n"/>
      <c r="B21" s="72" t="n"/>
      <c r="C21" s="72" t="n"/>
      <c r="D21" s="72" t="n"/>
      <c r="E21" s="72" t="n"/>
      <c r="F21" s="72" t="n"/>
      <c r="G21" s="51" t="n"/>
      <c r="H21" s="51" t="n"/>
      <c r="I21" s="51" t="n"/>
      <c r="J21" s="51" t="n"/>
      <c r="K21" s="51" t="n"/>
      <c r="L21" s="51" t="n"/>
    </row>
    <row r="22">
      <c r="A22" s="72" t="n"/>
      <c r="B22" s="72" t="n"/>
      <c r="C22" s="72" t="n"/>
      <c r="D22" s="72" t="n"/>
      <c r="E22" s="72" t="n"/>
      <c r="F22" s="72" t="n"/>
      <c r="G22" s="51" t="n"/>
      <c r="H22" s="51" t="n"/>
      <c r="I22" s="51" t="n"/>
      <c r="J22" s="51" t="n"/>
      <c r="K22" s="51" t="n"/>
      <c r="L22" s="51" t="n"/>
    </row>
    <row r="23">
      <c r="A23" s="72" t="n"/>
      <c r="B23" s="72" t="n"/>
      <c r="C23" s="72" t="n"/>
      <c r="D23" s="72" t="n"/>
      <c r="E23" s="72" t="n"/>
      <c r="F23" s="72" t="n"/>
      <c r="G23" s="51" t="n"/>
      <c r="H23" s="51" t="n"/>
      <c r="I23" s="51" t="n"/>
      <c r="J23" s="51" t="n"/>
      <c r="K23" s="51" t="n"/>
      <c r="L23" s="51" t="n"/>
    </row>
    <row r="24">
      <c r="A24" s="72" t="n"/>
      <c r="B24" s="72" t="n"/>
      <c r="C24" s="72" t="n"/>
      <c r="D24" s="72" t="n"/>
      <c r="E24" s="72" t="n"/>
      <c r="F24" s="72" t="n"/>
      <c r="G24" s="51" t="n"/>
      <c r="H24" s="51" t="n"/>
      <c r="I24" s="51" t="n"/>
      <c r="J24" s="51" t="n"/>
      <c r="K24" s="51" t="n"/>
      <c r="L24" s="51" t="n"/>
    </row>
    <row r="25">
      <c r="A25" s="72" t="n"/>
      <c r="B25" s="72" t="n"/>
      <c r="C25" s="72" t="n"/>
      <c r="D25" s="72" t="n"/>
      <c r="E25" s="72" t="n"/>
      <c r="F25" s="72" t="n"/>
      <c r="G25" s="51" t="n"/>
      <c r="H25" s="51" t="n"/>
      <c r="I25" s="51" t="n"/>
      <c r="J25" s="51" t="n"/>
      <c r="K25" s="51" t="n"/>
      <c r="L25" s="51" t="n"/>
    </row>
    <row r="26">
      <c r="A26" s="72" t="n"/>
      <c r="B26" s="72" t="n"/>
      <c r="C26" s="72" t="n"/>
      <c r="D26" s="72" t="n"/>
      <c r="E26" s="72" t="n"/>
      <c r="F26" s="72" t="n"/>
      <c r="G26" s="51" t="n"/>
      <c r="H26" s="51" t="n"/>
      <c r="I26" s="51" t="n"/>
      <c r="J26" s="51" t="n"/>
      <c r="K26" s="51" t="n"/>
      <c r="L26" s="51" t="n"/>
    </row>
    <row r="27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</row>
    <row r="28" ht="27" customHeight="1" s="41">
      <c r="A28" s="82" t="inlineStr">
        <is>
          <t>C. Additions — new borrowings / draws testing</t>
        </is>
      </c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</row>
    <row r="29" ht="31.5" customHeight="1" s="41">
      <c r="A29" s="83" t="inlineStr">
        <is>
          <t>Facility</t>
        </is>
      </c>
      <c r="B29" s="83" t="inlineStr">
        <is>
          <t>Draw / borrowing date</t>
        </is>
      </c>
      <c r="C29" s="83" t="inlineStr">
        <is>
          <t>Amount</t>
        </is>
      </c>
      <c r="D29" s="83" t="inlineStr">
        <is>
          <t>Authorized (board / per agreement) (Y/N)</t>
        </is>
      </c>
      <c r="E29" s="83" t="inlineStr">
        <is>
          <t>Agreement / amendment ref</t>
        </is>
      </c>
      <c r="F29" s="83" t="inlineStr">
        <is>
          <t>Proceeds traced to bank (Y/N)</t>
        </is>
      </c>
      <c r="G29" s="83" t="inlineStr">
        <is>
          <t>Fees withheld from proceeds</t>
        </is>
      </c>
      <c r="H29" s="83" t="inlineStr">
        <is>
          <t>Net proceeds received</t>
        </is>
      </c>
      <c r="I29" s="83" t="inlineStr">
        <is>
          <t>Recorded correctly (Y/N)</t>
        </is>
      </c>
      <c r="J29" s="83" t="inlineStr">
        <is>
          <t>Comments</t>
        </is>
      </c>
      <c r="K29" s="51" t="n"/>
      <c r="L29" s="51" t="n"/>
    </row>
    <row r="30">
      <c r="A30" s="51" t="n"/>
      <c r="B30" s="51" t="n"/>
      <c r="C30" s="77" t="inlineStr">
        <is>
          <t>T</t>
        </is>
      </c>
      <c r="D30" s="51" t="n"/>
      <c r="E30" s="51" t="n"/>
      <c r="F30" s="77" t="inlineStr">
        <is>
          <t>SR</t>
        </is>
      </c>
      <c r="G30" s="51" t="n"/>
      <c r="H30" s="51" t="n"/>
      <c r="I30" s="51" t="n"/>
      <c r="J30" s="51" t="n"/>
      <c r="K30" s="51" t="n"/>
      <c r="L30" s="51" t="n"/>
    </row>
    <row r="31" ht="27" customHeight="1" s="41">
      <c r="A31" s="72" t="n"/>
      <c r="B31" s="72" t="n"/>
      <c r="C31" s="78" t="n"/>
      <c r="D31" s="72" t="n"/>
      <c r="E31" s="72" t="n"/>
      <c r="F31" s="72" t="n"/>
      <c r="G31" s="78" t="n"/>
      <c r="H31" s="79">
        <f>IF(AND(C31="",G31=""),"",C31-G31)</f>
        <v/>
      </c>
      <c r="I31" s="72" t="n"/>
      <c r="J31" s="72" t="n"/>
      <c r="K31" s="51" t="n"/>
      <c r="L31" s="51" t="n"/>
    </row>
    <row r="32" ht="27" customHeight="1" s="41">
      <c r="A32" s="72" t="n"/>
      <c r="B32" s="72" t="n"/>
      <c r="C32" s="78" t="n"/>
      <c r="D32" s="72" t="n"/>
      <c r="E32" s="72" t="n"/>
      <c r="F32" s="72" t="n"/>
      <c r="G32" s="78" t="n"/>
      <c r="H32" s="79">
        <f>IF(AND(C32="",G32=""),"",C32-G32)</f>
        <v/>
      </c>
      <c r="I32" s="72" t="n"/>
      <c r="J32" s="72" t="n"/>
      <c r="K32" s="51" t="n"/>
      <c r="L32" s="51" t="n"/>
    </row>
    <row r="33" ht="27" customHeight="1" s="41">
      <c r="A33" s="72" t="n"/>
      <c r="B33" s="72" t="n"/>
      <c r="C33" s="78" t="n"/>
      <c r="D33" s="72" t="n"/>
      <c r="E33" s="72" t="n"/>
      <c r="F33" s="72" t="n"/>
      <c r="G33" s="78" t="n"/>
      <c r="H33" s="79">
        <f>IF(AND(C33="",G33=""),"",C33-G33)</f>
        <v/>
      </c>
      <c r="I33" s="72" t="n"/>
      <c r="J33" s="72" t="n"/>
      <c r="K33" s="51" t="n"/>
      <c r="L33" s="51" t="n"/>
    </row>
    <row r="34" ht="27" customHeight="1" s="41">
      <c r="A34" s="72" t="n"/>
      <c r="B34" s="72" t="n"/>
      <c r="C34" s="78" t="n"/>
      <c r="D34" s="72" t="n"/>
      <c r="E34" s="72" t="n"/>
      <c r="F34" s="72" t="n"/>
      <c r="G34" s="78" t="n"/>
      <c r="H34" s="79">
        <f>IF(AND(C34="",G34=""),"",C34-G34)</f>
        <v/>
      </c>
      <c r="I34" s="72" t="n"/>
      <c r="J34" s="72" t="n"/>
      <c r="K34" s="51" t="n"/>
      <c r="L34" s="51" t="n"/>
    </row>
    <row r="35" ht="27" customHeight="1" s="41">
      <c r="A35" s="72" t="n"/>
      <c r="B35" s="72" t="n"/>
      <c r="C35" s="78" t="n"/>
      <c r="D35" s="72" t="n"/>
      <c r="E35" s="72" t="n"/>
      <c r="F35" s="72" t="n"/>
      <c r="G35" s="78" t="n"/>
      <c r="H35" s="79">
        <f>IF(AND(C35="",G35=""),"",C35-G35)</f>
        <v/>
      </c>
      <c r="I35" s="72" t="n"/>
      <c r="J35" s="72" t="n"/>
      <c r="K35" s="51" t="n"/>
      <c r="L35" s="51" t="n"/>
    </row>
    <row r="36" ht="27" customHeight="1" s="41">
      <c r="A36" s="72" t="n"/>
      <c r="B36" s="72" t="n"/>
      <c r="C36" s="78" t="n"/>
      <c r="D36" s="72" t="n"/>
      <c r="E36" s="72" t="n"/>
      <c r="F36" s="72" t="n"/>
      <c r="G36" s="78" t="n"/>
      <c r="H36" s="79">
        <f>IF(AND(C36="",G36=""),"",C36-G36)</f>
        <v/>
      </c>
      <c r="I36" s="72" t="n"/>
      <c r="J36" s="72" t="n"/>
      <c r="K36" s="51" t="n"/>
      <c r="L36" s="51" t="n"/>
    </row>
    <row r="37" ht="27" customHeight="1" s="41">
      <c r="A37" s="94" t="inlineStr">
        <is>
          <t>Total additions — ties to &lt;.1&gt; Borrowings / draws</t>
        </is>
      </c>
      <c r="B37" s="80" t="n"/>
      <c r="C37" s="81">
        <f>SUM(C31:C36)</f>
        <v/>
      </c>
      <c r="D37" s="80" t="n"/>
      <c r="E37" s="80" t="n"/>
      <c r="F37" s="80" t="n"/>
      <c r="G37" s="81">
        <f>SUM(G31:G36)</f>
        <v/>
      </c>
      <c r="H37" s="81">
        <f>SUM(H31:H36)</f>
        <v/>
      </c>
      <c r="I37" s="80" t="n"/>
      <c r="J37" s="80" t="n"/>
      <c r="K37" s="51" t="n"/>
      <c r="L37" s="51" t="n"/>
    </row>
    <row r="38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</row>
    <row r="39" ht="27.75" customHeight="1" s="41">
      <c r="A39" s="53" t="inlineStr">
        <is>
          <t>Fees withheld from proceeds feed the issuance-cost fee summary on &lt;.6&gt;. Additions total must tie to the Borrowings / draws column on &lt;.1&gt;.</t>
        </is>
      </c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</row>
    <row r="40">
      <c r="A40" s="51" t="n"/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</row>
    <row r="41">
      <c r="A41" s="73" t="inlineStr">
        <is>
          <t>TM Legends</t>
        </is>
      </c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</row>
    <row r="42">
      <c r="A42" s="74" t="inlineStr">
        <is>
          <t>TB</t>
        </is>
      </c>
      <c r="B42" s="57" t="inlineStr">
        <is>
          <t>Agreed to trial balance</t>
        </is>
      </c>
      <c r="C42" s="75" t="n"/>
      <c r="D42" s="76" t="n"/>
      <c r="E42" s="51" t="n"/>
      <c r="F42" s="51" t="n"/>
      <c r="G42" s="51" t="n"/>
      <c r="H42" s="51" t="n"/>
      <c r="I42" s="51" t="n"/>
      <c r="J42" s="51" t="n"/>
      <c r="K42" s="51" t="n"/>
      <c r="L42" s="51" t="n"/>
    </row>
    <row r="43">
      <c r="A43" s="74" t="inlineStr">
        <is>
          <t>GL</t>
        </is>
      </c>
      <c r="B43" s="57" t="inlineStr">
        <is>
          <t>Agreed to general ledger</t>
        </is>
      </c>
      <c r="C43" s="75" t="n"/>
      <c r="D43" s="76" t="n"/>
      <c r="E43" s="51" t="n"/>
      <c r="F43" s="51" t="n"/>
      <c r="G43" s="51" t="n"/>
      <c r="H43" s="51" t="n"/>
      <c r="I43" s="51" t="n"/>
      <c r="J43" s="51" t="n"/>
      <c r="K43" s="51" t="n"/>
      <c r="L43" s="51" t="n"/>
    </row>
    <row r="44">
      <c r="A44" s="74" t="inlineStr">
        <is>
          <t>CF</t>
        </is>
      </c>
      <c r="B44" s="57" t="inlineStr">
        <is>
          <t>Confirmed with third party</t>
        </is>
      </c>
      <c r="C44" s="75" t="n"/>
      <c r="D44" s="76" t="n"/>
      <c r="E44" s="51" t="n"/>
      <c r="F44" s="51" t="n"/>
      <c r="G44" s="51" t="n"/>
      <c r="H44" s="51" t="n"/>
      <c r="I44" s="51" t="n"/>
      <c r="J44" s="51" t="n"/>
      <c r="K44" s="51" t="n"/>
      <c r="L44" s="51" t="n"/>
    </row>
    <row r="45">
      <c r="A45" s="74" t="inlineStr">
        <is>
          <t>V</t>
        </is>
      </c>
      <c r="B45" s="57" t="inlineStr">
        <is>
          <t>Vouched to source document</t>
        </is>
      </c>
      <c r="C45" s="75" t="n"/>
      <c r="D45" s="76" t="n"/>
      <c r="E45" s="51" t="n"/>
      <c r="F45" s="51" t="n"/>
      <c r="G45" s="51" t="n"/>
      <c r="H45" s="51" t="n"/>
      <c r="I45" s="51" t="n"/>
      <c r="J45" s="51" t="n"/>
      <c r="K45" s="51" t="n"/>
      <c r="L45" s="51" t="n"/>
    </row>
    <row r="46">
      <c r="A46" s="74" t="inlineStr">
        <is>
          <t>SR</t>
        </is>
      </c>
      <c r="B46" s="57" t="inlineStr">
        <is>
          <t>Agreed to subsequent bank-cleared receipt</t>
        </is>
      </c>
      <c r="C46" s="75" t="n"/>
      <c r="D46" s="76" t="n"/>
      <c r="E46" s="51" t="n"/>
      <c r="F46" s="51" t="n"/>
      <c r="G46" s="51" t="n"/>
      <c r="H46" s="51" t="n"/>
      <c r="I46" s="51" t="n"/>
      <c r="J46" s="51" t="n"/>
      <c r="K46" s="51" t="n"/>
      <c r="L46" s="51" t="n"/>
    </row>
    <row r="47">
      <c r="A47" s="74" t="inlineStr">
        <is>
          <t>R</t>
        </is>
      </c>
      <c r="B47" s="57" t="inlineStr">
        <is>
          <t>Recalculated independently</t>
        </is>
      </c>
      <c r="C47" s="75" t="n"/>
      <c r="D47" s="76" t="n"/>
      <c r="E47" s="51" t="n"/>
      <c r="F47" s="51" t="n"/>
      <c r="G47" s="51" t="n"/>
      <c r="H47" s="51" t="n"/>
      <c r="I47" s="51" t="n"/>
      <c r="J47" s="51" t="n"/>
      <c r="K47" s="51" t="n"/>
      <c r="L47" s="51" t="n"/>
    </row>
    <row r="48">
      <c r="A48" s="74" t="inlineStr">
        <is>
          <t>F</t>
        </is>
      </c>
      <c r="B48" s="57" t="inlineStr">
        <is>
          <t>Footed / cross-cast</t>
        </is>
      </c>
      <c r="C48" s="75" t="n"/>
      <c r="D48" s="76" t="n"/>
      <c r="E48" s="51" t="n"/>
      <c r="F48" s="51" t="n"/>
      <c r="G48" s="51" t="n"/>
      <c r="H48" s="51" t="n"/>
      <c r="I48" s="51" t="n"/>
      <c r="J48" s="51" t="n"/>
      <c r="K48" s="51" t="n"/>
      <c r="L48" s="51" t="n"/>
    </row>
    <row r="49">
      <c r="A49" s="74" t="inlineStr">
        <is>
          <t>T</t>
        </is>
      </c>
      <c r="B49" s="57" t="inlineStr">
        <is>
          <t>Traced to downstream record</t>
        </is>
      </c>
      <c r="C49" s="75" t="n"/>
      <c r="D49" s="76" t="n"/>
      <c r="E49" s="51" t="n"/>
      <c r="F49" s="51" t="n"/>
      <c r="G49" s="51" t="n"/>
      <c r="H49" s="51" t="n"/>
      <c r="I49" s="51" t="n"/>
      <c r="J49" s="51" t="n"/>
      <c r="K49" s="51" t="n"/>
      <c r="L49" s="51" t="n"/>
    </row>
    <row r="50">
      <c r="A50" s="74" t="inlineStr">
        <is>
          <t>PBC</t>
        </is>
      </c>
      <c r="B50" s="57" t="inlineStr">
        <is>
          <t>Prepared by client</t>
        </is>
      </c>
      <c r="C50" s="75" t="n"/>
      <c r="D50" s="76" t="n"/>
      <c r="E50" s="51" t="n"/>
      <c r="F50" s="51" t="n"/>
      <c r="G50" s="51" t="n"/>
      <c r="H50" s="51" t="n"/>
      <c r="I50" s="51" t="n"/>
      <c r="J50" s="51" t="n"/>
      <c r="K50" s="51" t="n"/>
      <c r="L50" s="51" t="n"/>
    </row>
    <row r="51">
      <c r="A51" s="51" t="n"/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1" t="n"/>
    </row>
    <row r="52" ht="27.75" customHeight="1" s="41">
      <c r="A52" s="53" t="inlineStr">
        <is>
          <t>Before sign-off complete Library Procedures 12-14 (read &amp; abstract agreements; test term compliance; test additions).</t>
        </is>
      </c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  <c r="L52" s="51" t="n"/>
    </row>
  </sheetData>
  <mergeCells count="15">
    <mergeCell ref="B42:D42"/>
    <mergeCell ref="B4:L4"/>
    <mergeCell ref="A16:L16"/>
    <mergeCell ref="A52:L52"/>
    <mergeCell ref="B6:L6"/>
    <mergeCell ref="B45:D45"/>
    <mergeCell ref="B46:D46"/>
    <mergeCell ref="B49:D49"/>
    <mergeCell ref="B50:D50"/>
    <mergeCell ref="B5:L5"/>
    <mergeCell ref="B44:D44"/>
    <mergeCell ref="B43:D43"/>
    <mergeCell ref="A39:L39"/>
    <mergeCell ref="B47:D47"/>
    <mergeCell ref="B48:D48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K74"/>
  <sheetViews>
    <sheetView showGridLines="0" topLeftCell="A35" zoomScale="90" zoomScaleNormal="100" workbookViewId="0">
      <pane xSplit="1" ySplit="7" topLeftCell="B8" activePane="bottomRight" state="frozen"/>
      <selection pane="topRight"/>
      <selection pane="bottomLeft"/>
      <selection pane="bottomRight" activeCell="C47" sqref="C47"/>
    </sheetView>
  </sheetViews>
  <sheetFormatPr baseColWidth="8" defaultColWidth="8.6328125" defaultRowHeight="14.5"/>
  <cols>
    <col width="42" customWidth="1" style="41" min="1" max="1"/>
    <col width="33.45" customWidth="1" style="41" min="2" max="3"/>
    <col width="42" customWidth="1" style="41" min="3" max="3"/>
    <col width="42" customWidth="1" style="41" min="4" max="4"/>
    <col width="42" customWidth="1" style="41" min="5" max="10"/>
    <col width="42" customWidth="1" style="41" min="6" max="6"/>
    <col width="33.45" customWidth="1" style="41" min="7" max="7"/>
    <col width="39.4" customWidth="1" style="41" min="8" max="8"/>
    <col width="13" customWidth="1" style="41" min="9" max="9"/>
    <col width="13" customWidth="1" style="41" min="10" max="10"/>
    <col width="24" customWidth="1" style="41" min="11" max="11"/>
  </cols>
  <sheetData>
    <row r="1" ht="17.5" customHeight="1" s="41">
      <c r="A1" s="50" t="inlineStr">
        <is>
          <t>Debt Issuance Costs (Deferred Charges)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</row>
    <row r="2">
      <c r="A2" s="62" t="inlineStr">
        <is>
          <t>Client / Entity</t>
        </is>
      </c>
      <c r="B2" s="52" t="inlineStr">
        <is>
          <t>Vaquite Industries, Inc.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  <c r="J2" s="51" t="n"/>
      <c r="K2" s="51" t="n"/>
    </row>
    <row r="3">
      <c r="A3" s="65" t="inlineStr">
        <is>
          <t>Performance Materiality</t>
        </is>
      </c>
      <c r="B3" s="66" t="n">
        <v>23100</v>
      </c>
      <c r="C3" s="51" t="n"/>
      <c r="D3" s="65" t="inlineStr">
        <is>
          <t>Tolerable misstatement / testing threshold</t>
        </is>
      </c>
      <c r="E3" s="66" t="n">
        <v>20800</v>
      </c>
      <c r="F3" s="51" t="n"/>
      <c r="G3" s="51" t="n"/>
      <c r="H3" s="51" t="n"/>
      <c r="I3" s="51" t="n"/>
      <c r="J3" s="51" t="n"/>
      <c r="K3" s="51" t="n"/>
    </row>
    <row r="4" ht="42" customHeight="1" s="41">
      <c r="A4" s="67" t="inlineStr">
        <is>
          <t>Purpose:</t>
        </is>
      </c>
      <c r="B4" s="68" t="inlineStr">
        <is>
          <t>List all issuance costs, allocate across facilities, drive the presentation (net against debt vs asset), recompute amortization (effective interest for term debt; straight-line for LOC), and roll the unamortized balance forward.</t>
        </is>
      </c>
      <c r="C4" s="69" t="n"/>
      <c r="D4" s="69" t="n"/>
      <c r="E4" s="69" t="n"/>
      <c r="F4" s="69" t="n"/>
      <c r="G4" s="69" t="n"/>
      <c r="H4" s="69" t="n"/>
      <c r="I4" s="69" t="n"/>
      <c r="J4" s="69" t="n"/>
      <c r="K4" s="70" t="n"/>
    </row>
    <row r="5" ht="42" customHeight="1" s="41">
      <c r="A5" s="67" t="inlineStr">
        <is>
          <t>Scope:</t>
        </is>
      </c>
      <c r="B5" s="68" t="inlineStr">
        <is>
          <t>OID, lender fees and third-party costs for every facility; presentation per ASC 835-30-45-1A (net) and ASU 2015-15 (line-of-credit arrangements as an asset, amortized ratably over the term regardless of draws).</t>
        </is>
      </c>
      <c r="C5" s="69" t="n"/>
      <c r="D5" s="69" t="n"/>
      <c r="E5" s="69" t="n"/>
      <c r="F5" s="69" t="n"/>
      <c r="G5" s="69" t="n"/>
      <c r="H5" s="69" t="n"/>
      <c r="I5" s="69" t="n"/>
      <c r="J5" s="69" t="n"/>
      <c r="K5" s="70" t="n"/>
    </row>
    <row r="6" ht="15" customHeight="1" s="41">
      <c r="A6" s="67" t="inlineStr">
        <is>
          <t>Assertions:</t>
        </is>
      </c>
      <c r="B6" s="68" t="inlineStr">
        <is>
          <t>Valuation &amp; Allocation; Accuracy; Classification; Presentation &amp; Disclosure</t>
        </is>
      </c>
      <c r="C6" s="69" t="n"/>
      <c r="D6" s="69" t="n"/>
      <c r="E6" s="69" t="n"/>
      <c r="F6" s="69" t="n"/>
      <c r="G6" s="69" t="n"/>
      <c r="H6" s="69" t="n"/>
      <c r="I6" s="69" t="n"/>
      <c r="J6" s="69" t="n"/>
      <c r="K6" s="70" t="n"/>
    </row>
    <row r="7" ht="27" customHeight="1" s="41">
      <c r="A7" s="82" t="inlineStr">
        <is>
          <t>A. Fee summary &amp; allocation across facilities</t>
        </is>
      </c>
      <c r="B7" s="51" t="n"/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</row>
    <row r="8" ht="33.75" customHeight="1" s="41">
      <c r="A8" s="83" t="inlineStr">
        <is>
          <t>Fee / cost item</t>
        </is>
      </c>
      <c r="B8" s="83" t="inlineStr">
        <is>
          <t>Type (OID / lender fee / third-party)</t>
        </is>
      </c>
      <c r="C8" s="83" t="inlineStr">
        <is>
          <t>Paid to / vendor</t>
        </is>
      </c>
      <c r="D8" s="83" t="inlineStr">
        <is>
          <t>Amount</t>
        </is>
      </c>
      <c r="E8" s="83" t="inlineStr">
        <is>
          <t>Alloc: Term loan</t>
        </is>
      </c>
      <c r="F8" s="83" t="inlineStr">
        <is>
          <t>Alloc: DDTL</t>
        </is>
      </c>
      <c r="G8" s="83" t="inlineStr">
        <is>
          <t>Alloc: LOC / revolver</t>
        </is>
      </c>
      <c r="H8" s="83" t="inlineStr">
        <is>
          <t>Allocation method (specific ID / % capacity)</t>
        </is>
      </c>
      <c r="I8" s="51" t="n"/>
      <c r="J8" s="51" t="n"/>
      <c r="K8" s="51" t="n"/>
    </row>
    <row r="9">
      <c r="A9" s="51" t="n"/>
      <c r="B9" s="51" t="n"/>
      <c r="C9" s="51" t="n"/>
      <c r="D9" s="77" t="inlineStr">
        <is>
          <t>V</t>
        </is>
      </c>
      <c r="E9" s="77" t="inlineStr">
        <is>
          <t>R</t>
        </is>
      </c>
      <c r="F9" s="51" t="n"/>
      <c r="G9" s="51" t="n"/>
      <c r="H9" s="51" t="n"/>
      <c r="I9" s="51" t="n"/>
      <c r="J9" s="51" t="n"/>
      <c r="K9" s="51" t="n"/>
    </row>
    <row r="10">
      <c r="A10" s="72" t="n"/>
      <c r="B10" s="72" t="n"/>
      <c r="C10" s="72" t="n"/>
      <c r="D10" s="78" t="n"/>
      <c r="E10" s="78" t="n"/>
      <c r="F10" s="78" t="n"/>
      <c r="G10" s="78" t="n"/>
      <c r="H10" s="72" t="n"/>
      <c r="I10" s="51" t="n"/>
      <c r="J10" s="51" t="n"/>
      <c r="K10" s="51" t="n"/>
    </row>
    <row r="11">
      <c r="A11" s="72" t="n"/>
      <c r="B11" s="72" t="n"/>
      <c r="C11" s="72" t="n"/>
      <c r="D11" s="78" t="n"/>
      <c r="E11" s="78" t="n"/>
      <c r="F11" s="78" t="n"/>
      <c r="G11" s="78" t="n"/>
      <c r="H11" s="72" t="n"/>
      <c r="I11" s="51" t="n"/>
      <c r="J11" s="51" t="n"/>
      <c r="K11" s="51" t="n"/>
    </row>
    <row r="12">
      <c r="A12" s="72" t="n"/>
      <c r="B12" s="72" t="n"/>
      <c r="C12" s="72" t="n"/>
      <c r="D12" s="78" t="n"/>
      <c r="E12" s="78" t="n"/>
      <c r="F12" s="78" t="n"/>
      <c r="G12" s="78" t="n"/>
      <c r="H12" s="72" t="n"/>
      <c r="I12" s="51" t="n"/>
      <c r="J12" s="51" t="n"/>
      <c r="K12" s="51" t="n"/>
    </row>
    <row r="13">
      <c r="A13" s="72" t="n"/>
      <c r="B13" s="72" t="n"/>
      <c r="C13" s="72" t="n"/>
      <c r="D13" s="78" t="n"/>
      <c r="E13" s="78" t="n"/>
      <c r="F13" s="78" t="n"/>
      <c r="G13" s="78" t="n"/>
      <c r="H13" s="72" t="n"/>
      <c r="I13" s="51" t="n"/>
      <c r="J13" s="51" t="n"/>
      <c r="K13" s="51" t="n"/>
    </row>
    <row r="14">
      <c r="A14" s="72" t="n"/>
      <c r="B14" s="72" t="n"/>
      <c r="C14" s="72" t="n"/>
      <c r="D14" s="78" t="n"/>
      <c r="E14" s="78" t="n"/>
      <c r="F14" s="78" t="n"/>
      <c r="G14" s="78" t="n"/>
      <c r="H14" s="72" t="n"/>
      <c r="I14" s="51" t="n"/>
      <c r="J14" s="51" t="n"/>
      <c r="K14" s="51" t="n"/>
    </row>
    <row r="15">
      <c r="A15" s="72" t="n"/>
      <c r="B15" s="72" t="n"/>
      <c r="C15" s="72" t="n"/>
      <c r="D15" s="78" t="n"/>
      <c r="E15" s="78" t="n"/>
      <c r="F15" s="78" t="n"/>
      <c r="G15" s="78" t="n"/>
      <c r="H15" s="72" t="n"/>
      <c r="I15" s="51" t="n"/>
      <c r="J15" s="51" t="n"/>
      <c r="K15" s="51" t="n"/>
    </row>
    <row r="16">
      <c r="A16" s="72" t="n"/>
      <c r="B16" s="72" t="n"/>
      <c r="C16" s="72" t="n"/>
      <c r="D16" s="78" t="n"/>
      <c r="E16" s="78" t="n"/>
      <c r="F16" s="78" t="n"/>
      <c r="G16" s="78" t="n"/>
      <c r="H16" s="72" t="n"/>
      <c r="I16" s="51" t="n"/>
      <c r="J16" s="51" t="n"/>
      <c r="K16" s="51" t="n"/>
    </row>
    <row r="17">
      <c r="A17" s="80" t="inlineStr">
        <is>
          <t>Total fees</t>
        </is>
      </c>
      <c r="B17" s="80" t="n"/>
      <c r="C17" s="80" t="n"/>
      <c r="D17" s="81">
        <f>SUM(D10:D16)</f>
        <v/>
      </c>
      <c r="E17" s="81">
        <f>SUM(E10:E16)</f>
        <v/>
      </c>
      <c r="F17" s="81">
        <f>SUM(F10:F16)</f>
        <v/>
      </c>
      <c r="G17" s="81">
        <f>SUM(G10:G16)</f>
        <v/>
      </c>
      <c r="H17" s="80" t="n"/>
      <c r="I17" s="51" t="n"/>
      <c r="J17" s="51" t="n"/>
      <c r="K17" s="51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</row>
    <row r="19">
      <c r="A19" s="82" t="inlineStr">
        <is>
          <t>B. Presentation driver (per facility)</t>
        </is>
      </c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</row>
    <row r="20" ht="30" customHeight="1" s="41">
      <c r="A20" s="83" t="inlineStr">
        <is>
          <t>Facility</t>
        </is>
      </c>
      <c r="B20" s="83" t="inlineStr">
        <is>
          <t>Type (term / DDTL / LOC)</t>
        </is>
      </c>
      <c r="C20" s="83" t="inlineStr">
        <is>
          <t>Drawn? (Y/N)</t>
        </is>
      </c>
      <c r="D20" s="83" t="inlineStr">
        <is>
          <t>Allocated costs</t>
        </is>
      </c>
      <c r="E20" s="83" t="inlineStr">
        <is>
          <t>Presentation (Net against debt / Asset)</t>
        </is>
      </c>
      <c r="F20" s="83" t="inlineStr">
        <is>
          <t>US GAAP basis</t>
        </is>
      </c>
      <c r="G20" s="83" t="inlineStr">
        <is>
          <t>Comments</t>
        </is>
      </c>
      <c r="H20" s="51" t="n"/>
      <c r="I20" s="51" t="n"/>
      <c r="J20" s="51" t="n"/>
      <c r="K20" s="51" t="n"/>
    </row>
    <row r="21" ht="54" customHeight="1" s="41">
      <c r="A21" s="72" t="n"/>
      <c r="B21" s="72" t="n"/>
      <c r="C21" s="72" t="n"/>
      <c r="D21" s="78" t="n"/>
      <c r="E21" s="57">
        <f>IF(B21="","",IF(OR(B21="LOC",B21="Revolver",B21="LOC / revolver"),"Asset","Net against debt"))</f>
        <v/>
      </c>
      <c r="F21" s="57">
        <f>IF(B21="","",IF(OR(B21="LOC",B21="Revolver",B21="LOC / revolver"),"ASU 2015-15 (asset; ratable over term, drawn or not)","ASC 835-30-45-1A (direct deduction from debt)"))</f>
        <v/>
      </c>
      <c r="G21" s="72" t="n"/>
      <c r="H21" s="51" t="n"/>
      <c r="I21" s="51" t="n"/>
      <c r="J21" s="51" t="n"/>
      <c r="K21" s="51" t="n"/>
    </row>
    <row r="22" ht="54" customHeight="1" s="41">
      <c r="A22" s="72" t="n"/>
      <c r="B22" s="72" t="n"/>
      <c r="C22" s="72" t="n"/>
      <c r="D22" s="78" t="n"/>
      <c r="E22" s="57">
        <f>IF(B22="","",IF(OR(B22="LOC",B22="Revolver",B22="LOC / revolver"),"Asset","Net against debt"))</f>
        <v/>
      </c>
      <c r="F22" s="57">
        <f>IF(B22="","",IF(OR(B22="LOC",B22="Revolver",B22="LOC / revolver"),"ASU 2015-15 (asset; ratable over term, drawn or not)","ASC 835-30-45-1A (direct deduction from debt)"))</f>
        <v/>
      </c>
      <c r="G22" s="72" t="n"/>
      <c r="H22" s="51" t="n"/>
      <c r="I22" s="51" t="n"/>
      <c r="J22" s="51" t="n"/>
      <c r="K22" s="51" t="n"/>
    </row>
    <row r="23" ht="54" customHeight="1" s="41">
      <c r="A23" s="72" t="n"/>
      <c r="B23" s="72" t="n"/>
      <c r="C23" s="72" t="n"/>
      <c r="D23" s="78" t="n"/>
      <c r="E23" s="57">
        <f>IF(B23="","",IF(OR(B23="LOC",B23="Revolver",B23="LOC / revolver"),"Asset","Net against debt"))</f>
        <v/>
      </c>
      <c r="F23" s="57">
        <f>IF(B23="","",IF(OR(B23="LOC",B23="Revolver",B23="LOC / revolver"),"ASU 2015-15 (asset; ratable over term, drawn or not)","ASC 835-30-45-1A (direct deduction from debt)"))</f>
        <v/>
      </c>
      <c r="G23" s="72" t="n"/>
      <c r="H23" s="51" t="n"/>
      <c r="I23" s="51" t="n"/>
      <c r="J23" s="51" t="n"/>
      <c r="K23" s="51" t="n"/>
    </row>
    <row r="24" ht="54" customHeight="1" s="41">
      <c r="A24" s="72" t="n"/>
      <c r="B24" s="72" t="n"/>
      <c r="C24" s="72" t="n"/>
      <c r="D24" s="78" t="n"/>
      <c r="E24" s="57">
        <f>IF(B24="","",IF(OR(B24="LOC",B24="Revolver",B24="LOC / revolver"),"Asset","Net against debt"))</f>
        <v/>
      </c>
      <c r="F24" s="57">
        <f>IF(B24="","",IF(OR(B24="LOC",B24="Revolver",B24="LOC / revolver"),"ASU 2015-15 (asset; ratable over term, drawn or not)","ASC 835-30-45-1A (direct deduction from debt)"))</f>
        <v/>
      </c>
      <c r="G24" s="72" t="n"/>
      <c r="H24" s="51" t="n"/>
      <c r="I24" s="51" t="n"/>
      <c r="J24" s="51" t="n"/>
      <c r="K24" s="51" t="n"/>
    </row>
    <row r="25" ht="54" customHeight="1" s="41">
      <c r="A25" s="72" t="n"/>
      <c r="B25" s="72" t="n"/>
      <c r="C25" s="72" t="n"/>
      <c r="D25" s="78" t="n"/>
      <c r="E25" s="57">
        <f>IF(B25="","",IF(OR(B25="LOC",B25="Revolver",B25="LOC / revolver"),"Asset","Net against debt"))</f>
        <v/>
      </c>
      <c r="F25" s="57">
        <f>IF(B25="","",IF(OR(B25="LOC",B25="Revolver",B25="LOC / revolver"),"ASU 2015-15 (asset; ratable over term, drawn or not)","ASC 835-30-45-1A (direct deduction from debt)"))</f>
        <v/>
      </c>
      <c r="G25" s="72" t="n"/>
      <c r="H25" s="51" t="n"/>
      <c r="I25" s="51" t="n"/>
      <c r="J25" s="51" t="n"/>
      <c r="K25" s="51" t="n"/>
    </row>
    <row r="26" ht="25.5" customHeight="1" s="41">
      <c r="A26" s="53" t="inlineStr">
        <is>
          <t>Term / DDTL costs on recognized debt = direct deduction from the liability. LOC / revolver costs may be presented as an asset and amortized ratably over the facility term regardless of borrowings (ASU 2015-15).</t>
        </is>
      </c>
      <c r="B26" s="51" t="n"/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</row>
    <row r="27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</row>
    <row r="28" ht="27" customHeight="1" s="41">
      <c r="A28" s="82" t="inlineStr">
        <is>
          <t>C. Effective-interest amortization — term debt (net presentation)</t>
        </is>
      </c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</row>
    <row r="29">
      <c r="A29" s="65" t="inlineStr">
        <is>
          <t>Facility parameters:</t>
        </is>
      </c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</row>
    <row r="30">
      <c r="A30" s="72" t="inlineStr">
        <is>
          <t>Face / principal</t>
        </is>
      </c>
      <c r="B30" s="78" t="n"/>
      <c r="C30" s="51" t="n"/>
      <c r="D30" s="95" t="n"/>
      <c r="E30" s="51" t="n"/>
      <c r="F30" s="51" t="n"/>
      <c r="G30" s="51" t="n"/>
      <c r="H30" s="51" t="n"/>
      <c r="I30" s="51" t="n"/>
      <c r="J30" s="51" t="n"/>
      <c r="K30" s="51" t="n"/>
    </row>
    <row r="31">
      <c r="A31" s="72" t="inlineStr">
        <is>
          <t>Stated rate</t>
        </is>
      </c>
      <c r="B31" s="84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</row>
    <row r="32">
      <c r="A32" s="57" t="inlineStr">
        <is>
          <t>Issuance costs (allocated)</t>
        </is>
      </c>
      <c r="B32" s="78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</row>
    <row r="33">
      <c r="A33" s="92" t="inlineStr">
        <is>
          <t>Net proceeds / initial carrying</t>
        </is>
      </c>
      <c r="B33" s="86">
        <f>B30-B32</f>
        <v/>
      </c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</row>
    <row r="34">
      <c r="A34" s="57" t="inlineStr">
        <is>
          <t>Effective interest rate (EIR)</t>
        </is>
      </c>
      <c r="B34" s="84" t="n"/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</row>
    <row r="35">
      <c r="A35" s="51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</row>
    <row r="36" ht="39.75" customHeight="1" s="41">
      <c r="A36" s="83" t="inlineStr">
        <is>
          <t>Period</t>
        </is>
      </c>
      <c r="B36" s="83" t="inlineStr">
        <is>
          <t>Opening carrying (net)</t>
        </is>
      </c>
      <c r="C36" s="83" t="inlineStr">
        <is>
          <t>Effective interest (= opening × EIR × fraction)</t>
        </is>
      </c>
      <c r="D36" s="83" t="inlineStr">
        <is>
          <t>Cash interest (= face × stated × fraction)</t>
        </is>
      </c>
      <c r="E36" s="83" t="inlineStr">
        <is>
          <t>Cost amortization (= effective − cash)</t>
        </is>
      </c>
      <c r="F36" s="83" t="inlineStr">
        <is>
          <t>Closing carrying (= opening + amortization)</t>
        </is>
      </c>
      <c r="G36" s="83" t="inlineStr">
        <is>
          <t>Unamortized costs (= face − carrying)</t>
        </is>
      </c>
      <c r="H36" s="83" t="inlineStr">
        <is>
          <t>Period fraction</t>
        </is>
      </c>
      <c r="I36" s="51" t="n"/>
      <c r="J36" s="51" t="n"/>
      <c r="K36" s="51" t="n"/>
    </row>
    <row r="37" ht="27" customHeight="1" s="41">
      <c r="A37" s="72" t="n"/>
      <c r="B37" s="79">
        <f>IF($B$33="","",$B$33)</f>
        <v/>
      </c>
      <c r="C37" s="79">
        <f>IF(OR(B37="",$B$34=""),"",B37*$B$34*IF(H37="",1,H37))</f>
        <v/>
      </c>
      <c r="D37" s="79">
        <f>IF(OR($B$30="",$B$31=""),"",$B$30*$B$31*IF(H37="",1,H37))</f>
        <v/>
      </c>
      <c r="E37" s="79">
        <f>IF(OR(C37="",D37=""),"",C37-D37)</f>
        <v/>
      </c>
      <c r="F37" s="79">
        <f>IF(OR(B37="",E37=""),"",B37+E37)</f>
        <v/>
      </c>
      <c r="G37" s="79">
        <f>IF(OR($B$30="",F37=""),"",$B$30-F37)</f>
        <v/>
      </c>
      <c r="H37" s="96" t="n"/>
      <c r="I37" s="51" t="n"/>
      <c r="J37" s="51" t="n"/>
      <c r="K37" s="51" t="n"/>
    </row>
    <row r="38" ht="27" customHeight="1" s="41">
      <c r="A38" s="72" t="n"/>
      <c r="B38" s="79">
        <f>IF(F37="","",F37)</f>
        <v/>
      </c>
      <c r="C38" s="79">
        <f>IF(OR(B38="",$B$34=""),"",B38*$B$34*IF(H38="",1,H38))</f>
        <v/>
      </c>
      <c r="D38" s="79">
        <f>IF(OR($B$30="",$B$31=""),"",$B$30*$B$31*IF(H38="",1,H38))</f>
        <v/>
      </c>
      <c r="E38" s="79">
        <f>IF(OR(C38="",D38=""),"",C38-D38)</f>
        <v/>
      </c>
      <c r="F38" s="79">
        <f>IF(OR(B38="",E38=""),"",B38+E38)</f>
        <v/>
      </c>
      <c r="G38" s="79">
        <f>IF(OR($B$30="",F38=""),"",$B$30-F38)</f>
        <v/>
      </c>
      <c r="H38" s="96" t="n"/>
      <c r="I38" s="51" t="n"/>
      <c r="J38" s="51" t="n"/>
      <c r="K38" s="51" t="n"/>
    </row>
    <row r="39" ht="27" customHeight="1" s="41">
      <c r="A39" s="72" t="n"/>
      <c r="B39" s="79">
        <f>IF(F38="","",F38)</f>
        <v/>
      </c>
      <c r="C39" s="79">
        <f>IF(OR(B39="",$B$34=""),"",B39*$B$34*IF(H39="",1,H39))</f>
        <v/>
      </c>
      <c r="D39" s="79">
        <f>IF(OR($B$30="",$B$31=""),"",$B$30*$B$31*IF(H39="",1,H39))</f>
        <v/>
      </c>
      <c r="E39" s="79">
        <f>IF(OR(C39="",D39=""),"",C39-D39)</f>
        <v/>
      </c>
      <c r="F39" s="79">
        <f>IF(OR(B39="",E39=""),"",B39+E39)</f>
        <v/>
      </c>
      <c r="G39" s="79">
        <f>IF(OR($B$30="",F39=""),"",$B$30-F39)</f>
        <v/>
      </c>
      <c r="H39" s="96" t="n"/>
      <c r="I39" s="51" t="n"/>
      <c r="J39" s="51" t="n"/>
      <c r="K39" s="51" t="n"/>
    </row>
    <row r="40" ht="27" customHeight="1" s="41">
      <c r="A40" s="72" t="n"/>
      <c r="B40" s="79">
        <f>IF(F39="","",F39)</f>
        <v/>
      </c>
      <c r="C40" s="79">
        <f>IF(OR(B40="",$B$34=""),"",B40*$B$34*IF(H40="",1,H40))</f>
        <v/>
      </c>
      <c r="D40" s="79">
        <f>IF(OR($B$30="",$B$31=""),"",$B$30*$B$31*IF(H40="",1,H40))</f>
        <v/>
      </c>
      <c r="E40" s="79">
        <f>IF(OR(C40="",D40=""),"",C40-D40)</f>
        <v/>
      </c>
      <c r="F40" s="79">
        <f>IF(OR(B40="",E40=""),"",B40+E40)</f>
        <v/>
      </c>
      <c r="G40" s="79">
        <f>IF(OR($B$30="",F40=""),"",$B$30-F40)</f>
        <v/>
      </c>
      <c r="H40" s="96" t="n"/>
      <c r="I40" s="51" t="n"/>
      <c r="J40" s="51" t="n"/>
      <c r="K40" s="51" t="n"/>
    </row>
    <row r="41" ht="27" customHeight="1" s="41">
      <c r="A41" s="72" t="n"/>
      <c r="B41" s="79">
        <f>IF(F40="","",F40)</f>
        <v/>
      </c>
      <c r="C41" s="79">
        <f>IF(OR(B41="",$B$34=""),"",B41*$B$34*IF(H41="",1,H41))</f>
        <v/>
      </c>
      <c r="D41" s="79">
        <f>IF(OR($B$30="",$B$31=""),"",$B$30*$B$31*IF(H41="",1,H41))</f>
        <v/>
      </c>
      <c r="E41" s="79">
        <f>IF(OR(C41="",D41=""),"",C41-D41)</f>
        <v/>
      </c>
      <c r="F41" s="79">
        <f>IF(OR(B41="",E41=""),"",B41+E41)</f>
        <v/>
      </c>
      <c r="G41" s="79">
        <f>IF(OR($B$30="",F41=""),"",$B$30-F41)</f>
        <v/>
      </c>
      <c r="H41" s="96" t="n"/>
      <c r="I41" s="51" t="n"/>
      <c r="J41" s="51" t="n"/>
      <c r="K41" s="51" t="n"/>
    </row>
    <row r="42" ht="27" customHeight="1" s="41">
      <c r="A42" s="72" t="n"/>
      <c r="B42" s="79">
        <f>IF(F41="","",F41)</f>
        <v/>
      </c>
      <c r="C42" s="79">
        <f>IF(OR(B42="",$B$34=""),"",B42*$B$34*IF(H42="",1,H42))</f>
        <v/>
      </c>
      <c r="D42" s="79">
        <f>IF(OR($B$30="",$B$31=""),"",$B$30*$B$31*IF(H42="",1,H42))</f>
        <v/>
      </c>
      <c r="E42" s="79">
        <f>IF(OR(C42="",D42=""),"",C42-D42)</f>
        <v/>
      </c>
      <c r="F42" s="79">
        <f>IF(OR(B42="",E42=""),"",B42+E42)</f>
        <v/>
      </c>
      <c r="G42" s="79">
        <f>IF(OR($B$30="",F42=""),"",$B$30-F42)</f>
        <v/>
      </c>
      <c r="H42" s="96" t="n"/>
      <c r="I42" s="51" t="n"/>
      <c r="J42" s="51" t="n"/>
      <c r="K42" s="51" t="n"/>
    </row>
    <row r="43">
      <c r="A43" s="51" t="n"/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 t="n"/>
    </row>
    <row r="44" ht="27" customHeight="1" s="41">
      <c r="A44" s="82" t="inlineStr">
        <is>
          <t>D. Straight-line amortization — LOC / revolver (asset)</t>
        </is>
      </c>
      <c r="B44" s="51" t="n"/>
      <c r="C44" s="51" t="n"/>
      <c r="D44" s="51" t="n"/>
      <c r="E44" s="51" t="n"/>
      <c r="F44" s="51" t="n"/>
      <c r="G44" s="51" t="n"/>
      <c r="H44" s="51" t="n"/>
      <c r="I44" s="51" t="n"/>
      <c r="J44" s="51" t="n"/>
      <c r="K44" s="51" t="n"/>
    </row>
    <row r="45" ht="30" customHeight="1" s="41">
      <c r="A45" s="83" t="inlineStr">
        <is>
          <t>Facility</t>
        </is>
      </c>
      <c r="B45" s="83" t="inlineStr">
        <is>
          <t>Allocated costs</t>
        </is>
      </c>
      <c r="C45" s="83" t="inlineStr">
        <is>
          <t>Facility term (months)</t>
        </is>
      </c>
      <c r="D45" s="83" t="inlineStr">
        <is>
          <t>Monthly amortization</t>
        </is>
      </c>
      <c r="E45" s="83" t="inlineStr">
        <is>
          <t>Months in period</t>
        </is>
      </c>
      <c r="F45" s="83" t="inlineStr">
        <is>
          <t>Period amortization</t>
        </is>
      </c>
      <c r="G45" s="83" t="inlineStr">
        <is>
          <t>Unamortized closing (asset)</t>
        </is>
      </c>
      <c r="H45" s="83" t="inlineStr">
        <is>
          <t>Comments</t>
        </is>
      </c>
      <c r="I45" s="51" t="n"/>
      <c r="J45" s="51" t="n"/>
      <c r="K45" s="51" t="n"/>
    </row>
    <row r="46">
      <c r="A46" s="72" t="n"/>
      <c r="B46" s="78" t="n"/>
      <c r="C46" s="72" t="n"/>
      <c r="D46" s="79">
        <f>IF(OR(B46="",C46="",C46=0),"",B46/C46)</f>
        <v/>
      </c>
      <c r="E46" s="72" t="n"/>
      <c r="F46" s="79">
        <f>IF(OR(D46="",E46=""),"",D46*E46)</f>
        <v/>
      </c>
      <c r="G46" s="79">
        <f>IF(OR(B46="",F46=""),"",B46-F46)</f>
        <v/>
      </c>
      <c r="H46" s="72" t="n"/>
      <c r="I46" s="51" t="n"/>
      <c r="J46" s="51" t="n"/>
      <c r="K46" s="51" t="n"/>
    </row>
    <row r="47">
      <c r="A47" s="72" t="n"/>
      <c r="B47" s="78" t="n"/>
      <c r="C47" s="72" t="n"/>
      <c r="D47" s="79">
        <f>IF(OR(B47="",C47="",C47=0),"",B47/C47)</f>
        <v/>
      </c>
      <c r="E47" s="72" t="n"/>
      <c r="F47" s="79">
        <f>IF(OR(D47="",E47=""),"",D47*E47)</f>
        <v/>
      </c>
      <c r="G47" s="79">
        <f>IF(OR(B47="",F47=""),"",B47-F47)</f>
        <v/>
      </c>
      <c r="H47" s="72" t="n"/>
      <c r="I47" s="51" t="n"/>
      <c r="J47" s="51" t="n"/>
      <c r="K47" s="51" t="n"/>
    </row>
    <row r="48">
      <c r="A48" s="72" t="n"/>
      <c r="B48" s="78" t="n"/>
      <c r="C48" s="72" t="n"/>
      <c r="D48" s="79">
        <f>IF(OR(B48="",C48="",C48=0),"",B48/C48)</f>
        <v/>
      </c>
      <c r="E48" s="72" t="n"/>
      <c r="F48" s="79">
        <f>IF(OR(D48="",E48=""),"",D48*E48)</f>
        <v/>
      </c>
      <c r="G48" s="79">
        <f>IF(OR(B48="",F48=""),"",B48-F48)</f>
        <v/>
      </c>
      <c r="H48" s="72" t="n"/>
      <c r="I48" s="51" t="n"/>
      <c r="J48" s="51" t="n"/>
      <c r="K48" s="51" t="n"/>
    </row>
    <row r="49">
      <c r="A49" s="72" t="n"/>
      <c r="B49" s="78" t="n"/>
      <c r="C49" s="72" t="n"/>
      <c r="D49" s="79">
        <f>IF(OR(B49="",C49="",C49=0),"",B49/C49)</f>
        <v/>
      </c>
      <c r="E49" s="72" t="n"/>
      <c r="F49" s="79">
        <f>IF(OR(D49="",E49=""),"",D49*E49)</f>
        <v/>
      </c>
      <c r="G49" s="79">
        <f>IF(OR(B49="",F49=""),"",B49-F49)</f>
        <v/>
      </c>
      <c r="H49" s="72" t="n"/>
      <c r="I49" s="51" t="n"/>
      <c r="J49" s="51" t="n"/>
      <c r="K49" s="51" t="n"/>
    </row>
    <row r="50">
      <c r="A50" s="51" t="n"/>
      <c r="B50" s="51" t="n"/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</row>
    <row r="51" ht="27" customHeight="1" s="41">
      <c r="A51" s="82" t="inlineStr">
        <is>
          <t>E. Unamortized issuance-cost rollforward &amp; bridge</t>
        </is>
      </c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</row>
    <row r="52">
      <c r="A52" s="51" t="n"/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</row>
    <row r="53">
      <c r="A53" s="57" t="inlineStr">
        <is>
          <t>Opening unamortized costs</t>
        </is>
      </c>
      <c r="B53" s="78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1" t="n"/>
    </row>
    <row r="54">
      <c r="A54" s="57" t="inlineStr">
        <is>
          <t>Additions (new fees capitalized)</t>
        </is>
      </c>
      <c r="B54" s="78" t="n"/>
      <c r="C54" s="51" t="n"/>
      <c r="D54" s="51" t="n"/>
      <c r="E54" s="51" t="n"/>
      <c r="F54" s="51" t="n"/>
      <c r="G54" s="51" t="n"/>
      <c r="H54" s="51" t="n"/>
      <c r="I54" s="51" t="n"/>
      <c r="J54" s="51" t="n"/>
      <c r="K54" s="51" t="n"/>
    </row>
    <row r="55">
      <c r="A55" s="57" t="inlineStr">
        <is>
          <t>Amortization (period; C + D above)</t>
        </is>
      </c>
      <c r="B55" s="78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</row>
    <row r="56">
      <c r="A56" s="57" t="inlineStr">
        <is>
          <t>Write-offs (extinguishments — see &lt;.7&gt;)</t>
        </is>
      </c>
      <c r="B56" s="78" t="n"/>
      <c r="C56" s="51" t="n"/>
      <c r="D56" s="51" t="n"/>
      <c r="E56" s="51" t="n"/>
      <c r="F56" s="51" t="n"/>
      <c r="G56" s="51" t="n"/>
      <c r="H56" s="51" t="n"/>
      <c r="I56" s="51" t="n"/>
      <c r="J56" s="51" t="n"/>
      <c r="K56" s="51" t="n"/>
    </row>
    <row r="57">
      <c r="A57" s="92" t="inlineStr">
        <is>
          <t>Closing unamortized costs</t>
        </is>
      </c>
      <c r="B57" s="86">
        <f>B53+B54-B55-B56</f>
        <v/>
      </c>
      <c r="C57" s="51" t="n"/>
      <c r="D57" s="51" t="n"/>
      <c r="E57" s="51" t="n"/>
      <c r="F57" s="51" t="n"/>
      <c r="G57" s="51" t="n"/>
      <c r="H57" s="51" t="n"/>
      <c r="I57" s="51" t="n"/>
      <c r="J57" s="51" t="n"/>
      <c r="K57" s="51" t="n"/>
    </row>
    <row r="58">
      <c r="A58" s="57" t="inlineStr">
        <is>
          <t>Presented net against debt (→ &lt;.1&gt;)</t>
        </is>
      </c>
      <c r="B58" s="78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51" t="n"/>
    </row>
    <row r="59">
      <c r="A59" s="57" t="inlineStr">
        <is>
          <t>Presented as asset (LOC)</t>
        </is>
      </c>
      <c r="B59" s="78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</row>
    <row r="60">
      <c r="A60" s="92" t="inlineStr">
        <is>
          <t>Check: net + asset = closing</t>
        </is>
      </c>
      <c r="B60" s="86">
        <f>B58+B59-B57</f>
        <v/>
      </c>
      <c r="C60" s="51" t="n"/>
      <c r="D60" s="51" t="n"/>
      <c r="E60" s="51" t="n"/>
      <c r="F60" s="51" t="n"/>
      <c r="G60" s="51" t="n"/>
      <c r="H60" s="51" t="n"/>
      <c r="I60" s="51" t="n"/>
      <c r="J60" s="51" t="n"/>
      <c r="K60" s="51" t="n"/>
    </row>
    <row r="61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</row>
    <row r="62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</row>
    <row r="63">
      <c r="A63" s="73" t="inlineStr">
        <is>
          <t>TM Legends</t>
        </is>
      </c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</row>
    <row r="64">
      <c r="A64" s="74" t="inlineStr">
        <is>
          <t>TB</t>
        </is>
      </c>
      <c r="B64" s="57" t="inlineStr">
        <is>
          <t>Agreed to trial balance</t>
        </is>
      </c>
      <c r="C64" s="75" t="n"/>
      <c r="D64" s="76" t="n"/>
      <c r="E64" s="51" t="n"/>
      <c r="F64" s="51" t="n"/>
      <c r="G64" s="51" t="n"/>
      <c r="H64" s="51" t="n"/>
      <c r="I64" s="51" t="n"/>
      <c r="J64" s="51" t="n"/>
      <c r="K64" s="51" t="n"/>
    </row>
    <row r="65">
      <c r="A65" s="74" t="inlineStr">
        <is>
          <t>GL</t>
        </is>
      </c>
      <c r="B65" s="57" t="inlineStr">
        <is>
          <t>Agreed to general ledger</t>
        </is>
      </c>
      <c r="C65" s="75" t="n"/>
      <c r="D65" s="76" t="n"/>
      <c r="E65" s="51" t="n"/>
      <c r="F65" s="51" t="n"/>
      <c r="G65" s="51" t="n"/>
      <c r="H65" s="51" t="n"/>
      <c r="I65" s="51" t="n"/>
      <c r="J65" s="51" t="n"/>
      <c r="K65" s="51" t="n"/>
    </row>
    <row r="66">
      <c r="A66" s="74" t="inlineStr">
        <is>
          <t>CF</t>
        </is>
      </c>
      <c r="B66" s="57" t="inlineStr">
        <is>
          <t>Confirmed with third party</t>
        </is>
      </c>
      <c r="C66" s="75" t="n"/>
      <c r="D66" s="76" t="n"/>
      <c r="E66" s="51" t="n"/>
      <c r="F66" s="51" t="n"/>
      <c r="G66" s="51" t="n"/>
      <c r="H66" s="51" t="n"/>
      <c r="I66" s="51" t="n"/>
      <c r="J66" s="51" t="n"/>
      <c r="K66" s="51" t="n"/>
    </row>
    <row r="67">
      <c r="A67" s="74" t="inlineStr">
        <is>
          <t>V</t>
        </is>
      </c>
      <c r="B67" s="57" t="inlineStr">
        <is>
          <t>Vouched to source document</t>
        </is>
      </c>
      <c r="C67" s="75" t="n"/>
      <c r="D67" s="76" t="n"/>
      <c r="E67" s="51" t="n"/>
      <c r="F67" s="51" t="n"/>
      <c r="G67" s="51" t="n"/>
      <c r="H67" s="51" t="n"/>
      <c r="I67" s="51" t="n"/>
      <c r="J67" s="51" t="n"/>
      <c r="K67" s="51" t="n"/>
    </row>
    <row r="68">
      <c r="A68" s="74" t="inlineStr">
        <is>
          <t>SR</t>
        </is>
      </c>
      <c r="B68" s="57" t="inlineStr">
        <is>
          <t>Agreed to subsequent bank-cleared receipt</t>
        </is>
      </c>
      <c r="C68" s="75" t="n"/>
      <c r="D68" s="76" t="n"/>
      <c r="E68" s="51" t="n"/>
      <c r="F68" s="51" t="n"/>
      <c r="G68" s="51" t="n"/>
      <c r="H68" s="51" t="n"/>
      <c r="I68" s="51" t="n"/>
      <c r="J68" s="51" t="n"/>
      <c r="K68" s="51" t="n"/>
    </row>
    <row r="69">
      <c r="A69" s="74" t="inlineStr">
        <is>
          <t>R</t>
        </is>
      </c>
      <c r="B69" s="57" t="inlineStr">
        <is>
          <t>Recalculated independently</t>
        </is>
      </c>
      <c r="C69" s="75" t="n"/>
      <c r="D69" s="76" t="n"/>
      <c r="E69" s="51" t="n"/>
      <c r="F69" s="51" t="n"/>
      <c r="G69" s="51" t="n"/>
      <c r="H69" s="51" t="n"/>
      <c r="I69" s="51" t="n"/>
      <c r="J69" s="51" t="n"/>
      <c r="K69" s="51" t="n"/>
    </row>
    <row r="70">
      <c r="A70" s="74" t="inlineStr">
        <is>
          <t>F</t>
        </is>
      </c>
      <c r="B70" s="57" t="inlineStr">
        <is>
          <t>Footed / cross-cast</t>
        </is>
      </c>
      <c r="C70" s="75" t="n"/>
      <c r="D70" s="76" t="n"/>
      <c r="E70" s="51" t="n"/>
      <c r="F70" s="51" t="n"/>
      <c r="G70" s="51" t="n"/>
      <c r="H70" s="51" t="n"/>
      <c r="I70" s="51" t="n"/>
      <c r="J70" s="51" t="n"/>
      <c r="K70" s="51" t="n"/>
    </row>
    <row r="71">
      <c r="A71" s="74" t="inlineStr">
        <is>
          <t>T</t>
        </is>
      </c>
      <c r="B71" s="57" t="inlineStr">
        <is>
          <t>Traced to downstream record</t>
        </is>
      </c>
      <c r="C71" s="75" t="n"/>
      <c r="D71" s="76" t="n"/>
      <c r="E71" s="51" t="n"/>
      <c r="F71" s="51" t="n"/>
      <c r="G71" s="51" t="n"/>
      <c r="H71" s="51" t="n"/>
      <c r="I71" s="51" t="n"/>
      <c r="J71" s="51" t="n"/>
      <c r="K71" s="51" t="n"/>
    </row>
    <row r="72">
      <c r="A72" s="74" t="inlineStr">
        <is>
          <t>PBC</t>
        </is>
      </c>
      <c r="B72" s="57" t="inlineStr">
        <is>
          <t>Prepared by client</t>
        </is>
      </c>
      <c r="C72" s="75" t="n"/>
      <c r="D72" s="76" t="n"/>
      <c r="E72" s="51" t="n"/>
      <c r="F72" s="51" t="n"/>
      <c r="G72" s="51" t="n"/>
      <c r="H72" s="51" t="n"/>
      <c r="I72" s="51" t="n"/>
      <c r="J72" s="51" t="n"/>
      <c r="K72" s="51" t="n"/>
    </row>
    <row r="73">
      <c r="A73" s="51" t="n"/>
      <c r="B73" s="51" t="n"/>
      <c r="C73" s="51" t="n"/>
      <c r="D73" s="51" t="n"/>
      <c r="E73" s="51" t="n"/>
      <c r="F73" s="51" t="n"/>
      <c r="G73" s="51" t="n"/>
      <c r="H73" s="51" t="n"/>
      <c r="I73" s="51" t="n"/>
      <c r="J73" s="51" t="n"/>
      <c r="K73" s="51" t="n"/>
    </row>
    <row r="74" ht="27.75" customHeight="1" s="41">
      <c r="A74" s="53" t="inlineStr">
        <is>
          <t>Before sign-off complete Library Procedures 15-19 (fee completeness; allocation; presentation; effective-interest &amp; straight-line recompute; rollforward &amp; bridge to &lt;.1&gt;).</t>
        </is>
      </c>
      <c r="B74" s="51" t="n"/>
      <c r="C74" s="51" t="n"/>
      <c r="D74" s="51" t="n"/>
      <c r="E74" s="51" t="n"/>
      <c r="F74" s="51" t="n"/>
      <c r="G74" s="51" t="n"/>
      <c r="H74" s="51" t="n"/>
      <c r="I74" s="51" t="n"/>
      <c r="J74" s="51" t="n"/>
      <c r="K74" s="51" t="n"/>
    </row>
  </sheetData>
  <mergeCells count="15">
    <mergeCell ref="B72:D72"/>
    <mergeCell ref="A74:K74"/>
    <mergeCell ref="B66:D66"/>
    <mergeCell ref="B67:D67"/>
    <mergeCell ref="A26:K26"/>
    <mergeCell ref="B4:K4"/>
    <mergeCell ref="B71:D71"/>
    <mergeCell ref="B70:D70"/>
    <mergeCell ref="B6:K6"/>
    <mergeCell ref="B65:D65"/>
    <mergeCell ref="B68:D68"/>
    <mergeCell ref="B5:K5"/>
    <mergeCell ref="B69:D69"/>
    <mergeCell ref="D30:K31"/>
    <mergeCell ref="B64:D6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I43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G23" sqref="G23"/>
    </sheetView>
  </sheetViews>
  <sheetFormatPr baseColWidth="8" defaultColWidth="8.6328125" defaultRowHeight="14.5"/>
  <cols>
    <col width="42" customWidth="1" style="41" min="1" max="1"/>
    <col width="22.4" customWidth="1" style="41" min="2" max="2"/>
    <col width="28.35" customWidth="1" style="41" min="3" max="4"/>
    <col width="41.1" customWidth="1" style="41" min="4" max="4"/>
    <col width="30.9" customWidth="1" style="41" min="5" max="7"/>
    <col width="39.4" customWidth="1" style="41" min="6" max="6"/>
    <col width="33.45" customWidth="1" style="41" min="7" max="7"/>
    <col width="42" customWidth="1" style="41" min="8" max="8"/>
    <col width="10.90625" customWidth="1" style="41" min="9" max="9"/>
  </cols>
  <sheetData>
    <row r="1" ht="27" customHeight="1" s="41">
      <c r="A1" s="50" t="inlineStr">
        <is>
          <t>Debt Modification &amp; Extinguishment (ASC 470-50)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</row>
    <row r="2" ht="27" customHeight="1" s="41">
      <c r="A2" s="62" t="inlineStr">
        <is>
          <t>Client / Entity</t>
        </is>
      </c>
      <c r="B2" s="52" t="inlineStr">
        <is>
          <t>Vaquite Industries, Inc.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</row>
    <row r="3">
      <c r="A3" s="65" t="inlineStr">
        <is>
          <t>Performance Materiality</t>
        </is>
      </c>
      <c r="B3" s="66" t="n">
        <v>23100</v>
      </c>
      <c r="C3" s="51" t="n"/>
      <c r="D3" s="65" t="inlineStr">
        <is>
          <t>Tolerable misstatement / testing threshold</t>
        </is>
      </c>
      <c r="E3" s="66" t="n">
        <v>20800</v>
      </c>
      <c r="F3" s="51" t="n"/>
      <c r="G3" s="51" t="n"/>
      <c r="H3" s="51" t="n"/>
      <c r="I3" s="51" t="n"/>
    </row>
    <row r="4" ht="27.75" customHeight="1" s="41">
      <c r="A4" s="73" t="inlineStr">
        <is>
          <t>Purpose:</t>
        </is>
      </c>
      <c r="B4" s="93" t="inlineStr">
        <is>
          <t>Identify amendments / refinancings, perform the 10% cash-flow test per facility, conclude modification vs extinguishment, and apply the correct fee and gain/loss accounting.</t>
        </is>
      </c>
      <c r="C4" s="51" t="n"/>
      <c r="D4" s="51" t="n"/>
      <c r="E4" s="51" t="n"/>
      <c r="F4" s="51" t="n"/>
      <c r="G4" s="51" t="n"/>
      <c r="H4" s="51" t="n"/>
      <c r="I4" s="51" t="n"/>
    </row>
    <row r="5" ht="27.75" customHeight="1" s="41">
      <c r="A5" s="73" t="inlineStr">
        <is>
          <t>Scope:</t>
        </is>
      </c>
      <c r="B5" s="93" t="inlineStr">
        <is>
          <t>Every amendment, refinancing, payoff or exchange during the period (identified from minutes, confirmations and agreements).</t>
        </is>
      </c>
      <c r="C5" s="51" t="n"/>
      <c r="D5" s="51" t="n"/>
      <c r="E5" s="51" t="n"/>
      <c r="F5" s="51" t="n"/>
      <c r="G5" s="51" t="n"/>
      <c r="H5" s="51" t="n"/>
      <c r="I5" s="51" t="n"/>
    </row>
    <row r="6" ht="15" customHeight="1" s="41">
      <c r="A6" s="73" t="inlineStr">
        <is>
          <t>Assertions:</t>
        </is>
      </c>
      <c r="B6" s="93" t="inlineStr">
        <is>
          <t>Accuracy; Valuation; Presentation &amp; Disclosure</t>
        </is>
      </c>
      <c r="C6" s="51" t="n"/>
      <c r="D6" s="51" t="n"/>
      <c r="E6" s="51" t="n"/>
      <c r="F6" s="51" t="n"/>
      <c r="G6" s="51" t="n"/>
      <c r="H6" s="51" t="n"/>
      <c r="I6" s="51" t="n"/>
    </row>
    <row r="7">
      <c r="A7" s="97" t="inlineStr">
        <is>
          <t>A. Identification</t>
        </is>
      </c>
      <c r="B7" s="51" t="n"/>
      <c r="C7" s="51" t="n"/>
      <c r="D7" s="51" t="n"/>
      <c r="E7" s="51" t="n"/>
      <c r="F7" s="51" t="n"/>
      <c r="G7" s="51" t="n"/>
      <c r="H7" s="51" t="n"/>
      <c r="I7" s="51" t="n"/>
    </row>
    <row r="8">
      <c r="A8" s="57" t="inlineStr">
        <is>
          <t>Any amendments / refinancings / payoffs in the period? (Y/N)</t>
        </is>
      </c>
      <c r="B8" s="75" t="n"/>
      <c r="C8" s="75" t="n"/>
      <c r="D8" s="76" t="n"/>
      <c r="E8" s="51" t="n"/>
      <c r="F8" s="51" t="n"/>
      <c r="G8" s="51" t="n"/>
      <c r="H8" s="51" t="n"/>
      <c r="I8" s="51" t="n"/>
    </row>
    <row r="9">
      <c r="A9" s="57" t="inlineStr">
        <is>
          <t>Identified from (minutes / confirmations / agreements / inquiry)</t>
        </is>
      </c>
      <c r="B9" s="75" t="n"/>
      <c r="C9" s="75" t="n"/>
      <c r="D9" s="76" t="n"/>
      <c r="E9" s="51" t="n"/>
      <c r="F9" s="51" t="n"/>
      <c r="G9" s="51" t="n"/>
      <c r="H9" s="51" t="n"/>
      <c r="I9" s="51" t="n"/>
    </row>
    <row r="10">
      <c r="A10" s="57" t="inlineStr">
        <is>
          <t>Facilities affected</t>
        </is>
      </c>
      <c r="B10" s="75" t="n"/>
      <c r="C10" s="75" t="n"/>
      <c r="D10" s="76" t="n"/>
      <c r="E10" s="51" t="n"/>
      <c r="F10" s="51" t="n"/>
      <c r="G10" s="51" t="n"/>
      <c r="H10" s="51" t="n"/>
      <c r="I10" s="51" t="n"/>
    </row>
    <row r="11">
      <c r="A11" s="51" t="n"/>
      <c r="B11" s="51" t="n"/>
      <c r="C11" s="51" t="n"/>
      <c r="D11" s="51" t="n"/>
      <c r="E11" s="51" t="n"/>
      <c r="F11" s="51" t="n"/>
      <c r="G11" s="51" t="n"/>
      <c r="H11" s="51" t="n"/>
      <c r="I11" s="51" t="n"/>
    </row>
    <row r="12" ht="27" customHeight="1" s="41">
      <c r="A12" s="82" t="inlineStr">
        <is>
          <t>B. 10% cash-flow test (per facility / amendment)</t>
        </is>
      </c>
      <c r="B12" s="51" t="n"/>
      <c r="C12" s="51" t="n"/>
      <c r="D12" s="51" t="n"/>
      <c r="E12" s="51" t="n"/>
      <c r="F12" s="51" t="n"/>
      <c r="G12" s="51" t="n"/>
      <c r="H12" s="51" t="n"/>
      <c r="I12" s="51" t="n"/>
    </row>
    <row r="13" ht="33.75" customHeight="1" s="41">
      <c r="A13" s="83" t="inlineStr">
        <is>
          <t>Facility / amendment</t>
        </is>
      </c>
      <c r="B13" s="83" t="inlineStr">
        <is>
          <t>Principal at amendment</t>
        </is>
      </c>
      <c r="C13" s="83" t="inlineStr">
        <is>
          <t>PV / cash flows — original debt</t>
        </is>
      </c>
      <c r="D13" s="83" t="inlineStr">
        <is>
          <t>PV / cash flows — new debt (incl. lender fees)</t>
        </is>
      </c>
      <c r="E13" s="83" t="inlineStr">
        <is>
          <t>Change</t>
        </is>
      </c>
      <c r="F13" s="83" t="inlineStr">
        <is>
          <t>% change</t>
        </is>
      </c>
      <c r="G13" s="83" t="inlineStr">
        <is>
          <t xml:space="preserve">&gt; 10%? </t>
        </is>
      </c>
      <c r="H13" s="83" t="inlineStr">
        <is>
          <t>Treatment</t>
        </is>
      </c>
      <c r="I13" s="51" t="n"/>
    </row>
    <row r="14" ht="27" customHeight="1" s="41">
      <c r="A14" s="72" t="n"/>
      <c r="B14" s="78" t="n"/>
      <c r="C14" s="78" t="n"/>
      <c r="D14" s="78" t="n"/>
      <c r="E14" s="79">
        <f>IF(AND(C14="",D14=""),"",D14-C14)</f>
        <v/>
      </c>
      <c r="F14" s="98">
        <f>IF(OR(C14="",C14=0,E14=""),"",ABS(E14)/C14)</f>
        <v/>
      </c>
      <c r="G14" s="57">
        <f>IF(F14="","",IF(F14&gt;0.1,"Yes","No"))</f>
        <v/>
      </c>
      <c r="H14" s="57">
        <f>IF(G14="","",IF(G14="Yes","Extinguishment","Modification"))</f>
        <v/>
      </c>
      <c r="I14" s="51" t="n"/>
    </row>
    <row r="15" ht="27" customHeight="1" s="41">
      <c r="A15" s="72" t="n"/>
      <c r="B15" s="78" t="n"/>
      <c r="C15" s="78" t="n"/>
      <c r="D15" s="78" t="n"/>
      <c r="E15" s="79">
        <f>IF(AND(C15="",D15=""),"",D15-C15)</f>
        <v/>
      </c>
      <c r="F15" s="98">
        <f>IF(OR(C15="",C15=0,E15=""),"",ABS(E15)/C15)</f>
        <v/>
      </c>
      <c r="G15" s="57">
        <f>IF(F15="","",IF(F15&gt;0.1,"Yes","No"))</f>
        <v/>
      </c>
      <c r="H15" s="57">
        <f>IF(G15="","",IF(G15="Yes","Extinguishment","Modification"))</f>
        <v/>
      </c>
      <c r="I15" s="51" t="n"/>
    </row>
    <row r="16" ht="27" customHeight="1" s="41">
      <c r="A16" s="72" t="n"/>
      <c r="B16" s="78" t="n"/>
      <c r="C16" s="78" t="n"/>
      <c r="D16" s="78" t="n"/>
      <c r="E16" s="79">
        <f>IF(AND(C16="",D16=""),"",D16-C16)</f>
        <v/>
      </c>
      <c r="F16" s="98">
        <f>IF(OR(C16="",C16=0,E16=""),"",ABS(E16)/C16)</f>
        <v/>
      </c>
      <c r="G16" s="57">
        <f>IF(F16="","",IF(F16&gt;0.1,"Yes","No"))</f>
        <v/>
      </c>
      <c r="H16" s="57">
        <f>IF(G16="","",IF(G16="Yes","Extinguishment","Modification"))</f>
        <v/>
      </c>
      <c r="I16" s="51" t="n"/>
    </row>
    <row r="17" ht="27" customHeight="1" s="41">
      <c r="A17" s="72" t="n"/>
      <c r="B17" s="78" t="n"/>
      <c r="C17" s="78" t="n"/>
      <c r="D17" s="78" t="n"/>
      <c r="E17" s="79">
        <f>IF(AND(C17="",D17=""),"",D17-C17)</f>
        <v/>
      </c>
      <c r="F17" s="98">
        <f>IF(OR(C17="",C17=0,E17=""),"",ABS(E17)/C17)</f>
        <v/>
      </c>
      <c r="G17" s="57">
        <f>IF(F17="","",IF(F17&gt;0.1,"Yes","No"))</f>
        <v/>
      </c>
      <c r="H17" s="57">
        <f>IF(G17="","",IF(G17="Yes","Extinguishment","Modification"))</f>
        <v/>
      </c>
      <c r="I17" s="51" t="n"/>
    </row>
    <row r="18" ht="27" customHeight="1" s="41">
      <c r="A18" s="72" t="n"/>
      <c r="B18" s="78" t="n"/>
      <c r="C18" s="78" t="n"/>
      <c r="D18" s="78" t="n"/>
      <c r="E18" s="79">
        <f>IF(AND(C18="",D18=""),"",D18-C18)</f>
        <v/>
      </c>
      <c r="F18" s="98">
        <f>IF(OR(C18="",C18=0,E18=""),"",ABS(E18)/C18)</f>
        <v/>
      </c>
      <c r="G18" s="57">
        <f>IF(F18="","",IF(F18&gt;0.1,"Yes","No"))</f>
        <v/>
      </c>
      <c r="H18" s="57">
        <f>IF(G18="","",IF(G18="Yes","Extinguishment","Modification"))</f>
        <v/>
      </c>
      <c r="I18" s="51" t="n"/>
    </row>
    <row r="19" ht="25.5" customHeight="1" s="41">
      <c r="A19" s="53" t="inlineStr">
        <is>
          <t>Cash flows are compared on a present-value basis using the original effective rate; fees paid to the lender are included in the new-debt cash flows (ASC 470-50-40-10 / 40-12).</t>
        </is>
      </c>
      <c r="B19" s="51" t="n"/>
      <c r="C19" s="51" t="n"/>
      <c r="D19" s="51" t="n"/>
      <c r="E19" s="51" t="n"/>
      <c r="F19" s="51" t="n"/>
      <c r="G19" s="51" t="n"/>
      <c r="H19" s="51" t="n"/>
      <c r="I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</row>
    <row r="21">
      <c r="A21" s="82" t="inlineStr">
        <is>
          <t>C. Accounting consequence</t>
        </is>
      </c>
      <c r="B21" s="51" t="n"/>
      <c r="C21" s="51" t="n"/>
      <c r="D21" s="51" t="n"/>
      <c r="E21" s="51" t="n"/>
      <c r="F21" s="51" t="n"/>
      <c r="G21" s="51" t="n"/>
      <c r="H21" s="51" t="n"/>
      <c r="I21" s="51" t="n"/>
    </row>
    <row r="22" ht="33" customHeight="1" s="41">
      <c r="A22" s="83" t="inlineStr">
        <is>
          <t>Item</t>
        </is>
      </c>
      <c r="B22" s="83" t="inlineStr">
        <is>
          <t>Required treatment — MODIFICATION (≤10%)</t>
        </is>
      </c>
      <c r="C22" s="76" t="n"/>
      <c r="D22" s="83" t="inlineStr">
        <is>
          <t>Required treatment — EXTINGUISHMENT (&gt;10%)</t>
        </is>
      </c>
      <c r="E22" s="76" t="n"/>
      <c r="F22" s="83" t="inlineStr">
        <is>
          <t>Treatment applied (Mod / Ext, per B)</t>
        </is>
      </c>
      <c r="G22" s="83" t="inlineStr">
        <is>
          <t>Amount (under treatment applied)</t>
        </is>
      </c>
      <c r="H22" s="99" t="inlineStr">
        <is>
          <t>Recorded correctly (Y/N)</t>
        </is>
      </c>
      <c r="I22" s="100" t="inlineStr">
        <is>
          <t>Comments</t>
        </is>
      </c>
    </row>
    <row r="23" ht="31.5" customHeight="1" s="41">
      <c r="A23" s="101" t="inlineStr">
        <is>
          <t>Lender / creditor fees</t>
        </is>
      </c>
      <c r="B23" s="102" t="inlineStr">
        <is>
          <t>Capitalize; amortize over remaining term of the modified debt (ASC 470-50-40-17(b))</t>
        </is>
      </c>
      <c r="C23" s="76" t="n"/>
      <c r="D23" s="102" t="inlineStr">
        <is>
          <t>Include in the gain/loss on extinguishment (ASC 470-50-40-17(a))</t>
        </is>
      </c>
      <c r="E23" s="76" t="n"/>
      <c r="F23" s="103" t="n"/>
      <c r="G23" s="104" t="n"/>
      <c r="H23" s="105" t="n"/>
      <c r="I23" s="104" t="n"/>
    </row>
    <row r="24" ht="31.5" customHeight="1" s="41">
      <c r="A24" s="101" t="inlineStr">
        <is>
          <t>Third-party costs</t>
        </is>
      </c>
      <c r="B24" s="102" t="inlineStr">
        <is>
          <t>Expense as incurred (ASC 470-50-40-18(b))</t>
        </is>
      </c>
      <c r="C24" s="76" t="n"/>
      <c r="D24" s="102" t="inlineStr">
        <is>
          <t>Capitalize as issuance costs of the NEW debt; amortize (ASC 470-50-40-18(a))</t>
        </is>
      </c>
      <c r="E24" s="76" t="n"/>
      <c r="F24" s="103" t="n"/>
      <c r="G24" s="104" t="n"/>
      <c r="H24" s="105" t="n"/>
      <c r="I24" s="104" t="n"/>
    </row>
    <row r="25" ht="31.5" customHeight="1" s="41">
      <c r="A25" s="101" t="inlineStr">
        <is>
          <t>Existing unamortized issuance costs / discount</t>
        </is>
      </c>
      <c r="B25" s="102" t="inlineStr">
        <is>
          <t>Continue to amortize over the remaining term of the modified debt</t>
        </is>
      </c>
      <c r="C25" s="76" t="n"/>
      <c r="D25" s="102" t="inlineStr">
        <is>
          <t>Write off within the gain/loss on extinguishment</t>
        </is>
      </c>
      <c r="E25" s="76" t="n"/>
      <c r="F25" s="103" t="n"/>
      <c r="G25" s="104" t="n"/>
      <c r="H25" s="105" t="n"/>
      <c r="I25" s="104" t="n"/>
    </row>
    <row r="26" ht="31.5" customHeight="1" s="41">
      <c r="A26" s="101" t="inlineStr">
        <is>
          <t>Gain / (loss) on extinguishment</t>
        </is>
      </c>
      <c r="B26" s="102" t="inlineStr">
        <is>
          <t>Not applicable</t>
        </is>
      </c>
      <c r="C26" s="76" t="n"/>
      <c r="D26" s="102" t="inlineStr">
        <is>
          <t>Reacquisition price − net carrying amount (incl. unamortized costs)</t>
        </is>
      </c>
      <c r="E26" s="76" t="n"/>
      <c r="F26" s="103" t="n"/>
      <c r="G26" s="104" t="n"/>
      <c r="H26" s="105" t="n"/>
      <c r="I26" s="104" t="n"/>
    </row>
    <row r="27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</row>
    <row r="28">
      <c r="A28" s="53" t="inlineStr">
        <is>
          <t>For each row: read the required treatment under BOTH columns, enter which treatment applies (Mod / Ext, per the Part B conclusion for that facility), the amount recorded under that treatment, and whether it was recorded correctly. Write-offs flow to the &lt;.6&gt; issuance-cost rollforward.</t>
        </is>
      </c>
      <c r="B28" s="51" t="n"/>
      <c r="C28" s="51" t="n"/>
      <c r="D28" s="51" t="n"/>
      <c r="E28" s="51" t="n"/>
      <c r="F28" s="51" t="n"/>
      <c r="G28" s="51" t="n"/>
      <c r="H28" s="51" t="n"/>
      <c r="I28" s="95" t="n"/>
    </row>
    <row r="29">
      <c r="A29" s="51" t="n"/>
      <c r="B29" s="51" t="n"/>
      <c r="C29" s="51" t="n"/>
      <c r="D29" s="51" t="n"/>
      <c r="E29" s="51" t="n"/>
      <c r="F29" s="51" t="n"/>
      <c r="G29" s="51" t="n"/>
      <c r="H29" s="51" t="n"/>
      <c r="I29" s="95" t="n"/>
    </row>
    <row r="30">
      <c r="A30" s="106" t="n"/>
      <c r="B30" s="106" t="n"/>
      <c r="C30" s="106" t="n"/>
      <c r="D30" s="106" t="n"/>
      <c r="E30" s="106" t="n"/>
      <c r="F30" s="106" t="n"/>
      <c r="G30" s="106" t="n"/>
      <c r="H30" s="106" t="n"/>
      <c r="I30" s="95" t="n"/>
    </row>
    <row r="31">
      <c r="A31" s="106" t="n"/>
      <c r="B31" s="106" t="n"/>
      <c r="C31" s="106" t="n"/>
      <c r="D31" s="106" t="n"/>
      <c r="E31" s="106" t="n"/>
      <c r="F31" s="106" t="n"/>
      <c r="G31" s="106" t="n"/>
      <c r="H31" s="106" t="n"/>
      <c r="I31" s="95" t="n"/>
    </row>
    <row r="32">
      <c r="A32" s="73" t="inlineStr">
        <is>
          <t>TM Legends</t>
        </is>
      </c>
      <c r="B32" s="51" t="n"/>
      <c r="C32" s="51" t="n"/>
      <c r="D32" s="51" t="n"/>
      <c r="E32" s="51" t="n"/>
      <c r="F32" s="51" t="n"/>
      <c r="G32" s="51" t="n"/>
      <c r="H32" s="51" t="n"/>
      <c r="I32" s="51" t="n"/>
    </row>
    <row r="33">
      <c r="A33" s="74" t="inlineStr">
        <is>
          <t>TB</t>
        </is>
      </c>
      <c r="B33" s="57" t="inlineStr">
        <is>
          <t>Agreed to trial balance</t>
        </is>
      </c>
      <c r="C33" s="75" t="n"/>
      <c r="D33" s="76" t="n"/>
      <c r="E33" s="51" t="n"/>
      <c r="F33" s="51" t="n"/>
      <c r="G33" s="51" t="n"/>
      <c r="H33" s="51" t="n"/>
      <c r="I33" s="51" t="n"/>
    </row>
    <row r="34">
      <c r="A34" s="74" t="inlineStr">
        <is>
          <t>GL</t>
        </is>
      </c>
      <c r="B34" s="57" t="inlineStr">
        <is>
          <t>Agreed to general ledger</t>
        </is>
      </c>
      <c r="C34" s="75" t="n"/>
      <c r="D34" s="76" t="n"/>
      <c r="E34" s="51" t="n"/>
      <c r="F34" s="51" t="n"/>
      <c r="G34" s="51" t="n"/>
      <c r="H34" s="51" t="n"/>
      <c r="I34" s="51" t="n"/>
    </row>
    <row r="35">
      <c r="A35" s="74" t="inlineStr">
        <is>
          <t>CF</t>
        </is>
      </c>
      <c r="B35" s="57" t="inlineStr">
        <is>
          <t>Confirmed with third party</t>
        </is>
      </c>
      <c r="C35" s="75" t="n"/>
      <c r="D35" s="76" t="n"/>
      <c r="E35" s="51" t="n"/>
      <c r="F35" s="51" t="n"/>
      <c r="G35" s="51" t="n"/>
      <c r="H35" s="51" t="n"/>
      <c r="I35" s="51" t="n"/>
    </row>
    <row r="36">
      <c r="A36" s="74" t="inlineStr">
        <is>
          <t>V</t>
        </is>
      </c>
      <c r="B36" s="57" t="inlineStr">
        <is>
          <t>Vouched to source document</t>
        </is>
      </c>
      <c r="C36" s="75" t="n"/>
      <c r="D36" s="76" t="n"/>
      <c r="E36" s="51" t="n"/>
      <c r="F36" s="51" t="n"/>
      <c r="G36" s="51" t="n"/>
      <c r="H36" s="51" t="n"/>
      <c r="I36" s="51" t="n"/>
    </row>
    <row r="37">
      <c r="A37" s="74" t="inlineStr">
        <is>
          <t>SR</t>
        </is>
      </c>
      <c r="B37" s="57" t="inlineStr">
        <is>
          <t>Agreed to subsequent bank-cleared receipt</t>
        </is>
      </c>
      <c r="C37" s="75" t="n"/>
      <c r="D37" s="76" t="n"/>
      <c r="E37" s="51" t="n"/>
      <c r="F37" s="51" t="n"/>
      <c r="G37" s="51" t="n"/>
      <c r="H37" s="51" t="n"/>
      <c r="I37" s="51" t="n"/>
    </row>
    <row r="38">
      <c r="A38" s="74" t="inlineStr">
        <is>
          <t>R</t>
        </is>
      </c>
      <c r="B38" s="57" t="inlineStr">
        <is>
          <t>Recalculated independently</t>
        </is>
      </c>
      <c r="C38" s="75" t="n"/>
      <c r="D38" s="76" t="n"/>
      <c r="E38" s="51" t="n"/>
      <c r="F38" s="51" t="n"/>
      <c r="G38" s="51" t="n"/>
      <c r="H38" s="51" t="n"/>
      <c r="I38" s="51" t="n"/>
    </row>
    <row r="39">
      <c r="A39" s="74" t="inlineStr">
        <is>
          <t>F</t>
        </is>
      </c>
      <c r="B39" s="57" t="inlineStr">
        <is>
          <t>Footed / cross-cast</t>
        </is>
      </c>
      <c r="C39" s="75" t="n"/>
      <c r="D39" s="76" t="n"/>
      <c r="E39" s="51" t="n"/>
      <c r="F39" s="51" t="n"/>
      <c r="G39" s="51" t="n"/>
      <c r="H39" s="51" t="n"/>
      <c r="I39" s="51" t="n"/>
    </row>
    <row r="40">
      <c r="A40" s="74" t="inlineStr">
        <is>
          <t>T</t>
        </is>
      </c>
      <c r="B40" s="57" t="inlineStr">
        <is>
          <t>Traced to downstream record</t>
        </is>
      </c>
      <c r="C40" s="75" t="n"/>
      <c r="D40" s="76" t="n"/>
      <c r="E40" s="51" t="n"/>
      <c r="F40" s="51" t="n"/>
      <c r="G40" s="51" t="n"/>
      <c r="H40" s="51" t="n"/>
      <c r="I40" s="51" t="n"/>
    </row>
    <row r="41">
      <c r="A41" s="74" t="inlineStr">
        <is>
          <t>PBC</t>
        </is>
      </c>
      <c r="B41" s="57" t="inlineStr">
        <is>
          <t>Prepared by client</t>
        </is>
      </c>
      <c r="C41" s="75" t="n"/>
      <c r="D41" s="76" t="n"/>
      <c r="E41" s="51" t="n"/>
      <c r="F41" s="51" t="n"/>
      <c r="G41" s="51" t="n"/>
      <c r="H41" s="51" t="n"/>
      <c r="I41" s="51" t="n"/>
    </row>
    <row r="42">
      <c r="A42" s="51" t="n"/>
      <c r="B42" s="51" t="n"/>
      <c r="C42" s="51" t="n"/>
      <c r="D42" s="51" t="n"/>
      <c r="E42" s="51" t="n"/>
      <c r="F42" s="51" t="n"/>
      <c r="G42" s="51" t="n"/>
      <c r="H42" s="51" t="n"/>
      <c r="I42" s="51" t="n"/>
    </row>
    <row r="43" ht="27.75" customHeight="1" s="41">
      <c r="A43" s="53" t="inlineStr">
        <is>
          <t>Before sign-off complete Library Procedures 20-22 (identify amendments; 10% test; fee &amp; gain/loss accounting). Write-offs flow to the &lt;.6&gt; rollforward.</t>
        </is>
      </c>
      <c r="B43" s="51" t="n"/>
      <c r="C43" s="51" t="n"/>
      <c r="D43" s="51" t="n"/>
      <c r="E43" s="51" t="n"/>
      <c r="F43" s="51" t="n"/>
      <c r="G43" s="51" t="n"/>
      <c r="H43" s="51" t="n"/>
      <c r="I43" s="51" t="n"/>
    </row>
  </sheetData>
  <mergeCells count="28">
    <mergeCell ref="A8:D8"/>
    <mergeCell ref="B25:C25"/>
    <mergeCell ref="B22:C22"/>
    <mergeCell ref="D22:E22"/>
    <mergeCell ref="A10:D10"/>
    <mergeCell ref="B38:D38"/>
    <mergeCell ref="B34:D34"/>
    <mergeCell ref="A9:D9"/>
    <mergeCell ref="B37:D37"/>
    <mergeCell ref="B23:C23"/>
    <mergeCell ref="B40:D40"/>
    <mergeCell ref="B33:D33"/>
    <mergeCell ref="A43:I43"/>
    <mergeCell ref="A28:H29"/>
    <mergeCell ref="A19:I19"/>
    <mergeCell ref="B36:D36"/>
    <mergeCell ref="B41:D41"/>
    <mergeCell ref="B35:D35"/>
    <mergeCell ref="D25:E25"/>
    <mergeCell ref="B24:C24"/>
    <mergeCell ref="D24:E24"/>
    <mergeCell ref="B6:I6"/>
    <mergeCell ref="D23:E23"/>
    <mergeCell ref="B5:I5"/>
    <mergeCell ref="B26:C26"/>
    <mergeCell ref="B39:D39"/>
    <mergeCell ref="D26:E26"/>
    <mergeCell ref="B4:I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L29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.5"/>
  <cols>
    <col width="21.55" customWidth="1" style="41" min="1" max="1"/>
    <col width="22.4" customWidth="1" style="41" min="2" max="3"/>
    <col width="42" customWidth="1" style="41" min="3" max="3"/>
    <col width="37.7" customWidth="1" style="41" min="4" max="5"/>
    <col width="13" customWidth="1" style="41" min="5" max="5"/>
    <col width="35.15" customWidth="1" style="41" min="6" max="7"/>
    <col width="17.3" customWidth="1" style="41" min="7" max="7"/>
    <col width="30.05" customWidth="1" style="41" min="8" max="8"/>
    <col width="15.6" customWidth="1" style="41" min="9" max="10"/>
    <col width="24.1" customWidth="1" style="41" min="10" max="10"/>
    <col width="26" customWidth="1" style="41" min="11" max="11"/>
    <col width="9.90625" customWidth="1" style="41" min="12" max="12"/>
  </cols>
  <sheetData>
    <row r="1" ht="17.5" customHeight="1" s="41">
      <c r="A1" s="61" t="inlineStr">
        <is>
          <t>Debt Covenants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</row>
    <row r="2" ht="27" customHeight="1" s="41">
      <c r="A2" s="62" t="inlineStr">
        <is>
          <t>Client / Entity</t>
        </is>
      </c>
      <c r="B2" s="52" t="inlineStr">
        <is>
          <t>Vaquite Industries, Inc.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  <c r="J2" s="51" t="n"/>
      <c r="K2" s="51" t="n"/>
      <c r="L2" s="51" t="n"/>
    </row>
    <row r="3" ht="27" customHeight="1" s="41">
      <c r="A3" s="65" t="inlineStr">
        <is>
          <t>Performance Materiality</t>
        </is>
      </c>
      <c r="B3" s="66" t="n">
        <v>23100</v>
      </c>
      <c r="C3" s="51" t="n"/>
      <c r="D3" s="65" t="inlineStr">
        <is>
          <t>Tolerable misstatement / testing threshold</t>
        </is>
      </c>
      <c r="E3" s="66" t="n">
        <v>20800</v>
      </c>
      <c r="F3" s="51" t="n"/>
      <c r="G3" s="51" t="n"/>
      <c r="H3" s="51" t="n"/>
      <c r="I3" s="51" t="n"/>
      <c r="J3" s="51" t="n"/>
      <c r="K3" s="51" t="n"/>
      <c r="L3" s="51" t="n"/>
    </row>
    <row r="4" ht="42" customHeight="1" s="41">
      <c r="A4" s="73" t="inlineStr">
        <is>
          <t>Purpose:</t>
        </is>
      </c>
      <c r="B4" s="93" t="inlineStr">
        <is>
          <t>Independently recompute each financial covenant from the agreement's defined terms, evaluate compliance and headroom, obtain the compliance certificate, and assess the classification impact of any violation.</t>
        </is>
      </c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</row>
    <row r="5" ht="27.75" customHeight="1" s="41">
      <c r="A5" s="73" t="inlineStr">
        <is>
          <t>Scope:</t>
        </is>
      </c>
      <c r="B5" s="93" t="inlineStr">
        <is>
          <t>Every financial covenant in every agreement (DSCR, leverage, fixed-charge coverage, minimum liquidity, etc.) plus non-financial covenant compliance from &lt;.5&gt;.</t>
        </is>
      </c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</row>
    <row r="6" ht="15" customHeight="1" s="41">
      <c r="A6" s="73" t="inlineStr">
        <is>
          <t>Assertions:</t>
        </is>
      </c>
      <c r="B6" s="93" t="inlineStr">
        <is>
          <t>Presentation &amp; Disclosure; Classification; Accuracy</t>
        </is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</row>
    <row r="7" ht="43.5" customHeight="1" s="41">
      <c r="A7" s="83" t="inlineStr">
        <is>
          <t>Facility</t>
        </is>
      </c>
      <c r="B7" s="83" t="inlineStr">
        <is>
          <t>Covenant (as defined)</t>
        </is>
      </c>
      <c r="C7" s="83" t="inlineStr">
        <is>
          <t>Defined-term mapping (numerator / denominator components)</t>
        </is>
      </c>
      <c r="D7" s="83" t="inlineStr">
        <is>
          <t>Numerator</t>
        </is>
      </c>
      <c r="E7" s="83" t="inlineStr">
        <is>
          <t>Denominator</t>
        </is>
      </c>
      <c r="F7" s="83" t="inlineStr">
        <is>
          <t>Computed ratio</t>
        </is>
      </c>
      <c r="G7" s="83" t="inlineStr">
        <is>
          <t>Required threshold</t>
        </is>
      </c>
      <c r="H7" s="83" t="inlineStr">
        <is>
          <t>Headroom</t>
        </is>
      </c>
      <c r="I7" s="83" t="inlineStr">
        <is>
          <t>Compliant? (Y/N)</t>
        </is>
      </c>
      <c r="J7" s="83" t="inlineStr">
        <is>
          <t>Certificate obtained (Y/N)</t>
        </is>
      </c>
      <c r="K7" s="83" t="inlineStr">
        <is>
          <t>Waiver (if violated)</t>
        </is>
      </c>
      <c r="L7" s="83" t="inlineStr">
        <is>
          <t>Comments</t>
        </is>
      </c>
    </row>
    <row r="8">
      <c r="A8" s="51" t="n"/>
      <c r="B8" s="51" t="n"/>
      <c r="C8" s="51" t="n"/>
      <c r="D8" s="77" t="inlineStr">
        <is>
          <t>R</t>
        </is>
      </c>
      <c r="E8" s="77" t="inlineStr">
        <is>
          <t>R</t>
        </is>
      </c>
      <c r="F8" s="77" t="inlineStr">
        <is>
          <t>R</t>
        </is>
      </c>
      <c r="G8" s="51" t="n"/>
      <c r="H8" s="51" t="n"/>
      <c r="I8" s="51" t="n"/>
      <c r="J8" s="51" t="n"/>
      <c r="K8" s="51" t="n"/>
      <c r="L8" s="51" t="n"/>
    </row>
    <row r="9">
      <c r="A9" s="72" t="n"/>
      <c r="B9" s="72" t="n"/>
      <c r="C9" s="72" t="n"/>
      <c r="D9" s="78" t="n"/>
      <c r="E9" s="78" t="n"/>
      <c r="F9" s="107">
        <f>IF(OR(D9="",E9="",E9=0),"",D9/E9)</f>
        <v/>
      </c>
      <c r="G9" s="108" t="n"/>
      <c r="H9" s="107">
        <f>IF(OR(F9="",G9=""),"",F9-G9)</f>
        <v/>
      </c>
      <c r="I9" s="72" t="n"/>
      <c r="J9" s="72" t="n"/>
      <c r="K9" s="72" t="n"/>
      <c r="L9" s="72" t="n"/>
    </row>
    <row r="10" ht="27" customHeight="1" s="41">
      <c r="A10" s="72" t="n"/>
      <c r="B10" s="72" t="n"/>
      <c r="C10" s="72" t="n"/>
      <c r="D10" s="78" t="n"/>
      <c r="E10" s="78" t="n"/>
      <c r="F10" s="107">
        <f>IF(OR(D10="",E10="",E10=0),"",D10/E10)</f>
        <v/>
      </c>
      <c r="G10" s="108" t="n"/>
      <c r="H10" s="107">
        <f>IF(OR(F10="",G10=""),"",F10-G10)</f>
        <v/>
      </c>
      <c r="I10" s="72" t="n"/>
      <c r="J10" s="72" t="n"/>
      <c r="K10" s="72" t="n"/>
      <c r="L10" s="72" t="n"/>
    </row>
    <row r="11" ht="27" customHeight="1" s="41">
      <c r="A11" s="72" t="n"/>
      <c r="B11" s="72" t="n"/>
      <c r="C11" s="72" t="n"/>
      <c r="D11" s="78" t="n"/>
      <c r="E11" s="78" t="n"/>
      <c r="F11" s="107">
        <f>IF(OR(D11="",E11="",E11=0),"",D11/E11)</f>
        <v/>
      </c>
      <c r="G11" s="108" t="n"/>
      <c r="H11" s="107">
        <f>IF(OR(F11="",G11=""),"",F11-G11)</f>
        <v/>
      </c>
      <c r="I11" s="72" t="n"/>
      <c r="J11" s="72" t="n"/>
      <c r="K11" s="72" t="n"/>
      <c r="L11" s="72" t="n"/>
    </row>
    <row r="12" ht="27" customHeight="1" s="41">
      <c r="A12" s="72" t="n"/>
      <c r="B12" s="72" t="n"/>
      <c r="C12" s="72" t="n"/>
      <c r="D12" s="78" t="n"/>
      <c r="E12" s="78" t="n"/>
      <c r="F12" s="107">
        <f>IF(OR(D12="",E12="",E12=0),"",D12/E12)</f>
        <v/>
      </c>
      <c r="G12" s="108" t="n"/>
      <c r="H12" s="107">
        <f>IF(OR(F12="",G12=""),"",F12-G12)</f>
        <v/>
      </c>
      <c r="I12" s="72" t="n"/>
      <c r="J12" s="72" t="n"/>
      <c r="K12" s="72" t="n"/>
      <c r="L12" s="72" t="n"/>
    </row>
    <row r="13" ht="27" customHeight="1" s="41">
      <c r="A13" s="72" t="n"/>
      <c r="B13" s="72" t="n"/>
      <c r="C13" s="72" t="n"/>
      <c r="D13" s="78" t="n"/>
      <c r="E13" s="78" t="n"/>
      <c r="F13" s="107">
        <f>IF(OR(D13="",E13="",E13=0),"",D13/E13)</f>
        <v/>
      </c>
      <c r="G13" s="108" t="n"/>
      <c r="H13" s="107">
        <f>IF(OR(F13="",G13=""),"",F13-G13)</f>
        <v/>
      </c>
      <c r="I13" s="72" t="n"/>
      <c r="J13" s="72" t="n"/>
      <c r="K13" s="72" t="n"/>
      <c r="L13" s="72" t="n"/>
    </row>
    <row r="14" ht="27" customHeight="1" s="41">
      <c r="A14" s="72" t="n"/>
      <c r="B14" s="72" t="n"/>
      <c r="C14" s="72" t="n"/>
      <c r="D14" s="78" t="n"/>
      <c r="E14" s="78" t="n"/>
      <c r="F14" s="107">
        <f>IF(OR(D14="",E14="",E14=0),"",D14/E14)</f>
        <v/>
      </c>
      <c r="G14" s="108" t="n"/>
      <c r="H14" s="107">
        <f>IF(OR(F14="",G14=""),"",F14-G14)</f>
        <v/>
      </c>
      <c r="I14" s="72" t="n"/>
      <c r="J14" s="72" t="n"/>
      <c r="K14" s="72" t="n"/>
      <c r="L14" s="72" t="n"/>
    </row>
    <row r="15">
      <c r="A15" s="51" t="n"/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</row>
    <row r="16" ht="27.75" customHeight="1" s="41">
      <c r="A16" s="53" t="inlineStr">
        <is>
          <t>Numerator and denominator are built from the agreement's DEFINED terms (e.g., EBITDA as defined, fixed charges as defined) — not generic figures. A violation without a waiver extending at least 12 months generally requires current classification (ASC 470-10-45); update &lt;.4&gt;.</t>
        </is>
      </c>
      <c r="B16" s="51" t="n"/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</row>
    <row r="17">
      <c r="A17" s="51" t="n"/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</row>
    <row r="18">
      <c r="A18" s="73" t="inlineStr">
        <is>
          <t>TM Legends</t>
        </is>
      </c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</row>
    <row r="19">
      <c r="A19" s="74" t="inlineStr">
        <is>
          <t>TB</t>
        </is>
      </c>
      <c r="B19" s="57" t="inlineStr">
        <is>
          <t>Agreed to trial balance</t>
        </is>
      </c>
      <c r="C19" s="75" t="n"/>
      <c r="D19" s="76" t="n"/>
      <c r="E19" s="51" t="n"/>
      <c r="F19" s="51" t="n"/>
      <c r="G19" s="51" t="n"/>
      <c r="H19" s="51" t="n"/>
      <c r="I19" s="51" t="n"/>
      <c r="J19" s="51" t="n"/>
      <c r="K19" s="51" t="n"/>
      <c r="L19" s="51" t="n"/>
    </row>
    <row r="20">
      <c r="A20" s="74" t="inlineStr">
        <is>
          <t>GL</t>
        </is>
      </c>
      <c r="B20" s="57" t="inlineStr">
        <is>
          <t>Agreed to general ledger</t>
        </is>
      </c>
      <c r="C20" s="75" t="n"/>
      <c r="D20" s="76" t="n"/>
      <c r="E20" s="51" t="n"/>
      <c r="F20" s="51" t="n"/>
      <c r="G20" s="51" t="n"/>
      <c r="H20" s="51" t="n"/>
      <c r="I20" s="51" t="n"/>
      <c r="J20" s="51" t="n"/>
      <c r="K20" s="51" t="n"/>
      <c r="L20" s="51" t="n"/>
    </row>
    <row r="21">
      <c r="A21" s="74" t="inlineStr">
        <is>
          <t>CF</t>
        </is>
      </c>
      <c r="B21" s="57" t="inlineStr">
        <is>
          <t>Confirmed with third party</t>
        </is>
      </c>
      <c r="C21" s="75" t="n"/>
      <c r="D21" s="76" t="n"/>
      <c r="E21" s="51" t="n"/>
      <c r="F21" s="51" t="n"/>
      <c r="G21" s="51" t="n"/>
      <c r="H21" s="51" t="n"/>
      <c r="I21" s="51" t="n"/>
      <c r="J21" s="51" t="n"/>
      <c r="K21" s="51" t="n"/>
      <c r="L21" s="51" t="n"/>
    </row>
    <row r="22">
      <c r="A22" s="74" t="inlineStr">
        <is>
          <t>V</t>
        </is>
      </c>
      <c r="B22" s="57" t="inlineStr">
        <is>
          <t>Vouched to source document</t>
        </is>
      </c>
      <c r="C22" s="75" t="n"/>
      <c r="D22" s="76" t="n"/>
      <c r="E22" s="51" t="n"/>
      <c r="F22" s="51" t="n"/>
      <c r="G22" s="51" t="n"/>
      <c r="H22" s="51" t="n"/>
      <c r="I22" s="51" t="n"/>
      <c r="J22" s="51" t="n"/>
      <c r="K22" s="51" t="n"/>
      <c r="L22" s="51" t="n"/>
    </row>
    <row r="23">
      <c r="A23" s="74" t="inlineStr">
        <is>
          <t>SR</t>
        </is>
      </c>
      <c r="B23" s="57" t="inlineStr">
        <is>
          <t>Agreed to subsequent bank-cleared receipt</t>
        </is>
      </c>
      <c r="C23" s="75" t="n"/>
      <c r="D23" s="76" t="n"/>
      <c r="E23" s="51" t="n"/>
      <c r="F23" s="51" t="n"/>
      <c r="G23" s="51" t="n"/>
      <c r="H23" s="51" t="n"/>
      <c r="I23" s="51" t="n"/>
      <c r="J23" s="51" t="n"/>
      <c r="K23" s="51" t="n"/>
      <c r="L23" s="51" t="n"/>
    </row>
    <row r="24">
      <c r="A24" s="74" t="inlineStr">
        <is>
          <t>R</t>
        </is>
      </c>
      <c r="B24" s="57" t="inlineStr">
        <is>
          <t>Recalculated independently</t>
        </is>
      </c>
      <c r="C24" s="75" t="n"/>
      <c r="D24" s="76" t="n"/>
      <c r="E24" s="51" t="n"/>
      <c r="F24" s="51" t="n"/>
      <c r="G24" s="51" t="n"/>
      <c r="H24" s="51" t="n"/>
      <c r="I24" s="51" t="n"/>
      <c r="J24" s="51" t="n"/>
      <c r="K24" s="51" t="n"/>
      <c r="L24" s="51" t="n"/>
    </row>
    <row r="25">
      <c r="A25" s="74" t="inlineStr">
        <is>
          <t>F</t>
        </is>
      </c>
      <c r="B25" s="57" t="inlineStr">
        <is>
          <t>Footed / cross-cast</t>
        </is>
      </c>
      <c r="C25" s="75" t="n"/>
      <c r="D25" s="76" t="n"/>
      <c r="E25" s="51" t="n"/>
      <c r="F25" s="51" t="n"/>
      <c r="G25" s="51" t="n"/>
      <c r="H25" s="51" t="n"/>
      <c r="I25" s="51" t="n"/>
      <c r="J25" s="51" t="n"/>
      <c r="K25" s="51" t="n"/>
      <c r="L25" s="51" t="n"/>
    </row>
    <row r="26">
      <c r="A26" s="74" t="inlineStr">
        <is>
          <t>T</t>
        </is>
      </c>
      <c r="B26" s="57" t="inlineStr">
        <is>
          <t>Traced to downstream record</t>
        </is>
      </c>
      <c r="C26" s="75" t="n"/>
      <c r="D26" s="76" t="n"/>
      <c r="E26" s="51" t="n"/>
      <c r="F26" s="51" t="n"/>
      <c r="G26" s="51" t="n"/>
      <c r="H26" s="51" t="n"/>
      <c r="I26" s="51" t="n"/>
      <c r="J26" s="51" t="n"/>
      <c r="K26" s="51" t="n"/>
      <c r="L26" s="51" t="n"/>
    </row>
    <row r="27">
      <c r="A27" s="74" t="inlineStr">
        <is>
          <t>PBC</t>
        </is>
      </c>
      <c r="B27" s="57" t="inlineStr">
        <is>
          <t>Prepared by client</t>
        </is>
      </c>
      <c r="C27" s="75" t="n"/>
      <c r="D27" s="76" t="n"/>
      <c r="E27" s="51" t="n"/>
      <c r="F27" s="51" t="n"/>
      <c r="G27" s="51" t="n"/>
      <c r="H27" s="51" t="n"/>
      <c r="I27" s="51" t="n"/>
      <c r="J27" s="51" t="n"/>
      <c r="K27" s="51" t="n"/>
      <c r="L27" s="51" t="n"/>
    </row>
    <row r="28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</row>
    <row r="29" ht="27.75" customHeight="1" s="41">
      <c r="A29" s="53" t="inlineStr">
        <is>
          <t>Before sign-off complete Library Procedures 23-24 (recompute from defined terms; certificate, waiver &amp; classification impact).</t>
        </is>
      </c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</row>
  </sheetData>
  <mergeCells count="14">
    <mergeCell ref="B19:D19"/>
    <mergeCell ref="B4:K4"/>
    <mergeCell ref="B23:D23"/>
    <mergeCell ref="A29:K29"/>
    <mergeCell ref="B22:D22"/>
    <mergeCell ref="A16:K16"/>
    <mergeCell ref="B26:D26"/>
    <mergeCell ref="B27:D27"/>
    <mergeCell ref="B6:K6"/>
    <mergeCell ref="B21:D21"/>
    <mergeCell ref="B25:D25"/>
    <mergeCell ref="B5:K5"/>
    <mergeCell ref="B24:D24"/>
    <mergeCell ref="B20:D20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H39"/>
  <sheetViews>
    <sheetView showGridLines="0" zoomScale="90" zoomScaleNormal="100" workbookViewId="0">
      <pane ySplit="7" topLeftCell="A8" activePane="bottomLeft" state="frozen"/>
      <selection pane="bottomLeft" activeCell="A4" sqref="A4:E6"/>
    </sheetView>
  </sheetViews>
  <sheetFormatPr baseColWidth="8" defaultColWidth="8.6328125" defaultRowHeight="14.5"/>
  <cols>
    <col width="42" customWidth="1" style="41" min="1" max="1"/>
    <col width="22.4" customWidth="1" style="41" min="2" max="3"/>
    <col width="15.6" customWidth="1" style="41" min="3" max="3"/>
    <col width="37.7" customWidth="1" style="41" min="4" max="4"/>
    <col width="34" customWidth="1" style="41" min="5" max="5"/>
    <col width="13" customWidth="1" style="41" min="6" max="6"/>
    <col width="13" customWidth="1" style="41" min="7" max="7"/>
    <col width="13" customWidth="1" style="41" min="8" max="8"/>
  </cols>
  <sheetData>
    <row r="1" ht="17.5" customHeight="1" s="41">
      <c r="A1" s="50" t="inlineStr">
        <is>
          <t>Disclosures &amp; Analytics</t>
        </is>
      </c>
      <c r="B1" s="51" t="n"/>
      <c r="C1" s="51" t="n"/>
      <c r="D1" s="51" t="n"/>
      <c r="E1" s="51" t="n"/>
      <c r="F1" s="51" t="n"/>
      <c r="G1" s="51" t="n"/>
      <c r="H1" s="51" t="n"/>
    </row>
    <row r="2" ht="27" customHeight="1" s="41">
      <c r="A2" s="62" t="inlineStr">
        <is>
          <t>Client / Entity</t>
        </is>
      </c>
      <c r="B2" s="52" t="inlineStr">
        <is>
          <t>Vaquite Industries, Inc.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</row>
    <row r="3" ht="27" customHeight="1" s="41">
      <c r="A3" s="65" t="inlineStr">
        <is>
          <t>Performance Materiality</t>
        </is>
      </c>
      <c r="B3" s="66" t="n">
        <v>23100</v>
      </c>
      <c r="C3" s="51" t="n"/>
      <c r="D3" s="65" t="inlineStr">
        <is>
          <t>Tolerable misstatement / testing threshold</t>
        </is>
      </c>
      <c r="E3" s="66" t="n">
        <v>20800</v>
      </c>
      <c r="F3" s="51" t="n"/>
      <c r="G3" s="51" t="n"/>
      <c r="H3" s="51" t="n"/>
    </row>
    <row r="4" ht="15" customHeight="1" s="41">
      <c r="A4" s="67" t="inlineStr">
        <is>
          <t>Purpose:</t>
        </is>
      </c>
      <c r="B4" s="68" t="inlineStr">
        <is>
          <t>Evaluate debt presentation and disclosure and perform debt analytics.</t>
        </is>
      </c>
      <c r="C4" s="69" t="n"/>
      <c r="D4" s="69" t="n"/>
      <c r="E4" s="70" t="n"/>
      <c r="F4" s="51" t="n"/>
      <c r="G4" s="51" t="n"/>
      <c r="H4" s="51" t="n"/>
    </row>
    <row r="5" ht="27.75" customHeight="1" s="41">
      <c r="A5" s="67" t="inlineStr">
        <is>
          <t>Scope:</t>
        </is>
      </c>
      <c r="B5" s="68" t="inlineStr">
        <is>
          <t>Terms, rates, collateral, guarantees, five-year maturities, unused availability, issuance-cost presentation and fair value.</t>
        </is>
      </c>
      <c r="C5" s="69" t="n"/>
      <c r="D5" s="69" t="n"/>
      <c r="E5" s="70" t="n"/>
      <c r="F5" s="51" t="n"/>
      <c r="G5" s="51" t="n"/>
      <c r="H5" s="51" t="n"/>
    </row>
    <row r="6" ht="15" customHeight="1" s="41">
      <c r="A6" s="67" t="inlineStr">
        <is>
          <t>Assertions:</t>
        </is>
      </c>
      <c r="B6" s="68" t="inlineStr">
        <is>
          <t>Presentation &amp; Disclosure; Classification</t>
        </is>
      </c>
      <c r="C6" s="69" t="n"/>
      <c r="D6" s="69" t="n"/>
      <c r="E6" s="70" t="n"/>
      <c r="F6" s="51" t="n"/>
      <c r="G6" s="51" t="n"/>
      <c r="H6" s="51" t="n"/>
    </row>
    <row r="7">
      <c r="A7" s="97" t="inlineStr">
        <is>
          <t>A. Analytics</t>
        </is>
      </c>
      <c r="B7" s="51" t="n"/>
      <c r="C7" s="51" t="n"/>
      <c r="D7" s="51" t="n"/>
      <c r="E7" s="51" t="n"/>
      <c r="F7" s="51" t="n"/>
      <c r="G7" s="51" t="n"/>
      <c r="H7" s="51" t="n"/>
    </row>
    <row r="8" ht="18" customHeight="1" s="41">
      <c r="A8" s="83" t="inlineStr">
        <is>
          <t>Metric</t>
        </is>
      </c>
      <c r="B8" s="83" t="inlineStr">
        <is>
          <t>CY</t>
        </is>
      </c>
      <c r="C8" s="83" t="inlineStr">
        <is>
          <t>PY</t>
        </is>
      </c>
      <c r="D8" s="83" t="inlineStr">
        <is>
          <t>Change</t>
        </is>
      </c>
      <c r="E8" s="83" t="inlineStr">
        <is>
          <t>Note</t>
        </is>
      </c>
      <c r="F8" s="51" t="n"/>
      <c r="G8" s="51" t="n"/>
      <c r="H8" s="51" t="n"/>
    </row>
    <row r="9">
      <c r="A9" s="57" t="inlineStr">
        <is>
          <t>Total debt (gross principal)</t>
        </is>
      </c>
      <c r="B9" s="72" t="n"/>
      <c r="C9" s="72" t="n"/>
      <c r="D9" s="57">
        <f>IF(OR(B9="",C9=""),"",B9-C9)</f>
        <v/>
      </c>
      <c r="E9" s="72" t="n"/>
      <c r="F9" s="51" t="n"/>
      <c r="G9" s="51" t="n"/>
      <c r="H9" s="51" t="n"/>
    </row>
    <row r="10">
      <c r="A10" s="57" t="inlineStr">
        <is>
          <t>Net carrying value</t>
        </is>
      </c>
      <c r="B10" s="72" t="n"/>
      <c r="C10" s="72" t="n"/>
      <c r="D10" s="57">
        <f>IF(OR(B10="",C10=""),"",B10-C10)</f>
        <v/>
      </c>
      <c r="E10" s="72" t="n"/>
      <c r="F10" s="51" t="n"/>
      <c r="G10" s="51" t="n"/>
      <c r="H10" s="51" t="n"/>
    </row>
    <row r="11">
      <c r="A11" s="57" t="inlineStr">
        <is>
          <t>Weighted-average rate</t>
        </is>
      </c>
      <c r="B11" s="72" t="n"/>
      <c r="C11" s="72" t="n"/>
      <c r="D11" s="57">
        <f>IF(OR(B11="",C11=""),"",B11-C11)</f>
        <v/>
      </c>
      <c r="E11" s="72" t="n"/>
      <c r="F11" s="51" t="n"/>
      <c r="G11" s="51" t="n"/>
      <c r="H11" s="51" t="n"/>
    </row>
    <row r="12">
      <c r="A12" s="72" t="inlineStr">
        <is>
          <t>Interest expense</t>
        </is>
      </c>
      <c r="B12" s="72" t="n"/>
      <c r="C12" s="72" t="n"/>
      <c r="D12" s="57">
        <f>IF(OR(B12="",C12=""),"",B12-C12)</f>
        <v/>
      </c>
      <c r="E12" s="72" t="n"/>
      <c r="F12" s="51" t="n"/>
      <c r="G12" s="51" t="n"/>
      <c r="H12" s="51" t="n"/>
    </row>
    <row r="13">
      <c r="A13" s="57" t="inlineStr">
        <is>
          <t>Debt / EBITDA (as defined)</t>
        </is>
      </c>
      <c r="B13" s="72" t="n"/>
      <c r="C13" s="72" t="n"/>
      <c r="D13" s="57">
        <f>IF(OR(B13="",C13=""),"",B13-C13)</f>
        <v/>
      </c>
      <c r="E13" s="72" t="n"/>
      <c r="F13" s="51" t="n"/>
      <c r="G13" s="51" t="n"/>
      <c r="H13" s="51" t="n"/>
    </row>
    <row r="14">
      <c r="A14" s="57" t="inlineStr">
        <is>
          <t>Unused availability</t>
        </is>
      </c>
      <c r="B14" s="72" t="n"/>
      <c r="C14" s="72" t="n"/>
      <c r="D14" s="57">
        <f>IF(OR(B14="",C14=""),"",B14-C14)</f>
        <v/>
      </c>
      <c r="E14" s="72" t="n"/>
      <c r="F14" s="51" t="n"/>
      <c r="G14" s="51" t="n"/>
      <c r="H14" s="51" t="n"/>
    </row>
    <row r="15">
      <c r="A15" s="51" t="n"/>
      <c r="B15" s="51" t="n"/>
      <c r="C15" s="51" t="n"/>
      <c r="D15" s="51" t="n"/>
      <c r="E15" s="51" t="n"/>
      <c r="F15" s="51" t="n"/>
      <c r="G15" s="51" t="n"/>
      <c r="H15" s="51" t="n"/>
    </row>
    <row r="16">
      <c r="A16" s="82" t="inlineStr">
        <is>
          <t>B. Disclosure matters</t>
        </is>
      </c>
      <c r="B16" s="51" t="n"/>
      <c r="C16" s="51" t="n"/>
      <c r="D16" s="51" t="n"/>
      <c r="E16" s="51" t="n"/>
      <c r="F16" s="51" t="n"/>
      <c r="G16" s="51" t="n"/>
      <c r="H16" s="51" t="n"/>
    </row>
    <row r="17" ht="18" customHeight="1" s="41">
      <c r="A17" s="83" t="inlineStr">
        <is>
          <t>Area</t>
        </is>
      </c>
      <c r="B17" s="83" t="inlineStr">
        <is>
          <t>Relevant? (Y/N)</t>
        </is>
      </c>
      <c r="C17" s="83" t="inlineStr">
        <is>
          <t>Support / source</t>
        </is>
      </c>
      <c r="D17" s="83" t="inlineStr">
        <is>
          <t>Conclusion</t>
        </is>
      </c>
      <c r="E17" s="83" t="inlineStr">
        <is>
          <t>Comments</t>
        </is>
      </c>
      <c r="F17" s="51" t="n"/>
      <c r="G17" s="51" t="n"/>
      <c r="H17" s="51" t="n"/>
    </row>
    <row r="18" ht="27" customHeight="1" s="41">
      <c r="A18" s="57" t="inlineStr">
        <is>
          <t>Terms, rates and maturity disclosure by facility</t>
        </is>
      </c>
      <c r="B18" s="72" t="n"/>
      <c r="C18" s="72" t="n"/>
      <c r="D18" s="72" t="n"/>
      <c r="E18" s="72" t="n"/>
      <c r="F18" s="51" t="n"/>
      <c r="G18" s="51" t="n"/>
      <c r="H18" s="51" t="n"/>
    </row>
    <row r="19">
      <c r="A19" s="57" t="inlineStr">
        <is>
          <t>Five-year maturity table ties to &lt;.4&gt;</t>
        </is>
      </c>
      <c r="B19" s="72" t="n"/>
      <c r="C19" s="72" t="n"/>
      <c r="D19" s="72" t="n"/>
      <c r="E19" s="72" t="n"/>
      <c r="F19" s="51" t="n"/>
      <c r="G19" s="51" t="n"/>
      <c r="H19" s="51" t="n"/>
    </row>
    <row r="20">
      <c r="A20" s="57" t="inlineStr">
        <is>
          <t>Collateral, liens and guarantees</t>
        </is>
      </c>
      <c r="B20" s="72" t="n"/>
      <c r="C20" s="72" t="n"/>
      <c r="D20" s="72" t="n"/>
      <c r="E20" s="72" t="n"/>
      <c r="F20" s="51" t="n"/>
      <c r="G20" s="51" t="n"/>
      <c r="H20" s="51" t="n"/>
    </row>
    <row r="21" ht="27" customHeight="1" s="41">
      <c r="A21" s="57" t="inlineStr">
        <is>
          <t>Issuance-cost presentation (net vs asset) and policy</t>
        </is>
      </c>
      <c r="B21" s="72" t="n"/>
      <c r="C21" s="72" t="n"/>
      <c r="D21" s="72" t="n"/>
      <c r="E21" s="72" t="n"/>
      <c r="F21" s="51" t="n"/>
      <c r="G21" s="51" t="n"/>
      <c r="H21" s="51" t="n"/>
    </row>
    <row r="22">
      <c r="A22" s="57" t="inlineStr">
        <is>
          <t>Unused lines of credit / availability</t>
        </is>
      </c>
      <c r="B22" s="72" t="n"/>
      <c r="C22" s="72" t="n"/>
      <c r="D22" s="72" t="n"/>
      <c r="E22" s="72" t="n"/>
      <c r="F22" s="51" t="n"/>
      <c r="G22" s="51" t="n"/>
      <c r="H22" s="51" t="n"/>
    </row>
    <row r="23">
      <c r="A23" s="57" t="inlineStr">
        <is>
          <t>Covenant violation / waiver disclosure</t>
        </is>
      </c>
      <c r="B23" s="72" t="n"/>
      <c r="C23" s="72" t="n"/>
      <c r="D23" s="72" t="n"/>
      <c r="E23" s="72" t="n"/>
      <c r="F23" s="51" t="n"/>
      <c r="G23" s="51" t="n"/>
      <c r="H23" s="51" t="n"/>
    </row>
    <row r="24" ht="27" customHeight="1" s="41">
      <c r="A24" s="57" t="inlineStr">
        <is>
          <t>Subsequent refinancing events (classification effect)</t>
        </is>
      </c>
      <c r="B24" s="72" t="n"/>
      <c r="C24" s="72" t="n"/>
      <c r="D24" s="72" t="n"/>
      <c r="E24" s="72" t="n"/>
      <c r="F24" s="51" t="n"/>
      <c r="G24" s="51" t="n"/>
      <c r="H24" s="51" t="n"/>
    </row>
    <row r="25">
      <c r="A25" s="57" t="inlineStr">
        <is>
          <t>Fair value of debt (ASC 825)</t>
        </is>
      </c>
      <c r="B25" s="72" t="n"/>
      <c r="C25" s="72" t="n"/>
      <c r="D25" s="72" t="n"/>
      <c r="E25" s="72" t="n"/>
      <c r="F25" s="51" t="n"/>
      <c r="G25" s="51" t="n"/>
      <c r="H25" s="51" t="n"/>
    </row>
    <row r="26">
      <c r="A26" s="57" t="inlineStr">
        <is>
          <t>Related-party / subordinated debt</t>
        </is>
      </c>
      <c r="B26" s="72" t="n"/>
      <c r="C26" s="72" t="n"/>
      <c r="D26" s="72" t="n"/>
      <c r="E26" s="72" t="n"/>
      <c r="F26" s="51" t="n"/>
      <c r="G26" s="51" t="n"/>
      <c r="H26" s="51" t="n"/>
    </row>
    <row r="27">
      <c r="A27" s="51" t="n"/>
      <c r="B27" s="51" t="n"/>
      <c r="C27" s="51" t="n"/>
      <c r="D27" s="51" t="n"/>
      <c r="E27" s="51" t="n"/>
      <c r="F27" s="51" t="n"/>
      <c r="G27" s="51" t="n"/>
      <c r="H27" s="51" t="n"/>
    </row>
    <row r="28">
      <c r="A28" s="73" t="inlineStr">
        <is>
          <t>TM Legends</t>
        </is>
      </c>
      <c r="B28" s="51" t="n"/>
      <c r="C28" s="51" t="n"/>
      <c r="D28" s="51" t="n"/>
      <c r="E28" s="51" t="n"/>
      <c r="F28" s="51" t="n"/>
      <c r="G28" s="51" t="n"/>
      <c r="H28" s="51" t="n"/>
    </row>
    <row r="29">
      <c r="A29" s="74" t="inlineStr">
        <is>
          <t>TB</t>
        </is>
      </c>
      <c r="B29" s="57" t="inlineStr">
        <is>
          <t>Agreed to trial balance</t>
        </is>
      </c>
      <c r="C29" s="75" t="n"/>
      <c r="D29" s="76" t="n"/>
      <c r="E29" s="51" t="n"/>
      <c r="F29" s="51" t="n"/>
      <c r="G29" s="51" t="n"/>
      <c r="H29" s="51" t="n"/>
    </row>
    <row r="30">
      <c r="A30" s="74" t="inlineStr">
        <is>
          <t>GL</t>
        </is>
      </c>
      <c r="B30" s="57" t="inlineStr">
        <is>
          <t>Agreed to general ledger</t>
        </is>
      </c>
      <c r="C30" s="75" t="n"/>
      <c r="D30" s="76" t="n"/>
      <c r="E30" s="51" t="n"/>
      <c r="F30" s="51" t="n"/>
      <c r="G30" s="51" t="n"/>
      <c r="H30" s="51" t="n"/>
    </row>
    <row r="31">
      <c r="A31" s="74" t="inlineStr">
        <is>
          <t>CF</t>
        </is>
      </c>
      <c r="B31" s="57" t="inlineStr">
        <is>
          <t>Confirmed with third party</t>
        </is>
      </c>
      <c r="C31" s="75" t="n"/>
      <c r="D31" s="76" t="n"/>
      <c r="E31" s="51" t="n"/>
      <c r="F31" s="51" t="n"/>
      <c r="G31" s="51" t="n"/>
      <c r="H31" s="51" t="n"/>
    </row>
    <row r="32">
      <c r="A32" s="74" t="inlineStr">
        <is>
          <t>V</t>
        </is>
      </c>
      <c r="B32" s="57" t="inlineStr">
        <is>
          <t>Vouched to source document</t>
        </is>
      </c>
      <c r="C32" s="75" t="n"/>
      <c r="D32" s="76" t="n"/>
      <c r="E32" s="51" t="n"/>
      <c r="F32" s="51" t="n"/>
      <c r="G32" s="51" t="n"/>
      <c r="H32" s="51" t="n"/>
    </row>
    <row r="33">
      <c r="A33" s="74" t="inlineStr">
        <is>
          <t>SR</t>
        </is>
      </c>
      <c r="B33" s="57" t="inlineStr">
        <is>
          <t>Agreed to subsequent bank-cleared receipt</t>
        </is>
      </c>
      <c r="C33" s="75" t="n"/>
      <c r="D33" s="76" t="n"/>
      <c r="E33" s="51" t="n"/>
      <c r="F33" s="51" t="n"/>
      <c r="G33" s="51" t="n"/>
      <c r="H33" s="51" t="n"/>
    </row>
    <row r="34">
      <c r="A34" s="74" t="inlineStr">
        <is>
          <t>R</t>
        </is>
      </c>
      <c r="B34" s="57" t="inlineStr">
        <is>
          <t>Recalculated independently</t>
        </is>
      </c>
      <c r="C34" s="75" t="n"/>
      <c r="D34" s="76" t="n"/>
      <c r="E34" s="51" t="n"/>
      <c r="F34" s="51" t="n"/>
      <c r="G34" s="51" t="n"/>
      <c r="H34" s="51" t="n"/>
    </row>
    <row r="35">
      <c r="A35" s="74" t="inlineStr">
        <is>
          <t>F</t>
        </is>
      </c>
      <c r="B35" s="57" t="inlineStr">
        <is>
          <t>Footed / cross-cast</t>
        </is>
      </c>
      <c r="C35" s="75" t="n"/>
      <c r="D35" s="76" t="n"/>
      <c r="E35" s="51" t="n"/>
      <c r="F35" s="51" t="n"/>
      <c r="G35" s="51" t="n"/>
      <c r="H35" s="51" t="n"/>
    </row>
    <row r="36">
      <c r="A36" s="74" t="inlineStr">
        <is>
          <t>T</t>
        </is>
      </c>
      <c r="B36" s="57" t="inlineStr">
        <is>
          <t>Traced to downstream record</t>
        </is>
      </c>
      <c r="C36" s="75" t="n"/>
      <c r="D36" s="76" t="n"/>
      <c r="E36" s="51" t="n"/>
      <c r="F36" s="51" t="n"/>
      <c r="G36" s="51" t="n"/>
      <c r="H36" s="51" t="n"/>
    </row>
    <row r="37">
      <c r="A37" s="74" t="inlineStr">
        <is>
          <t>PBC</t>
        </is>
      </c>
      <c r="B37" s="57" t="inlineStr">
        <is>
          <t>Prepared by client</t>
        </is>
      </c>
      <c r="C37" s="75" t="n"/>
      <c r="D37" s="76" t="n"/>
      <c r="E37" s="51" t="n"/>
      <c r="F37" s="51" t="n"/>
      <c r="G37" s="51" t="n"/>
      <c r="H37" s="51" t="n"/>
    </row>
    <row r="38">
      <c r="A38" s="51" t="n"/>
      <c r="B38" s="51" t="n"/>
      <c r="C38" s="51" t="n"/>
      <c r="D38" s="51" t="n"/>
      <c r="E38" s="51" t="n"/>
      <c r="F38" s="51" t="n"/>
      <c r="G38" s="51" t="n"/>
      <c r="H38" s="51" t="n"/>
    </row>
    <row r="39" ht="27.75" customHeight="1" s="41">
      <c r="A39" s="53" t="inlineStr">
        <is>
          <t>Before sign-off complete Library Procedures 25-26 (disclosures; analytics).</t>
        </is>
      </c>
      <c r="B39" s="51" t="n"/>
      <c r="C39" s="51" t="n"/>
      <c r="D39" s="51" t="n"/>
      <c r="E39" s="51" t="n"/>
      <c r="F39" s="51" t="n"/>
      <c r="G39" s="51" t="n"/>
      <c r="H39" s="51" t="n"/>
    </row>
  </sheetData>
  <mergeCells count="13">
    <mergeCell ref="B33:D33"/>
    <mergeCell ref="A39:E39"/>
    <mergeCell ref="B36:D36"/>
    <mergeCell ref="B37:D37"/>
    <mergeCell ref="B4:E4"/>
    <mergeCell ref="B31:D31"/>
    <mergeCell ref="B6:E6"/>
    <mergeCell ref="B32:D32"/>
    <mergeCell ref="B35:D35"/>
    <mergeCell ref="B30:D30"/>
    <mergeCell ref="B5:E5"/>
    <mergeCell ref="B29:D29"/>
    <mergeCell ref="B34:D3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style="41" min="1" max="1"/>
    <col width="90" customWidth="1" style="41" min="2" max="2"/>
  </cols>
  <sheetData>
    <row r="1">
      <c r="A1" s="109" t="inlineStr">
        <is>
          <t>AUTHORITATIVE PLANNING CONTEXT</t>
        </is>
      </c>
      <c r="B1" s="51" t="n"/>
    </row>
    <row r="2">
      <c r="A2" s="51" t="inlineStr">
        <is>
          <t>Field</t>
        </is>
      </c>
      <c r="B2" s="51" t="inlineStr">
        <is>
          <t>Value</t>
        </is>
      </c>
    </row>
    <row r="3">
      <c r="A3" s="51" t="inlineStr">
        <is>
          <t>Entity Name</t>
        </is>
      </c>
      <c r="B3" s="109" t="inlineStr">
        <is>
          <t>Vaquite Industries, Inc.</t>
        </is>
      </c>
    </row>
    <row r="4">
      <c r="A4" s="109" t="inlineStr">
        <is>
          <t>Financial Statement Date</t>
        </is>
      </c>
      <c r="B4" s="110" t="n">
        <v>46022</v>
      </c>
    </row>
    <row r="5">
      <c r="A5" s="109" t="inlineStr">
        <is>
          <t>Reporting Currency</t>
        </is>
      </c>
      <c r="B5" s="51" t="inlineStr">
        <is>
          <t>USD</t>
        </is>
      </c>
    </row>
    <row r="6">
      <c r="A6" s="109" t="inlineStr">
        <is>
          <t>Overall Materiality</t>
        </is>
      </c>
      <c r="B6" s="111" t="n">
        <v>30700</v>
      </c>
    </row>
    <row r="7">
      <c r="A7" s="109" t="inlineStr">
        <is>
          <t>Performance Materiality</t>
        </is>
      </c>
      <c r="B7" s="111" t="n">
        <v>23100</v>
      </c>
    </row>
    <row r="8">
      <c r="A8" s="109" t="inlineStr">
        <is>
          <t>Tolerable Misstatement</t>
        </is>
      </c>
      <c r="B8" s="111" t="n">
        <v>20800</v>
      </c>
    </row>
    <row r="9">
      <c r="A9" s="109" t="inlineStr">
        <is>
          <t>Individually Significant Threshold</t>
        </is>
      </c>
      <c r="B9" s="111" t="n">
        <v>11600</v>
      </c>
    </row>
    <row r="10">
      <c r="A10" s="51" t="inlineStr">
        <is>
          <t>Posting Threshold</t>
        </is>
      </c>
      <c r="B10" s="111" t="n">
        <v>1000</v>
      </c>
    </row>
    <row r="11">
      <c r="A11" s="109" t="inlineStr">
        <is>
          <t>Clearly Trivial Threshold</t>
        </is>
      </c>
      <c r="B11" s="111" t="n">
        <v>1000</v>
      </c>
    </row>
    <row r="12">
      <c r="A12" s="109" t="inlineStr">
        <is>
          <t>Analytical Precision</t>
        </is>
      </c>
      <c r="B12" s="111" t="n">
        <v>20800</v>
      </c>
    </row>
    <row r="13">
      <c r="A13" s="51" t="n"/>
      <c r="B13" s="51" t="n"/>
    </row>
    <row r="14">
      <c r="A14" s="109" t="inlineStr">
        <is>
          <t>Bound planning records</t>
        </is>
      </c>
      <c r="B14" s="51" t="inlineStr">
        <is>
          <t>Canonical IDs</t>
        </is>
      </c>
    </row>
    <row r="15">
      <c r="A15" s="51" t="inlineStr">
        <is>
          <t>Sampling plan ID</t>
        </is>
      </c>
      <c r="B15" s="51" t="inlineStr">
        <is>
          <t>SAMPLE-DEBT</t>
        </is>
      </c>
    </row>
    <row r="16">
      <c r="A16" s="51" t="inlineStr">
        <is>
          <t>Selection IDs</t>
        </is>
      </c>
      <c r="B16" s="109" t="inlineStr">
        <is>
          <t>PROC-Debt reference Confirm:Debt reference 001</t>
        </is>
      </c>
    </row>
    <row r="17">
      <c r="A17" s="109" t="inlineStr">
        <is>
          <t>Selection requirements</t>
        </is>
      </c>
      <c r="B17" s="109" t="inlineStr">
        <is>
          <t>qualitative mandatory items; individually significant items</t>
        </is>
      </c>
    </row>
    <row r="18">
      <c r="A18" s="51" t="inlineStr">
        <is>
          <t>Procedure IDs</t>
        </is>
      </c>
      <c r="B18" s="51" t="inlineStr">
        <is>
          <t>PROC-DEBT</t>
        </is>
      </c>
    </row>
    <row r="19">
      <c r="A19" s="109" t="inlineStr">
        <is>
          <t>Procedure window IDs</t>
        </is>
      </c>
      <c r="B19" s="109" t="inlineStr">
        <is>
          <t>WIN-Debt reference Subsequent</t>
        </is>
      </c>
    </row>
    <row r="20">
      <c r="A20" s="109" t="inlineStr">
        <is>
          <t>Significant-risk response IDs</t>
        </is>
      </c>
      <c r="B20" s="51" t="inlineStr"/>
    </row>
    <row r="21">
      <c r="A21" s="109" t="inlineStr">
        <is>
          <t>Audit team assignments</t>
        </is>
      </c>
      <c r="B21" s="109" t="inlineStr">
        <is>
          <t>preparer: Audit Senior 80A0; reviewer: Audit Manager 403F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style="41" min="1" max="1"/>
    <col width="34" customWidth="1" style="41" min="2" max="2"/>
    <col width="8.5" customWidth="1" style="41" min="3" max="3"/>
    <col width="25" customWidth="1" style="41" min="4" max="4"/>
    <col width="34" customWidth="1" style="41" min="5" max="5"/>
    <col width="8.5" customWidth="1" style="41" min="6" max="6"/>
  </cols>
  <sheetData>
    <row r="1" ht="24" customHeight="1" s="41">
      <c r="A1" s="112" t="inlineStr">
        <is>
          <t>WORKPAPER COMPLETION AND SIGN-OFF</t>
        </is>
      </c>
      <c r="B1" s="51" t="n"/>
      <c r="C1" s="51" t="n"/>
      <c r="D1" s="51" t="n"/>
      <c r="E1" s="51" t="n"/>
      <c r="F1" s="51" t="n"/>
    </row>
    <row r="2">
      <c r="A2" s="51" t="n"/>
      <c r="B2" s="51" t="n"/>
      <c r="C2" s="51" t="n"/>
      <c r="D2" s="51" t="n"/>
      <c r="E2" s="51" t="n"/>
      <c r="F2" s="51" t="n"/>
    </row>
    <row r="3">
      <c r="A3" s="51" t="inlineStr">
        <is>
          <t>Workpaper</t>
        </is>
      </c>
      <c r="B3" s="109" t="inlineStr">
        <is>
          <t>debt/debt_workpaper.xlsx</t>
        </is>
      </c>
      <c r="C3" s="51" t="n"/>
      <c r="D3" s="51" t="n"/>
      <c r="E3" s="51" t="n"/>
      <c r="F3" s="51" t="n"/>
    </row>
    <row r="4">
      <c r="A4" s="109" t="inlineStr">
        <is>
          <t>Required completion stage</t>
        </is>
      </c>
      <c r="B4" s="51" t="inlineStr">
        <is>
          <t>prepared</t>
        </is>
      </c>
      <c r="C4" s="51" t="n"/>
      <c r="D4" s="51" t="inlineStr">
        <is>
          <t>Contract version</t>
        </is>
      </c>
      <c r="E4" s="109" t="inlineStr">
        <is>
          <t>workpaper-signoff-v2.1.0</t>
        </is>
      </c>
      <c r="F4" s="51" t="n"/>
    </row>
    <row r="5">
      <c r="A5" s="51" t="n"/>
      <c r="B5" s="51" t="n"/>
      <c r="C5" s="51" t="n"/>
      <c r="D5" s="51" t="n"/>
      <c r="E5" s="51" t="n"/>
      <c r="F5" s="51" t="n"/>
    </row>
    <row r="6">
      <c r="A6" s="113" t="inlineStr">
        <is>
          <t>Assigned preparer</t>
        </is>
      </c>
      <c r="B6" s="114" t="inlineStr">
        <is>
          <t>Audit Senior 80A0</t>
        </is>
      </c>
      <c r="C6" s="51" t="n"/>
      <c r="D6" s="113" t="inlineStr">
        <is>
          <t>Assigned reviewer</t>
        </is>
      </c>
      <c r="E6" s="115" t="inlineStr">
        <is>
          <t>Audit Manager 403F</t>
        </is>
      </c>
      <c r="F6" s="51" t="n"/>
    </row>
    <row r="7">
      <c r="A7" s="113" t="inlineStr">
        <is>
          <t>Preparation state</t>
        </is>
      </c>
      <c r="B7" s="114" t="inlineStr">
        <is>
          <t>Unsigned</t>
        </is>
      </c>
      <c r="C7" s="51" t="n"/>
      <c r="D7" s="113" t="inlineStr">
        <is>
          <t>Review state</t>
        </is>
      </c>
      <c r="E7" s="114" t="inlineStr">
        <is>
          <t>Unsigned</t>
        </is>
      </c>
      <c r="F7" s="51" t="n"/>
    </row>
    <row r="8">
      <c r="A8" s="113" t="inlineStr">
        <is>
          <t>Prepared by</t>
        </is>
      </c>
      <c r="B8" s="114" t="n"/>
      <c r="C8" s="51" t="n"/>
      <c r="D8" s="113" t="inlineStr">
        <is>
          <t>Reviewed by</t>
        </is>
      </c>
      <c r="E8" s="114" t="n"/>
      <c r="F8" s="51" t="n"/>
    </row>
    <row r="9">
      <c r="A9" s="113" t="inlineStr">
        <is>
          <t>Preparation date</t>
        </is>
      </c>
      <c r="B9" s="116" t="n"/>
      <c r="C9" s="51" t="n"/>
      <c r="D9" s="113" t="inlineStr">
        <is>
          <t>Review date</t>
        </is>
      </c>
      <c r="E9" s="116" t="n"/>
      <c r="F9" s="51" t="n"/>
    </row>
    <row r="10">
      <c r="A10" s="51" t="n"/>
      <c r="B10" s="51" t="n"/>
      <c r="C10" s="51" t="n"/>
      <c r="D10" s="51" t="n"/>
      <c r="E10" s="51" t="n"/>
      <c r="F10" s="51" t="n"/>
    </row>
    <row r="11">
      <c r="A11" s="51" t="n"/>
      <c r="B11" s="51" t="n"/>
      <c r="C11" s="51" t="n"/>
      <c r="D11" s="51" t="n"/>
      <c r="E11" s="51" t="n"/>
      <c r="F11" s="51" t="n"/>
    </row>
    <row r="12" ht="54" customHeight="1" s="41">
      <c r="A12" s="117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51" t="n"/>
      <c r="C12" s="51" t="n"/>
      <c r="D12" s="51" t="n"/>
      <c r="E12" s="51" t="n"/>
      <c r="F12" s="51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2026-07-02T08:59:34Z</dcterms:created>
  <dcterms:modified xmlns:dcterms="http://purl.org/dc/terms/" xmlns:xsi="http://www.w3.org/2001/XMLSchema-instance" xsi:type="dcterms:W3CDTF">2026-07-02T09:13:57Z</dcterms:modified>
  <cp:lastModifiedBy>jerry.huang@modusaudit.com</cp:lastModifiedBy>
  <cp:revision>0</cp:revision>
</cp:coreProperties>
</file>