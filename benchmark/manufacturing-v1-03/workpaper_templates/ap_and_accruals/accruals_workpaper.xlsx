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ctiveTab="9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Accruals Lead Sheet" sheetId="3" state="visible" r:id="rId3"/>
    <sheet xmlns:r="http://schemas.openxmlformats.org/officeDocument/2006/relationships" name="&lt;.2&gt; Accrual Recomputation" sheetId="4" state="visible" r:id="rId4"/>
    <sheet xmlns:r="http://schemas.openxmlformats.org/officeDocument/2006/relationships" name="&lt;.3&gt; Detail Testing &amp; Cutoff" sheetId="5" state="visible" r:id="rId5"/>
    <sheet xmlns:r="http://schemas.openxmlformats.org/officeDocument/2006/relationships" name="&lt;.4&gt; PY Lookback Analysis" sheetId="6" state="visible" r:id="rId6"/>
    <sheet xmlns:r="http://schemas.openxmlformats.org/officeDocument/2006/relationships" name="&lt;.5&gt; Unrecorded Accruals" sheetId="7" state="visible" r:id="rId7"/>
    <sheet xmlns:r="http://schemas.openxmlformats.org/officeDocument/2006/relationships" name="&lt;.6&gt; Estimate Evaluation" sheetId="8" state="visible" r:id="rId8"/>
    <sheet xmlns:r="http://schemas.openxmlformats.org/officeDocument/2006/relationships" name="&lt;.7&gt; Analytics &amp; Disclosures" sheetId="9" state="visible" r:id="rId9"/>
    <sheet xmlns:r="http://schemas.openxmlformats.org/officeDocument/2006/relationships" name="Planning Context" sheetId="10" state="visible" r:id="rId10"/>
    <sheet xmlns:r="http://schemas.openxmlformats.org/officeDocument/2006/relationships" name="Workpaper Sign-off" sheetId="11" state="visible" r:id="rId11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ACCRUALS_LEAD_SHEET_ENTITY_NAME">'&lt;.1&gt; Accruals Lead Sheet'!$B$2</definedName>
    <definedName name="WP_PLAN_S003_1_ACCRUALS_LEAD_SHEET_FINANCIAL_STATEMENT_DATE">'&lt;.1&gt; Accruals Lead Sheet'!$E$2</definedName>
    <definedName name="WP_PLAN_S003_1_ACCRUALS_LEAD_SHEET_REPORTING_CURRENCY">'&lt;.1&gt; Accruals Lead Sheet'!$H$2</definedName>
    <definedName name="WP_PLAN_S003_1_ACCRUALS_LEAD_SHEET_PERFORMANCE_MATERIALITY">'&lt;.1&gt; Accruals Lead Sheet'!$B$3</definedName>
    <definedName name="WP_PLAN_S003_1_ACCRUALS_LEAD_SHEET_TOLERABLE_MISSTATEMENT">'&lt;.1&gt; Accruals Lead Sheet'!$E$3</definedName>
    <definedName name="WP_PLAN_S004_2_ACCRUAL_RECOMPUTATION_ENTITY_NAME">'&lt;.2&gt; Accrual Recomputation'!$B$2</definedName>
    <definedName name="WP_PLAN_S004_2_ACCRUAL_RECOMPUTATION_FINANCIAL_STATEMENT_DATE">'&lt;.2&gt; Accrual Recomputation'!$E$2</definedName>
    <definedName name="WP_PLAN_S004_2_ACCRUAL_RECOMPUTATION_REPORTING_CURRENCY">'&lt;.2&gt; Accrual Recomputation'!$H$2</definedName>
    <definedName name="WP_PLAN_S004_2_ACCRUAL_RECOMPUTATION_PERFORMANCE_MATERIALITY">'&lt;.2&gt; Accrual Recomputation'!$B$3</definedName>
    <definedName name="WP_PLAN_S004_2_ACCRUAL_RECOMPUTATION_TOLERABLE_MISSTATEMENT">'&lt;.2&gt; Accrual Recomputation'!$E$3</definedName>
    <definedName name="WP_PLAN_S005_3_DETAIL_TESTING_CUTOFF_ENTITY_NAME">'&lt;.3&gt; Detail Testing &amp; Cutoff'!$B$2</definedName>
    <definedName name="WP_PLAN_S005_3_DETAIL_TESTING_CUTOFF_FINANCIAL_STATEMENT_DATE">'&lt;.3&gt; Detail Testing &amp; Cutoff'!$E$2</definedName>
    <definedName name="WP_PLAN_S005_3_DETAIL_TESTING_CUTOFF_REPORTING_CURRENCY">'&lt;.3&gt; Detail Testing &amp; Cutoff'!$H$2</definedName>
    <definedName name="WP_PLAN_S005_3_DETAIL_TESTING_CUTOFF_PERFORMANCE_MATERIALITY">'&lt;.3&gt; Detail Testing &amp; Cutoff'!$B$3</definedName>
    <definedName name="WP_PLAN_S005_3_DETAIL_TESTING_CUTOFF_TOLERABLE_MISSTATEMENT">'&lt;.3&gt; Detail Testing &amp; Cutoff'!$E$3</definedName>
    <definedName name="WP_PLAN_S006_4_PY_LOOKBACK_ANALYSIS_ENTITY_NAME">'&lt;.4&gt; PY Lookback Analysis'!$B$2</definedName>
    <definedName name="WP_PLAN_S006_4_PY_LOOKBACK_ANALYSIS_FINANCIAL_STATEMENT_DATE">'&lt;.4&gt; PY Lookback Analysis'!$E$2</definedName>
    <definedName name="WP_PLAN_S006_4_PY_LOOKBACK_ANALYSIS_REPORTING_CURRENCY">'&lt;.4&gt; PY Lookback Analysis'!$H$2</definedName>
    <definedName name="WP_PLAN_S006_4_PY_LOOKBACK_ANALYSIS_PERFORMANCE_MATERIALITY">'&lt;.4&gt; PY Lookback Analysis'!$B$3</definedName>
    <definedName name="WP_PLAN_S006_4_PY_LOOKBACK_ANALYSIS_TOLERABLE_MISSTATEMENT">'&lt;.4&gt; PY Lookback Analysis'!$E$3</definedName>
    <definedName name="WP_PLAN_S007_5_UNRECORDED_ACCRUALS_ENTITY_NAME">'&lt;.5&gt; Unrecorded Accruals'!$B$2</definedName>
    <definedName name="WP_PLAN_S007_5_UNRECORDED_ACCRUALS_FINANCIAL_STATEMENT_DATE">'&lt;.5&gt; Unrecorded Accruals'!$E$2</definedName>
    <definedName name="WP_PLAN_S007_5_UNRECORDED_ACCRUALS_REPORTING_CURRENCY">'&lt;.5&gt; Unrecorded Accruals'!$H$2</definedName>
    <definedName name="WP_PLAN_S007_5_UNRECORDED_ACCRUALS_PERFORMANCE_MATERIALITY">'&lt;.5&gt; Unrecorded Accruals'!$B$3</definedName>
    <definedName name="WP_PLAN_S007_5_UNRECORDED_ACCRUALS_TOLERABLE_MISSTATEMENT">'&lt;.5&gt; Unrecorded Accruals'!$E$3</definedName>
    <definedName name="WP_PLAN_S008_6_ESTIMATE_EVALUATION_ENTITY_NAME">'&lt;.6&gt; Estimate Evaluation'!$B$2</definedName>
    <definedName name="WP_PLAN_S008_6_ESTIMATE_EVALUATION_FINANCIAL_STATEMENT_DATE">'&lt;.6&gt; Estimate Evaluation'!$E$2</definedName>
    <definedName name="WP_PLAN_S008_6_ESTIMATE_EVALUATION_REPORTING_CURRENCY">'&lt;.6&gt; Estimate Evaluation'!$H$2</definedName>
    <definedName name="WP_PLAN_S008_6_ESTIMATE_EVALUATION_PERFORMANCE_MATERIALITY">'&lt;.6&gt; Estimate Evaluation'!$B$3</definedName>
    <definedName name="WP_PLAN_S008_6_ESTIMATE_EVALUATION_TOLERABLE_MISSTATEMENT">'&lt;.6&gt; Estimate Evaluation'!$E$3</definedName>
    <definedName name="WP_PLAN_S009_7_ANALYTICS_DISCLOSURES_ENTITY_NAME">'&lt;.7&gt; Analytics &amp; Disclosures'!$B$2</definedName>
    <definedName name="WP_PLAN_S009_7_ANALYTICS_DISCLOSURES_FINANCIAL_STATEMENT_DATE">'&lt;.7&gt; Analytics &amp; Disclosures'!$E$2</definedName>
    <definedName name="WP_PLAN_S009_7_ANALYTICS_DISCLOSURES_REPORTING_CURRENCY">'&lt;.7&gt; Analytics &amp; Disclosures'!$H$2</definedName>
    <definedName name="WP_PLAN_S009_7_ANALYTICS_DISCLOSURES_PERFORMANCE_MATERIALITY">'&lt;.7&gt; Analytics &amp; Disclosures'!$B$3</definedName>
    <definedName name="WP_PLAN_S009_7_ANALYTICS_DISCLOSURES_TOLERABLE_MISSTATEMENT">'&lt;.7&gt; Analytics &amp; Disclosures'!$E$3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Procedures'!$A$22</definedName>
    <definedName name="WP_PROC_010_REQUIREMENT">'Library Procedures'!$B$22</definedName>
    <definedName name="WP_PROC_010_EXECUTION_STATE">'Library Procedures'!$C$22</definedName>
    <definedName name="WP_PROC_010_EVIDENCE_STATE">'Library Procedures'!$D$22</definedName>
    <definedName name="WP_PROC_010_RESULT_STATE">'Library Procedures'!$E$22</definedName>
    <definedName name="WP_PROC_010_ISSUE_STATE">'Library Procedures'!$F$22</definedName>
    <definedName name="WP_PROC_010_SIGNOFF_STATE">'Library Procedures'!$G$22</definedName>
    <definedName name="WP_PROC_010_DERIVED_OUTCOME">'Library Procedures'!$H$22</definedName>
    <definedName name="WP_PROC_010_PROCEDURE">'Library Procedures'!$I$22</definedName>
    <definedName name="WP_PROC_010_ASSERTION_S">'Library Procedures'!$J$22</definedName>
    <definedName name="WP_PROC_010_W_P_REF">'Library Procedures'!$K$22</definedName>
    <definedName name="WP_PROC_010_PERFORMED_BY">'Library Procedures'!$L$22</definedName>
    <definedName name="WP_PROC_010_DATE">'Library Procedures'!$M$22</definedName>
    <definedName name="WP_PROC_010_REASON_CODE">'Library Procedures'!$N$22</definedName>
    <definedName name="WP_PROC_010_SOURCE_FACT_EVIDENCE">'Library Procedures'!$O$22</definedName>
    <definedName name="WP_PROC_010_ISSUE_DEPENDENCY_IDS">'Library Procedures'!$P$22</definedName>
    <definedName name="WP_PROC_010_COMMENT_WORK_PERFORMED">'Library Procedures'!$Q$22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Procedures'!$A$25</definedName>
    <definedName name="WP_PROC_012_REQUIREMENT">'Library Procedures'!$B$25</definedName>
    <definedName name="WP_PROC_012_EXECUTION_STATE">'Library Procedures'!$C$25</definedName>
    <definedName name="WP_PROC_012_EVIDENCE_STATE">'Library Procedures'!$D$25</definedName>
    <definedName name="WP_PROC_012_RESULT_STATE">'Library Procedures'!$E$25</definedName>
    <definedName name="WP_PROC_012_ISSUE_STATE">'Library Procedures'!$F$25</definedName>
    <definedName name="WP_PROC_012_SIGNOFF_STATE">'Library Procedures'!$G$25</definedName>
    <definedName name="WP_PROC_012_DERIVED_OUTCOME">'Library Procedures'!$H$25</definedName>
    <definedName name="WP_PROC_012_PROCEDURE">'Library Procedures'!$I$25</definedName>
    <definedName name="WP_PROC_012_ASSERTION_S">'Library Procedures'!$J$25</definedName>
    <definedName name="WP_PROC_012_W_P_REF">'Library Procedures'!$K$25</definedName>
    <definedName name="WP_PROC_012_PERFORMED_BY">'Library Procedures'!$L$25</definedName>
    <definedName name="WP_PROC_012_DATE">'Library Procedures'!$M$25</definedName>
    <definedName name="WP_PROC_012_REASON_CODE">'Library Procedures'!$N$25</definedName>
    <definedName name="WP_PROC_012_SOURCE_FACT_EVIDENCE">'Library Procedures'!$O$25</definedName>
    <definedName name="WP_PROC_012_ISSUE_DEPENDENCY_IDS">'Library Procedures'!$P$25</definedName>
    <definedName name="WP_PROC_012_COMMENT_WORK_PERFORMED">'Library Procedures'!$Q$25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Procedures'!$A$30</definedName>
    <definedName name="WP_PROC_016_REQUIREMENT">'Library Procedures'!$B$30</definedName>
    <definedName name="WP_PROC_016_EXECUTION_STATE">'Library Procedures'!$C$30</definedName>
    <definedName name="WP_PROC_016_EVIDENCE_STATE">'Library Procedures'!$D$30</definedName>
    <definedName name="WP_PROC_016_RESULT_STATE">'Library Procedures'!$E$30</definedName>
    <definedName name="WP_PROC_016_ISSUE_STATE">'Library Procedures'!$F$30</definedName>
    <definedName name="WP_PROC_016_SIGNOFF_STATE">'Library Procedures'!$G$30</definedName>
    <definedName name="WP_PROC_016_DERIVED_OUTCOME">'Library Procedures'!$H$30</definedName>
    <definedName name="WP_PROC_016_PROCEDURE">'Library Procedures'!$I$30</definedName>
    <definedName name="WP_PROC_016_ASSERTION_S">'Library Procedures'!$J$30</definedName>
    <definedName name="WP_PROC_016_W_P_REF">'Library Procedures'!$K$30</definedName>
    <definedName name="WP_PROC_016_PERFORMED_BY">'Library Procedures'!$L$30</definedName>
    <definedName name="WP_PROC_016_DATE">'Library Procedures'!$M$30</definedName>
    <definedName name="WP_PROC_016_REASON_CODE">'Library Procedures'!$N$30</definedName>
    <definedName name="WP_PROC_016_SOURCE_FACT_EVIDENCE">'Library Procedures'!$O$30</definedName>
    <definedName name="WP_PROC_016_ISSUE_DEPENDENCY_IDS">'Library Procedures'!$P$30</definedName>
    <definedName name="WP_PROC_016_COMMENT_WORK_PERFORMED">'Library Procedures'!$Q$30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Procedures'!$A$33</definedName>
    <definedName name="WP_PROC_018_REQUIREMENT">'Library Procedures'!$B$33</definedName>
    <definedName name="WP_PROC_018_EXECUTION_STATE">'Library Procedures'!$C$33</definedName>
    <definedName name="WP_PROC_018_EVIDENCE_STATE">'Library Procedures'!$D$33</definedName>
    <definedName name="WP_PROC_018_RESULT_STATE">'Library Procedures'!$E$33</definedName>
    <definedName name="WP_PROC_018_ISSUE_STATE">'Library Procedures'!$F$33</definedName>
    <definedName name="WP_PROC_018_SIGNOFF_STATE">'Library Procedures'!$G$33</definedName>
    <definedName name="WP_PROC_018_DERIVED_OUTCOME">'Library Procedures'!$H$33</definedName>
    <definedName name="WP_PROC_018_PROCEDURE">'Library Procedures'!$I$33</definedName>
    <definedName name="WP_PROC_018_ASSERTION_S">'Library Procedures'!$J$33</definedName>
    <definedName name="WP_PROC_018_W_P_REF">'Library Procedures'!$K$33</definedName>
    <definedName name="WP_PROC_018_PERFORMED_BY">'Library Procedures'!$L$33</definedName>
    <definedName name="WP_PROC_018_DATE">'Library Procedures'!$M$33</definedName>
    <definedName name="WP_PROC_018_REASON_CODE">'Library Procedures'!$N$33</definedName>
    <definedName name="WP_PROC_018_SOURCE_FACT_EVIDENCE">'Library Procedures'!$O$33</definedName>
    <definedName name="WP_PROC_018_ISSUE_DEPENDENCY_IDS">'Library Procedures'!$P$33</definedName>
    <definedName name="WP_PROC_018_COMMENT_WORK_PERFORMED">'Library Procedures'!$Q$33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Procedures'!$A$36</definedName>
    <definedName name="WP_PROC_020_REQUIREMENT">'Library Procedures'!$B$36</definedName>
    <definedName name="WP_PROC_020_EXECUTION_STATE">'Library Procedures'!$C$36</definedName>
    <definedName name="WP_PROC_020_EVIDENCE_STATE">'Library Procedures'!$D$36</definedName>
    <definedName name="WP_PROC_020_RESULT_STATE">'Library Procedures'!$E$36</definedName>
    <definedName name="WP_PROC_020_ISSUE_STATE">'Library Procedures'!$F$36</definedName>
    <definedName name="WP_PROC_020_SIGNOFF_STATE">'Library Procedures'!$G$36</definedName>
    <definedName name="WP_PROC_020_DERIVED_OUTCOME">'Library Procedures'!$H$36</definedName>
    <definedName name="WP_PROC_020_PROCEDURE">'Library Procedures'!$I$36</definedName>
    <definedName name="WP_PROC_020_ASSERTION_S">'Library Procedures'!$J$36</definedName>
    <definedName name="WP_PROC_020_W_P_REF">'Library Procedures'!$K$36</definedName>
    <definedName name="WP_PROC_020_PERFORMED_BY">'Library Procedures'!$L$36</definedName>
    <definedName name="WP_PROC_020_DATE">'Library Procedures'!$M$36</definedName>
    <definedName name="WP_PROC_020_REASON_CODE">'Library Procedures'!$N$36</definedName>
    <definedName name="WP_PROC_020_SOURCE_FACT_EVIDENCE">'Library Procedures'!$O$36</definedName>
    <definedName name="WP_PROC_020_ISSUE_DEPENDENCY_IDS">'Library Procedures'!$P$36</definedName>
    <definedName name="WP_PROC_020_COMMENT_WORK_PERFORMED">'Library Procedures'!$Q$36</definedName>
    <definedName name="WP_TABLE_ACCRUAL_DETAIL_DATA">'&lt;.3&gt; Detail Testing &amp; Cutoff'!$A$9:$M$22</definedName>
    <definedName name="WP_TABLE_ACCRUAL_DETAIL_TOTAL">'&lt;.3&gt; Detail Testing &amp; Cutoff'!$A$23:$M$23</definedName>
    <definedName name="WP_ANALYTIC_ACCRUALS_TOTAL_ANCHOR">'&lt;.7&gt; Analytics &amp; Disclosures'!$A$9</definedName>
    <definedName name="WP_ANALYTIC_ACCRUALS_TOTAL_CURRENT_VALUE">'&lt;.7&gt; Analytics &amp; Disclosures'!$B$9</definedName>
    <definedName name="WP_ANALYTIC_ACCRUALS_TOTAL_COMPARATOR_VALUE">'&lt;.7&gt; Analytics &amp; Disclosures'!$C$9</definedName>
    <definedName name="WP_ANALYTIC_ACCRUALS_TOTAL_CHANGE">'&lt;.7&gt; Analytics &amp; Disclosures'!$D$9</definedName>
    <definedName name="WP_ANALYTIC_ACCRUALS_TOTAL_EXPLANATION">'&lt;.7&gt; Analytics &amp; Disclosures'!$E$9</definedName>
    <definedName name="WP_ANALYTIC_ACCRUALS_TO_EXPENSE_ANCHOR">'&lt;.7&gt; Analytics &amp; Disclosures'!$A$10</definedName>
    <definedName name="WP_ANALYTIC_ACCRUALS_TO_EXPENSE_CURRENT_VALUE">'&lt;.7&gt; Analytics &amp; Disclosures'!$B$10</definedName>
    <definedName name="WP_ANALYTIC_ACCRUALS_TO_EXPENSE_COMPARATOR_VALUE">'&lt;.7&gt; Analytics &amp; Disclosures'!$C$10</definedName>
    <definedName name="WP_ANALYTIC_ACCRUALS_TO_EXPENSE_CHANGE">'&lt;.7&gt; Analytics &amp; Disclosures'!$D$10</definedName>
    <definedName name="WP_ANALYTIC_ACCRUALS_TO_EXPENSE_EXPLANATION">'&lt;.7&gt; Analytics &amp; Disclosures'!$E$10</definedName>
    <definedName name="WP_ANALYTIC_ACCRUALS_PAYROLL_TO_ANNUAL_ANCHOR">'&lt;.7&gt; Analytics &amp; Disclosures'!$A$11</definedName>
    <definedName name="WP_ANALYTIC_ACCRUALS_PAYROLL_TO_ANNUAL_CURRENT_VALUE">'&lt;.7&gt; Analytics &amp; Disclosures'!$B$11</definedName>
    <definedName name="WP_ANALYTIC_ACCRUALS_PAYROLL_TO_ANNUAL_COMPARATOR_VALUE">'&lt;.7&gt; Analytics &amp; Disclosures'!$C$11</definedName>
    <definedName name="WP_ANALYTIC_ACCRUALS_PAYROLL_TO_ANNUAL_CHANGE">'&lt;.7&gt; Analytics &amp; Disclosures'!$D$11</definedName>
    <definedName name="WP_ANALYTIC_ACCRUALS_PAYROLL_TO_ANNUAL_EXPLANATION">'&lt;.7&gt; Analytics &amp; Disclosures'!$E$11</definedName>
    <definedName name="WP_ANALYTIC_ACCRUALS_COVERAGE_DAYS_ANCHOR">'&lt;.7&gt; Analytics &amp; Disclosures'!$A$12</definedName>
    <definedName name="WP_ANALYTIC_ACCRUALS_COVERAGE_DAYS_CURRENT_VALUE">'&lt;.7&gt; Analytics &amp; Disclosures'!$B$12</definedName>
    <definedName name="WP_ANALYTIC_ACCRUALS_COVERAGE_DAYS_COMPARATOR_VALUE">'&lt;.7&gt; Analytics &amp; Disclosures'!$C$12</definedName>
    <definedName name="WP_ANALYTIC_ACCRUALS_COVERAGE_DAYS_CHANGE">'&lt;.7&gt; Analytics &amp; Disclosures'!$D$12</definedName>
    <definedName name="WP_ANALYTIC_ACCRUALS_COVERAGE_DAYS_EXPLANATION">'&lt;.7&gt; Analytics &amp; Disclosures'!$E$12</definedName>
    <definedName name="WP_ANALYTIC_ACCRUALS_PY_REASONABLENESS_ANCHOR">'&lt;.7&gt; Analytics &amp; Disclosures'!$A$13</definedName>
    <definedName name="WP_ANALYTIC_ACCRUALS_PY_REASONABLENESS_CURRENT_VALUE">'&lt;.7&gt; Analytics &amp; Disclosures'!$B$13</definedName>
    <definedName name="WP_ANALYTIC_ACCRUALS_PY_REASONABLENESS_COMPARATOR_VALUE">'&lt;.7&gt; Analytics &amp; Disclosures'!$C$13</definedName>
    <definedName name="WP_ANALYTIC_ACCRUALS_PY_REASONABLENESS_CHANGE">'&lt;.7&gt; Analytics &amp; Disclosures'!$D$13</definedName>
    <definedName name="WP_ANALYTIC_ACCRUALS_PY_REASONABLENESS_EXPLANATION">'&lt;.7&gt; Analytics &amp; Disclosures'!$E$13</definedName>
    <definedName name="WP_DISCLOSURE_ACCRUALS_CONTRACT_LIABILITIES_ANCHOR">'&lt;.7&gt; Analytics &amp; Disclosures'!$A$17</definedName>
    <definedName name="WP_DISCLOSURE_ACCRUALS_CONTRACT_LIABILITIES_RELEVANT">'&lt;.7&gt; Analytics &amp; Disclosures'!$B$17</definedName>
    <definedName name="WP_DISCLOSURE_ACCRUALS_CONTRACT_LIABILITIES_SOURCE_REFERENCE">'&lt;.7&gt; Analytics &amp; Disclosures'!$C$17</definedName>
    <definedName name="WP_DISCLOSURE_ACCRUALS_CONTRACT_LIABILITIES_CONCLUSION">'&lt;.7&gt; Analytics &amp; Disclosures'!$D$17</definedName>
    <definedName name="WP_DISCLOSURE_ACCRUALS_CONTRACT_LIABILITIES_COMMENTS">'&lt;.7&gt; Analytics &amp; Disclosures'!$E$17</definedName>
    <definedName name="WP_DISCLOSURE_ACCRUALS_CLASSIFICATION_ANCHOR">'&lt;.7&gt; Analytics &amp; Disclosures'!$A$18</definedName>
    <definedName name="WP_DISCLOSURE_ACCRUALS_CLASSIFICATION_RELEVANT">'&lt;.7&gt; Analytics &amp; Disclosures'!$B$18</definedName>
    <definedName name="WP_DISCLOSURE_ACCRUALS_CLASSIFICATION_SOURCE_REFERENCE">'&lt;.7&gt; Analytics &amp; Disclosures'!$C$18</definedName>
    <definedName name="WP_DISCLOSURE_ACCRUALS_CLASSIFICATION_CONCLUSION">'&lt;.7&gt; Analytics &amp; Disclosures'!$D$18</definedName>
    <definedName name="WP_DISCLOSURE_ACCRUALS_CLASSIFICATION_COMMENTS">'&lt;.7&gt; Analytics &amp; Disclosures'!$E$18</definedName>
    <definedName name="WP_DISCLOSURE_ACCRUALS_RELATED_PARTIES_ANCHOR">'&lt;.7&gt; Analytics &amp; Disclosures'!$A$19</definedName>
    <definedName name="WP_DISCLOSURE_ACCRUALS_RELATED_PARTIES_RELEVANT">'&lt;.7&gt; Analytics &amp; Disclosures'!$B$19</definedName>
    <definedName name="WP_DISCLOSURE_ACCRUALS_RELATED_PARTIES_SOURCE_REFERENCE">'&lt;.7&gt; Analytics &amp; Disclosures'!$C$19</definedName>
    <definedName name="WP_DISCLOSURE_ACCRUALS_RELATED_PARTIES_CONCLUSION">'&lt;.7&gt; Analytics &amp; Disclosures'!$D$19</definedName>
    <definedName name="WP_DISCLOSURE_ACCRUALS_RELATED_PARTIES_COMMENTS">'&lt;.7&gt; Analytics &amp; Disclosures'!$E$19</definedName>
    <definedName name="WP_DISCLOSURE_ACCRUALS_CONTINGENCIES_ANCHOR">'&lt;.7&gt; Analytics &amp; Disclosures'!$A$20</definedName>
    <definedName name="WP_DISCLOSURE_ACCRUALS_CONTINGENCIES_RELEVANT">'&lt;.7&gt; Analytics &amp; Disclosures'!$B$20</definedName>
    <definedName name="WP_DISCLOSURE_ACCRUALS_CONTINGENCIES_SOURCE_REFERENCE">'&lt;.7&gt; Analytics &amp; Disclosures'!$C$20</definedName>
    <definedName name="WP_DISCLOSURE_ACCRUALS_CONTINGENCIES_CONCLUSION">'&lt;.7&gt; Analytics &amp; Disclosures'!$D$20</definedName>
    <definedName name="WP_DISCLOSURE_ACCRUALS_CONTINGENCIES_COMMENTS">'&lt;.7&gt; Analytics &amp; Disclosures'!$E$20</definedName>
    <definedName name="WP_DISCLOSURE_ACCRUALS_ESTIMATION_UNCERTAINTY_ANCHOR">'&lt;.7&gt; Analytics &amp; Disclosures'!$A$21</definedName>
    <definedName name="WP_DISCLOSURE_ACCRUALS_ESTIMATION_UNCERTAINTY_RELEVANT">'&lt;.7&gt; Analytics &amp; Disclosures'!$B$21</definedName>
    <definedName name="WP_DISCLOSURE_ACCRUALS_ESTIMATION_UNCERTAINTY_SOURCE_REFERENCE">'&lt;.7&gt; Analytics &amp; Disclosures'!$C$21</definedName>
    <definedName name="WP_DISCLOSURE_ACCRUALS_ESTIMATION_UNCERTAINTY_CONCLUSION">'&lt;.7&gt; Analytics &amp; Disclosures'!$D$21</definedName>
    <definedName name="WP_DISCLOSURE_ACCRUALS_ESTIMATION_UNCERTAINTY_COMMENTS">'&lt;.7&gt; Analytics &amp; Disclosures'!$E$21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Procedures'!$A$6:$Q$36</definedName>
    <definedName name="_xlnm.Print_Titles" localSheetId="0">'Library Procedures'!$1:$6</definedName>
    <definedName name="_xlnm.Print_Area" localSheetId="0">'Library Procedures'!$A$1:$Q$36</definedName>
    <definedName name="_xlnm.Print_Area" localSheetId="1">'&lt;.0&gt; Source Index'!$A$1:$H$32</definedName>
    <definedName name="_xlnm.Print_Titles" localSheetId="2">'&lt;.1&gt; Accruals Lead Sheet'!$1:$7</definedName>
    <definedName name="_xlnm.Print_Area" localSheetId="2">'&lt;.1&gt; Accruals Lead Sheet'!$A$1:$I$40</definedName>
    <definedName name="_xlnm.Print_Area" localSheetId="3">'&lt;.2&gt; Accrual Recomputation'!$A$1:$P$34</definedName>
    <definedName name="_xlnm._FilterDatabase" localSheetId="4" hidden="1">'&lt;.3&gt; Detail Testing &amp; Cutoff'!$A$7:$M$22</definedName>
    <definedName name="_xlnm.Print_Area" localSheetId="4">'&lt;.3&gt; Detail Testing &amp; Cutoff'!$A$1:$M$38</definedName>
    <definedName name="_xlnm.Print_Area" localSheetId="5">'&lt;.4&gt; PY Lookback Analysis'!$A$1:$I$36</definedName>
    <definedName name="_xlnm.Print_Area" localSheetId="6">'&lt;.5&gt; Unrecorded Accruals'!$A$1:$K$38</definedName>
    <definedName name="_xlnm.Print_Area" localSheetId="7">'&lt;.6&gt; Estimate Evaluation'!$A$1:$H$37</definedName>
    <definedName name="_xlnm.Print_Area" localSheetId="8">'&lt;.7&gt; Analytics &amp; Disclosures'!$A$1:$H$34</definedName>
    <definedName name="_xlnm.Print_Area" localSheetId="9">'Planning Context'!$A$1:$B$21</definedName>
    <definedName name="_xlnm.Print_Area" localSheetId="10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10" fontId="17" fillId="0" borderId="1" applyAlignment="1" pivotButton="0" quotePrefix="0" xfId="0">
      <alignment vertical="top" wrapText="1"/>
    </xf>
    <xf numFmtId="0" fontId="26" fillId="3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pivotButton="0" quotePrefix="0" xfId="0"/>
    <xf numFmtId="0" fontId="23" fillId="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WP_ACCRUAL_DETAIL" displayName="WP_ACCRUAL_DETAIL" ref="A7:M22" headerRowCount="1">
  <autoFilter ref="A7:M22"/>
  <tableColumns count="13">
    <tableColumn id="1" name="Sample #"/>
    <tableColumn id="2" name="GL #"/>
    <tableColumn id="3" name="GL name"/>
    <tableColumn id="4" name="Accrual description"/>
    <tableColumn id="5" name="Vendor / Service provider"/>
    <tableColumn id="6" name="Accrual amount"/>
    <tableColumn id="7" name="Supporting documentation (desc)"/>
    <tableColumn id="8" name="Goods / services description"/>
    <tableColumn id="9" name="Date goods/services received"/>
    <tableColumn id="10" name="Received before PE? (Y/N)"/>
    <tableColumn id="11" name="Amount properly accrued @ PE"/>
    <tableColumn id="12" name="Amount improperly accrued @ PE"/>
    <tableColumn id="13" name="Not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20" sqref="B20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6.8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0.25" customWidth="1" min="16" max="16"/>
    <col width="64" customWidth="1" min="17" max="17"/>
  </cols>
  <sheetData>
    <row r="1" ht="27" customHeight="1">
      <c r="A1" s="26" t="inlineStr">
        <is>
          <t>Accruals, Provisions &amp; Other Liabilities — Library of Audit Procedures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</row>
    <row r="2">
      <c r="A2" s="28" t="inlineStr">
        <is>
          <t>Client / Entity: Vaquite Industries, Inc.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</row>
    <row r="3" ht="40.5" customHeight="1">
      <c r="A3" s="28" t="inlineStr">
        <is>
          <t>Prepared by: Audit Senior 80A0 (assigned)      Reviewed by: Audit Manager 403F (assigned)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</row>
    <row r="4" ht="25.5" customHeight="1">
      <c r="A4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</row>
    <row r="6" ht="19.5" customHeight="1">
      <c r="A6" s="30" t="inlineStr">
        <is>
          <t>Applicability</t>
        </is>
      </c>
      <c r="B6" s="30" t="inlineStr">
        <is>
          <t>Requirement</t>
        </is>
      </c>
      <c r="C6" s="30" t="inlineStr">
        <is>
          <t>Execution state</t>
        </is>
      </c>
      <c r="D6" s="30" t="inlineStr">
        <is>
          <t>Evidence state</t>
        </is>
      </c>
      <c r="E6" s="30" t="inlineStr">
        <is>
          <t>Result state</t>
        </is>
      </c>
      <c r="F6" s="30" t="inlineStr">
        <is>
          <t>Issue state</t>
        </is>
      </c>
      <c r="G6" s="30" t="inlineStr">
        <is>
          <t>Signoff state</t>
        </is>
      </c>
      <c r="H6" s="30" t="inlineStr">
        <is>
          <t>Derived outcome</t>
        </is>
      </c>
      <c r="I6" s="30" t="inlineStr">
        <is>
          <t>Procedure</t>
        </is>
      </c>
      <c r="J6" s="30" t="inlineStr">
        <is>
          <t>Assertion(s)</t>
        </is>
      </c>
      <c r="K6" s="30" t="inlineStr">
        <is>
          <t>W/P Ref</t>
        </is>
      </c>
      <c r="L6" s="30" t="inlineStr">
        <is>
          <t>Performed by</t>
        </is>
      </c>
      <c r="M6" s="30" t="inlineStr">
        <is>
          <t>Date</t>
        </is>
      </c>
      <c r="N6" s="30" t="inlineStr">
        <is>
          <t>Reason code</t>
        </is>
      </c>
      <c r="O6" s="30" t="inlineStr">
        <is>
          <t>Source fact / evidence</t>
        </is>
      </c>
      <c r="P6" s="30" t="inlineStr">
        <is>
          <t>Issue / dependency IDs</t>
        </is>
      </c>
      <c r="Q6" s="30" t="inlineStr">
        <is>
          <t>Comment / Work performed</t>
        </is>
      </c>
    </row>
    <row r="7">
      <c r="A7" s="31" t="n"/>
      <c r="B7" s="27" t="n"/>
      <c r="C7" s="27" t="n"/>
      <c r="D7" s="27" t="n"/>
      <c r="E7" s="27" t="n"/>
      <c r="F7" s="27" t="n"/>
      <c r="G7" s="27" t="n"/>
      <c r="H7" s="27" t="n"/>
      <c r="I7" s="32" t="inlineStr">
        <is>
          <t>&lt;.0&gt; Source Index</t>
        </is>
      </c>
      <c r="J7" s="27" t="n"/>
      <c r="K7" s="27" t="n"/>
      <c r="L7" s="27" t="n"/>
      <c r="M7" s="27" t="n"/>
      <c r="N7" s="27" t="n"/>
      <c r="O7" s="27" t="n"/>
      <c r="P7" s="27" t="n"/>
      <c r="Q7" s="27" t="n"/>
    </row>
    <row r="8" ht="120" customHeight="1">
      <c r="A8" s="33" t="inlineStr">
        <is>
          <t>Applicable</t>
        </is>
      </c>
      <c r="B8" s="33" t="inlineStr">
        <is>
          <t>Required</t>
        </is>
      </c>
      <c r="C8" s="33" t="inlineStr">
        <is>
          <t>Not Started</t>
        </is>
      </c>
      <c r="D8" s="33" t="inlineStr">
        <is>
          <t>Missing</t>
        </is>
      </c>
      <c r="E8" s="33" t="inlineStr">
        <is>
          <t>Unable to Conclude</t>
        </is>
      </c>
      <c r="F8" s="33" t="inlineStr">
        <is>
          <t>None</t>
        </is>
      </c>
      <c r="G8" s="34" t="inlineStr">
        <is>
          <t>Unsigned</t>
        </is>
      </c>
      <c r="H8" s="34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4" t="inlineStr">
        <is>
          <t>1. Obtain and index all accruals PBC sources (accrual listing/sub-ledger, GL detail, payroll registers, subsequent invoices/payments, RNI report, estimate-methodology memos); document limitations.</t>
        </is>
      </c>
      <c r="J8" s="34" t="inlineStr">
        <is>
          <t>Completeness</t>
        </is>
      </c>
      <c r="K8" s="34" t="inlineStr">
        <is>
          <t>&lt;.0&gt;</t>
        </is>
      </c>
      <c r="L8" s="34" t="n"/>
      <c r="M8" s="35" t="n"/>
      <c r="N8" s="34" t="n"/>
      <c r="O8" s="34" t="n"/>
      <c r="P8" s="34" t="inlineStr">
        <is>
          <t>PROC:PROC-AP-AND-ACCRUALS; WINDOW:WIN-AP-SURL</t>
        </is>
      </c>
      <c r="Q8" s="34" t="n"/>
    </row>
    <row r="9">
      <c r="A9" s="31" t="n"/>
      <c r="B9" s="27" t="n"/>
      <c r="C9" s="27" t="n"/>
      <c r="D9" s="27" t="n"/>
      <c r="E9" s="27" t="n"/>
      <c r="F9" s="27" t="n"/>
      <c r="G9" s="27" t="n"/>
      <c r="H9" s="27" t="n"/>
      <c r="I9" s="36" t="inlineStr">
        <is>
          <t>&lt;.1&gt; Accruals Lead Sheet</t>
        </is>
      </c>
      <c r="J9" s="27" t="n"/>
      <c r="K9" s="27" t="n"/>
      <c r="L9" s="27" t="n"/>
      <c r="M9" s="27" t="n"/>
      <c r="N9" s="27" t="n"/>
      <c r="O9" s="27" t="n"/>
      <c r="P9" s="27" t="n"/>
      <c r="Q9" s="27" t="n"/>
    </row>
    <row r="10" ht="120" customHeight="1">
      <c r="A10" s="33" t="inlineStr">
        <is>
          <t>Applicable</t>
        </is>
      </c>
      <c r="B10" s="33" t="inlineStr">
        <is>
          <t>Required</t>
        </is>
      </c>
      <c r="C10" s="33" t="inlineStr">
        <is>
          <t>Not Started</t>
        </is>
      </c>
      <c r="D10" s="33" t="inlineStr">
        <is>
          <t>Missing</t>
        </is>
      </c>
      <c r="E10" s="33" t="inlineStr">
        <is>
          <t>Unable to Conclude</t>
        </is>
      </c>
      <c r="F10" s="33" t="inlineStr">
        <is>
          <t>None</t>
        </is>
      </c>
      <c r="G10" s="34" t="inlineStr">
        <is>
          <t>Unsigned</t>
        </is>
      </c>
      <c r="H10" s="34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4" t="inlineStr">
        <is>
          <t>2. Obtain the accruals lead sheet and agree each CY and PY accrued-liability balance to the trial balance and general ledger.</t>
        </is>
      </c>
      <c r="J10" s="34" t="inlineStr">
        <is>
          <t>Completeness; Existence</t>
        </is>
      </c>
      <c r="K10" s="34" t="inlineStr">
        <is>
          <t>&lt;.1&gt;</t>
        </is>
      </c>
      <c r="L10" s="34" t="n"/>
      <c r="M10" s="35" t="n"/>
      <c r="N10" s="34" t="n"/>
      <c r="O10" s="34" t="n"/>
      <c r="P10" s="34" t="inlineStr">
        <is>
          <t>PROC:PROC-AP-AND-ACCRUALS</t>
        </is>
      </c>
      <c r="Q10" s="34" t="n"/>
    </row>
    <row r="11" ht="120" customHeight="1">
      <c r="A11" s="33" t="inlineStr">
        <is>
          <t>Applicable</t>
        </is>
      </c>
      <c r="B11" s="33" t="inlineStr">
        <is>
          <t>Required</t>
        </is>
      </c>
      <c r="C11" s="33" t="inlineStr">
        <is>
          <t>Not Started</t>
        </is>
      </c>
      <c r="D11" s="33" t="inlineStr">
        <is>
          <t>Missing</t>
        </is>
      </c>
      <c r="E11" s="33" t="inlineStr">
        <is>
          <t>Unable to Conclude</t>
        </is>
      </c>
      <c r="F11" s="33" t="inlineStr">
        <is>
          <t>None</t>
        </is>
      </c>
      <c r="G11" s="34" t="inlineStr">
        <is>
          <t>Unsigned</t>
        </is>
      </c>
      <c r="H11" s="34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4" t="inlineStr">
        <is>
          <t>3. Foot the lead sheet and agree CY and PY totals to the trial balance.</t>
        </is>
      </c>
      <c r="J11" s="34" t="inlineStr">
        <is>
          <t>Accuracy</t>
        </is>
      </c>
      <c r="K11" s="34" t="inlineStr">
        <is>
          <t>&lt;.1&gt;</t>
        </is>
      </c>
      <c r="L11" s="34" t="n"/>
      <c r="M11" s="35" t="n"/>
      <c r="N11" s="34" t="n"/>
      <c r="O11" s="34" t="n"/>
      <c r="P11" s="34" t="inlineStr">
        <is>
          <t>PROC:PROC-AP-AND-ACCRUALS</t>
        </is>
      </c>
      <c r="Q11" s="34" t="n"/>
    </row>
    <row r="12" ht="120" customHeight="1">
      <c r="A12" s="33" t="inlineStr">
        <is>
          <t>Applicable</t>
        </is>
      </c>
      <c r="B12" s="33" t="inlineStr">
        <is>
          <t>Required</t>
        </is>
      </c>
      <c r="C12" s="33" t="inlineStr">
        <is>
          <t>Not Started</t>
        </is>
      </c>
      <c r="D12" s="33" t="inlineStr">
        <is>
          <t>Missing</t>
        </is>
      </c>
      <c r="E12" s="33" t="inlineStr">
        <is>
          <t>Unable to Conclude</t>
        </is>
      </c>
      <c r="F12" s="33" t="inlineStr">
        <is>
          <t>None</t>
        </is>
      </c>
      <c r="G12" s="34" t="inlineStr">
        <is>
          <t>Unsigned</t>
        </is>
      </c>
      <c r="H12" s="34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4" t="inlineStr">
        <is>
          <t>4. Update the understanding of each accrual (payroll &amp; benefits, customer deposits/contract liabilities, freight/utilities, interest, bonus, PTO, taxes, professional fees) and its estimation method.</t>
        </is>
      </c>
      <c r="J12" s="34" t="inlineStr">
        <is>
          <t>Completeness; Valuation &amp; Allocation</t>
        </is>
      </c>
      <c r="K12" s="34" t="inlineStr">
        <is>
          <t>&lt;.1&gt;</t>
        </is>
      </c>
      <c r="L12" s="34" t="n"/>
      <c r="M12" s="35" t="n"/>
      <c r="N12" s="34" t="n"/>
      <c r="O12" s="34" t="n"/>
      <c r="P12" s="34" t="inlineStr">
        <is>
          <t>PROC:PROC-AP-AND-ACCRUALS</t>
        </is>
      </c>
      <c r="Q12" s="34" t="n"/>
    </row>
    <row r="13">
      <c r="A13" s="31" t="n"/>
      <c r="B13" s="27" t="n"/>
      <c r="C13" s="27" t="n"/>
      <c r="D13" s="27" t="n"/>
      <c r="E13" s="27" t="n"/>
      <c r="F13" s="27" t="n"/>
      <c r="G13" s="27" t="n"/>
      <c r="H13" s="27" t="n"/>
      <c r="I13" s="36" t="inlineStr">
        <is>
          <t>&lt;.2&gt; Accrual Recomputation</t>
        </is>
      </c>
      <c r="J13" s="27" t="n"/>
      <c r="K13" s="27" t="n"/>
      <c r="L13" s="27" t="n"/>
      <c r="M13" s="27" t="n"/>
      <c r="N13" s="27" t="n"/>
      <c r="O13" s="27" t="n"/>
      <c r="P13" s="27" t="n"/>
      <c r="Q13" s="27" t="n"/>
    </row>
    <row r="14" ht="120" customHeight="1">
      <c r="A14" s="33" t="inlineStr">
        <is>
          <t>Applicable</t>
        </is>
      </c>
      <c r="B14" s="33" t="inlineStr">
        <is>
          <t>Required</t>
        </is>
      </c>
      <c r="C14" s="33" t="inlineStr">
        <is>
          <t>Not Started</t>
        </is>
      </c>
      <c r="D14" s="33" t="inlineStr">
        <is>
          <t>Missing</t>
        </is>
      </c>
      <c r="E14" s="33" t="inlineStr">
        <is>
          <t>Unable to Conclude</t>
        </is>
      </c>
      <c r="F14" s="33" t="inlineStr">
        <is>
          <t>None</t>
        </is>
      </c>
      <c r="G14" s="34" t="inlineStr">
        <is>
          <t>Unsigned</t>
        </is>
      </c>
      <c r="H14" s="34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4" t="inlineStr">
        <is>
          <t>5. Obtain detailed accrual listings, agree totals to the general ledger, and test mathematical accuracy.</t>
        </is>
      </c>
      <c r="J14" s="34" t="inlineStr">
        <is>
          <t>Accuracy; Completeness</t>
        </is>
      </c>
      <c r="K14" s="34" t="inlineStr">
        <is>
          <t>&lt;.2&gt;</t>
        </is>
      </c>
      <c r="L14" s="34" t="n"/>
      <c r="M14" s="35" t="n"/>
      <c r="N14" s="34" t="n"/>
      <c r="O14" s="34" t="n"/>
      <c r="P14" s="34" t="inlineStr">
        <is>
          <t>PROC:PROC-AP-AND-ACCRUALS</t>
        </is>
      </c>
      <c r="Q14" s="34" t="n"/>
    </row>
    <row r="15" ht="120" customHeight="1">
      <c r="A15" s="33" t="inlineStr">
        <is>
          <t>Applicable</t>
        </is>
      </c>
      <c r="B15" s="33" t="inlineStr">
        <is>
          <t>Required</t>
        </is>
      </c>
      <c r="C15" s="33" t="inlineStr">
        <is>
          <t>Not Started</t>
        </is>
      </c>
      <c r="D15" s="33" t="inlineStr">
        <is>
          <t>Missing</t>
        </is>
      </c>
      <c r="E15" s="33" t="inlineStr">
        <is>
          <t>Unable to Conclude</t>
        </is>
      </c>
      <c r="F15" s="33" t="inlineStr">
        <is>
          <t>None</t>
        </is>
      </c>
      <c r="G15" s="34" t="inlineStr">
        <is>
          <t>Unsigned</t>
        </is>
      </c>
      <c r="H15" s="34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4" t="inlineStr">
        <is>
          <t>6. Independently recompute each accrual from its driver and basis — payroll accrued from the last pay-period end to year-end (incl. employer taxes and benefit match), customer deposits by roll-forward, freight/utilities against subsequent invoices, interest by principal x rate x days — and compare to the recorded amount.</t>
        </is>
      </c>
      <c r="J15" s="34" t="inlineStr">
        <is>
          <t>Valuation &amp; Allocation; Accuracy</t>
        </is>
      </c>
      <c r="K15" s="34" t="inlineStr">
        <is>
          <t>&lt;.2&gt;</t>
        </is>
      </c>
      <c r="L15" s="34" t="n"/>
      <c r="M15" s="35" t="n"/>
      <c r="N15" s="34" t="n"/>
      <c r="O15" s="34" t="n"/>
      <c r="P15" s="34" t="inlineStr">
        <is>
          <t>PROC:PROC-AP-AND-ACCRUALS; WINDOW:WIN-AP-SURL</t>
        </is>
      </c>
      <c r="Q15" s="34" t="n"/>
    </row>
    <row r="16">
      <c r="A16" s="31" t="n"/>
      <c r="B16" s="27" t="n"/>
      <c r="C16" s="27" t="n"/>
      <c r="D16" s="27" t="n"/>
      <c r="E16" s="27" t="n"/>
      <c r="F16" s="27" t="n"/>
      <c r="G16" s="27" t="n"/>
      <c r="H16" s="27" t="n"/>
      <c r="I16" s="36" t="inlineStr">
        <is>
          <t>&lt;.3&gt; Detail Testing &amp; Cutoff</t>
        </is>
      </c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 ht="120" customHeight="1">
      <c r="A17" s="33" t="inlineStr">
        <is>
          <t>Applicable</t>
        </is>
      </c>
      <c r="B17" s="33" t="inlineStr">
        <is>
          <t>Required</t>
        </is>
      </c>
      <c r="C17" s="33" t="inlineStr">
        <is>
          <t>Not Started</t>
        </is>
      </c>
      <c r="D17" s="33" t="inlineStr">
        <is>
          <t>Missing</t>
        </is>
      </c>
      <c r="E17" s="33" t="inlineStr">
        <is>
          <t>Unable to Conclude</t>
        </is>
      </c>
      <c r="F17" s="33" t="inlineStr">
        <is>
          <t>None</t>
        </is>
      </c>
      <c r="G17" s="34" t="inlineStr">
        <is>
          <t>Unsigned</t>
        </is>
      </c>
      <c r="H17" s="34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4" t="inlineStr">
        <is>
          <t>7. For a sample of accruals, examine supporting documentation, determine whether the goods/services were received on or before period-end, and evaluate the amount properly vs improperly accrued.</t>
        </is>
      </c>
      <c r="J17" s="34" t="inlineStr">
        <is>
          <t>Existence; Cutoff; Valuation &amp; Allocation</t>
        </is>
      </c>
      <c r="K17" s="34" t="inlineStr">
        <is>
          <t>&lt;.3&gt;</t>
        </is>
      </c>
      <c r="L17" s="34" t="n"/>
      <c r="M17" s="35" t="n"/>
      <c r="N17" s="34" t="n"/>
      <c r="O17" s="34" t="n"/>
      <c r="P17" s="34" t="inlineStr">
        <is>
          <t>PROC:PROC-AP-AND-ACCRUALS</t>
        </is>
      </c>
      <c r="Q17" s="34" t="n"/>
    </row>
    <row r="18">
      <c r="A18" s="31" t="n"/>
      <c r="B18" s="27" t="n"/>
      <c r="C18" s="27" t="n"/>
      <c r="D18" s="27" t="n"/>
      <c r="E18" s="27" t="n"/>
      <c r="F18" s="27" t="n"/>
      <c r="G18" s="27" t="n"/>
      <c r="H18" s="27" t="n"/>
      <c r="I18" s="36" t="inlineStr">
        <is>
          <t>&lt;.4&gt; Prior-Year Lookback</t>
        </is>
      </c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 ht="120" customHeight="1">
      <c r="A19" s="33" t="inlineStr">
        <is>
          <t>Applicable</t>
        </is>
      </c>
      <c r="B19" s="33" t="inlineStr">
        <is>
          <t>Required</t>
        </is>
      </c>
      <c r="C19" s="33" t="inlineStr">
        <is>
          <t>Not Started</t>
        </is>
      </c>
      <c r="D19" s="33" t="inlineStr">
        <is>
          <t>Missing</t>
        </is>
      </c>
      <c r="E19" s="33" t="inlineStr">
        <is>
          <t>Unable to Conclude</t>
        </is>
      </c>
      <c r="F19" s="33" t="inlineStr">
        <is>
          <t>None</t>
        </is>
      </c>
      <c r="G19" s="34" t="inlineStr">
        <is>
          <t>Unsigned</t>
        </is>
      </c>
      <c r="H19" s="34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4" t="inlineStr">
        <is>
          <t>8. Perform a retrospective review (lookback) — test prior-year accruals by their actual subsequent settlement/reversal to evaluate the reliability of the prior estimate and confirm the current-year opening balance is correct.</t>
        </is>
      </c>
      <c r="J19" s="34" t="inlineStr">
        <is>
          <t>Valuation &amp; Allocation; Accuracy</t>
        </is>
      </c>
      <c r="K19" s="34" t="inlineStr">
        <is>
          <t>&lt;.4&gt;</t>
        </is>
      </c>
      <c r="L19" s="34" t="n"/>
      <c r="M19" s="35" t="n"/>
      <c r="N19" s="34" t="n"/>
      <c r="O19" s="34" t="n"/>
      <c r="P19" s="34" t="inlineStr">
        <is>
          <t>PROC:PROC-AP-AND-ACCRUALS; WINDOW:WIN-AP-SURL</t>
        </is>
      </c>
      <c r="Q19" s="34" t="n"/>
    </row>
    <row r="20" ht="120" customHeight="1">
      <c r="A20" s="33" t="inlineStr">
        <is>
          <t>Applicable</t>
        </is>
      </c>
      <c r="B20" s="33" t="inlineStr">
        <is>
          <t>Required</t>
        </is>
      </c>
      <c r="C20" s="33" t="inlineStr">
        <is>
          <t>Not Started</t>
        </is>
      </c>
      <c r="D20" s="33" t="inlineStr">
        <is>
          <t>Missing</t>
        </is>
      </c>
      <c r="E20" s="33" t="inlineStr">
        <is>
          <t>Unable to Conclude</t>
        </is>
      </c>
      <c r="F20" s="33" t="inlineStr">
        <is>
          <t>None</t>
        </is>
      </c>
      <c r="G20" s="34" t="inlineStr">
        <is>
          <t>Unsigned</t>
        </is>
      </c>
      <c r="H20" s="34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4" t="inlineStr">
        <is>
          <t>9. Evaluate whether variances between prior-year accruals and actual settlement indicate management bias or an opening-balance misstatement.</t>
        </is>
      </c>
      <c r="J20" s="34" t="inlineStr">
        <is>
          <t>Valuation &amp; Allocation</t>
        </is>
      </c>
      <c r="K20" s="34" t="inlineStr">
        <is>
          <t>&lt;.4&gt;</t>
        </is>
      </c>
      <c r="L20" s="34" t="n"/>
      <c r="M20" s="35" t="n"/>
      <c r="N20" s="34" t="n"/>
      <c r="O20" s="34" t="n"/>
      <c r="P20" s="34" t="inlineStr">
        <is>
          <t>PROC:PROC-AP-AND-ACCRUALS</t>
        </is>
      </c>
      <c r="Q20" s="34" t="n"/>
    </row>
    <row r="21">
      <c r="A21" s="31" t="n"/>
      <c r="B21" s="27" t="n"/>
      <c r="C21" s="27" t="n"/>
      <c r="D21" s="27" t="n"/>
      <c r="E21" s="27" t="n"/>
      <c r="F21" s="27" t="n"/>
      <c r="G21" s="27" t="n"/>
      <c r="H21" s="27" t="n"/>
      <c r="I21" s="36" t="inlineStr">
        <is>
          <t>&lt;.5&gt; Search for Unrecorded Accruals</t>
        </is>
      </c>
      <c r="J21" s="27" t="n"/>
      <c r="K21" s="27" t="n"/>
      <c r="L21" s="27" t="n"/>
      <c r="M21" s="27" t="n"/>
      <c r="N21" s="27" t="n"/>
      <c r="O21" s="27" t="n"/>
      <c r="P21" s="27" t="n"/>
      <c r="Q21" s="27" t="n"/>
    </row>
    <row r="22" ht="120" customHeight="1">
      <c r="A22" s="33" t="inlineStr">
        <is>
          <t>Applicable</t>
        </is>
      </c>
      <c r="B22" s="33" t="inlineStr">
        <is>
          <t>Required</t>
        </is>
      </c>
      <c r="C22" s="33" t="inlineStr">
        <is>
          <t>Not Started</t>
        </is>
      </c>
      <c r="D22" s="33" t="inlineStr">
        <is>
          <t>Missing</t>
        </is>
      </c>
      <c r="E22" s="33" t="inlineStr">
        <is>
          <t>Unable to Conclude</t>
        </is>
      </c>
      <c r="F22" s="33" t="inlineStr">
        <is>
          <t>None</t>
        </is>
      </c>
      <c r="G22" s="34" t="inlineStr">
        <is>
          <t>Unsigned</t>
        </is>
      </c>
      <c r="H22" s="34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4" t="inlineStr">
        <is>
          <t>10. Search for unrecorded accruals — review subsequent invoices/payments and the received-not-invoiced (RNI) report for expenses relating to the pre-year-end period that were not accrued.</t>
        </is>
      </c>
      <c r="J22" s="34" t="inlineStr">
        <is>
          <t>Completeness; Cutoff</t>
        </is>
      </c>
      <c r="K22" s="34" t="inlineStr">
        <is>
          <t>&lt;.5&gt;</t>
        </is>
      </c>
      <c r="L22" s="34" t="n"/>
      <c r="M22" s="35" t="n"/>
      <c r="N22" s="34" t="n"/>
      <c r="O22" s="34" t="n"/>
      <c r="P22" s="34" t="inlineStr">
        <is>
          <t>PROC:PROC-AP-AND-ACCRUALS; WINDOW:WIN-AP-SURL</t>
        </is>
      </c>
      <c r="Q22" s="34" t="n"/>
    </row>
    <row r="23" ht="120" customHeight="1">
      <c r="A23" s="33" t="inlineStr">
        <is>
          <t>Applicable</t>
        </is>
      </c>
      <c r="B23" s="33" t="inlineStr">
        <is>
          <t>Required</t>
        </is>
      </c>
      <c r="C23" s="33" t="inlineStr">
        <is>
          <t>Not Started</t>
        </is>
      </c>
      <c r="D23" s="33" t="inlineStr">
        <is>
          <t>Missing</t>
        </is>
      </c>
      <c r="E23" s="33" t="inlineStr">
        <is>
          <t>Unable to Conclude</t>
        </is>
      </c>
      <c r="F23" s="33" t="inlineStr">
        <is>
          <t>None</t>
        </is>
      </c>
      <c r="G23" s="34" t="inlineStr">
        <is>
          <t>Unsigned</t>
        </is>
      </c>
      <c r="H23" s="34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4" t="inlineStr">
        <is>
          <t>11. For any item relating to pre-year-end and not accrued, quantify the unrecorded liability and evaluate against the testing threshold.</t>
        </is>
      </c>
      <c r="J23" s="34" t="inlineStr">
        <is>
          <t>Completeness; Valuation &amp; Allocation</t>
        </is>
      </c>
      <c r="K23" s="34" t="inlineStr">
        <is>
          <t>&lt;.5&gt;</t>
        </is>
      </c>
      <c r="L23" s="34" t="n"/>
      <c r="M23" s="35" t="n"/>
      <c r="N23" s="34" t="n"/>
      <c r="O23" s="34" t="n"/>
      <c r="P23" s="34" t="inlineStr">
        <is>
          <t>PROC:PROC-AP-AND-ACCRUALS</t>
        </is>
      </c>
      <c r="Q23" s="34" t="n"/>
    </row>
    <row r="24">
      <c r="A24" s="31" t="n"/>
      <c r="B24" s="27" t="n"/>
      <c r="C24" s="27" t="n"/>
      <c r="D24" s="27" t="n"/>
      <c r="E24" s="27" t="n"/>
      <c r="F24" s="27" t="n"/>
      <c r="G24" s="27" t="n"/>
      <c r="H24" s="27" t="n"/>
      <c r="I24" s="36" t="inlineStr">
        <is>
          <t>&lt;.6&gt; Estimate Evaluation (AU-C 540)</t>
        </is>
      </c>
      <c r="J24" s="27" t="n"/>
      <c r="K24" s="27" t="n"/>
      <c r="L24" s="27" t="n"/>
      <c r="M24" s="27" t="n"/>
      <c r="N24" s="27" t="n"/>
      <c r="O24" s="27" t="n"/>
      <c r="P24" s="27" t="n"/>
      <c r="Q24" s="27" t="n"/>
    </row>
    <row r="25" ht="120" customHeight="1">
      <c r="A25" s="33" t="inlineStr">
        <is>
          <t>Applicable</t>
        </is>
      </c>
      <c r="B25" s="33" t="inlineStr">
        <is>
          <t>Required</t>
        </is>
      </c>
      <c r="C25" s="33" t="inlineStr">
        <is>
          <t>Not Started</t>
        </is>
      </c>
      <c r="D25" s="33" t="inlineStr">
        <is>
          <t>Missing</t>
        </is>
      </c>
      <c r="E25" s="33" t="inlineStr">
        <is>
          <t>Unable to Conclude</t>
        </is>
      </c>
      <c r="F25" s="33" t="inlineStr">
        <is>
          <t>None</t>
        </is>
      </c>
      <c r="G25" s="34" t="inlineStr">
        <is>
          <t>Unsigned</t>
        </is>
      </c>
      <c r="H25" s="34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4" t="inlineStr">
        <is>
          <t>12. For estimated accruals, evaluate whether the measurement method is appropriate and consistently applied.</t>
        </is>
      </c>
      <c r="J25" s="34" t="inlineStr">
        <is>
          <t>Valuation &amp; Allocation</t>
        </is>
      </c>
      <c r="K25" s="34" t="inlineStr">
        <is>
          <t>&lt;.6&gt;</t>
        </is>
      </c>
      <c r="L25" s="34" t="n"/>
      <c r="M25" s="35" t="n"/>
      <c r="N25" s="34" t="n"/>
      <c r="O25" s="34" t="n"/>
      <c r="P25" s="34" t="inlineStr">
        <is>
          <t>PROC:PROC-AP-AND-ACCRUALS</t>
        </is>
      </c>
      <c r="Q25" s="34" t="n"/>
    </row>
    <row r="26" ht="120" customHeight="1">
      <c r="A26" s="33" t="inlineStr">
        <is>
          <t>Applicable</t>
        </is>
      </c>
      <c r="B26" s="33" t="inlineStr">
        <is>
          <t>Required</t>
        </is>
      </c>
      <c r="C26" s="33" t="inlineStr">
        <is>
          <t>Not Started</t>
        </is>
      </c>
      <c r="D26" s="33" t="inlineStr">
        <is>
          <t>Missing</t>
        </is>
      </c>
      <c r="E26" s="33" t="inlineStr">
        <is>
          <t>Unable to Conclude</t>
        </is>
      </c>
      <c r="F26" s="33" t="inlineStr">
        <is>
          <t>None</t>
        </is>
      </c>
      <c r="G26" s="34" t="inlineStr">
        <is>
          <t>Unsigned</t>
        </is>
      </c>
      <c r="H26" s="34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4" t="inlineStr">
        <is>
          <t>13. Evaluate whether the assumptions are reasonable and supported and whether the underlying data is relevant, reliable and complete.</t>
        </is>
      </c>
      <c r="J26" s="34" t="inlineStr">
        <is>
          <t>Valuation &amp; Allocation</t>
        </is>
      </c>
      <c r="K26" s="34" t="inlineStr">
        <is>
          <t>&lt;.6&gt;</t>
        </is>
      </c>
      <c r="L26" s="34" t="n"/>
      <c r="M26" s="35" t="n"/>
      <c r="N26" s="34" t="n"/>
      <c r="O26" s="34" t="n"/>
      <c r="P26" s="34" t="inlineStr">
        <is>
          <t>PROC:PROC-AP-AND-ACCRUALS</t>
        </is>
      </c>
      <c r="Q26" s="34" t="n"/>
    </row>
    <row r="27" ht="120" customHeight="1">
      <c r="A27" s="33" t="inlineStr">
        <is>
          <t>Applicable</t>
        </is>
      </c>
      <c r="B27" s="33" t="inlineStr">
        <is>
          <t>Required</t>
        </is>
      </c>
      <c r="C27" s="33" t="inlineStr">
        <is>
          <t>Not Started</t>
        </is>
      </c>
      <c r="D27" s="33" t="inlineStr">
        <is>
          <t>Missing</t>
        </is>
      </c>
      <c r="E27" s="33" t="inlineStr">
        <is>
          <t>Unable to Conclude</t>
        </is>
      </c>
      <c r="F27" s="33" t="inlineStr">
        <is>
          <t>None</t>
        </is>
      </c>
      <c r="G27" s="34" t="inlineStr">
        <is>
          <t>Unsigned</t>
        </is>
      </c>
      <c r="H27" s="34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4" t="inlineStr">
        <is>
          <t>14. Consider indicators of management bias and evaluate the point estimate against an auditor range where applicable.</t>
        </is>
      </c>
      <c r="J27" s="34" t="inlineStr">
        <is>
          <t>Valuation &amp; Allocation</t>
        </is>
      </c>
      <c r="K27" s="34" t="inlineStr">
        <is>
          <t>&lt;.6&gt;</t>
        </is>
      </c>
      <c r="L27" s="34" t="n"/>
      <c r="M27" s="35" t="n"/>
      <c r="N27" s="34" t="n"/>
      <c r="O27" s="34" t="n"/>
      <c r="P27" s="34" t="inlineStr">
        <is>
          <t>PROC:PROC-AP-AND-ACCRUALS</t>
        </is>
      </c>
      <c r="Q27" s="34" t="n"/>
    </row>
    <row r="28" ht="120" customHeight="1">
      <c r="A28" s="33" t="inlineStr">
        <is>
          <t>Applicable</t>
        </is>
      </c>
      <c r="B28" s="33" t="inlineStr">
        <is>
          <t>Required</t>
        </is>
      </c>
      <c r="C28" s="33" t="inlineStr">
        <is>
          <t>Not Started</t>
        </is>
      </c>
      <c r="D28" s="33" t="inlineStr">
        <is>
          <t>Missing</t>
        </is>
      </c>
      <c r="E28" s="33" t="inlineStr">
        <is>
          <t>Unable to Conclude</t>
        </is>
      </c>
      <c r="F28" s="33" t="inlineStr">
        <is>
          <t>None</t>
        </is>
      </c>
      <c r="G28" s="34" t="inlineStr">
        <is>
          <t>Unsigned</t>
        </is>
      </c>
      <c r="H28" s="34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34" t="inlineStr">
        <is>
          <t>15. Evaluate the adequacy of disclosure of estimation uncertainty.</t>
        </is>
      </c>
      <c r="J28" s="34" t="inlineStr">
        <is>
          <t>Presentation &amp; Disclosure</t>
        </is>
      </c>
      <c r="K28" s="34" t="inlineStr">
        <is>
          <t>&lt;.6&gt;</t>
        </is>
      </c>
      <c r="L28" s="34" t="n"/>
      <c r="M28" s="35" t="n"/>
      <c r="N28" s="34" t="n"/>
      <c r="O28" s="34" t="n"/>
      <c r="P28" s="34" t="inlineStr">
        <is>
          <t>PROC:PROC-AP-AND-ACCRUALS</t>
        </is>
      </c>
      <c r="Q28" s="34" t="n"/>
    </row>
    <row r="29">
      <c r="A29" s="31" t="n"/>
      <c r="B29" s="27" t="n"/>
      <c r="C29" s="27" t="n"/>
      <c r="D29" s="27" t="n"/>
      <c r="E29" s="27" t="n"/>
      <c r="F29" s="27" t="n"/>
      <c r="G29" s="27" t="n"/>
      <c r="H29" s="27" t="n"/>
      <c r="I29" s="36" t="inlineStr">
        <is>
          <t>&lt;.7&gt; Analytics &amp; Disclosures</t>
        </is>
      </c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0" ht="120" customHeight="1">
      <c r="A30" s="33" t="inlineStr">
        <is>
          <t>Applicable</t>
        </is>
      </c>
      <c r="B30" s="33" t="inlineStr">
        <is>
          <t>Required</t>
        </is>
      </c>
      <c r="C30" s="33" t="inlineStr">
        <is>
          <t>Not Started</t>
        </is>
      </c>
      <c r="D30" s="33" t="inlineStr">
        <is>
          <t>Missing</t>
        </is>
      </c>
      <c r="E30" s="33" t="inlineStr">
        <is>
          <t>Unable to Conclude</t>
        </is>
      </c>
      <c r="F30" s="33" t="inlineStr">
        <is>
          <t>None</t>
        </is>
      </c>
      <c r="G30" s="34" t="inlineStr">
        <is>
          <t>Unsigned</t>
        </is>
      </c>
      <c r="H30" s="34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4" t="inlineStr">
        <is>
          <t>16. Compute accrual analytics (total accruals, accruals as % of expenses, accrued payroll vs annual payroll, PY comparison) and investigate unusual trends.</t>
        </is>
      </c>
      <c r="J30" s="34" t="inlineStr">
        <is>
          <t>Completeness; Valuation &amp; Allocation</t>
        </is>
      </c>
      <c r="K30" s="34" t="inlineStr">
        <is>
          <t>&lt;.7&gt;</t>
        </is>
      </c>
      <c r="L30" s="34" t="n"/>
      <c r="M30" s="35" t="n"/>
      <c r="N30" s="34" t="n"/>
      <c r="O30" s="34" t="n"/>
      <c r="P30" s="34" t="inlineStr">
        <is>
          <t>PROC:PROC-AP-AND-ACCRUALS</t>
        </is>
      </c>
      <c r="Q30" s="34" t="n"/>
    </row>
    <row r="31" ht="120" customHeight="1">
      <c r="A31" s="33" t="inlineStr">
        <is>
          <t>Applicable</t>
        </is>
      </c>
      <c r="B31" s="33" t="inlineStr">
        <is>
          <t>Required</t>
        </is>
      </c>
      <c r="C31" s="33" t="inlineStr">
        <is>
          <t>Not Started</t>
        </is>
      </c>
      <c r="D31" s="33" t="inlineStr">
        <is>
          <t>Missing</t>
        </is>
      </c>
      <c r="E31" s="33" t="inlineStr">
        <is>
          <t>Unable to Conclude</t>
        </is>
      </c>
      <c r="F31" s="33" t="inlineStr">
        <is>
          <t>None</t>
        </is>
      </c>
      <c r="G31" s="34" t="inlineStr">
        <is>
          <t>Unsigned</t>
        </is>
      </c>
      <c r="H31" s="34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4" t="inlineStr">
        <is>
          <t>17. Evaluate presentation and disclosure — customer deposits / contract-liability classification (ASC 606), current vs noncurrent, related-party accruals, and contingencies/provisions (ASC 450).</t>
        </is>
      </c>
      <c r="J31" s="34" t="inlineStr">
        <is>
          <t>Presentation &amp; Disclosure; Classification</t>
        </is>
      </c>
      <c r="K31" s="34" t="inlineStr">
        <is>
          <t>&lt;.7&gt;</t>
        </is>
      </c>
      <c r="L31" s="34" t="n"/>
      <c r="M31" s="35" t="n"/>
      <c r="N31" s="34" t="n"/>
      <c r="O31" s="34" t="n"/>
      <c r="P31" s="34" t="inlineStr">
        <is>
          <t>PROC:PROC-AP-AND-ACCRUALS</t>
        </is>
      </c>
      <c r="Q31" s="34" t="n"/>
    </row>
    <row r="32">
      <c r="A32" s="31" t="n"/>
      <c r="B32" s="27" t="n"/>
      <c r="C32" s="27" t="n"/>
      <c r="D32" s="27" t="n"/>
      <c r="E32" s="27" t="n"/>
      <c r="F32" s="27" t="n"/>
      <c r="G32" s="27" t="n"/>
      <c r="H32" s="27" t="n"/>
      <c r="I32" s="36" t="inlineStr">
        <is>
          <t>Documentation &amp; Review</t>
        </is>
      </c>
      <c r="J32" s="27" t="n"/>
      <c r="K32" s="27" t="n"/>
      <c r="L32" s="27" t="n"/>
      <c r="M32" s="27" t="n"/>
      <c r="N32" s="27" t="n"/>
      <c r="O32" s="27" t="n"/>
      <c r="P32" s="27" t="n"/>
      <c r="Q32" s="27" t="n"/>
    </row>
    <row r="33" ht="120" customHeight="1">
      <c r="A33" s="33" t="inlineStr">
        <is>
          <t>Applicable</t>
        </is>
      </c>
      <c r="B33" s="33" t="inlineStr">
        <is>
          <t>Required</t>
        </is>
      </c>
      <c r="C33" s="33" t="inlineStr">
        <is>
          <t>Not Started</t>
        </is>
      </c>
      <c r="D33" s="33" t="inlineStr">
        <is>
          <t>Missing</t>
        </is>
      </c>
      <c r="E33" s="33" t="inlineStr">
        <is>
          <t>Unable to Conclude</t>
        </is>
      </c>
      <c r="F33" s="33" t="inlineStr">
        <is>
          <t>None</t>
        </is>
      </c>
      <c r="G33" s="34" t="inlineStr">
        <is>
          <t>Unsigned</t>
        </is>
      </c>
      <c r="H33" s="34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4" t="inlineStr">
        <is>
          <t>18. Cross-reference each procedure to its workpaper tab and link it to the relevant assertion(s).</t>
        </is>
      </c>
      <c r="J33" s="34" t="inlineStr">
        <is>
          <t>Overall</t>
        </is>
      </c>
      <c r="K33" s="34" t="inlineStr">
        <is>
          <t>&lt;.0&gt;-&lt;.7&gt;</t>
        </is>
      </c>
      <c r="L33" s="34" t="n"/>
      <c r="M33" s="35" t="n"/>
      <c r="N33" s="34" t="n"/>
      <c r="O33" s="34" t="n"/>
      <c r="P33" s="34" t="inlineStr">
        <is>
          <t>PROC:PROC-AP-AND-ACCRUALS</t>
        </is>
      </c>
      <c r="Q33" s="34" t="n"/>
    </row>
    <row r="34" ht="120" customHeight="1">
      <c r="A34" s="33" t="inlineStr">
        <is>
          <t>Applicable</t>
        </is>
      </c>
      <c r="B34" s="33" t="inlineStr">
        <is>
          <t>Required</t>
        </is>
      </c>
      <c r="C34" s="33" t="inlineStr">
        <is>
          <t>Not Started</t>
        </is>
      </c>
      <c r="D34" s="33" t="inlineStr">
        <is>
          <t>Missing</t>
        </is>
      </c>
      <c r="E34" s="33" t="inlineStr">
        <is>
          <t>Unable to Conclude</t>
        </is>
      </c>
      <c r="F34" s="33" t="inlineStr">
        <is>
          <t>None</t>
        </is>
      </c>
      <c r="G34" s="34" t="inlineStr">
        <is>
          <t>Unsigned</t>
        </is>
      </c>
      <c r="H34" s="34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4" t="inlineStr">
        <is>
          <t>19. Verify lead-sheet and recomputation tie-out formulas foot correctly and the workbook source trail is complete.</t>
        </is>
      </c>
      <c r="J34" s="34" t="inlineStr">
        <is>
          <t>Accuracy; Completeness</t>
        </is>
      </c>
      <c r="K34" s="34" t="inlineStr">
        <is>
          <t>&lt;.1&gt;/&lt;.2&gt;</t>
        </is>
      </c>
      <c r="L34" s="34" t="n"/>
      <c r="M34" s="35" t="n"/>
      <c r="N34" s="34" t="n"/>
      <c r="O34" s="34" t="n"/>
      <c r="P34" s="34" t="inlineStr">
        <is>
          <t>PROC:PROC-AP-AND-ACCRUALS</t>
        </is>
      </c>
      <c r="Q34" s="34" t="n"/>
    </row>
    <row r="35">
      <c r="A35" s="31" t="n"/>
      <c r="B35" s="27" t="n"/>
      <c r="C35" s="27" t="n"/>
      <c r="D35" s="27" t="n"/>
      <c r="E35" s="27" t="n"/>
      <c r="F35" s="27" t="n"/>
      <c r="G35" s="27" t="n"/>
      <c r="H35" s="27" t="n"/>
      <c r="I35" s="32" t="inlineStr">
        <is>
          <t>Conclusion</t>
        </is>
      </c>
      <c r="J35" s="27" t="n"/>
      <c r="K35" s="27" t="n"/>
      <c r="L35" s="27" t="n"/>
      <c r="M35" s="27" t="n"/>
      <c r="N35" s="27" t="n"/>
      <c r="O35" s="27" t="n"/>
      <c r="P35" s="27" t="n"/>
      <c r="Q35" s="27" t="n"/>
    </row>
    <row r="36" ht="120" customHeight="1">
      <c r="A36" s="33" t="inlineStr">
        <is>
          <t>Applicable</t>
        </is>
      </c>
      <c r="B36" s="33" t="inlineStr">
        <is>
          <t>Required</t>
        </is>
      </c>
      <c r="C36" s="33" t="inlineStr">
        <is>
          <t>Not Started</t>
        </is>
      </c>
      <c r="D36" s="33" t="inlineStr">
        <is>
          <t>Missing</t>
        </is>
      </c>
      <c r="E36" s="33" t="inlineStr">
        <is>
          <t>Unable to Conclude</t>
        </is>
      </c>
      <c r="F36" s="33" t="inlineStr">
        <is>
          <t>None</t>
        </is>
      </c>
      <c r="G36" s="34" t="inlineStr">
        <is>
          <t>Unsigned</t>
        </is>
      </c>
      <c r="H36" s="34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34" t="inlineStr">
        <is>
          <t>20. All planned accruals audit procedures above were performed; results support the recorded accrued liabilities and related disclosures, subject to documented open items.</t>
        </is>
      </c>
      <c r="J36" s="34" t="inlineStr">
        <is>
          <t>Overall</t>
        </is>
      </c>
      <c r="K36" s="34" t="inlineStr">
        <is>
          <t>&lt;.0&gt;-&lt;.7&gt;</t>
        </is>
      </c>
      <c r="L36" s="34" t="n"/>
      <c r="M36" s="35" t="n"/>
      <c r="N36" s="34" t="n"/>
      <c r="O36" s="34" t="n"/>
      <c r="P36" s="34" t="inlineStr">
        <is>
          <t>PROC:PROC-AP-AND-ACCRUALS</t>
        </is>
      </c>
      <c r="Q36" s="34" t="n"/>
    </row>
  </sheetData>
  <autoFilter ref="A6:Q36"/>
  <mergeCells count="11">
    <mergeCell ref="I16:Q16"/>
    <mergeCell ref="I32:Q32"/>
    <mergeCell ref="I7:Q7"/>
    <mergeCell ref="I24:Q24"/>
    <mergeCell ref="A4:Q4"/>
    <mergeCell ref="I29:Q29"/>
    <mergeCell ref="I13:Q13"/>
    <mergeCell ref="I18:Q18"/>
    <mergeCell ref="I9:Q9"/>
    <mergeCell ref="I21:Q21"/>
    <mergeCell ref="I35:Q35"/>
  </mergeCells>
  <conditionalFormatting sqref="A8:Q3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9 A20 A22 A23 A25 A26 A27 A28 A30 A31 A33 A34 A36" showDropDown="0" showInputMessage="0" showErrorMessage="0" allowBlank="0" type="list">
      <formula1>"Applicable,Not Applicable - Fact Driven"</formula1>
    </dataValidation>
    <dataValidation sqref="B8 B10 B11 B12 B14 B15 B17 B19 B20 B22 B23 B25 B26 B27 B28 B30 B31 B33 B34 B36" showDropDown="0" showInputMessage="0" showErrorMessage="0" allowBlank="0" type="list">
      <formula1>"Required,Recommended"</formula1>
    </dataValidation>
    <dataValidation sqref="C8 C10 C11 C12 C14 C15 C17 C19 C20 C22 C23 C25 C26 C27 C28 C30 C31 C33 C34 C36" showDropDown="0" showInputMessage="0" showErrorMessage="0" allowBlank="0" type="list">
      <formula1>"Not Started,In Progress,Performed,Not Performed"</formula1>
    </dataValidation>
    <dataValidation sqref="D8 D10 D11 D12 D14 D15 D17 D19 D20 D22 D23 D25 D26 D27 D28 D30 D31 D33 D34 D36" showDropDown="0" showInputMessage="0" showErrorMessage="0" allowBlank="0" type="list">
      <formula1>"Sufficient,Missing,Unreadable,Unreliable,Contradictory,Not Required"</formula1>
    </dataValidation>
    <dataValidation sqref="E8 E10 E11 E12 E14 E15 E17 E19 E20 E22 E23 E25 E26 E27 E28 E30 E31 E33 E34 E36" showDropDown="0" showInputMessage="0" showErrorMessage="0" allowBlank="0" type="list">
      <formula1>"No Exception,Exception Identified,Unable to Conclude"</formula1>
    </dataValidation>
    <dataValidation sqref="F8 F10 F11 F12 F14 F15 F17 F19 F20 F22 F23 F25 F26 F27 F28 F30 F31 F33 F34 F36" showDropDown="0" showInputMessage="0" showErrorMessage="0" allowBlank="0" type="list">
      <formula1>"None,Open,Adjusted,Passed,Resolved,Superseded"</formula1>
    </dataValidation>
    <dataValidation sqref="G8 G10 G11 G12 G14 G15 G17 G19 G20 G22 G23 G25 G26 G27 G28 G30 G31 G33 G34 G3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5" sqref="A5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37" t="inlineStr">
        <is>
          <t>Source Index</t>
        </is>
      </c>
      <c r="B1" s="27" t="n"/>
      <c r="C1" s="27" t="n"/>
      <c r="D1" s="27" t="n"/>
      <c r="E1" s="27" t="n"/>
      <c r="F1" s="27" t="n"/>
      <c r="G1" s="27" t="n"/>
      <c r="H1" s="27" t="n"/>
    </row>
    <row r="2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</row>
    <row r="4" ht="27.75" customHeight="1">
      <c r="A4" s="43" t="inlineStr">
        <is>
          <t>Purpose:</t>
        </is>
      </c>
      <c r="B4" s="44" t="inlineStr">
        <is>
          <t>Map every accruals PBC source and its limitations so the evidence trail is complete and traceable.</t>
        </is>
      </c>
      <c r="C4" s="45" t="n"/>
      <c r="D4" s="45" t="n"/>
      <c r="E4" s="45" t="n"/>
      <c r="F4" s="45" t="n"/>
      <c r="G4" s="46" t="n"/>
      <c r="H4" s="27" t="n"/>
    </row>
    <row r="5" ht="27.75" customHeight="1">
      <c r="A5" s="43" t="inlineStr">
        <is>
          <t>Scope:</t>
        </is>
      </c>
      <c r="B5" s="44" t="inlineStr">
        <is>
          <t>Accrual listing / sub-ledger, GL detail, payroll registers, subsequent invoices/payments, RNI report, and estimate-methodology memos.</t>
        </is>
      </c>
      <c r="C5" s="45" t="n"/>
      <c r="D5" s="45" t="n"/>
      <c r="E5" s="45" t="n"/>
      <c r="F5" s="45" t="n"/>
      <c r="G5" s="46" t="n"/>
      <c r="H5" s="27" t="n"/>
    </row>
    <row r="6" ht="15" customHeight="1">
      <c r="A6" s="43" t="inlineStr">
        <is>
          <t>Assertions:</t>
        </is>
      </c>
      <c r="B6" s="44" t="inlineStr">
        <is>
          <t>Completeness</t>
        </is>
      </c>
      <c r="C6" s="45" t="n"/>
      <c r="D6" s="45" t="n"/>
      <c r="E6" s="45" t="n"/>
      <c r="F6" s="45" t="n"/>
      <c r="G6" s="46" t="n"/>
      <c r="H6" s="27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7" t="n"/>
    </row>
    <row r="8">
      <c r="A8" s="48" t="n"/>
      <c r="B8" s="48" t="n"/>
      <c r="C8" s="48" t="n"/>
      <c r="D8" s="48" t="n"/>
      <c r="E8" s="48" t="n"/>
      <c r="F8" s="48" t="n"/>
      <c r="G8" s="48" t="n"/>
      <c r="H8" s="27" t="n"/>
    </row>
    <row r="9">
      <c r="A9" s="48" t="n"/>
      <c r="B9" s="48" t="n"/>
      <c r="C9" s="48" t="n"/>
      <c r="D9" s="48" t="n"/>
      <c r="E9" s="48" t="n"/>
      <c r="F9" s="48" t="n"/>
      <c r="G9" s="48" t="n"/>
      <c r="H9" s="27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2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27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2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27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2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27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2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27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2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49" t="inlineStr">
        <is>
          <t>TM Legends</t>
        </is>
      </c>
      <c r="B21" s="27" t="n"/>
      <c r="C21" s="27" t="n"/>
      <c r="D21" s="27" t="n"/>
      <c r="E21" s="27" t="n"/>
      <c r="F21" s="27" t="n"/>
      <c r="G21" s="27" t="n"/>
      <c r="H21" s="27" t="n"/>
    </row>
    <row r="22">
      <c r="A22" s="50" t="inlineStr">
        <is>
          <t>TB</t>
        </is>
      </c>
      <c r="B22" s="33" t="inlineStr">
        <is>
          <t>Agreed to trial balance</t>
        </is>
      </c>
      <c r="C22" s="51" t="n"/>
      <c r="D22" s="52" t="n"/>
      <c r="E22" s="27" t="n"/>
      <c r="F22" s="27" t="n"/>
      <c r="G22" s="27" t="n"/>
      <c r="H22" s="27" t="n"/>
    </row>
    <row r="23">
      <c r="A23" s="50" t="inlineStr">
        <is>
          <t>GL</t>
        </is>
      </c>
      <c r="B23" s="33" t="inlineStr">
        <is>
          <t>Agreed to general ledger</t>
        </is>
      </c>
      <c r="C23" s="51" t="n"/>
      <c r="D23" s="52" t="n"/>
      <c r="E23" s="27" t="n"/>
      <c r="F23" s="27" t="n"/>
      <c r="G23" s="27" t="n"/>
      <c r="H23" s="27" t="n"/>
    </row>
    <row r="24">
      <c r="A24" s="50" t="inlineStr">
        <is>
          <t>CF</t>
        </is>
      </c>
      <c r="B24" s="33" t="inlineStr">
        <is>
          <t>Confirmed with third party</t>
        </is>
      </c>
      <c r="C24" s="51" t="n"/>
      <c r="D24" s="52" t="n"/>
      <c r="E24" s="27" t="n"/>
      <c r="F24" s="27" t="n"/>
      <c r="G24" s="27" t="n"/>
      <c r="H24" s="27" t="n"/>
    </row>
    <row r="25">
      <c r="A25" s="50" t="inlineStr">
        <is>
          <t>V</t>
        </is>
      </c>
      <c r="B25" s="33" t="inlineStr">
        <is>
          <t>Vouched to source document</t>
        </is>
      </c>
      <c r="C25" s="51" t="n"/>
      <c r="D25" s="52" t="n"/>
      <c r="E25" s="27" t="n"/>
      <c r="F25" s="27" t="n"/>
      <c r="G25" s="27" t="n"/>
      <c r="H25" s="27" t="n"/>
    </row>
    <row r="26">
      <c r="A26" s="50" t="inlineStr">
        <is>
          <t>SR</t>
        </is>
      </c>
      <c r="B26" s="33" t="inlineStr">
        <is>
          <t>Agreed to subsequent bank-cleared receipt</t>
        </is>
      </c>
      <c r="C26" s="51" t="n"/>
      <c r="D26" s="52" t="n"/>
      <c r="E26" s="27" t="n"/>
      <c r="F26" s="27" t="n"/>
      <c r="G26" s="27" t="n"/>
      <c r="H26" s="27" t="n"/>
    </row>
    <row r="27">
      <c r="A27" s="50" t="inlineStr">
        <is>
          <t>R</t>
        </is>
      </c>
      <c r="B27" s="33" t="inlineStr">
        <is>
          <t>Recalculated independently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F</t>
        </is>
      </c>
      <c r="B28" s="33" t="inlineStr">
        <is>
          <t>Footed / cross-cast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T</t>
        </is>
      </c>
      <c r="B29" s="33" t="inlineStr">
        <is>
          <t>Traced to downstream record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PBC</t>
        </is>
      </c>
      <c r="B30" s="33" t="inlineStr">
        <is>
          <t>Prepared by client</t>
        </is>
      </c>
      <c r="C30" s="51" t="n"/>
      <c r="D30" s="52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 ht="25.5" customHeight="1">
      <c r="A32" s="29" t="inlineStr">
        <is>
          <t>Before sign-off complete Library Procedure 1 (source completeness &amp; limitations).</t>
        </is>
      </c>
      <c r="B32" s="27" t="n"/>
      <c r="C32" s="27" t="n"/>
      <c r="D32" s="27" t="n"/>
      <c r="E32" s="27" t="n"/>
      <c r="F32" s="27" t="n"/>
      <c r="G32" s="27" t="n"/>
      <c r="H32" s="27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30.05" customWidth="1" min="1" max="1"/>
    <col width="22.4" customWidth="1" min="2" max="2"/>
    <col width="30" customWidth="1" min="3" max="3"/>
    <col width="37.7" customWidth="1" min="4" max="6"/>
    <col width="13" customWidth="1" min="5" max="5"/>
    <col width="13" customWidth="1" min="6" max="6"/>
    <col width="30.9" customWidth="1" min="7" max="7"/>
    <col width="34.3" customWidth="1" min="8" max="8"/>
    <col width="28" customWidth="1" min="9" max="9"/>
  </cols>
  <sheetData>
    <row r="1" ht="17.5" customHeight="1">
      <c r="A1" s="26" t="inlineStr">
        <is>
          <t>Accruals Lead Sheet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7" customHeight="1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  <c r="I3" s="27" t="n"/>
    </row>
    <row r="4" ht="27.75" customHeight="1">
      <c r="A4" s="43" t="inlineStr">
        <is>
          <t>Purpose:</t>
        </is>
      </c>
      <c r="B4" s="44" t="inlineStr">
        <is>
          <t>Summarize accrued liabilities by category and tie CY/PY balances to the trial balance and general ledger.</t>
        </is>
      </c>
      <c r="C4" s="45" t="n"/>
      <c r="D4" s="45" t="n"/>
      <c r="E4" s="45" t="n"/>
      <c r="F4" s="45" t="n"/>
      <c r="G4" s="45" t="n"/>
      <c r="H4" s="45" t="n"/>
      <c r="I4" s="46" t="n"/>
    </row>
    <row r="5" ht="27.75" customHeight="1">
      <c r="A5" s="43" t="inlineStr">
        <is>
          <t>Scope:</t>
        </is>
      </c>
      <c r="B5" s="44" t="inlineStr">
        <is>
          <t>Recorded accrued liabilities (payroll &amp; benefits, customer deposits/contract liabilities, freight/utilities, interest, bonus, PTO, taxes, professional fees).</t>
        </is>
      </c>
      <c r="C5" s="45" t="n"/>
      <c r="D5" s="45" t="n"/>
      <c r="E5" s="45" t="n"/>
      <c r="F5" s="45" t="n"/>
      <c r="G5" s="45" t="n"/>
      <c r="H5" s="45" t="n"/>
      <c r="I5" s="46" t="n"/>
    </row>
    <row r="6" ht="15" customHeight="1">
      <c r="A6" s="43" t="inlineStr">
        <is>
          <t>Assertions:</t>
        </is>
      </c>
      <c r="B6" s="44" t="inlineStr">
        <is>
          <t>Completeness; Existence; Valuation &amp; Allocation; Accuracy</t>
        </is>
      </c>
      <c r="C6" s="45" t="n"/>
      <c r="D6" s="45" t="n"/>
      <c r="E6" s="45" t="n"/>
      <c r="F6" s="45" t="n"/>
      <c r="G6" s="45" t="n"/>
      <c r="H6" s="45" t="n"/>
      <c r="I6" s="46" t="n"/>
    </row>
    <row r="7" ht="30" customHeight="1">
      <c r="A7" s="47" t="inlineStr">
        <is>
          <t>Entity / Property</t>
        </is>
      </c>
      <c r="B7" s="47" t="inlineStr">
        <is>
          <t>GL Account</t>
        </is>
      </c>
      <c r="C7" s="47" t="inlineStr">
        <is>
          <t>Accrual Category / Account</t>
        </is>
      </c>
      <c r="D7" s="47" t="inlineStr">
        <is>
          <t>W/P Ref</t>
        </is>
      </c>
      <c r="E7" s="47" t="inlineStr">
        <is>
          <t>CY Balance</t>
        </is>
      </c>
      <c r="F7" s="47" t="inlineStr">
        <is>
          <t>PY Balance</t>
        </is>
      </c>
      <c r="G7" s="47" t="inlineStr">
        <is>
          <t>Difference</t>
        </is>
      </c>
      <c r="H7" s="47" t="inlineStr">
        <is>
          <t>% Change</t>
        </is>
      </c>
      <c r="I7" s="47" t="inlineStr">
        <is>
          <t>Source / Comments</t>
        </is>
      </c>
    </row>
    <row r="8">
      <c r="A8" s="27" t="n"/>
      <c r="B8" s="27" t="n"/>
      <c r="C8" s="27" t="n"/>
      <c r="D8" s="27" t="n"/>
      <c r="E8" s="53" t="inlineStr">
        <is>
          <t>TB</t>
        </is>
      </c>
      <c r="F8" s="53" t="inlineStr">
        <is>
          <t>PY</t>
        </is>
      </c>
      <c r="G8" s="53" t="inlineStr">
        <is>
          <t>R</t>
        </is>
      </c>
      <c r="H8" s="27" t="n"/>
      <c r="I8" s="27" t="n"/>
    </row>
    <row r="9">
      <c r="A9" s="48" t="n"/>
      <c r="B9" s="48" t="n"/>
      <c r="C9" s="48" t="n"/>
      <c r="D9" s="48" t="n"/>
      <c r="E9" s="54" t="n"/>
      <c r="F9" s="54" t="n"/>
      <c r="G9" s="55">
        <f>IF(AND(E9="",F9=""),"",E9-F9)</f>
        <v/>
      </c>
      <c r="H9" s="56">
        <f>IF(OR(F9="",F9=0),"",(E9-F9)/F9)</f>
        <v/>
      </c>
      <c r="I9" s="48" t="n"/>
    </row>
    <row r="10" ht="27" customHeight="1">
      <c r="A10" s="48" t="n"/>
      <c r="B10" s="48" t="n"/>
      <c r="C10" s="48" t="n"/>
      <c r="D10" s="48" t="n"/>
      <c r="E10" s="54" t="n"/>
      <c r="F10" s="54" t="n"/>
      <c r="G10" s="55">
        <f>IF(AND(E10="",F10=""),"",E10-F10)</f>
        <v/>
      </c>
      <c r="H10" s="56">
        <f>IF(OR(F10="",F10=0),"",(E10-F10)/F10)</f>
        <v/>
      </c>
      <c r="I10" s="48" t="n"/>
    </row>
    <row r="11" ht="27" customHeight="1">
      <c r="A11" s="48" t="n"/>
      <c r="B11" s="48" t="n"/>
      <c r="C11" s="48" t="n"/>
      <c r="D11" s="48" t="n"/>
      <c r="E11" s="54" t="n"/>
      <c r="F11" s="54" t="n"/>
      <c r="G11" s="55">
        <f>IF(AND(E11="",F11=""),"",E11-F11)</f>
        <v/>
      </c>
      <c r="H11" s="56">
        <f>IF(OR(F11="",F11=0),"",(E11-F11)/F11)</f>
        <v/>
      </c>
      <c r="I11" s="48" t="n"/>
    </row>
    <row r="12" ht="27" customHeight="1">
      <c r="A12" s="48" t="n"/>
      <c r="B12" s="48" t="n"/>
      <c r="C12" s="48" t="n"/>
      <c r="D12" s="48" t="n"/>
      <c r="E12" s="54" t="n"/>
      <c r="F12" s="54" t="n"/>
      <c r="G12" s="55">
        <f>IF(AND(E12="",F12=""),"",E12-F12)</f>
        <v/>
      </c>
      <c r="H12" s="56">
        <f>IF(OR(F12="",F12=0),"",(E12-F12)/F12)</f>
        <v/>
      </c>
      <c r="I12" s="48" t="n"/>
    </row>
    <row r="13" ht="27" customHeight="1">
      <c r="A13" s="48" t="n"/>
      <c r="B13" s="48" t="n"/>
      <c r="C13" s="48" t="n"/>
      <c r="D13" s="48" t="n"/>
      <c r="E13" s="54" t="n"/>
      <c r="F13" s="54" t="n"/>
      <c r="G13" s="55">
        <f>IF(AND(E13="",F13=""),"",E13-F13)</f>
        <v/>
      </c>
      <c r="H13" s="56">
        <f>IF(OR(F13="",F13=0),"",(E13-F13)/F13)</f>
        <v/>
      </c>
      <c r="I13" s="48" t="n"/>
    </row>
    <row r="14" ht="27" customHeight="1">
      <c r="A14" s="48" t="n"/>
      <c r="B14" s="48" t="n"/>
      <c r="C14" s="48" t="n"/>
      <c r="D14" s="48" t="n"/>
      <c r="E14" s="54" t="n"/>
      <c r="F14" s="54" t="n"/>
      <c r="G14" s="55">
        <f>IF(AND(E14="",F14=""),"",E14-F14)</f>
        <v/>
      </c>
      <c r="H14" s="56">
        <f>IF(OR(F14="",F14=0),"",(E14-F14)/F14)</f>
        <v/>
      </c>
      <c r="I14" s="48" t="n"/>
    </row>
    <row r="15" ht="27" customHeight="1">
      <c r="A15" s="48" t="n"/>
      <c r="B15" s="48" t="n"/>
      <c r="C15" s="48" t="n"/>
      <c r="D15" s="48" t="n"/>
      <c r="E15" s="54" t="n"/>
      <c r="F15" s="54" t="n"/>
      <c r="G15" s="55">
        <f>IF(AND(E15="",F15=""),"",E15-F15)</f>
        <v/>
      </c>
      <c r="H15" s="56">
        <f>IF(OR(F15="",F15=0),"",(E15-F15)/F15)</f>
        <v/>
      </c>
      <c r="I15" s="48" t="n"/>
    </row>
    <row r="16" ht="27" customHeight="1">
      <c r="A16" s="48" t="n"/>
      <c r="B16" s="48" t="n"/>
      <c r="C16" s="48" t="n"/>
      <c r="D16" s="48" t="n"/>
      <c r="E16" s="54" t="n"/>
      <c r="F16" s="54" t="n"/>
      <c r="G16" s="55">
        <f>IF(AND(E16="",F16=""),"",E16-F16)</f>
        <v/>
      </c>
      <c r="H16" s="56">
        <f>IF(OR(F16="",F16=0),"",(E16-F16)/F16)</f>
        <v/>
      </c>
      <c r="I16" s="48" t="n"/>
    </row>
    <row r="17" ht="27" customHeight="1">
      <c r="A17" s="48" t="n"/>
      <c r="B17" s="48" t="n"/>
      <c r="C17" s="48" t="n"/>
      <c r="D17" s="48" t="n"/>
      <c r="E17" s="54" t="n"/>
      <c r="F17" s="54" t="n"/>
      <c r="G17" s="55">
        <f>IF(AND(E17="",F17=""),"",E17-F17)</f>
        <v/>
      </c>
      <c r="H17" s="56">
        <f>IF(OR(F17="",F17=0),"",(E17-F17)/F17)</f>
        <v/>
      </c>
      <c r="I17" s="48" t="n"/>
    </row>
    <row r="18" ht="27" customHeight="1">
      <c r="A18" s="48" t="n"/>
      <c r="B18" s="48" t="n"/>
      <c r="C18" s="48" t="n"/>
      <c r="D18" s="48" t="n"/>
      <c r="E18" s="54" t="n"/>
      <c r="F18" s="54" t="n"/>
      <c r="G18" s="55">
        <f>IF(AND(E18="",F18=""),"",E18-F18)</f>
        <v/>
      </c>
      <c r="H18" s="56">
        <f>IF(OR(F18="",F18=0),"",(E18-F18)/F18)</f>
        <v/>
      </c>
      <c r="I18" s="48" t="n"/>
    </row>
    <row r="19" ht="27" customHeight="1">
      <c r="A19" s="48" t="n"/>
      <c r="B19" s="48" t="n"/>
      <c r="C19" s="48" t="n"/>
      <c r="D19" s="48" t="n"/>
      <c r="E19" s="54" t="n"/>
      <c r="F19" s="54" t="n"/>
      <c r="G19" s="55">
        <f>IF(AND(E19="",F19=""),"",E19-F19)</f>
        <v/>
      </c>
      <c r="H19" s="56">
        <f>IF(OR(F19="",F19=0),"",(E19-F19)/F19)</f>
        <v/>
      </c>
      <c r="I19" s="48" t="n"/>
    </row>
    <row r="20" ht="27" customHeight="1">
      <c r="A20" s="48" t="n"/>
      <c r="B20" s="48" t="n"/>
      <c r="C20" s="48" t="n"/>
      <c r="D20" s="48" t="n"/>
      <c r="E20" s="54" t="n"/>
      <c r="F20" s="54" t="n"/>
      <c r="G20" s="55">
        <f>IF(AND(E20="",F20=""),"",E20-F20)</f>
        <v/>
      </c>
      <c r="H20" s="56">
        <f>IF(OR(F20="",F20=0),"",(E20-F20)/F20)</f>
        <v/>
      </c>
      <c r="I20" s="48" t="n"/>
    </row>
    <row r="21">
      <c r="A21" s="57" t="inlineStr">
        <is>
          <t>Total accrued liabilities</t>
        </is>
      </c>
      <c r="B21" s="58" t="n"/>
      <c r="C21" s="58" t="n"/>
      <c r="D21" s="58" t="n"/>
      <c r="E21" s="59">
        <f>SUM(E9:E20)</f>
        <v/>
      </c>
      <c r="F21" s="59">
        <f>SUM(F9:F20)</f>
        <v/>
      </c>
      <c r="G21" s="59">
        <f>SUM(G9:G20)</f>
        <v/>
      </c>
      <c r="H21" s="58" t="n"/>
      <c r="I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>
      <c r="A23" s="60" t="inlineStr">
        <is>
          <t>Tie-Out Summary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 ht="18" customHeight="1">
      <c r="A24" s="61" t="inlineStr">
        <is>
          <t>Metric</t>
        </is>
      </c>
      <c r="B24" s="61" t="inlineStr">
        <is>
          <t>CY</t>
        </is>
      </c>
      <c r="C24" s="61" t="inlineStr">
        <is>
          <t>PY</t>
        </is>
      </c>
      <c r="D24" s="61" t="inlineStr">
        <is>
          <t>Note</t>
        </is>
      </c>
      <c r="E24" s="27" t="n"/>
      <c r="F24" s="27" t="n"/>
      <c r="G24" s="27" t="n"/>
      <c r="H24" s="27" t="n"/>
      <c r="I24" s="27" t="n"/>
    </row>
    <row r="25">
      <c r="A25" s="33" t="inlineStr">
        <is>
          <t>Total per lead sheet</t>
        </is>
      </c>
      <c r="B25" s="54" t="n"/>
      <c r="C25" s="54" t="n"/>
      <c r="D25" s="48" t="inlineStr">
        <is>
          <t>ties to total row</t>
        </is>
      </c>
      <c r="E25" s="27" t="n"/>
      <c r="F25" s="27" t="n"/>
      <c r="G25" s="27" t="n"/>
      <c r="H25" s="27" t="n"/>
      <c r="I25" s="27" t="n"/>
    </row>
    <row r="26" ht="27" customHeight="1">
      <c r="A26" s="33" t="inlineStr">
        <is>
          <t>Trial balance accrued liabilities</t>
        </is>
      </c>
      <c r="B26" s="54" t="n"/>
      <c r="C26" s="54" t="n"/>
      <c r="D26" s="48" t="inlineStr">
        <is>
          <t>agree to TB</t>
        </is>
      </c>
      <c r="E26" s="27" t="n"/>
      <c r="F26" s="27" t="n"/>
      <c r="G26" s="27" t="n"/>
      <c r="H26" s="27" t="n"/>
      <c r="I26" s="27" t="n"/>
    </row>
    <row r="27">
      <c r="A27" s="33" t="inlineStr">
        <is>
          <t>Difference (should be 0)</t>
        </is>
      </c>
      <c r="B27" s="54">
        <f>B25-B26</f>
        <v/>
      </c>
      <c r="C27" s="54">
        <f>C25-C26</f>
        <v/>
      </c>
      <c r="D27" s="33" t="inlineStr">
        <is>
          <t>investigate if non-zero</t>
        </is>
      </c>
      <c r="E27" s="27" t="n"/>
      <c r="F27" s="27" t="n"/>
      <c r="G27" s="27" t="n"/>
      <c r="H27" s="27" t="n"/>
      <c r="I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</row>
    <row r="29">
      <c r="A29" s="49" t="inlineStr">
        <is>
          <t>TM Legends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</row>
    <row r="30">
      <c r="A30" s="50" t="inlineStr">
        <is>
          <t>TB</t>
        </is>
      </c>
      <c r="B30" s="33" t="inlineStr">
        <is>
          <t>Agreed to trial balance</t>
        </is>
      </c>
      <c r="C30" s="51" t="n"/>
      <c r="D30" s="52" t="n"/>
      <c r="E30" s="27" t="n"/>
      <c r="F30" s="27" t="n"/>
      <c r="G30" s="27" t="n"/>
      <c r="H30" s="27" t="n"/>
      <c r="I30" s="27" t="n"/>
    </row>
    <row r="31">
      <c r="A31" s="50" t="inlineStr">
        <is>
          <t>GL</t>
        </is>
      </c>
      <c r="B31" s="33" t="inlineStr">
        <is>
          <t>Agreed to general ledger</t>
        </is>
      </c>
      <c r="C31" s="51" t="n"/>
      <c r="D31" s="52" t="n"/>
      <c r="E31" s="27" t="n"/>
      <c r="F31" s="27" t="n"/>
      <c r="G31" s="27" t="n"/>
      <c r="H31" s="27" t="n"/>
      <c r="I31" s="27" t="n"/>
    </row>
    <row r="32">
      <c r="A32" s="50" t="inlineStr">
        <is>
          <t>CF</t>
        </is>
      </c>
      <c r="B32" s="33" t="inlineStr">
        <is>
          <t>Confirmed with third party</t>
        </is>
      </c>
      <c r="C32" s="51" t="n"/>
      <c r="D32" s="52" t="n"/>
      <c r="E32" s="27" t="n"/>
      <c r="F32" s="27" t="n"/>
      <c r="G32" s="27" t="n"/>
      <c r="H32" s="27" t="n"/>
      <c r="I32" s="27" t="n"/>
    </row>
    <row r="33">
      <c r="A33" s="50" t="inlineStr">
        <is>
          <t>V</t>
        </is>
      </c>
      <c r="B33" s="33" t="inlineStr">
        <is>
          <t>Vouched to source document</t>
        </is>
      </c>
      <c r="C33" s="51" t="n"/>
      <c r="D33" s="52" t="n"/>
      <c r="E33" s="27" t="n"/>
      <c r="F33" s="27" t="n"/>
      <c r="G33" s="27" t="n"/>
      <c r="H33" s="27" t="n"/>
      <c r="I33" s="27" t="n"/>
    </row>
    <row r="34">
      <c r="A34" s="50" t="inlineStr">
        <is>
          <t>SR</t>
        </is>
      </c>
      <c r="B34" s="33" t="inlineStr">
        <is>
          <t>Agreed to subsequent bank-cleared receipt</t>
        </is>
      </c>
      <c r="C34" s="51" t="n"/>
      <c r="D34" s="52" t="n"/>
      <c r="E34" s="27" t="n"/>
      <c r="F34" s="27" t="n"/>
      <c r="G34" s="27" t="n"/>
      <c r="H34" s="27" t="n"/>
      <c r="I34" s="27" t="n"/>
    </row>
    <row r="35">
      <c r="A35" s="50" t="inlineStr">
        <is>
          <t>R</t>
        </is>
      </c>
      <c r="B35" s="33" t="inlineStr">
        <is>
          <t>Recalculated independently</t>
        </is>
      </c>
      <c r="C35" s="51" t="n"/>
      <c r="D35" s="52" t="n"/>
      <c r="E35" s="27" t="n"/>
      <c r="F35" s="27" t="n"/>
      <c r="G35" s="27" t="n"/>
      <c r="H35" s="27" t="n"/>
      <c r="I35" s="27" t="n"/>
    </row>
    <row r="36">
      <c r="A36" s="50" t="inlineStr">
        <is>
          <t>F</t>
        </is>
      </c>
      <c r="B36" s="33" t="inlineStr">
        <is>
          <t>Footed / cross-cast</t>
        </is>
      </c>
      <c r="C36" s="51" t="n"/>
      <c r="D36" s="52" t="n"/>
      <c r="E36" s="27" t="n"/>
      <c r="F36" s="27" t="n"/>
      <c r="G36" s="27" t="n"/>
      <c r="H36" s="27" t="n"/>
      <c r="I36" s="27" t="n"/>
    </row>
    <row r="37">
      <c r="A37" s="50" t="inlineStr">
        <is>
          <t>T</t>
        </is>
      </c>
      <c r="B37" s="33" t="inlineStr">
        <is>
          <t>Traced to downstream record</t>
        </is>
      </c>
      <c r="C37" s="51" t="n"/>
      <c r="D37" s="52" t="n"/>
      <c r="E37" s="27" t="n"/>
      <c r="F37" s="27" t="n"/>
      <c r="G37" s="27" t="n"/>
      <c r="H37" s="27" t="n"/>
      <c r="I37" s="27" t="n"/>
    </row>
    <row r="38">
      <c r="A38" s="50" t="inlineStr">
        <is>
          <t>PBC</t>
        </is>
      </c>
      <c r="B38" s="33" t="inlineStr">
        <is>
          <t>Prepared by client</t>
        </is>
      </c>
      <c r="C38" s="51" t="n"/>
      <c r="D38" s="52" t="n"/>
      <c r="E38" s="27" t="n"/>
      <c r="F38" s="27" t="n"/>
      <c r="G38" s="27" t="n"/>
      <c r="H38" s="27" t="n"/>
      <c r="I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</row>
    <row r="40" ht="25.5" customHeight="1">
      <c r="A40" s="29" t="inlineStr">
        <is>
          <t>Before sign-off complete Library Procedures 2-4 (Accruals Lead Sheet &amp; understanding).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</row>
  </sheetData>
  <mergeCells count="13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A4" sqref="A4"/>
    </sheetView>
  </sheetViews>
  <sheetFormatPr baseColWidth="8" defaultColWidth="8.6328125" defaultRowHeight="14.5"/>
  <cols>
    <col width="22" customWidth="1" min="1" max="1"/>
    <col width="24" customWidth="1" min="2" max="3"/>
    <col width="15.6" customWidth="1" min="3" max="3"/>
    <col width="37.7" customWidth="1" min="4" max="4"/>
    <col width="15.6" customWidth="1" min="5" max="8"/>
    <col width="13.9" customWidth="1" min="6" max="6"/>
    <col width="17.3" customWidth="1" min="7" max="7"/>
    <col width="13.05" customWidth="1" min="8" max="8"/>
    <col width="12.2" customWidth="1" min="9" max="9"/>
    <col width="14.75" customWidth="1" min="10" max="10"/>
    <col width="24" customWidth="1" min="11" max="11"/>
    <col width="17.3" customWidth="1" min="12" max="13"/>
    <col width="19.85" customWidth="1" min="13" max="13"/>
    <col width="30.9" customWidth="1" min="14" max="14"/>
    <col width="16" customWidth="1" min="15" max="15"/>
    <col width="28" customWidth="1" min="16" max="16"/>
  </cols>
  <sheetData>
    <row r="1" ht="17.5" customHeight="1">
      <c r="A1" s="26" t="inlineStr">
        <is>
          <t>Accrual Recomputation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</row>
    <row r="2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</row>
    <row r="4" ht="27.75" customHeight="1">
      <c r="A4" s="43" t="inlineStr">
        <is>
          <t>Purpose:</t>
        </is>
      </c>
      <c r="B4" s="44" t="inlineStr">
        <is>
          <t>Obtain the detailed accrual listing, agree to the GL, test mathematical accuracy, and independently recompute each accrual from its driver and basis.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6" t="n"/>
    </row>
    <row r="5" ht="42" customHeight="1">
      <c r="A5" s="43" t="inlineStr">
        <is>
          <t>Scope:</t>
        </is>
      </c>
      <c r="B5" s="44" t="inlineStr">
        <is>
          <t>Each recorded accrual: payroll from last pay-period end to year-end (incl. employer taxes / benefit match), customer deposits by roll-forward, freight/utilities vs subsequent invoices, interest by principal x rate x days.</t>
        </is>
      </c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6" t="n"/>
    </row>
    <row r="6" ht="15" customHeight="1">
      <c r="A6" s="43" t="inlineStr">
        <is>
          <t>Assertions:</t>
        </is>
      </c>
      <c r="B6" s="44" t="inlineStr">
        <is>
          <t>Valuation &amp; Allocation; Accuracy; Completeness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6" t="n"/>
    </row>
    <row r="7" ht="39.75" customHeight="1">
      <c r="A7" s="47" t="inlineStr">
        <is>
          <t>Entity / Property</t>
        </is>
      </c>
      <c r="B7" s="47" t="inlineStr">
        <is>
          <t>GL / Accrual Category</t>
        </is>
      </c>
      <c r="C7" s="47" t="inlineStr">
        <is>
          <t>Support / Method</t>
        </is>
      </c>
      <c r="D7" s="47" t="inlineStr">
        <is>
          <t>Driver / Basis</t>
        </is>
      </c>
      <c r="E7" s="47" t="inlineStr">
        <is>
          <t>Pay period start</t>
        </is>
      </c>
      <c r="F7" s="47" t="inlineStr">
        <is>
          <t>Pay period end</t>
        </is>
      </c>
      <c r="G7" s="47" t="inlineStr">
        <is>
          <t>Paydate / Due date</t>
        </is>
      </c>
      <c r="H7" s="47" t="inlineStr">
        <is>
          <t>Reversal date</t>
        </is>
      </c>
      <c r="I7" s="47" t="inlineStr">
        <is>
          <t>Days accrued</t>
        </is>
      </c>
      <c r="J7" s="47" t="inlineStr">
        <is>
          <t>Headcount / Qty</t>
        </is>
      </c>
      <c r="K7" s="47" t="inlineStr">
        <is>
          <t>Rate / % / Formula basis</t>
        </is>
      </c>
      <c r="L7" s="47" t="inlineStr">
        <is>
          <t>CY Accrual (books)</t>
        </is>
      </c>
      <c r="M7" s="47" t="inlineStr">
        <is>
          <t>Recomputed / Expected</t>
        </is>
      </c>
      <c r="N7" s="47" t="inlineStr">
        <is>
          <t>Difference</t>
        </is>
      </c>
      <c r="O7" s="47" t="inlineStr">
        <is>
          <t>Source Ref</t>
        </is>
      </c>
      <c r="P7" s="47" t="inlineStr">
        <is>
          <t>Conclusion / Comments</t>
        </is>
      </c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53" t="inlineStr">
        <is>
          <t>TB</t>
        </is>
      </c>
      <c r="M8" s="53" t="inlineStr">
        <is>
          <t>R</t>
        </is>
      </c>
      <c r="N8" s="27" t="n"/>
      <c r="O8" s="27" t="n"/>
      <c r="P8" s="2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54" t="n"/>
      <c r="M9" s="54" t="n"/>
      <c r="N9" s="55">
        <f>IF(AND(L9="",M9=""),"",L9-M9)</f>
        <v/>
      </c>
      <c r="O9" s="48" t="n"/>
      <c r="P9" s="48" t="n"/>
    </row>
    <row r="10" ht="27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54" t="n"/>
      <c r="M10" s="54" t="n"/>
      <c r="N10" s="55">
        <f>IF(AND(L10="",M10=""),"",L10-M10)</f>
        <v/>
      </c>
      <c r="O10" s="48" t="n"/>
      <c r="P10" s="48" t="n"/>
    </row>
    <row r="11" ht="27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54" t="n"/>
      <c r="M11" s="54" t="n"/>
      <c r="N11" s="55">
        <f>IF(AND(L11="",M11=""),"",L11-M11)</f>
        <v/>
      </c>
      <c r="O11" s="48" t="n"/>
      <c r="P11" s="48" t="n"/>
    </row>
    <row r="12" ht="27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54" t="n"/>
      <c r="M12" s="54" t="n"/>
      <c r="N12" s="55">
        <f>IF(AND(L12="",M12=""),"",L12-M12)</f>
        <v/>
      </c>
      <c r="O12" s="48" t="n"/>
      <c r="P12" s="48" t="n"/>
    </row>
    <row r="13" ht="27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54" t="n"/>
      <c r="M13" s="54" t="n"/>
      <c r="N13" s="55">
        <f>IF(AND(L13="",M13=""),"",L13-M13)</f>
        <v/>
      </c>
      <c r="O13" s="48" t="n"/>
      <c r="P13" s="48" t="n"/>
    </row>
    <row r="14" ht="27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54" t="n"/>
      <c r="M14" s="54" t="n"/>
      <c r="N14" s="55">
        <f>IF(AND(L14="",M14=""),"",L14-M14)</f>
        <v/>
      </c>
      <c r="O14" s="48" t="n"/>
      <c r="P14" s="48" t="n"/>
    </row>
    <row r="15" ht="27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54" t="n"/>
      <c r="M15" s="54" t="n"/>
      <c r="N15" s="55">
        <f>IF(AND(L15="",M15=""),"",L15-M15)</f>
        <v/>
      </c>
      <c r="O15" s="48" t="n"/>
      <c r="P15" s="48" t="n"/>
    </row>
    <row r="16" ht="27" customHeight="1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54" t="n"/>
      <c r="M16" s="54" t="n"/>
      <c r="N16" s="55">
        <f>IF(AND(L16="",M16=""),"",L16-M16)</f>
        <v/>
      </c>
      <c r="O16" s="48" t="n"/>
      <c r="P16" s="48" t="n"/>
    </row>
    <row r="17" ht="27" customHeight="1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54" t="n"/>
      <c r="M17" s="54" t="n"/>
      <c r="N17" s="55">
        <f>IF(AND(L17="",M17=""),"",L17-M17)</f>
        <v/>
      </c>
      <c r="O17" s="48" t="n"/>
      <c r="P17" s="48" t="n"/>
    </row>
    <row r="18" ht="27" customHeight="1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54" t="n"/>
      <c r="M18" s="54" t="n"/>
      <c r="N18" s="55">
        <f>IF(AND(L18="",M18=""),"",L18-M18)</f>
        <v/>
      </c>
      <c r="O18" s="48" t="n"/>
      <c r="P18" s="48" t="n"/>
    </row>
    <row r="19" ht="27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54" t="n"/>
      <c r="M19" s="54" t="n"/>
      <c r="N19" s="55">
        <f>IF(AND(L19="",M19=""),"",L19-M19)</f>
        <v/>
      </c>
      <c r="O19" s="48" t="n"/>
      <c r="P19" s="48" t="n"/>
    </row>
    <row r="20" ht="27" customHeight="1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54" t="n"/>
      <c r="M20" s="54" t="n"/>
      <c r="N20" s="55">
        <f>IF(AND(L20="",M20=""),"",L20-M20)</f>
        <v/>
      </c>
      <c r="O20" s="48" t="n"/>
      <c r="P20" s="48" t="n"/>
    </row>
    <row r="21">
      <c r="A21" s="58" t="inlineStr">
        <is>
          <t>Total</t>
        </is>
      </c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9">
        <f>SUM(L9:L20)</f>
        <v/>
      </c>
      <c r="M21" s="59">
        <f>SUM(M9:M20)</f>
        <v/>
      </c>
      <c r="N21" s="59">
        <f>SUM(N9:N20)</f>
        <v/>
      </c>
      <c r="O21" s="58" t="n"/>
      <c r="P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</row>
    <row r="23">
      <c r="A23" s="49" t="inlineStr">
        <is>
          <t>TM Legends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</row>
    <row r="24">
      <c r="A24" s="50" t="inlineStr">
        <is>
          <t>TB</t>
        </is>
      </c>
      <c r="B24" s="33" t="inlineStr">
        <is>
          <t>Agreed to trial balance</t>
        </is>
      </c>
      <c r="C24" s="51" t="n"/>
      <c r="D24" s="52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>
      <c r="A25" s="50" t="inlineStr">
        <is>
          <t>GL</t>
        </is>
      </c>
      <c r="B25" s="33" t="inlineStr">
        <is>
          <t>Agreed to general ledger</t>
        </is>
      </c>
      <c r="C25" s="51" t="n"/>
      <c r="D25" s="52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</row>
    <row r="26">
      <c r="A26" s="50" t="inlineStr">
        <is>
          <t>CF</t>
        </is>
      </c>
      <c r="B26" s="33" t="inlineStr">
        <is>
          <t>Confirmed with third party</t>
        </is>
      </c>
      <c r="C26" s="51" t="n"/>
      <c r="D26" s="52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50" t="inlineStr">
        <is>
          <t>V</t>
        </is>
      </c>
      <c r="B27" s="33" t="inlineStr">
        <is>
          <t>Vouched to source document</t>
        </is>
      </c>
      <c r="C27" s="51" t="n"/>
      <c r="D27" s="52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</row>
    <row r="28">
      <c r="A28" s="50" t="inlineStr">
        <is>
          <t>SR</t>
        </is>
      </c>
      <c r="B28" s="33" t="inlineStr">
        <is>
          <t>Agreed to subsequent bank-cleared receipt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</row>
    <row r="29">
      <c r="A29" s="50" t="inlineStr">
        <is>
          <t>R</t>
        </is>
      </c>
      <c r="B29" s="33" t="inlineStr">
        <is>
          <t>Recalculated independently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>
      <c r="A30" s="50" t="inlineStr">
        <is>
          <t>F</t>
        </is>
      </c>
      <c r="B30" s="33" t="inlineStr">
        <is>
          <t>Footed / cross-cast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</row>
    <row r="31">
      <c r="A31" s="50" t="inlineStr">
        <is>
          <t>T</t>
        </is>
      </c>
      <c r="B31" s="33" t="inlineStr">
        <is>
          <t>Traced to downstream record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>
      <c r="A32" s="50" t="inlineStr">
        <is>
          <t>PBC</t>
        </is>
      </c>
      <c r="B32" s="33" t="inlineStr">
        <is>
          <t>Prepared by client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 ht="25.5" customHeight="1">
      <c r="A34" s="29" t="inlineStr">
        <is>
          <t>Before sign-off complete Library Procedures 5-6 (listing/agree/math accuracy; independent recomputation).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</row>
  </sheetData>
  <mergeCells count="13">
    <mergeCell ref="B28:D28"/>
    <mergeCell ref="B6:P6"/>
    <mergeCell ref="B31:D31"/>
    <mergeCell ref="B5:P5"/>
    <mergeCell ref="B32:D32"/>
    <mergeCell ref="B26:D26"/>
    <mergeCell ref="B27:D27"/>
    <mergeCell ref="A34:P34"/>
    <mergeCell ref="B30:D30"/>
    <mergeCell ref="B4:P4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M3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8" sqref="B8"/>
    </sheetView>
  </sheetViews>
  <sheetFormatPr baseColWidth="8" defaultColWidth="8.6328125" defaultRowHeight="14.5"/>
  <cols>
    <col width="21.90625" bestFit="1" customWidth="1" min="1" max="1"/>
    <col width="22.4" customWidth="1" min="2" max="2"/>
    <col width="20" customWidth="1" min="3" max="3"/>
    <col width="37.7" customWidth="1" min="4" max="4"/>
    <col width="23.25" customWidth="1" min="5" max="5"/>
    <col width="14" customWidth="1" min="6" max="6"/>
    <col width="28.35" customWidth="1" min="7" max="8"/>
    <col width="25.8" customWidth="1" min="8" max="8"/>
    <col width="25.8" customWidth="1" min="9" max="9"/>
    <col width="23.25" customWidth="1" min="10" max="10"/>
    <col width="25.8" customWidth="1" min="11" max="12"/>
    <col width="27.5" customWidth="1" min="12" max="12"/>
    <col width="24" customWidth="1" min="13" max="13"/>
  </cols>
  <sheetData>
    <row r="1" ht="17.5" customHeight="1">
      <c r="A1" s="26" t="inlineStr">
        <is>
          <t>Detail Testing &amp; Cutoff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27" customHeight="1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  <c r="L2" s="27" t="n"/>
      <c r="M2" s="27" t="n"/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  <c r="I3" s="27" t="n"/>
      <c r="J3" s="27" t="n"/>
      <c r="K3" s="27" t="n"/>
      <c r="L3" s="27" t="n"/>
      <c r="M3" s="27" t="n"/>
    </row>
    <row r="4" ht="42" customHeight="1">
      <c r="A4" s="43" t="inlineStr">
        <is>
          <t>Purpose:</t>
        </is>
      </c>
      <c r="B4" s="44" t="inlineStr">
        <is>
          <t>For a sample of accruals, examine supporting documentation, determine whether the goods/services were received on or before period-end, and evaluate the amount properly vs improperly accrued.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6" t="n"/>
    </row>
    <row r="5" ht="15" customHeight="1">
      <c r="A5" s="43" t="inlineStr">
        <is>
          <t>Scope:</t>
        </is>
      </c>
      <c r="B5" s="44" t="inlineStr">
        <is>
          <t>A sample of recorded accruals selected from the detailed listing above the testing threshold.</t>
        </is>
      </c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6" t="n"/>
    </row>
    <row r="6" ht="15" customHeight="1">
      <c r="A6" s="43" t="inlineStr">
        <is>
          <t>Assertions:</t>
        </is>
      </c>
      <c r="B6" s="44" t="inlineStr">
        <is>
          <t>Existence; Cutoff; Valuation &amp; Allocation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6" t="n"/>
    </row>
    <row r="7" ht="39.75" customHeight="1">
      <c r="A7" s="47" t="inlineStr">
        <is>
          <t>Sample #</t>
        </is>
      </c>
      <c r="B7" s="47" t="inlineStr">
        <is>
          <t>GL #</t>
        </is>
      </c>
      <c r="C7" s="47" t="inlineStr">
        <is>
          <t>GL name</t>
        </is>
      </c>
      <c r="D7" s="47" t="inlineStr">
        <is>
          <t>Accrual description</t>
        </is>
      </c>
      <c r="E7" s="47" t="inlineStr">
        <is>
          <t>Vendor / Service provider</t>
        </is>
      </c>
      <c r="F7" s="47" t="inlineStr">
        <is>
          <t>Accrual amount</t>
        </is>
      </c>
      <c r="G7" s="47" t="inlineStr">
        <is>
          <t>Supporting documentation (desc)</t>
        </is>
      </c>
      <c r="H7" s="47" t="inlineStr">
        <is>
          <t>Goods / services description</t>
        </is>
      </c>
      <c r="I7" s="47" t="inlineStr">
        <is>
          <t>Date goods/services received</t>
        </is>
      </c>
      <c r="J7" s="47" t="inlineStr">
        <is>
          <t>Received before PE? (Y/N)</t>
        </is>
      </c>
      <c r="K7" s="47" t="inlineStr">
        <is>
          <t>Amount properly accrued @ PE</t>
        </is>
      </c>
      <c r="L7" s="47" t="inlineStr">
        <is>
          <t>Amount improperly accrued @ PE</t>
        </is>
      </c>
      <c r="M7" s="47" t="inlineStr">
        <is>
          <t>Notes</t>
        </is>
      </c>
    </row>
    <row r="8">
      <c r="A8" s="27" t="n"/>
      <c r="B8" s="27" t="n"/>
      <c r="C8" s="27" t="n"/>
      <c r="D8" s="27" t="n"/>
      <c r="E8" s="27" t="n"/>
      <c r="F8" s="53" t="inlineStr">
        <is>
          <t>V</t>
        </is>
      </c>
      <c r="G8" s="27" t="n"/>
      <c r="H8" s="27" t="n"/>
      <c r="I8" s="27" t="n"/>
      <c r="J8" s="27" t="n"/>
      <c r="K8" s="53" t="inlineStr">
        <is>
          <t>R</t>
        </is>
      </c>
      <c r="L8" s="27" t="n"/>
      <c r="M8" s="27" t="n"/>
    </row>
    <row r="9">
      <c r="A9" s="48" t="n"/>
      <c r="B9" s="48" t="n"/>
      <c r="C9" s="48" t="n"/>
      <c r="D9" s="48" t="n"/>
      <c r="E9" s="48" t="n"/>
      <c r="F9" s="54" t="n"/>
      <c r="G9" s="48" t="n"/>
      <c r="H9" s="48" t="n"/>
      <c r="I9" s="48" t="n"/>
      <c r="J9" s="48" t="n"/>
      <c r="K9" s="54" t="n"/>
      <c r="L9" s="54" t="n"/>
      <c r="M9" s="48" t="n"/>
    </row>
    <row r="10">
      <c r="A10" s="48" t="n"/>
      <c r="B10" s="48" t="n"/>
      <c r="C10" s="48" t="n"/>
      <c r="D10" s="48" t="n"/>
      <c r="E10" s="48" t="n"/>
      <c r="F10" s="54" t="n"/>
      <c r="G10" s="48" t="n"/>
      <c r="H10" s="48" t="n"/>
      <c r="I10" s="48" t="n"/>
      <c r="J10" s="48" t="n"/>
      <c r="K10" s="54" t="n"/>
      <c r="L10" s="54" t="n"/>
      <c r="M10" s="48" t="n"/>
    </row>
    <row r="11">
      <c r="A11" s="48" t="n"/>
      <c r="B11" s="48" t="n"/>
      <c r="C11" s="48" t="n"/>
      <c r="D11" s="48" t="n"/>
      <c r="E11" s="48" t="n"/>
      <c r="F11" s="54" t="n"/>
      <c r="G11" s="48" t="n"/>
      <c r="H11" s="48" t="n"/>
      <c r="I11" s="48" t="n"/>
      <c r="J11" s="48" t="n"/>
      <c r="K11" s="54" t="n"/>
      <c r="L11" s="54" t="n"/>
      <c r="M11" s="48" t="n"/>
    </row>
    <row r="12">
      <c r="A12" s="48" t="n"/>
      <c r="B12" s="48" t="n"/>
      <c r="C12" s="48" t="n"/>
      <c r="D12" s="48" t="n"/>
      <c r="E12" s="48" t="n"/>
      <c r="F12" s="54" t="n"/>
      <c r="G12" s="48" t="n"/>
      <c r="H12" s="48" t="n"/>
      <c r="I12" s="48" t="n"/>
      <c r="J12" s="48" t="n"/>
      <c r="K12" s="54" t="n"/>
      <c r="L12" s="54" t="n"/>
      <c r="M12" s="48" t="n"/>
    </row>
    <row r="13">
      <c r="A13" s="48" t="n"/>
      <c r="B13" s="48" t="n"/>
      <c r="C13" s="48" t="n"/>
      <c r="D13" s="48" t="n"/>
      <c r="E13" s="48" t="n"/>
      <c r="F13" s="54" t="n"/>
      <c r="G13" s="48" t="n"/>
      <c r="H13" s="48" t="n"/>
      <c r="I13" s="48" t="n"/>
      <c r="J13" s="48" t="n"/>
      <c r="K13" s="54" t="n"/>
      <c r="L13" s="54" t="n"/>
      <c r="M13" s="48" t="n"/>
    </row>
    <row r="14">
      <c r="A14" s="48" t="n"/>
      <c r="B14" s="48" t="n"/>
      <c r="C14" s="48" t="n"/>
      <c r="D14" s="48" t="n"/>
      <c r="E14" s="48" t="n"/>
      <c r="F14" s="54" t="n"/>
      <c r="G14" s="48" t="n"/>
      <c r="H14" s="48" t="n"/>
      <c r="I14" s="48" t="n"/>
      <c r="J14" s="48" t="n"/>
      <c r="K14" s="54" t="n"/>
      <c r="L14" s="54" t="n"/>
      <c r="M14" s="48" t="n"/>
    </row>
    <row r="15">
      <c r="A15" s="48" t="n"/>
      <c r="B15" s="48" t="n"/>
      <c r="C15" s="48" t="n"/>
      <c r="D15" s="48" t="n"/>
      <c r="E15" s="48" t="n"/>
      <c r="F15" s="54" t="n"/>
      <c r="G15" s="48" t="n"/>
      <c r="H15" s="48" t="n"/>
      <c r="I15" s="48" t="n"/>
      <c r="J15" s="48" t="n"/>
      <c r="K15" s="54" t="n"/>
      <c r="L15" s="54" t="n"/>
      <c r="M15" s="48" t="n"/>
    </row>
    <row r="16">
      <c r="A16" s="48" t="n"/>
      <c r="B16" s="48" t="n"/>
      <c r="C16" s="48" t="n"/>
      <c r="D16" s="48" t="n"/>
      <c r="E16" s="48" t="n"/>
      <c r="F16" s="54" t="n"/>
      <c r="G16" s="48" t="n"/>
      <c r="H16" s="48" t="n"/>
      <c r="I16" s="48" t="n"/>
      <c r="J16" s="48" t="n"/>
      <c r="K16" s="54" t="n"/>
      <c r="L16" s="54" t="n"/>
      <c r="M16" s="48" t="n"/>
    </row>
    <row r="17">
      <c r="A17" s="48" t="n"/>
      <c r="B17" s="48" t="n"/>
      <c r="C17" s="48" t="n"/>
      <c r="D17" s="48" t="n"/>
      <c r="E17" s="48" t="n"/>
      <c r="F17" s="54" t="n"/>
      <c r="G17" s="48" t="n"/>
      <c r="H17" s="48" t="n"/>
      <c r="I17" s="48" t="n"/>
      <c r="J17" s="48" t="n"/>
      <c r="K17" s="54" t="n"/>
      <c r="L17" s="54" t="n"/>
      <c r="M17" s="48" t="n"/>
    </row>
    <row r="18">
      <c r="A18" s="48" t="n"/>
      <c r="B18" s="48" t="n"/>
      <c r="C18" s="48" t="n"/>
      <c r="D18" s="48" t="n"/>
      <c r="E18" s="48" t="n"/>
      <c r="F18" s="54" t="n"/>
      <c r="G18" s="48" t="n"/>
      <c r="H18" s="48" t="n"/>
      <c r="I18" s="48" t="n"/>
      <c r="J18" s="48" t="n"/>
      <c r="K18" s="54" t="n"/>
      <c r="L18" s="54" t="n"/>
      <c r="M18" s="48" t="n"/>
    </row>
    <row r="19">
      <c r="A19" s="48" t="n"/>
      <c r="B19" s="48" t="n"/>
      <c r="C19" s="48" t="n"/>
      <c r="D19" s="48" t="n"/>
      <c r="E19" s="48" t="n"/>
      <c r="F19" s="54" t="n"/>
      <c r="G19" s="48" t="n"/>
      <c r="H19" s="48" t="n"/>
      <c r="I19" s="48" t="n"/>
      <c r="J19" s="48" t="n"/>
      <c r="K19" s="54" t="n"/>
      <c r="L19" s="54" t="n"/>
      <c r="M19" s="48" t="n"/>
    </row>
    <row r="20">
      <c r="A20" s="48" t="n"/>
      <c r="B20" s="48" t="n"/>
      <c r="C20" s="48" t="n"/>
      <c r="D20" s="48" t="n"/>
      <c r="E20" s="48" t="n"/>
      <c r="F20" s="54" t="n"/>
      <c r="G20" s="48" t="n"/>
      <c r="H20" s="48" t="n"/>
      <c r="I20" s="48" t="n"/>
      <c r="J20" s="48" t="n"/>
      <c r="K20" s="54" t="n"/>
      <c r="L20" s="54" t="n"/>
      <c r="M20" s="48" t="n"/>
    </row>
    <row r="21">
      <c r="A21" s="48" t="n"/>
      <c r="B21" s="48" t="n"/>
      <c r="C21" s="48" t="n"/>
      <c r="D21" s="48" t="n"/>
      <c r="E21" s="48" t="n"/>
      <c r="F21" s="54" t="n"/>
      <c r="G21" s="48" t="n"/>
      <c r="H21" s="48" t="n"/>
      <c r="I21" s="48" t="n"/>
      <c r="J21" s="48" t="n"/>
      <c r="K21" s="54" t="n"/>
      <c r="L21" s="54" t="n"/>
      <c r="M21" s="48" t="n"/>
    </row>
    <row r="22">
      <c r="A22" s="48" t="n"/>
      <c r="B22" s="48" t="n"/>
      <c r="C22" s="48" t="n"/>
      <c r="D22" s="48" t="n"/>
      <c r="E22" s="48" t="n"/>
      <c r="F22" s="54" t="n"/>
      <c r="G22" s="48" t="n"/>
      <c r="H22" s="48" t="n"/>
      <c r="I22" s="48" t="n"/>
      <c r="J22" s="48" t="n"/>
      <c r="K22" s="54" t="n"/>
      <c r="L22" s="54" t="n"/>
      <c r="M22" s="48" t="n"/>
    </row>
    <row r="23">
      <c r="A23" s="58" t="inlineStr">
        <is>
          <t>Total(s)</t>
        </is>
      </c>
      <c r="B23" s="58" t="n"/>
      <c r="C23" s="58" t="n"/>
      <c r="D23" s="58" t="n"/>
      <c r="E23" s="58" t="n"/>
      <c r="F23" s="59" t="n"/>
      <c r="G23" s="58" t="n"/>
      <c r="H23" s="58" t="n"/>
      <c r="I23" s="58" t="n"/>
      <c r="J23" s="58" t="n"/>
      <c r="K23" s="59" t="n"/>
      <c r="L23" s="59" t="n"/>
      <c r="M23" s="58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</row>
    <row r="25" ht="25.5" customHeight="1">
      <c r="A25" s="29" t="inlineStr">
        <is>
          <t>If goods/services were received on or before period-end, the amount is properly accrued; if received after, it is improperly accrued and should be reversed. Unaccrued pre-year-end expenses (completeness) are captured on &lt;.5&gt;.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</row>
    <row r="27">
      <c r="A27" s="49" t="inlineStr">
        <is>
          <t>TM Legends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</row>
    <row r="28">
      <c r="A28" s="50" t="inlineStr">
        <is>
          <t>TB</t>
        </is>
      </c>
      <c r="B28" s="33" t="inlineStr">
        <is>
          <t>Agreed to trial balance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</row>
    <row r="29">
      <c r="A29" s="50" t="inlineStr">
        <is>
          <t>GL</t>
        </is>
      </c>
      <c r="B29" s="33" t="inlineStr">
        <is>
          <t>Agreed to general ledger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</row>
    <row r="30">
      <c r="A30" s="50" t="inlineStr">
        <is>
          <t>CF</t>
        </is>
      </c>
      <c r="B30" s="33" t="inlineStr">
        <is>
          <t>Confirmed with third party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</row>
    <row r="31">
      <c r="A31" s="50" t="inlineStr">
        <is>
          <t>V</t>
        </is>
      </c>
      <c r="B31" s="33" t="inlineStr">
        <is>
          <t>Vouched to source document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</row>
    <row r="32">
      <c r="A32" s="50" t="inlineStr">
        <is>
          <t>SR</t>
        </is>
      </c>
      <c r="B32" s="33" t="inlineStr">
        <is>
          <t>Agreed to subsequent bank-cleared receipt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</row>
    <row r="33">
      <c r="A33" s="50" t="inlineStr">
        <is>
          <t>R</t>
        </is>
      </c>
      <c r="B33" s="33" t="inlineStr">
        <is>
          <t>Recalculated independently</t>
        </is>
      </c>
      <c r="C33" s="51" t="n"/>
      <c r="D33" s="52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</row>
    <row r="34">
      <c r="A34" s="50" t="inlineStr">
        <is>
          <t>F</t>
        </is>
      </c>
      <c r="B34" s="33" t="inlineStr">
        <is>
          <t>Footed / cross-cast</t>
        </is>
      </c>
      <c r="C34" s="51" t="n"/>
      <c r="D34" s="52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</row>
    <row r="35">
      <c r="A35" s="50" t="inlineStr">
        <is>
          <t>T</t>
        </is>
      </c>
      <c r="B35" s="33" t="inlineStr">
        <is>
          <t>Traced to downstream record</t>
        </is>
      </c>
      <c r="C35" s="51" t="n"/>
      <c r="D35" s="52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</row>
    <row r="36">
      <c r="A36" s="50" t="inlineStr">
        <is>
          <t>PBC</t>
        </is>
      </c>
      <c r="B36" s="33" t="inlineStr">
        <is>
          <t>Prepared by client</t>
        </is>
      </c>
      <c r="C36" s="51" t="n"/>
      <c r="D36" s="52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</row>
    <row r="38" ht="25.5" customHeight="1">
      <c r="A38" s="29" t="inlineStr">
        <is>
          <t>Before sign-off complete Library Procedure 7 (detail testing &amp; cutoff).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</row>
  </sheetData>
  <autoFilter ref="A7:M22"/>
  <mergeCells count="14">
    <mergeCell ref="B33:D33"/>
    <mergeCell ref="B28:D28"/>
    <mergeCell ref="B6:M6"/>
    <mergeCell ref="A38:M38"/>
    <mergeCell ref="B36:D36"/>
    <mergeCell ref="B29:D29"/>
    <mergeCell ref="B31:D31"/>
    <mergeCell ref="B5:M5"/>
    <mergeCell ref="B35:D35"/>
    <mergeCell ref="B32:D32"/>
    <mergeCell ref="B30:D30"/>
    <mergeCell ref="A25:M25"/>
    <mergeCell ref="B4:M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28" customWidth="1" min="1" max="1"/>
    <col width="22.4" customWidth="1" min="2" max="2"/>
    <col width="17.3" customWidth="1" min="3" max="3"/>
    <col width="37.7" customWidth="1" min="4" max="4"/>
    <col width="22.4" customWidth="1" min="5" max="7"/>
    <col width="30.9" customWidth="1" min="6" max="6"/>
    <col width="30.05" customWidth="1" min="7" max="7"/>
    <col width="35.15" customWidth="1" min="8" max="8"/>
    <col width="36" customWidth="1" min="9" max="9"/>
  </cols>
  <sheetData>
    <row r="1" ht="17.5" customHeight="1">
      <c r="A1" s="26" t="inlineStr">
        <is>
          <t>Prior-Year Lookback Analysis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7" customHeight="1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  <c r="I3" s="27" t="n"/>
    </row>
    <row r="4" ht="42" customHeight="1">
      <c r="A4" s="43" t="inlineStr">
        <is>
          <t>Purpose:</t>
        </is>
      </c>
      <c r="B4" s="44" t="inlineStr">
        <is>
          <t>Retrospective review: test prior-year accruals by their actual subsequent settlement / reversal to evaluate the reliability of the prior estimate and confirm the current-year opening balance is correct.</t>
        </is>
      </c>
      <c r="C4" s="45" t="n"/>
      <c r="D4" s="45" t="n"/>
      <c r="E4" s="45" t="n"/>
      <c r="F4" s="45" t="n"/>
      <c r="G4" s="45" t="n"/>
      <c r="H4" s="45" t="n"/>
      <c r="I4" s="46" t="n"/>
    </row>
    <row r="5" ht="27.75" customHeight="1">
      <c r="A5" s="43" t="inlineStr">
        <is>
          <t>Scope:</t>
        </is>
      </c>
      <c r="B5" s="44" t="inlineStr">
        <is>
          <t>Each prior-year accrual category traced to what was actually paid or reversed in the current year.</t>
        </is>
      </c>
      <c r="C5" s="45" t="n"/>
      <c r="D5" s="45" t="n"/>
      <c r="E5" s="45" t="n"/>
      <c r="F5" s="45" t="n"/>
      <c r="G5" s="45" t="n"/>
      <c r="H5" s="45" t="n"/>
      <c r="I5" s="46" t="n"/>
    </row>
    <row r="6" ht="15" customHeight="1">
      <c r="A6" s="43" t="inlineStr">
        <is>
          <t>Assertions:</t>
        </is>
      </c>
      <c r="B6" s="44" t="inlineStr">
        <is>
          <t>Valuation &amp; Allocation; Accuracy</t>
        </is>
      </c>
      <c r="C6" s="45" t="n"/>
      <c r="D6" s="45" t="n"/>
      <c r="E6" s="45" t="n"/>
      <c r="F6" s="45" t="n"/>
      <c r="G6" s="45" t="n"/>
      <c r="H6" s="45" t="n"/>
      <c r="I6" s="46" t="n"/>
    </row>
    <row r="7" ht="43.5" customHeight="1">
      <c r="A7" s="47" t="inlineStr">
        <is>
          <t>Accrual category</t>
        </is>
      </c>
      <c r="B7" s="47" t="inlineStr">
        <is>
          <t>GL account</t>
        </is>
      </c>
      <c r="C7" s="47" t="inlineStr">
        <is>
          <t>PY accrued balance</t>
        </is>
      </c>
      <c r="D7" s="47" t="inlineStr">
        <is>
          <t>Actual settled / paid in CY (re PY)</t>
        </is>
      </c>
      <c r="E7" s="47" t="inlineStr">
        <is>
          <t>Amount reversed (unused)</t>
        </is>
      </c>
      <c r="F7" s="47" t="inlineStr">
        <is>
          <t>Total resolved</t>
        </is>
      </c>
      <c r="G7" s="47" t="inlineStr">
        <is>
          <t>Variance (PY − resolved)</t>
        </is>
      </c>
      <c r="H7" s="47" t="inlineStr">
        <is>
          <t>% variance</t>
        </is>
      </c>
      <c r="I7" s="47" t="inlineStr">
        <is>
          <t>Estimation-accuracy / opening conclusion</t>
        </is>
      </c>
    </row>
    <row r="8">
      <c r="A8" s="27" t="n"/>
      <c r="B8" s="27" t="n"/>
      <c r="C8" s="53" t="inlineStr">
        <is>
          <t>PY</t>
        </is>
      </c>
      <c r="D8" s="53" t="inlineStr">
        <is>
          <t>V</t>
        </is>
      </c>
      <c r="E8" s="27" t="n"/>
      <c r="F8" s="27" t="n"/>
      <c r="G8" s="53" t="inlineStr">
        <is>
          <t>R</t>
        </is>
      </c>
      <c r="H8" s="27" t="n"/>
      <c r="I8" s="27" t="n"/>
    </row>
    <row r="9">
      <c r="A9" s="48" t="n"/>
      <c r="B9" s="48" t="n"/>
      <c r="C9" s="54" t="n"/>
      <c r="D9" s="54" t="n"/>
      <c r="E9" s="54" t="n"/>
      <c r="F9" s="55">
        <f>IF(AND(D9="",E9=""),"",D9+E9)</f>
        <v/>
      </c>
      <c r="G9" s="55">
        <f>IF(OR(C9="",F9=""),"",C9-F9)</f>
        <v/>
      </c>
      <c r="H9" s="56">
        <f>IF(OR(C9="",C9=0,G9=""),"",G9/C9)</f>
        <v/>
      </c>
      <c r="I9" s="48" t="n"/>
    </row>
    <row r="10" ht="27" customHeight="1">
      <c r="A10" s="48" t="n"/>
      <c r="B10" s="48" t="n"/>
      <c r="C10" s="54" t="n"/>
      <c r="D10" s="54" t="n"/>
      <c r="E10" s="54" t="n"/>
      <c r="F10" s="55">
        <f>IF(AND(D10="",E10=""),"",D10+E10)</f>
        <v/>
      </c>
      <c r="G10" s="55">
        <f>IF(OR(C10="",F10=""),"",C10-F10)</f>
        <v/>
      </c>
      <c r="H10" s="56">
        <f>IF(OR(C10="",C10=0,G10=""),"",G10/C10)</f>
        <v/>
      </c>
      <c r="I10" s="48" t="n"/>
    </row>
    <row r="11" ht="27" customHeight="1">
      <c r="A11" s="48" t="n"/>
      <c r="B11" s="48" t="n"/>
      <c r="C11" s="54" t="n"/>
      <c r="D11" s="54" t="n"/>
      <c r="E11" s="54" t="n"/>
      <c r="F11" s="55">
        <f>IF(AND(D11="",E11=""),"",D11+E11)</f>
        <v/>
      </c>
      <c r="G11" s="55">
        <f>IF(OR(C11="",F11=""),"",C11-F11)</f>
        <v/>
      </c>
      <c r="H11" s="56">
        <f>IF(OR(C11="",C11=0,G11=""),"",G11/C11)</f>
        <v/>
      </c>
      <c r="I11" s="48" t="n"/>
    </row>
    <row r="12" ht="27" customHeight="1">
      <c r="A12" s="48" t="n"/>
      <c r="B12" s="48" t="n"/>
      <c r="C12" s="54" t="n"/>
      <c r="D12" s="54" t="n"/>
      <c r="E12" s="54" t="n"/>
      <c r="F12" s="55">
        <f>IF(AND(D12="",E12=""),"",D12+E12)</f>
        <v/>
      </c>
      <c r="G12" s="55">
        <f>IF(OR(C12="",F12=""),"",C12-F12)</f>
        <v/>
      </c>
      <c r="H12" s="56">
        <f>IF(OR(C12="",C12=0,G12=""),"",G12/C12)</f>
        <v/>
      </c>
      <c r="I12" s="48" t="n"/>
    </row>
    <row r="13" ht="27" customHeight="1">
      <c r="A13" s="48" t="n"/>
      <c r="B13" s="48" t="n"/>
      <c r="C13" s="54" t="n"/>
      <c r="D13" s="54" t="n"/>
      <c r="E13" s="54" t="n"/>
      <c r="F13" s="55">
        <f>IF(AND(D13="",E13=""),"",D13+E13)</f>
        <v/>
      </c>
      <c r="G13" s="55">
        <f>IF(OR(C13="",F13=""),"",C13-F13)</f>
        <v/>
      </c>
      <c r="H13" s="56">
        <f>IF(OR(C13="",C13=0,G13=""),"",G13/C13)</f>
        <v/>
      </c>
      <c r="I13" s="48" t="n"/>
    </row>
    <row r="14" ht="27" customHeight="1">
      <c r="A14" s="48" t="n"/>
      <c r="B14" s="48" t="n"/>
      <c r="C14" s="54" t="n"/>
      <c r="D14" s="54" t="n"/>
      <c r="E14" s="54" t="n"/>
      <c r="F14" s="55">
        <f>IF(AND(D14="",E14=""),"",D14+E14)</f>
        <v/>
      </c>
      <c r="G14" s="55">
        <f>IF(OR(C14="",F14=""),"",C14-F14)</f>
        <v/>
      </c>
      <c r="H14" s="56">
        <f>IF(OR(C14="",C14=0,G14=""),"",G14/C14)</f>
        <v/>
      </c>
      <c r="I14" s="48" t="n"/>
    </row>
    <row r="15" ht="27" customHeight="1">
      <c r="A15" s="48" t="n"/>
      <c r="B15" s="48" t="n"/>
      <c r="C15" s="54" t="n"/>
      <c r="D15" s="54" t="n"/>
      <c r="E15" s="54" t="n"/>
      <c r="F15" s="55">
        <f>IF(AND(D15="",E15=""),"",D15+E15)</f>
        <v/>
      </c>
      <c r="G15" s="55">
        <f>IF(OR(C15="",F15=""),"",C15-F15)</f>
        <v/>
      </c>
      <c r="H15" s="56">
        <f>IF(OR(C15="",C15=0,G15=""),"",G15/C15)</f>
        <v/>
      </c>
      <c r="I15" s="48" t="n"/>
    </row>
    <row r="16" ht="27" customHeight="1">
      <c r="A16" s="48" t="n"/>
      <c r="B16" s="48" t="n"/>
      <c r="C16" s="54" t="n"/>
      <c r="D16" s="54" t="n"/>
      <c r="E16" s="54" t="n"/>
      <c r="F16" s="55">
        <f>IF(AND(D16="",E16=""),"",D16+E16)</f>
        <v/>
      </c>
      <c r="G16" s="55">
        <f>IF(OR(C16="",F16=""),"",C16-F16)</f>
        <v/>
      </c>
      <c r="H16" s="56">
        <f>IF(OR(C16="",C16=0,G16=""),"",G16/C16)</f>
        <v/>
      </c>
      <c r="I16" s="48" t="n"/>
    </row>
    <row r="17" ht="27" customHeight="1">
      <c r="A17" s="48" t="n"/>
      <c r="B17" s="48" t="n"/>
      <c r="C17" s="54" t="n"/>
      <c r="D17" s="54" t="n"/>
      <c r="E17" s="54" t="n"/>
      <c r="F17" s="55">
        <f>IF(AND(D17="",E17=""),"",D17+E17)</f>
        <v/>
      </c>
      <c r="G17" s="55">
        <f>IF(OR(C17="",F17=""),"",C17-F17)</f>
        <v/>
      </c>
      <c r="H17" s="56">
        <f>IF(OR(C17="",C17=0,G17=""),"",G17/C17)</f>
        <v/>
      </c>
      <c r="I17" s="48" t="n"/>
    </row>
    <row r="18" ht="27" customHeight="1">
      <c r="A18" s="48" t="n"/>
      <c r="B18" s="48" t="n"/>
      <c r="C18" s="54" t="n"/>
      <c r="D18" s="54" t="n"/>
      <c r="E18" s="54" t="n"/>
      <c r="F18" s="55">
        <f>IF(AND(D18="",E18=""),"",D18+E18)</f>
        <v/>
      </c>
      <c r="G18" s="55">
        <f>IF(OR(C18="",F18=""),"",C18-F18)</f>
        <v/>
      </c>
      <c r="H18" s="56">
        <f>IF(OR(C18="",C18=0,G18=""),"",G18/C18)</f>
        <v/>
      </c>
      <c r="I18" s="48" t="n"/>
    </row>
    <row r="19" ht="27" customHeight="1">
      <c r="A19" s="48" t="n"/>
      <c r="B19" s="48" t="n"/>
      <c r="C19" s="54" t="n"/>
      <c r="D19" s="54" t="n"/>
      <c r="E19" s="54" t="n"/>
      <c r="F19" s="55">
        <f>IF(AND(D19="",E19=""),"",D19+E19)</f>
        <v/>
      </c>
      <c r="G19" s="55">
        <f>IF(OR(C19="",F19=""),"",C19-F19)</f>
        <v/>
      </c>
      <c r="H19" s="56">
        <f>IF(OR(C19="",C19=0,G19=""),"",G19/C19)</f>
        <v/>
      </c>
      <c r="I19" s="48" t="n"/>
    </row>
    <row r="20" ht="27" customHeight="1">
      <c r="A20" s="48" t="n"/>
      <c r="B20" s="48" t="n"/>
      <c r="C20" s="54" t="n"/>
      <c r="D20" s="54" t="n"/>
      <c r="E20" s="54" t="n"/>
      <c r="F20" s="55">
        <f>IF(AND(D20="",E20=""),"",D20+E20)</f>
        <v/>
      </c>
      <c r="G20" s="55">
        <f>IF(OR(C20="",F20=""),"",C20-F20)</f>
        <v/>
      </c>
      <c r="H20" s="56">
        <f>IF(OR(C20="",C20=0,G20=""),"",G20/C20)</f>
        <v/>
      </c>
      <c r="I20" s="48" t="n"/>
    </row>
    <row r="21">
      <c r="A21" s="58" t="inlineStr">
        <is>
          <t>Total</t>
        </is>
      </c>
      <c r="B21" s="58" t="n"/>
      <c r="C21" s="59">
        <f>SUM(C9:C20)</f>
        <v/>
      </c>
      <c r="D21" s="59">
        <f>SUM(D9:D20)</f>
        <v/>
      </c>
      <c r="E21" s="59">
        <f>SUM(E9:E20)</f>
        <v/>
      </c>
      <c r="F21" s="59">
        <f>SUM(F9:F20)</f>
        <v/>
      </c>
      <c r="G21" s="59">
        <f>SUM(G9:G20)</f>
        <v/>
      </c>
      <c r="H21" s="58" t="n"/>
      <c r="I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 ht="25.5" customHeight="1">
      <c r="A23" s="29" t="inlineStr">
        <is>
          <t>A variance near zero indicates the prior-year estimate — and therefore the current-year OPENING balance — was reliable. A significant or one-directional variance indicates estimation bias or an opening-balance misstatement to evaluate.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</row>
    <row r="25">
      <c r="A25" s="49" t="inlineStr">
        <is>
          <t>TM Legends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</row>
    <row r="26">
      <c r="A26" s="50" t="inlineStr">
        <is>
          <t>TB</t>
        </is>
      </c>
      <c r="B26" s="33" t="inlineStr">
        <is>
          <t>Agreed to trial balance</t>
        </is>
      </c>
      <c r="C26" s="51" t="n"/>
      <c r="D26" s="52" t="n"/>
      <c r="E26" s="27" t="n"/>
      <c r="F26" s="27" t="n"/>
      <c r="G26" s="27" t="n"/>
      <c r="H26" s="27" t="n"/>
      <c r="I26" s="27" t="n"/>
    </row>
    <row r="27">
      <c r="A27" s="50" t="inlineStr">
        <is>
          <t>GL</t>
        </is>
      </c>
      <c r="B27" s="33" t="inlineStr">
        <is>
          <t>Agreed to general ledger</t>
        </is>
      </c>
      <c r="C27" s="51" t="n"/>
      <c r="D27" s="52" t="n"/>
      <c r="E27" s="27" t="n"/>
      <c r="F27" s="27" t="n"/>
      <c r="G27" s="27" t="n"/>
      <c r="H27" s="27" t="n"/>
      <c r="I27" s="27" t="n"/>
    </row>
    <row r="28">
      <c r="A28" s="50" t="inlineStr">
        <is>
          <t>CF</t>
        </is>
      </c>
      <c r="B28" s="33" t="inlineStr">
        <is>
          <t>Confirmed with third party</t>
        </is>
      </c>
      <c r="C28" s="51" t="n"/>
      <c r="D28" s="52" t="n"/>
      <c r="E28" s="27" t="n"/>
      <c r="F28" s="27" t="n"/>
      <c r="G28" s="27" t="n"/>
      <c r="H28" s="27" t="n"/>
      <c r="I28" s="27" t="n"/>
    </row>
    <row r="29">
      <c r="A29" s="50" t="inlineStr">
        <is>
          <t>V</t>
        </is>
      </c>
      <c r="B29" s="33" t="inlineStr">
        <is>
          <t>Vouched to source document</t>
        </is>
      </c>
      <c r="C29" s="51" t="n"/>
      <c r="D29" s="52" t="n"/>
      <c r="E29" s="27" t="n"/>
      <c r="F29" s="27" t="n"/>
      <c r="G29" s="27" t="n"/>
      <c r="H29" s="27" t="n"/>
      <c r="I29" s="27" t="n"/>
    </row>
    <row r="30">
      <c r="A30" s="50" t="inlineStr">
        <is>
          <t>SR</t>
        </is>
      </c>
      <c r="B30" s="33" t="inlineStr">
        <is>
          <t>Agreed to subsequent bank-cleared receipt</t>
        </is>
      </c>
      <c r="C30" s="51" t="n"/>
      <c r="D30" s="52" t="n"/>
      <c r="E30" s="27" t="n"/>
      <c r="F30" s="27" t="n"/>
      <c r="G30" s="27" t="n"/>
      <c r="H30" s="27" t="n"/>
      <c r="I30" s="27" t="n"/>
    </row>
    <row r="31">
      <c r="A31" s="50" t="inlineStr">
        <is>
          <t>R</t>
        </is>
      </c>
      <c r="B31" s="33" t="inlineStr">
        <is>
          <t>Recalculated independently</t>
        </is>
      </c>
      <c r="C31" s="51" t="n"/>
      <c r="D31" s="52" t="n"/>
      <c r="E31" s="27" t="n"/>
      <c r="F31" s="27" t="n"/>
      <c r="G31" s="27" t="n"/>
      <c r="H31" s="27" t="n"/>
      <c r="I31" s="27" t="n"/>
    </row>
    <row r="32">
      <c r="A32" s="50" t="inlineStr">
        <is>
          <t>F</t>
        </is>
      </c>
      <c r="B32" s="33" t="inlineStr">
        <is>
          <t>Footed / cross-cast</t>
        </is>
      </c>
      <c r="C32" s="51" t="n"/>
      <c r="D32" s="52" t="n"/>
      <c r="E32" s="27" t="n"/>
      <c r="F32" s="27" t="n"/>
      <c r="G32" s="27" t="n"/>
      <c r="H32" s="27" t="n"/>
      <c r="I32" s="27" t="n"/>
    </row>
    <row r="33">
      <c r="A33" s="50" t="inlineStr">
        <is>
          <t>T</t>
        </is>
      </c>
      <c r="B33" s="33" t="inlineStr">
        <is>
          <t>Traced to downstream record</t>
        </is>
      </c>
      <c r="C33" s="51" t="n"/>
      <c r="D33" s="52" t="n"/>
      <c r="E33" s="27" t="n"/>
      <c r="F33" s="27" t="n"/>
      <c r="G33" s="27" t="n"/>
      <c r="H33" s="27" t="n"/>
      <c r="I33" s="27" t="n"/>
    </row>
    <row r="34">
      <c r="A34" s="50" t="inlineStr">
        <is>
          <t>PBC</t>
        </is>
      </c>
      <c r="B34" s="33" t="inlineStr">
        <is>
          <t>Prepared by client</t>
        </is>
      </c>
      <c r="C34" s="51" t="n"/>
      <c r="D34" s="52" t="n"/>
      <c r="E34" s="27" t="n"/>
      <c r="F34" s="27" t="n"/>
      <c r="G34" s="27" t="n"/>
      <c r="H34" s="27" t="n"/>
      <c r="I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</row>
    <row r="36" ht="25.5" customHeight="1">
      <c r="A36" s="29" t="inlineStr">
        <is>
          <t>Before sign-off complete Library Procedures 8-9 (retrospective review / opening correctness &amp; bias).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K3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7.5" bestFit="1" customWidth="1" min="1" max="1"/>
    <col width="22.4" customWidth="1" min="2" max="2"/>
    <col width="19.85" customWidth="1" min="3" max="3"/>
    <col width="37.7" customWidth="1" min="4" max="4"/>
    <col width="14" customWidth="1" min="5" max="5"/>
    <col width="28.35" customWidth="1" min="6" max="6"/>
    <col width="22.4" customWidth="1" min="7" max="7"/>
    <col width="19" customWidth="1" min="8" max="8"/>
    <col width="28.35" customWidth="1" min="9" max="9"/>
    <col width="14" customWidth="1" min="10" max="10"/>
    <col width="26" customWidth="1" min="11" max="11"/>
  </cols>
  <sheetData>
    <row r="1" ht="27" customHeight="1">
      <c r="A1" s="26" t="inlineStr">
        <is>
          <t>Search for Unrecorded Accruals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</row>
    <row r="2" ht="27" customHeight="1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  <c r="I3" s="27" t="n"/>
      <c r="J3" s="27" t="n"/>
      <c r="K3" s="27" t="n"/>
    </row>
    <row r="4" ht="27.75" customHeight="1">
      <c r="A4" s="49" t="inlineStr">
        <is>
          <t>Purpose:</t>
        </is>
      </c>
      <c r="B4" s="62" t="inlineStr">
        <is>
          <t>Review subsequent invoices/payments and the received-not-invoiced (RNI) report for expenses relating to the pre-year-end period that were not accrued.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</row>
    <row r="5" ht="15" customHeight="1">
      <c r="A5" s="49" t="inlineStr">
        <is>
          <t>Scope:</t>
        </is>
      </c>
      <c r="B5" s="62" t="inlineStr">
        <is>
          <t>Subsequent-period invoice register / disbursements and the RNI (received-not-invoiced) report.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ht="15" customHeight="1">
      <c r="A6" s="49" t="inlineStr">
        <is>
          <t>Assertions:</t>
        </is>
      </c>
      <c r="B6" s="62" t="inlineStr">
        <is>
          <t>Completeness; Cutoff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39.75" customHeight="1">
      <c r="A7" s="61" t="inlineStr">
        <is>
          <t>Sample #</t>
        </is>
      </c>
      <c r="B7" s="61" t="inlineStr">
        <is>
          <t>Vendor</t>
        </is>
      </c>
      <c r="C7" s="61" t="inlineStr">
        <is>
          <t>Invoice / payment ref</t>
        </is>
      </c>
      <c r="D7" s="61" t="inlineStr">
        <is>
          <t>Date</t>
        </is>
      </c>
      <c r="E7" s="61" t="inlineStr">
        <is>
          <t>Amount</t>
        </is>
      </c>
      <c r="F7" s="61" t="inlineStr">
        <is>
          <t>Goods received / service period</t>
        </is>
      </c>
      <c r="G7" s="61" t="inlineStr">
        <is>
          <t>Relates to pre-YE? (Y/N)</t>
        </is>
      </c>
      <c r="H7" s="61" t="inlineStr">
        <is>
          <t>Accrued at YE? (Y/N)</t>
        </is>
      </c>
      <c r="I7" s="61" t="inlineStr">
        <is>
          <t>Unrecorded accrual (exception)</t>
        </is>
      </c>
      <c r="J7" s="61" t="inlineStr">
        <is>
          <t>GL account</t>
        </is>
      </c>
      <c r="K7" s="61" t="inlineStr">
        <is>
          <t>Notes</t>
        </is>
      </c>
    </row>
    <row r="8">
      <c r="A8" s="27" t="n"/>
      <c r="B8" s="27" t="n"/>
      <c r="C8" s="27" t="n"/>
      <c r="D8" s="27" t="n"/>
      <c r="E8" s="53" t="inlineStr">
        <is>
          <t>V</t>
        </is>
      </c>
      <c r="F8" s="27" t="n"/>
      <c r="G8" s="27" t="n"/>
      <c r="H8" s="27" t="n"/>
      <c r="I8" s="27" t="n"/>
      <c r="J8" s="53" t="inlineStr">
        <is>
          <t>R</t>
        </is>
      </c>
      <c r="K8" s="27" t="n"/>
    </row>
    <row r="9">
      <c r="A9" s="48" t="n"/>
      <c r="B9" s="48" t="n"/>
      <c r="C9" s="48" t="n"/>
      <c r="D9" s="48" t="n"/>
      <c r="E9" s="54" t="n"/>
      <c r="F9" s="48" t="n"/>
      <c r="G9" s="48" t="n"/>
      <c r="H9" s="48" t="n"/>
      <c r="I9" s="55">
        <f>IF(AND(G9="Y",H9="N"),E9,0)</f>
        <v/>
      </c>
      <c r="J9" s="48" t="n"/>
      <c r="K9" s="48" t="n"/>
    </row>
    <row r="10" ht="27" customHeight="1">
      <c r="A10" s="48" t="n"/>
      <c r="B10" s="48" t="n"/>
      <c r="C10" s="48" t="n"/>
      <c r="D10" s="48" t="n"/>
      <c r="E10" s="54" t="n"/>
      <c r="F10" s="48" t="n"/>
      <c r="G10" s="48" t="n"/>
      <c r="H10" s="48" t="n"/>
      <c r="I10" s="55">
        <f>IF(AND(G10="Y",H10="N"),E10,0)</f>
        <v/>
      </c>
      <c r="J10" s="48" t="n"/>
      <c r="K10" s="48" t="n"/>
    </row>
    <row r="11" ht="27" customHeight="1">
      <c r="A11" s="48" t="n"/>
      <c r="B11" s="48" t="n"/>
      <c r="C11" s="48" t="n"/>
      <c r="D11" s="48" t="n"/>
      <c r="E11" s="54" t="n"/>
      <c r="F11" s="48" t="n"/>
      <c r="G11" s="48" t="n"/>
      <c r="H11" s="48" t="n"/>
      <c r="I11" s="55">
        <f>IF(AND(G11="Y",H11="N"),E11,0)</f>
        <v/>
      </c>
      <c r="J11" s="48" t="n"/>
      <c r="K11" s="48" t="n"/>
    </row>
    <row r="12" ht="27" customHeight="1">
      <c r="A12" s="48" t="n"/>
      <c r="B12" s="48" t="n"/>
      <c r="C12" s="48" t="n"/>
      <c r="D12" s="48" t="n"/>
      <c r="E12" s="54" t="n"/>
      <c r="F12" s="48" t="n"/>
      <c r="G12" s="48" t="n"/>
      <c r="H12" s="48" t="n"/>
      <c r="I12" s="55">
        <f>IF(AND(G12="Y",H12="N"),E12,0)</f>
        <v/>
      </c>
      <c r="J12" s="48" t="n"/>
      <c r="K12" s="48" t="n"/>
    </row>
    <row r="13" ht="27" customHeight="1">
      <c r="A13" s="48" t="n"/>
      <c r="B13" s="48" t="n"/>
      <c r="C13" s="48" t="n"/>
      <c r="D13" s="48" t="n"/>
      <c r="E13" s="54" t="n"/>
      <c r="F13" s="48" t="n"/>
      <c r="G13" s="48" t="n"/>
      <c r="H13" s="48" t="n"/>
      <c r="I13" s="55">
        <f>IF(AND(G13="Y",H13="N"),E13,0)</f>
        <v/>
      </c>
      <c r="J13" s="48" t="n"/>
      <c r="K13" s="48" t="n"/>
    </row>
    <row r="14" ht="27" customHeight="1">
      <c r="A14" s="48" t="n"/>
      <c r="B14" s="48" t="n"/>
      <c r="C14" s="48" t="n"/>
      <c r="D14" s="48" t="n"/>
      <c r="E14" s="54" t="n"/>
      <c r="F14" s="48" t="n"/>
      <c r="G14" s="48" t="n"/>
      <c r="H14" s="48" t="n"/>
      <c r="I14" s="55">
        <f>IF(AND(G14="Y",H14="N"),E14,0)</f>
        <v/>
      </c>
      <c r="J14" s="48" t="n"/>
      <c r="K14" s="48" t="n"/>
    </row>
    <row r="15" ht="27" customHeight="1">
      <c r="A15" s="48" t="n"/>
      <c r="B15" s="48" t="n"/>
      <c r="C15" s="48" t="n"/>
      <c r="D15" s="48" t="n"/>
      <c r="E15" s="54" t="n"/>
      <c r="F15" s="48" t="n"/>
      <c r="G15" s="48" t="n"/>
      <c r="H15" s="48" t="n"/>
      <c r="I15" s="55">
        <f>IF(AND(G15="Y",H15="N"),E15,0)</f>
        <v/>
      </c>
      <c r="J15" s="48" t="n"/>
      <c r="K15" s="48" t="n"/>
    </row>
    <row r="16" ht="27" customHeight="1">
      <c r="A16" s="48" t="n"/>
      <c r="B16" s="48" t="n"/>
      <c r="C16" s="48" t="n"/>
      <c r="D16" s="48" t="n"/>
      <c r="E16" s="54" t="n"/>
      <c r="F16" s="48" t="n"/>
      <c r="G16" s="48" t="n"/>
      <c r="H16" s="48" t="n"/>
      <c r="I16" s="55">
        <f>IF(AND(G16="Y",H16="N"),E16,0)</f>
        <v/>
      </c>
      <c r="J16" s="48" t="n"/>
      <c r="K16" s="48" t="n"/>
    </row>
    <row r="17" ht="27" customHeight="1">
      <c r="A17" s="48" t="n"/>
      <c r="B17" s="48" t="n"/>
      <c r="C17" s="48" t="n"/>
      <c r="D17" s="48" t="n"/>
      <c r="E17" s="54" t="n"/>
      <c r="F17" s="48" t="n"/>
      <c r="G17" s="48" t="n"/>
      <c r="H17" s="48" t="n"/>
      <c r="I17" s="55">
        <f>IF(AND(G17="Y",H17="N"),E17,0)</f>
        <v/>
      </c>
      <c r="J17" s="48" t="n"/>
      <c r="K17" s="48" t="n"/>
    </row>
    <row r="18" ht="27" customHeight="1">
      <c r="A18" s="48" t="n"/>
      <c r="B18" s="48" t="n"/>
      <c r="C18" s="48" t="n"/>
      <c r="D18" s="48" t="n"/>
      <c r="E18" s="54" t="n"/>
      <c r="F18" s="48" t="n"/>
      <c r="G18" s="48" t="n"/>
      <c r="H18" s="48" t="n"/>
      <c r="I18" s="55">
        <f>IF(AND(G18="Y",H18="N"),E18,0)</f>
        <v/>
      </c>
      <c r="J18" s="48" t="n"/>
      <c r="K18" s="48" t="n"/>
    </row>
    <row r="19" ht="27" customHeight="1">
      <c r="A19" s="48" t="n"/>
      <c r="B19" s="48" t="n"/>
      <c r="C19" s="48" t="n"/>
      <c r="D19" s="48" t="n"/>
      <c r="E19" s="54" t="n"/>
      <c r="F19" s="48" t="n"/>
      <c r="G19" s="48" t="n"/>
      <c r="H19" s="48" t="n"/>
      <c r="I19" s="55">
        <f>IF(AND(G19="Y",H19="N"),E19,0)</f>
        <v/>
      </c>
      <c r="J19" s="48" t="n"/>
      <c r="K19" s="48" t="n"/>
    </row>
    <row r="20" ht="27" customHeight="1">
      <c r="A20" s="48" t="n"/>
      <c r="B20" s="48" t="n"/>
      <c r="C20" s="48" t="n"/>
      <c r="D20" s="48" t="n"/>
      <c r="E20" s="54" t="n"/>
      <c r="F20" s="48" t="n"/>
      <c r="G20" s="48" t="n"/>
      <c r="H20" s="48" t="n"/>
      <c r="I20" s="55">
        <f>IF(AND(G20="Y",H20="N"),E20,0)</f>
        <v/>
      </c>
      <c r="J20" s="48" t="n"/>
      <c r="K20" s="48" t="n"/>
    </row>
    <row r="21" ht="27" customHeight="1">
      <c r="A21" s="48" t="n"/>
      <c r="B21" s="48" t="n"/>
      <c r="C21" s="48" t="n"/>
      <c r="D21" s="48" t="n"/>
      <c r="E21" s="54" t="n"/>
      <c r="F21" s="48" t="n"/>
      <c r="G21" s="48" t="n"/>
      <c r="H21" s="48" t="n"/>
      <c r="I21" s="55">
        <f>IF(AND(G21="Y",H21="N"),E21,0)</f>
        <v/>
      </c>
      <c r="J21" s="48" t="n"/>
      <c r="K21" s="48" t="n"/>
    </row>
    <row r="22" ht="27" customHeight="1">
      <c r="A22" s="48" t="n"/>
      <c r="B22" s="48" t="n"/>
      <c r="C22" s="48" t="n"/>
      <c r="D22" s="48" t="n"/>
      <c r="E22" s="54" t="n"/>
      <c r="F22" s="48" t="n"/>
      <c r="G22" s="48" t="n"/>
      <c r="H22" s="48" t="n"/>
      <c r="I22" s="55">
        <f>IF(AND(G22="Y",H22="N"),E22,0)</f>
        <v/>
      </c>
      <c r="J22" s="48" t="n"/>
      <c r="K22" s="48" t="n"/>
    </row>
    <row r="23">
      <c r="A23" s="58" t="inlineStr">
        <is>
          <t>Total</t>
        </is>
      </c>
      <c r="B23" s="58" t="n"/>
      <c r="C23" s="58" t="n"/>
      <c r="D23" s="58" t="n"/>
      <c r="E23" s="59">
        <f>SUM(E9:E22)</f>
        <v/>
      </c>
      <c r="F23" s="58" t="n"/>
      <c r="G23" s="58" t="n"/>
      <c r="H23" s="58" t="n"/>
      <c r="I23" s="59">
        <f>SUM(I9:I22)</f>
        <v/>
      </c>
      <c r="J23" s="58" t="n"/>
      <c r="K23" s="58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 ht="25.5" customHeight="1">
      <c r="A25" s="29" t="inlineStr">
        <is>
          <t>An item relating to the pre-year-end period but not accrued is an unrecorded liability; the exception column auto-flags it. Evaluate the aggregate against the testing threshold.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>
      <c r="A27" s="49" t="inlineStr">
        <is>
          <t>TM Legends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>
      <c r="A28" s="50" t="inlineStr">
        <is>
          <t>TB</t>
        </is>
      </c>
      <c r="B28" s="33" t="inlineStr">
        <is>
          <t>Agreed to trial balance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</row>
    <row r="29">
      <c r="A29" s="50" t="inlineStr">
        <is>
          <t>GL</t>
        </is>
      </c>
      <c r="B29" s="33" t="inlineStr">
        <is>
          <t>Agreed to general ledger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</row>
    <row r="30">
      <c r="A30" s="50" t="inlineStr">
        <is>
          <t>CF</t>
        </is>
      </c>
      <c r="B30" s="33" t="inlineStr">
        <is>
          <t>Confirmed with third party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</row>
    <row r="31">
      <c r="A31" s="50" t="inlineStr">
        <is>
          <t>V</t>
        </is>
      </c>
      <c r="B31" s="33" t="inlineStr">
        <is>
          <t>Vouched to source document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</row>
    <row r="32">
      <c r="A32" s="50" t="inlineStr">
        <is>
          <t>SR</t>
        </is>
      </c>
      <c r="B32" s="33" t="inlineStr">
        <is>
          <t>Agreed to subsequent bank-cleared receipt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</row>
    <row r="33">
      <c r="A33" s="50" t="inlineStr">
        <is>
          <t>R</t>
        </is>
      </c>
      <c r="B33" s="33" t="inlineStr">
        <is>
          <t>Recalculated independently</t>
        </is>
      </c>
      <c r="C33" s="51" t="n"/>
      <c r="D33" s="52" t="n"/>
      <c r="E33" s="27" t="n"/>
      <c r="F33" s="27" t="n"/>
      <c r="G33" s="27" t="n"/>
      <c r="H33" s="27" t="n"/>
      <c r="I33" s="27" t="n"/>
      <c r="J33" s="27" t="n"/>
      <c r="K33" s="27" t="n"/>
    </row>
    <row r="34">
      <c r="A34" s="50" t="inlineStr">
        <is>
          <t>F</t>
        </is>
      </c>
      <c r="B34" s="33" t="inlineStr">
        <is>
          <t>Footed / cross-cast</t>
        </is>
      </c>
      <c r="C34" s="51" t="n"/>
      <c r="D34" s="52" t="n"/>
      <c r="E34" s="27" t="n"/>
      <c r="F34" s="27" t="n"/>
      <c r="G34" s="27" t="n"/>
      <c r="H34" s="27" t="n"/>
      <c r="I34" s="27" t="n"/>
      <c r="J34" s="27" t="n"/>
      <c r="K34" s="27" t="n"/>
    </row>
    <row r="35">
      <c r="A35" s="50" t="inlineStr">
        <is>
          <t>T</t>
        </is>
      </c>
      <c r="B35" s="33" t="inlineStr">
        <is>
          <t>Traced to downstream record</t>
        </is>
      </c>
      <c r="C35" s="51" t="n"/>
      <c r="D35" s="52" t="n"/>
      <c r="E35" s="27" t="n"/>
      <c r="F35" s="27" t="n"/>
      <c r="G35" s="27" t="n"/>
      <c r="H35" s="27" t="n"/>
      <c r="I35" s="27" t="n"/>
      <c r="J35" s="27" t="n"/>
      <c r="K35" s="27" t="n"/>
    </row>
    <row r="36">
      <c r="A36" s="50" t="inlineStr">
        <is>
          <t>PBC</t>
        </is>
      </c>
      <c r="B36" s="33" t="inlineStr">
        <is>
          <t>Prepared by client</t>
        </is>
      </c>
      <c r="C36" s="51" t="n"/>
      <c r="D36" s="52" t="n"/>
      <c r="E36" s="27" t="n"/>
      <c r="F36" s="27" t="n"/>
      <c r="G36" s="27" t="n"/>
      <c r="H36" s="27" t="n"/>
      <c r="I36" s="27" t="n"/>
      <c r="J36" s="27" t="n"/>
      <c r="K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 ht="25.5" customHeight="1">
      <c r="A38" s="29" t="inlineStr">
        <is>
          <t>Before sign-off complete Library Procedures 10-11 (search for unrecorded accruals / RNI completeness).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</row>
  </sheetData>
  <mergeCells count="14">
    <mergeCell ref="B33:D33"/>
    <mergeCell ref="B28:D28"/>
    <mergeCell ref="B36:D36"/>
    <mergeCell ref="B34:D34"/>
    <mergeCell ref="B4:K4"/>
    <mergeCell ref="B31:D31"/>
    <mergeCell ref="B35:D35"/>
    <mergeCell ref="B32:D32"/>
    <mergeCell ref="A38:K38"/>
    <mergeCell ref="A25:K25"/>
    <mergeCell ref="B30:D30"/>
    <mergeCell ref="B6:K6"/>
    <mergeCell ref="B29:D29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7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1.1" customWidth="1" min="1" max="1"/>
    <col width="24" customWidth="1" min="2" max="2"/>
    <col width="28" customWidth="1" min="3" max="3"/>
    <col width="37.7" customWidth="1" min="4" max="4"/>
    <col width="16.45" customWidth="1" min="5" max="5"/>
    <col width="26" customWidth="1" min="6" max="6"/>
    <col width="27.5" customWidth="1" min="7" max="7"/>
    <col width="26" customWidth="1" min="8" max="8"/>
  </cols>
  <sheetData>
    <row r="1" ht="17.5" customHeight="1">
      <c r="A1" s="26" t="inlineStr">
        <is>
          <t>Estimate Evaluation (AU-C 540)</t>
        </is>
      </c>
      <c r="B1" s="27" t="n"/>
      <c r="C1" s="27" t="n"/>
      <c r="D1" s="27" t="n"/>
      <c r="E1" s="27" t="n"/>
      <c r="F1" s="27" t="n"/>
      <c r="G1" s="27" t="n"/>
      <c r="H1" s="27" t="n"/>
    </row>
    <row r="2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</row>
    <row r="4" ht="27.75" customHeight="1">
      <c r="A4" s="43" t="inlineStr">
        <is>
          <t>Purpose:</t>
        </is>
      </c>
      <c r="B4" s="44" t="inlineStr">
        <is>
          <t>Evaluate accounting estimates within accruals (bonus, incentive, warranty, rebates, legal/contingent) — method, assumptions, data, and management bias.</t>
        </is>
      </c>
      <c r="C4" s="45" t="n"/>
      <c r="D4" s="45" t="n"/>
      <c r="E4" s="45" t="n"/>
      <c r="F4" s="45" t="n"/>
      <c r="G4" s="45" t="n"/>
      <c r="H4" s="46" t="n"/>
    </row>
    <row r="5" ht="15" customHeight="1">
      <c r="A5" s="43" t="inlineStr">
        <is>
          <t>Scope:</t>
        </is>
      </c>
      <c r="B5" s="44" t="inlineStr">
        <is>
          <t>Estimated accruals requiring judgement. Retrospective review is performed on &lt;.4&gt;.</t>
        </is>
      </c>
      <c r="C5" s="45" t="n"/>
      <c r="D5" s="45" t="n"/>
      <c r="E5" s="45" t="n"/>
      <c r="F5" s="45" t="n"/>
      <c r="G5" s="45" t="n"/>
      <c r="H5" s="46" t="n"/>
    </row>
    <row r="6" ht="15" customHeight="1">
      <c r="A6" s="43" t="inlineStr">
        <is>
          <t>Assertions:</t>
        </is>
      </c>
      <c r="B6" s="44" t="inlineStr">
        <is>
          <t>Valuation &amp; Allocation; Presentation &amp; Disclosure</t>
        </is>
      </c>
      <c r="C6" s="45" t="n"/>
      <c r="D6" s="45" t="n"/>
      <c r="E6" s="45" t="n"/>
      <c r="F6" s="45" t="n"/>
      <c r="G6" s="45" t="n"/>
      <c r="H6" s="46" t="n"/>
    </row>
    <row r="7">
      <c r="A7" s="63" t="inlineStr">
        <is>
          <t>A. Estimate-by-estimate evaluation</t>
        </is>
      </c>
      <c r="B7" s="27" t="n"/>
      <c r="C7" s="27" t="n"/>
      <c r="D7" s="27" t="n"/>
      <c r="E7" s="27" t="n"/>
      <c r="F7" s="27" t="n"/>
      <c r="G7" s="27" t="n"/>
      <c r="H7" s="27" t="n"/>
    </row>
    <row r="8" ht="30" customHeight="1">
      <c r="A8" s="61" t="inlineStr">
        <is>
          <t>Estimate (accrual)</t>
        </is>
      </c>
      <c r="B8" s="61" t="inlineStr">
        <is>
          <t>Method / model</t>
        </is>
      </c>
      <c r="C8" s="61" t="inlineStr">
        <is>
          <t>Key assumptions</t>
        </is>
      </c>
      <c r="D8" s="61" t="inlineStr">
        <is>
          <t>Data source</t>
        </is>
      </c>
      <c r="E8" s="61" t="inlineStr">
        <is>
          <t>Reasonable? (Y/N)</t>
        </is>
      </c>
      <c r="F8" s="61" t="inlineStr">
        <is>
          <t>Bias indicators</t>
        </is>
      </c>
      <c r="G8" s="61" t="inlineStr">
        <is>
          <t>Auditor range / point estimate</t>
        </is>
      </c>
      <c r="H8" s="61" t="inlineStr">
        <is>
          <t>Conclusion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</row>
    <row r="17">
      <c r="A17" s="63" t="inlineStr">
        <is>
          <t>B. AU-C 540 considerations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 ht="18" customHeight="1">
      <c r="A18" s="61" t="inlineStr">
        <is>
          <t>Consideration</t>
        </is>
      </c>
      <c r="B18" s="61" t="inlineStr">
        <is>
          <t>Result (Y/N)</t>
        </is>
      </c>
      <c r="C18" s="61" t="inlineStr">
        <is>
          <t>W/P ref</t>
        </is>
      </c>
      <c r="D18" s="61" t="inlineStr">
        <is>
          <t>Comments</t>
        </is>
      </c>
      <c r="E18" s="27" t="n"/>
      <c r="F18" s="27" t="n"/>
      <c r="G18" s="27" t="n"/>
      <c r="H18" s="27" t="n"/>
    </row>
    <row r="19" ht="27" customHeight="1">
      <c r="A19" s="33" t="inlineStr">
        <is>
          <t>Method is appropriate and consistently applied</t>
        </is>
      </c>
      <c r="B19" s="48" t="n"/>
      <c r="C19" s="48" t="n"/>
      <c r="D19" s="48" t="n"/>
      <c r="E19" s="27" t="n"/>
      <c r="F19" s="27" t="n"/>
      <c r="G19" s="27" t="n"/>
      <c r="H19" s="27" t="n"/>
    </row>
    <row r="20">
      <c r="A20" s="33" t="inlineStr">
        <is>
          <t>Assumptions are reasonable and supported</t>
        </is>
      </c>
      <c r="B20" s="48" t="n"/>
      <c r="C20" s="48" t="n"/>
      <c r="D20" s="48" t="n"/>
      <c r="E20" s="27" t="n"/>
      <c r="F20" s="27" t="n"/>
      <c r="G20" s="27" t="n"/>
      <c r="H20" s="27" t="n"/>
    </row>
    <row r="21">
      <c r="A21" s="33" t="inlineStr">
        <is>
          <t>Data is relevant, reliable and complete</t>
        </is>
      </c>
      <c r="B21" s="48" t="n"/>
      <c r="C21" s="48" t="n"/>
      <c r="D21" s="48" t="n"/>
      <c r="E21" s="27" t="n"/>
      <c r="F21" s="27" t="n"/>
      <c r="G21" s="27" t="n"/>
      <c r="H21" s="27" t="n"/>
    </row>
    <row r="22">
      <c r="A22" s="33" t="inlineStr">
        <is>
          <t>Indicators of management bias considered</t>
        </is>
      </c>
      <c r="B22" s="48" t="n"/>
      <c r="C22" s="48" t="n"/>
      <c r="D22" s="48" t="n"/>
      <c r="E22" s="27" t="n"/>
      <c r="F22" s="27" t="n"/>
      <c r="G22" s="27" t="n"/>
      <c r="H22" s="27" t="n"/>
    </row>
    <row r="23">
      <c r="A23" s="33" t="inlineStr">
        <is>
          <t>Retrospective review performed (see &lt;.4&gt;)</t>
        </is>
      </c>
      <c r="B23" s="48" t="n"/>
      <c r="C23" s="48" t="n"/>
      <c r="D23" s="48" t="n"/>
      <c r="E23" s="27" t="n"/>
      <c r="F23" s="27" t="n"/>
      <c r="G23" s="27" t="n"/>
      <c r="H23" s="27" t="n"/>
    </row>
    <row r="24" ht="27" customHeight="1">
      <c r="A24" s="33" t="inlineStr">
        <is>
          <t>Estimation-uncertainty disclosure is adequate</t>
        </is>
      </c>
      <c r="B24" s="48" t="n"/>
      <c r="C24" s="48" t="n"/>
      <c r="D24" s="48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49" t="inlineStr">
        <is>
          <t>TM Legends</t>
        </is>
      </c>
      <c r="B26" s="27" t="n"/>
      <c r="C26" s="27" t="n"/>
      <c r="D26" s="27" t="n"/>
      <c r="E26" s="27" t="n"/>
      <c r="F26" s="27" t="n"/>
      <c r="G26" s="27" t="n"/>
      <c r="H26" s="27" t="n"/>
    </row>
    <row r="27">
      <c r="A27" s="50" t="inlineStr">
        <is>
          <t>TB</t>
        </is>
      </c>
      <c r="B27" s="33" t="inlineStr">
        <is>
          <t>Agreed to trial balance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GL</t>
        </is>
      </c>
      <c r="B28" s="33" t="inlineStr">
        <is>
          <t>Agreed to general ledger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CF</t>
        </is>
      </c>
      <c r="B29" s="33" t="inlineStr">
        <is>
          <t>Confirmed with third party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V</t>
        </is>
      </c>
      <c r="B30" s="33" t="inlineStr">
        <is>
          <t>Vouched to source document</t>
        </is>
      </c>
      <c r="C30" s="51" t="n"/>
      <c r="D30" s="52" t="n"/>
      <c r="E30" s="27" t="n"/>
      <c r="F30" s="27" t="n"/>
      <c r="G30" s="27" t="n"/>
      <c r="H30" s="27" t="n"/>
    </row>
    <row r="31">
      <c r="A31" s="50" t="inlineStr">
        <is>
          <t>SR</t>
        </is>
      </c>
      <c r="B31" s="33" t="inlineStr">
        <is>
          <t>Agreed to subsequent bank-cleared receipt</t>
        </is>
      </c>
      <c r="C31" s="51" t="n"/>
      <c r="D31" s="52" t="n"/>
      <c r="E31" s="27" t="n"/>
      <c r="F31" s="27" t="n"/>
      <c r="G31" s="27" t="n"/>
      <c r="H31" s="27" t="n"/>
    </row>
    <row r="32">
      <c r="A32" s="50" t="inlineStr">
        <is>
          <t>R</t>
        </is>
      </c>
      <c r="B32" s="33" t="inlineStr">
        <is>
          <t>Recalculated independently</t>
        </is>
      </c>
      <c r="C32" s="51" t="n"/>
      <c r="D32" s="52" t="n"/>
      <c r="E32" s="27" t="n"/>
      <c r="F32" s="27" t="n"/>
      <c r="G32" s="27" t="n"/>
      <c r="H32" s="27" t="n"/>
    </row>
    <row r="33">
      <c r="A33" s="50" t="inlineStr">
        <is>
          <t>F</t>
        </is>
      </c>
      <c r="B33" s="33" t="inlineStr">
        <is>
          <t>Footed / cross-cast</t>
        </is>
      </c>
      <c r="C33" s="51" t="n"/>
      <c r="D33" s="52" t="n"/>
      <c r="E33" s="27" t="n"/>
      <c r="F33" s="27" t="n"/>
      <c r="G33" s="27" t="n"/>
      <c r="H33" s="27" t="n"/>
    </row>
    <row r="34">
      <c r="A34" s="50" t="inlineStr">
        <is>
          <t>T</t>
        </is>
      </c>
      <c r="B34" s="33" t="inlineStr">
        <is>
          <t>Traced to downstream record</t>
        </is>
      </c>
      <c r="C34" s="51" t="n"/>
      <c r="D34" s="52" t="n"/>
      <c r="E34" s="27" t="n"/>
      <c r="F34" s="27" t="n"/>
      <c r="G34" s="27" t="n"/>
      <c r="H34" s="27" t="n"/>
    </row>
    <row r="35">
      <c r="A35" s="50" t="inlineStr">
        <is>
          <t>PBC</t>
        </is>
      </c>
      <c r="B35" s="33" t="inlineStr">
        <is>
          <t>Prepared by client</t>
        </is>
      </c>
      <c r="C35" s="51" t="n"/>
      <c r="D35" s="52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 ht="25.5" customHeight="1">
      <c r="A37" s="29" t="inlineStr">
        <is>
          <t>Before sign-off complete Library Procedures 12-15 (estimate method, assumptions/data, management bias, disclosure of estimation uncertainty).</t>
        </is>
      </c>
      <c r="B37" s="27" t="n"/>
      <c r="C37" s="27" t="n"/>
      <c r="D37" s="27" t="n"/>
      <c r="E37" s="27" t="n"/>
      <c r="F37" s="27" t="n"/>
      <c r="G37" s="27" t="n"/>
      <c r="H37" s="27" t="n"/>
    </row>
  </sheetData>
  <mergeCells count="13">
    <mergeCell ref="B33:D33"/>
    <mergeCell ref="B28:D28"/>
    <mergeCell ref="B31:D31"/>
    <mergeCell ref="B4:H4"/>
    <mergeCell ref="B35:D35"/>
    <mergeCell ref="B32:D32"/>
    <mergeCell ref="B6:H6"/>
    <mergeCell ref="B27:D27"/>
    <mergeCell ref="B30:D30"/>
    <mergeCell ref="A37:H37"/>
    <mergeCell ref="B29:D29"/>
    <mergeCell ref="B5:H5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4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min="1" max="1"/>
    <col width="22.4" customWidth="1" min="2" max="3"/>
    <col width="15.6" customWidth="1" min="3" max="3"/>
    <col width="37.7" customWidth="1" min="4" max="4"/>
    <col width="34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6" t="inlineStr">
        <is>
          <t>Analytics &amp; Disclosures</t>
        </is>
      </c>
      <c r="B1" s="27" t="n"/>
      <c r="C1" s="27" t="n"/>
      <c r="D1" s="27" t="n"/>
      <c r="E1" s="27" t="n"/>
      <c r="F1" s="27" t="n"/>
      <c r="G1" s="27" t="n"/>
      <c r="H1" s="27" t="n"/>
    </row>
    <row r="2" ht="27" customHeight="1">
      <c r="A2" s="38" t="inlineStr">
        <is>
          <t>Client / Entity</t>
        </is>
      </c>
      <c r="B2" s="28" t="inlineStr">
        <is>
          <t>Vaquite Industries, Inc.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23100</v>
      </c>
      <c r="C3" s="27" t="n"/>
      <c r="D3" s="41" t="inlineStr">
        <is>
          <t>Tolerable misstatement / testing threshold</t>
        </is>
      </c>
      <c r="E3" s="42" t="n">
        <v>20800</v>
      </c>
      <c r="F3" s="27" t="n"/>
      <c r="G3" s="27" t="n"/>
      <c r="H3" s="27" t="n"/>
    </row>
    <row r="4" ht="15" customHeight="1">
      <c r="A4" s="43" t="inlineStr">
        <is>
          <t>Purpose:</t>
        </is>
      </c>
      <c r="B4" s="44" t="inlineStr">
        <is>
          <t>Compute accrual analytics and evaluate presentation and disclosure matters.</t>
        </is>
      </c>
      <c r="C4" s="45" t="n"/>
      <c r="D4" s="45" t="n"/>
      <c r="E4" s="46" t="n"/>
      <c r="F4" s="27" t="n"/>
      <c r="G4" s="27" t="n"/>
      <c r="H4" s="27" t="n"/>
    </row>
    <row r="5" ht="15" customHeight="1">
      <c r="A5" s="43" t="inlineStr">
        <is>
          <t>Scope:</t>
        </is>
      </c>
      <c r="B5" s="44" t="inlineStr">
        <is>
          <t>Lead-sheet, recomputation and lookback results; expense and prior-year data for ratios.</t>
        </is>
      </c>
      <c r="C5" s="45" t="n"/>
      <c r="D5" s="45" t="n"/>
      <c r="E5" s="46" t="n"/>
      <c r="F5" s="27" t="n"/>
      <c r="G5" s="27" t="n"/>
      <c r="H5" s="27" t="n"/>
    </row>
    <row r="6" ht="15" customHeight="1">
      <c r="A6" s="43" t="inlineStr">
        <is>
          <t>Assertions:</t>
        </is>
      </c>
      <c r="B6" s="44" t="inlineStr">
        <is>
          <t>Completeness; Presentation &amp; Disclosure; Classification</t>
        </is>
      </c>
      <c r="C6" s="45" t="n"/>
      <c r="D6" s="45" t="n"/>
      <c r="E6" s="46" t="n"/>
      <c r="F6" s="27" t="n"/>
      <c r="G6" s="27" t="n"/>
      <c r="H6" s="27" t="n"/>
    </row>
    <row r="7">
      <c r="A7" s="60" t="inlineStr">
        <is>
          <t>A. Analytics</t>
        </is>
      </c>
      <c r="B7" s="27" t="n"/>
      <c r="C7" s="27" t="n"/>
      <c r="D7" s="27" t="n"/>
      <c r="E7" s="27" t="n"/>
      <c r="F7" s="27" t="n"/>
      <c r="G7" s="27" t="n"/>
      <c r="H7" s="27" t="n"/>
    </row>
    <row r="8" ht="18" customHeight="1">
      <c r="A8" s="61" t="inlineStr">
        <is>
          <t>Metric</t>
        </is>
      </c>
      <c r="B8" s="61" t="inlineStr">
        <is>
          <t>CY</t>
        </is>
      </c>
      <c r="C8" s="61" t="inlineStr">
        <is>
          <t>PY</t>
        </is>
      </c>
      <c r="D8" s="61" t="inlineStr">
        <is>
          <t>Change</t>
        </is>
      </c>
      <c r="E8" s="61" t="inlineStr">
        <is>
          <t>Note</t>
        </is>
      </c>
      <c r="F8" s="27" t="n"/>
      <c r="G8" s="27" t="n"/>
      <c r="H8" s="27" t="n"/>
    </row>
    <row r="9">
      <c r="A9" s="33" t="inlineStr">
        <is>
          <t>Total accrued liabilities</t>
        </is>
      </c>
      <c r="B9" s="48" t="n"/>
      <c r="C9" s="48" t="n"/>
      <c r="D9" s="33">
        <f>IF(OR(B9="",C9=""),"",B9-C9)</f>
        <v/>
      </c>
      <c r="E9" s="48" t="n"/>
      <c r="F9" s="27" t="n"/>
      <c r="G9" s="27" t="n"/>
      <c r="H9" s="27" t="n"/>
    </row>
    <row r="10">
      <c r="A10" s="33" t="inlineStr">
        <is>
          <t>Accruals as % of total expenses</t>
        </is>
      </c>
      <c r="B10" s="48" t="n"/>
      <c r="C10" s="48" t="n"/>
      <c r="D10" s="33">
        <f>IF(OR(B10="",C10=""),"",B10-C10)</f>
        <v/>
      </c>
      <c r="E10" s="48" t="n"/>
      <c r="F10" s="27" t="n"/>
      <c r="G10" s="27" t="n"/>
      <c r="H10" s="27" t="n"/>
    </row>
    <row r="11">
      <c r="A11" s="33" t="inlineStr">
        <is>
          <t>Accrued payroll vs annual payroll</t>
        </is>
      </c>
      <c r="B11" s="48" t="n"/>
      <c r="C11" s="48" t="n"/>
      <c r="D11" s="33">
        <f>IF(OR(B11="",C11=""),"",B11-C11)</f>
        <v/>
      </c>
      <c r="E11" s="48" t="n"/>
      <c r="F11" s="27" t="n"/>
      <c r="G11" s="27" t="n"/>
      <c r="H11" s="27" t="n"/>
    </row>
    <row r="12">
      <c r="A12" s="33" t="inlineStr">
        <is>
          <t>Accrual coverage (days)</t>
        </is>
      </c>
      <c r="B12" s="48" t="n"/>
      <c r="C12" s="48" t="n"/>
      <c r="D12" s="33">
        <f>IF(OR(B12="",C12=""),"",B12-C12)</f>
        <v/>
      </c>
      <c r="E12" s="48" t="n"/>
      <c r="F12" s="27" t="n"/>
      <c r="G12" s="27" t="n"/>
      <c r="H12" s="27" t="n"/>
    </row>
    <row r="13">
      <c r="A13" s="33" t="inlineStr">
        <is>
          <t>PY comparison reasonableness</t>
        </is>
      </c>
      <c r="B13" s="48" t="n"/>
      <c r="C13" s="48" t="n"/>
      <c r="D13" s="33">
        <f>IF(OR(B13="",C13=""),"",B13-C13)</f>
        <v/>
      </c>
      <c r="E13" s="48" t="n"/>
      <c r="F13" s="27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63" t="inlineStr">
        <is>
          <t>B. Disclosure matters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 ht="18" customHeight="1">
      <c r="A16" s="61" t="inlineStr">
        <is>
          <t>Area</t>
        </is>
      </c>
      <c r="B16" s="61" t="inlineStr">
        <is>
          <t>Relevant? (Y/N)</t>
        </is>
      </c>
      <c r="C16" s="61" t="inlineStr">
        <is>
          <t>Support / source</t>
        </is>
      </c>
      <c r="D16" s="61" t="inlineStr">
        <is>
          <t>Conclusion</t>
        </is>
      </c>
      <c r="E16" s="61" t="inlineStr">
        <is>
          <t>Comments</t>
        </is>
      </c>
      <c r="F16" s="27" t="n"/>
      <c r="G16" s="27" t="n"/>
      <c r="H16" s="27" t="n"/>
    </row>
    <row r="17" ht="27" customHeight="1">
      <c r="A17" s="33" t="inlineStr">
        <is>
          <t>Customer deposits / contract-liability classification (ASC 606)</t>
        </is>
      </c>
      <c r="B17" s="48" t="n"/>
      <c r="C17" s="48" t="n"/>
      <c r="D17" s="48" t="n"/>
      <c r="E17" s="48" t="n"/>
      <c r="F17" s="27" t="n"/>
      <c r="G17" s="27" t="n"/>
      <c r="H17" s="27" t="n"/>
    </row>
    <row r="18">
      <c r="A18" s="33" t="inlineStr">
        <is>
          <t>Current vs noncurrent classification</t>
        </is>
      </c>
      <c r="B18" s="48" t="n"/>
      <c r="C18" s="48" t="n"/>
      <c r="D18" s="48" t="n"/>
      <c r="E18" s="48" t="n"/>
      <c r="F18" s="27" t="n"/>
      <c r="G18" s="27" t="n"/>
      <c r="H18" s="27" t="n"/>
    </row>
    <row r="19">
      <c r="A19" s="33" t="inlineStr">
        <is>
          <t>Related-party accruals</t>
        </is>
      </c>
      <c r="B19" s="48" t="n"/>
      <c r="C19" s="48" t="n"/>
      <c r="D19" s="48" t="n"/>
      <c r="E19" s="48" t="n"/>
      <c r="F19" s="27" t="n"/>
      <c r="G19" s="27" t="n"/>
      <c r="H19" s="27" t="n"/>
    </row>
    <row r="20">
      <c r="A20" s="33" t="inlineStr">
        <is>
          <t>Contingencies / provisions (ASC 450)</t>
        </is>
      </c>
      <c r="B20" s="48" t="n"/>
      <c r="C20" s="48" t="n"/>
      <c r="D20" s="48" t="n"/>
      <c r="E20" s="48" t="n"/>
      <c r="F20" s="27" t="n"/>
      <c r="G20" s="27" t="n"/>
      <c r="H20" s="27" t="n"/>
    </row>
    <row r="21">
      <c r="A21" s="33" t="inlineStr">
        <is>
          <t>Estimation-uncertainty disclosure</t>
        </is>
      </c>
      <c r="B21" s="48" t="n"/>
      <c r="C21" s="48" t="n"/>
      <c r="D21" s="48" t="n"/>
      <c r="E21" s="48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49" t="inlineStr">
        <is>
          <t>TM Legends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>
      <c r="A24" s="50" t="inlineStr">
        <is>
          <t>TB</t>
        </is>
      </c>
      <c r="B24" s="33" t="inlineStr">
        <is>
          <t>Agreed to trial balance</t>
        </is>
      </c>
      <c r="C24" s="51" t="n"/>
      <c r="D24" s="52" t="n"/>
      <c r="E24" s="27" t="n"/>
      <c r="F24" s="27" t="n"/>
      <c r="G24" s="27" t="n"/>
      <c r="H24" s="27" t="n"/>
    </row>
    <row r="25">
      <c r="A25" s="50" t="inlineStr">
        <is>
          <t>GL</t>
        </is>
      </c>
      <c r="B25" s="33" t="inlineStr">
        <is>
          <t>Agreed to general ledger</t>
        </is>
      </c>
      <c r="C25" s="51" t="n"/>
      <c r="D25" s="52" t="n"/>
      <c r="E25" s="27" t="n"/>
      <c r="F25" s="27" t="n"/>
      <c r="G25" s="27" t="n"/>
      <c r="H25" s="27" t="n"/>
    </row>
    <row r="26">
      <c r="A26" s="50" t="inlineStr">
        <is>
          <t>CF</t>
        </is>
      </c>
      <c r="B26" s="33" t="inlineStr">
        <is>
          <t>Confirmed with third party</t>
        </is>
      </c>
      <c r="C26" s="51" t="n"/>
      <c r="D26" s="52" t="n"/>
      <c r="E26" s="27" t="n"/>
      <c r="F26" s="27" t="n"/>
      <c r="G26" s="27" t="n"/>
      <c r="H26" s="27" t="n"/>
    </row>
    <row r="27">
      <c r="A27" s="50" t="inlineStr">
        <is>
          <t>V</t>
        </is>
      </c>
      <c r="B27" s="33" t="inlineStr">
        <is>
          <t>Vouched to source document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SR</t>
        </is>
      </c>
      <c r="B28" s="33" t="inlineStr">
        <is>
          <t>Agreed to subsequent bank-cleared receipt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R</t>
        </is>
      </c>
      <c r="B29" s="33" t="inlineStr">
        <is>
          <t>Recalculated independently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F</t>
        </is>
      </c>
      <c r="B30" s="33" t="inlineStr">
        <is>
          <t>Footed / cross-cast</t>
        </is>
      </c>
      <c r="C30" s="51" t="n"/>
      <c r="D30" s="52" t="n"/>
      <c r="E30" s="27" t="n"/>
      <c r="F30" s="27" t="n"/>
      <c r="G30" s="27" t="n"/>
      <c r="H30" s="27" t="n"/>
    </row>
    <row r="31">
      <c r="A31" s="50" t="inlineStr">
        <is>
          <t>T</t>
        </is>
      </c>
      <c r="B31" s="33" t="inlineStr">
        <is>
          <t>Traced to downstream record</t>
        </is>
      </c>
      <c r="C31" s="51" t="n"/>
      <c r="D31" s="52" t="n"/>
      <c r="E31" s="27" t="n"/>
      <c r="F31" s="27" t="n"/>
      <c r="G31" s="27" t="n"/>
      <c r="H31" s="27" t="n"/>
    </row>
    <row r="32">
      <c r="A32" s="50" t="inlineStr">
        <is>
          <t>PBC</t>
        </is>
      </c>
      <c r="B32" s="33" t="inlineStr">
        <is>
          <t>Prepared by client</t>
        </is>
      </c>
      <c r="C32" s="51" t="n"/>
      <c r="D32" s="52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 ht="25.5" customHeight="1">
      <c r="A34" s="29" t="inlineStr">
        <is>
          <t>Before sign-off complete Library Procedures 16-17 (analytics; presentation &amp; disclosure incl. contract-liability classification and contingencies).</t>
        </is>
      </c>
      <c r="B34" s="27" t="n"/>
      <c r="C34" s="27" t="n"/>
      <c r="D34" s="27" t="n"/>
      <c r="E34" s="27" t="n"/>
      <c r="F34" s="27" t="n"/>
      <c r="G34" s="27" t="n"/>
      <c r="H34" s="27" t="n"/>
    </row>
  </sheetData>
  <mergeCells count="13">
    <mergeCell ref="B28:D28"/>
    <mergeCell ref="A34:E34"/>
    <mergeCell ref="B4:E4"/>
    <mergeCell ref="B31:D31"/>
    <mergeCell ref="B32:D32"/>
    <mergeCell ref="B6:E6"/>
    <mergeCell ref="B26:D26"/>
    <mergeCell ref="B27:D27"/>
    <mergeCell ref="B30:D30"/>
    <mergeCell ref="B5:E5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4" t="inlineStr">
        <is>
          <t>AUTHORITATIVE PLANNING CONTEXT</t>
        </is>
      </c>
      <c r="B1" s="27" t="n"/>
    </row>
    <row r="2">
      <c r="A2" s="27" t="inlineStr">
        <is>
          <t>Field</t>
        </is>
      </c>
      <c r="B2" s="27" t="inlineStr">
        <is>
          <t>Value</t>
        </is>
      </c>
    </row>
    <row r="3">
      <c r="A3" s="27" t="inlineStr">
        <is>
          <t>Entity Name</t>
        </is>
      </c>
      <c r="B3" s="64" t="inlineStr">
        <is>
          <t>Vaquite Industries, Inc.</t>
        </is>
      </c>
    </row>
    <row r="4">
      <c r="A4" s="64" t="inlineStr">
        <is>
          <t>Financial Statement Date</t>
        </is>
      </c>
      <c r="B4" s="65" t="n">
        <v>46022</v>
      </c>
    </row>
    <row r="5">
      <c r="A5" s="64" t="inlineStr">
        <is>
          <t>Reporting Currency</t>
        </is>
      </c>
      <c r="B5" s="27" t="inlineStr">
        <is>
          <t>USD</t>
        </is>
      </c>
    </row>
    <row r="6">
      <c r="A6" s="64" t="inlineStr">
        <is>
          <t>Overall Materiality</t>
        </is>
      </c>
      <c r="B6" s="66" t="n">
        <v>30700</v>
      </c>
    </row>
    <row r="7">
      <c r="A7" s="64" t="inlineStr">
        <is>
          <t>Performance Materiality</t>
        </is>
      </c>
      <c r="B7" s="66" t="n">
        <v>23100</v>
      </c>
    </row>
    <row r="8">
      <c r="A8" s="64" t="inlineStr">
        <is>
          <t>Tolerable Misstatement</t>
        </is>
      </c>
      <c r="B8" s="66" t="n">
        <v>20800</v>
      </c>
    </row>
    <row r="9">
      <c r="A9" s="64" t="inlineStr">
        <is>
          <t>Individually Significant Threshold</t>
        </is>
      </c>
      <c r="B9" s="66" t="n">
        <v>11600</v>
      </c>
    </row>
    <row r="10">
      <c r="A10" s="27" t="inlineStr">
        <is>
          <t>Posting Threshold</t>
        </is>
      </c>
      <c r="B10" s="66" t="n">
        <v>1000</v>
      </c>
    </row>
    <row r="11">
      <c r="A11" s="64" t="inlineStr">
        <is>
          <t>Clearly Trivial Threshold</t>
        </is>
      </c>
      <c r="B11" s="66" t="n">
        <v>1000</v>
      </c>
    </row>
    <row r="12">
      <c r="A12" s="64" t="inlineStr">
        <is>
          <t>Analytical Precision</t>
        </is>
      </c>
      <c r="B12" s="66" t="n">
        <v>20800</v>
      </c>
    </row>
    <row r="13">
      <c r="A13" s="27" t="n"/>
      <c r="B13" s="27" t="n"/>
    </row>
    <row r="14">
      <c r="A14" s="64" t="inlineStr">
        <is>
          <t>Bound planning records</t>
        </is>
      </c>
      <c r="B14" s="27" t="inlineStr">
        <is>
          <t>Canonical IDs</t>
        </is>
      </c>
    </row>
    <row r="15">
      <c r="A15" s="27" t="inlineStr">
        <is>
          <t>Sampling plan ID</t>
        </is>
      </c>
      <c r="B15" s="64" t="inlineStr">
        <is>
          <t>SAMPLE-AP-AND-ACCRUALS</t>
        </is>
      </c>
    </row>
    <row r="16" ht="120" customHeight="1">
      <c r="A16" s="27" t="inlineStr">
        <is>
          <t>Selection IDs</t>
        </is>
      </c>
      <c r="B16" s="64" t="inlineStr">
        <is>
          <t>PROC-AP-VOUCHING:PREPAID-Invoice reference Ppd 001; PROC-AP-VOUCHING:Vendor reference Invoice Stk 0033; PROC-AP-VOUCHING:Vendor reference Invoice Stk 0039; PROC-AP-VOUCHING:Vendor reference Invoice Stk 0027; PROC-AP-VOUCHING:Vendor reference Invoice Stk 0021; PROC-AP-VOUCHING:Vendor reference Invoice Stk 0015; PROC-AP-VOUCHING:Vendor reference Invoice Stk 0009; PROC-AP-VOUCHING:Vendor reference Invoice Stk 0003; PROC-AP-VOUCHING:Vendor reference Invoice Stk 0054; PROC-AP-VOUCHING:Vendor reference Invoice Stk 0062; PROC-AP-VOUCHING:Vendor reference Invoice Stk 0030; PROC-AP-VOUCHING:Vendor reference Invoice Stk 0007; PROC-AP-VOUCHING:Vendor reference Invoice Stk 0024; PROC-AP-VOUCHING:Vendor reference Invoice Stk 0001; PROC-AP-VOUCHING:Vendor reference Invoice Stk 0065; PROC-AP-VOUCHING:Vendor reference Invoice Stk 0053; PROC-AP-VOUCHING:Vendor reference Invoice Stk 0058; PROC-AP-VOUCHING:Vendor reference Invoice Stk 0055; PROC-AP-VOUCHING:Vendor reference Invoice Stk 0004; PROC-AP-VOUCHING:Vendor reference Invoice Stk 0008; PROC-AP-VOUCHING:Vendor reference Invoice Stk 0056; PROC-ACCRUALS-DETAIL:Accrual reference RNI 01</t>
        </is>
      </c>
    </row>
    <row r="17">
      <c r="A17" s="64" t="inlineStr">
        <is>
          <t>Selection requirements</t>
        </is>
      </c>
      <c r="B17" s="64" t="inlineStr">
        <is>
          <t>qualitative mandatory items; individually significant items</t>
        </is>
      </c>
    </row>
    <row r="18">
      <c r="A18" s="27" t="inlineStr">
        <is>
          <t>Procedure IDs</t>
        </is>
      </c>
      <c r="B18" s="64" t="inlineStr">
        <is>
          <t>PROC-AP-AND-ACCRUALS</t>
        </is>
      </c>
    </row>
    <row r="19">
      <c r="A19" s="64" t="inlineStr">
        <is>
          <t>Procedure window IDs</t>
        </is>
      </c>
      <c r="B19" s="27" t="inlineStr">
        <is>
          <t>WIN-AP-SURL</t>
        </is>
      </c>
    </row>
    <row r="20">
      <c r="A20" s="64" t="inlineStr">
        <is>
          <t>Significant-risk response IDs</t>
        </is>
      </c>
      <c r="B20" s="27" t="inlineStr"/>
    </row>
    <row r="21">
      <c r="A21" s="64" t="inlineStr">
        <is>
          <t>Audit team assignments</t>
        </is>
      </c>
      <c r="B21" s="64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.15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7" t="inlineStr">
        <is>
          <t>WORKPAPER COMPLETION AND SIGN-OFF</t>
        </is>
      </c>
      <c r="B1" s="27" t="n"/>
      <c r="C1" s="27" t="n"/>
      <c r="D1" s="27" t="n"/>
      <c r="E1" s="27" t="n"/>
      <c r="F1" s="27" t="n"/>
    </row>
    <row r="2">
      <c r="A2" s="27" t="n"/>
      <c r="B2" s="27" t="n"/>
      <c r="C2" s="27" t="n"/>
      <c r="D2" s="27" t="n"/>
      <c r="E2" s="27" t="n"/>
      <c r="F2" s="27" t="n"/>
    </row>
    <row r="3" ht="27" customHeight="1">
      <c r="A3" s="27" t="inlineStr">
        <is>
          <t>Workpaper</t>
        </is>
      </c>
      <c r="B3" s="64" t="inlineStr">
        <is>
          <t>ap_and_accruals/accruals_workpaper.xlsx</t>
        </is>
      </c>
      <c r="C3" s="27" t="n"/>
      <c r="D3" s="27" t="n"/>
      <c r="E3" s="27" t="n"/>
      <c r="F3" s="27" t="n"/>
    </row>
    <row r="4">
      <c r="A4" s="64" t="inlineStr">
        <is>
          <t>Required completion stage</t>
        </is>
      </c>
      <c r="B4" s="27" t="inlineStr">
        <is>
          <t>prepared</t>
        </is>
      </c>
      <c r="C4" s="27" t="n"/>
      <c r="D4" s="27" t="inlineStr">
        <is>
          <t>Contract version</t>
        </is>
      </c>
      <c r="E4" s="64" t="inlineStr">
        <is>
          <t>workpaper-signoff-v2.1.0</t>
        </is>
      </c>
      <c r="F4" s="27" t="n"/>
    </row>
    <row r="5">
      <c r="A5" s="27" t="n"/>
      <c r="B5" s="27" t="n"/>
      <c r="C5" s="27" t="n"/>
      <c r="D5" s="27" t="n"/>
      <c r="E5" s="27" t="n"/>
      <c r="F5" s="27" t="n"/>
    </row>
    <row r="6">
      <c r="A6" s="68" t="inlineStr">
        <is>
          <t>Assigned preparer</t>
        </is>
      </c>
      <c r="B6" s="69" t="inlineStr">
        <is>
          <t>Audit Senior 80A0</t>
        </is>
      </c>
      <c r="C6" s="27" t="n"/>
      <c r="D6" s="68" t="inlineStr">
        <is>
          <t>Assigned reviewer</t>
        </is>
      </c>
      <c r="E6" s="70" t="inlineStr">
        <is>
          <t>Audit Manager 403F</t>
        </is>
      </c>
      <c r="F6" s="27" t="n"/>
    </row>
    <row r="7">
      <c r="A7" s="68" t="inlineStr">
        <is>
          <t>Preparation state</t>
        </is>
      </c>
      <c r="B7" s="69" t="inlineStr">
        <is>
          <t>Unsigned</t>
        </is>
      </c>
      <c r="C7" s="27" t="n"/>
      <c r="D7" s="68" t="inlineStr">
        <is>
          <t>Review state</t>
        </is>
      </c>
      <c r="E7" s="69" t="inlineStr">
        <is>
          <t>Unsigned</t>
        </is>
      </c>
      <c r="F7" s="27" t="n"/>
    </row>
    <row r="8">
      <c r="A8" s="68" t="inlineStr">
        <is>
          <t>Prepared by</t>
        </is>
      </c>
      <c r="B8" s="69" t="n"/>
      <c r="C8" s="27" t="n"/>
      <c r="D8" s="68" t="inlineStr">
        <is>
          <t>Reviewed by</t>
        </is>
      </c>
      <c r="E8" s="69" t="n"/>
      <c r="F8" s="27" t="n"/>
    </row>
    <row r="9">
      <c r="A9" s="68" t="inlineStr">
        <is>
          <t>Preparation date</t>
        </is>
      </c>
      <c r="B9" s="71" t="n"/>
      <c r="C9" s="27" t="n"/>
      <c r="D9" s="68" t="inlineStr">
        <is>
          <t>Review date</t>
        </is>
      </c>
      <c r="E9" s="71" t="n"/>
      <c r="F9" s="27" t="n"/>
    </row>
    <row r="10">
      <c r="A10" s="27" t="n"/>
      <c r="B10" s="27" t="n"/>
      <c r="C10" s="27" t="n"/>
      <c r="D10" s="27" t="n"/>
      <c r="E10" s="27" t="n"/>
      <c r="F10" s="27" t="n"/>
    </row>
    <row r="11">
      <c r="A11" s="27" t="n"/>
      <c r="B11" s="27" t="n"/>
      <c r="C11" s="27" t="n"/>
      <c r="D11" s="27" t="n"/>
      <c r="E11" s="27" t="n"/>
      <c r="F11" s="27" t="n"/>
    </row>
    <row r="12" ht="50" customHeight="1">
      <c r="A12" s="72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7" t="n"/>
      <c r="C12" s="27" t="n"/>
      <c r="D12" s="27" t="n"/>
      <c r="E12" s="27" t="n"/>
      <c r="F12" s="27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2026-07-01T10:19:03Z</dcterms:created>
  <dcterms:modified xmlns:dcterms="http://purl.org/dc/terms/" xmlns:xsi="http://www.w3.org/2001/XMLSchema-instance" xsi:type="dcterms:W3CDTF">2026-07-01T10:24:43Z</dcterms:modified>
  <cp:lastModifiedBy>jerry.huang@modusaudit.com</cp:lastModifiedBy>
  <cp:revision>0</cp:revision>
</cp:coreProperties>
</file>