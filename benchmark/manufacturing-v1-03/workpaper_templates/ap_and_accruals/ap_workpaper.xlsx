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500" firstSheet="0" activeTab="0" autoFilterDateGrouping="1"/>
  </bookViews>
  <sheets>
    <sheet xmlns:r="http://schemas.openxmlformats.org/officeDocument/2006/relationships" name="Library Procedures" sheetId="1" state="visible" r:id="rId1"/>
    <sheet xmlns:r="http://schemas.openxmlformats.org/officeDocument/2006/relationships" name="&lt;.0&gt; Source Index" sheetId="2" state="visible" r:id="rId2"/>
    <sheet xmlns:r="http://schemas.openxmlformats.org/officeDocument/2006/relationships" name="&lt;.1&gt; AP Lead Sheet" sheetId="3" state="visible" r:id="rId3"/>
    <sheet xmlns:r="http://schemas.openxmlformats.org/officeDocument/2006/relationships" name="&lt;.2&gt; AP Reconciliation" sheetId="4" state="visible" r:id="rId4"/>
    <sheet xmlns:r="http://schemas.openxmlformats.org/officeDocument/2006/relationships" name="&lt;.3&gt; DPO &amp; SURL Population" sheetId="5" state="visible" r:id="rId5"/>
    <sheet xmlns:r="http://schemas.openxmlformats.org/officeDocument/2006/relationships" name="&lt;.4&gt; SURL Subsequent Disb" sheetId="6" state="visible" r:id="rId6"/>
    <sheet xmlns:r="http://schemas.openxmlformats.org/officeDocument/2006/relationships" name="&lt;.5&gt; Completeness of Disb" sheetId="7" state="visible" r:id="rId7"/>
    <sheet xmlns:r="http://schemas.openxmlformats.org/officeDocument/2006/relationships" name="&lt;.6&gt; Outstanding Checks" sheetId="8" state="visible" r:id="rId8"/>
    <sheet xmlns:r="http://schemas.openxmlformats.org/officeDocument/2006/relationships" name="&lt;.7&gt; Open Invoice &amp; Cutoff" sheetId="9" state="visible" r:id="rId9"/>
    <sheet xmlns:r="http://schemas.openxmlformats.org/officeDocument/2006/relationships" name="&lt;.8&gt; Ratios &amp; Disclosures" sheetId="10" state="visible" r:id="rId10"/>
    <sheet xmlns:r="http://schemas.openxmlformats.org/officeDocument/2006/relationships" name="Planning Context" sheetId="11" state="visible" r:id="rId11"/>
    <sheet xmlns:r="http://schemas.openxmlformats.org/officeDocument/2006/relationships" name="AP Controls" sheetId="12" state="visible" r:id="rId12"/>
    <sheet xmlns:r="http://schemas.openxmlformats.org/officeDocument/2006/relationships" name="Workpaper Sign-off" sheetId="13" state="visible" r:id="rId13"/>
  </sheets>
  <definedNames>
    <definedName name="WP_PLAN_S002_0_SOURCE_INDEX_ENTITY_NAME">'&lt;.0&gt; Source Index'!$B$2</definedName>
    <definedName name="WP_PLAN_S002_0_SOURCE_INDEX_FINANCIAL_STATEMENT_DATE">'&lt;.0&gt; Source Index'!$E$2</definedName>
    <definedName name="WP_PLAN_S002_0_SOURCE_INDEX_REPORTING_CURRENCY">'&lt;.0&gt; Source Index'!$H$2</definedName>
    <definedName name="WP_PLAN_S002_0_SOURCE_INDEX_PERFORMANCE_MATERIALITY">'&lt;.0&gt; Source Index'!$B$3</definedName>
    <definedName name="WP_PLAN_S002_0_SOURCE_INDEX_TOLERABLE_MISSTATEMENT">'&lt;.0&gt; Source Index'!$E$3</definedName>
    <definedName name="WP_PLAN_S003_1_AP_LEAD_SHEET_ENTITY_NAME">'&lt;.1&gt; AP Lead Sheet'!$B$2</definedName>
    <definedName name="WP_PLAN_S003_1_AP_LEAD_SHEET_FINANCIAL_STATEMENT_DATE">'&lt;.1&gt; AP Lead Sheet'!$E$2</definedName>
    <definedName name="WP_PLAN_S003_1_AP_LEAD_SHEET_REPORTING_CURRENCY">'&lt;.1&gt; AP Lead Sheet'!$H$2</definedName>
    <definedName name="WP_PLAN_S003_1_AP_LEAD_SHEET_PERFORMANCE_MATERIALITY">'&lt;.1&gt; AP Lead Sheet'!$B$3</definedName>
    <definedName name="WP_PLAN_S003_1_AP_LEAD_SHEET_TOLERABLE_MISSTATEMENT">'&lt;.1&gt; AP Lead Sheet'!$E$3</definedName>
    <definedName name="WP_PLAN_S004_2_AP_RECONCILIATION_ENTITY_NAME">'&lt;.2&gt; AP Reconciliation'!$B$2</definedName>
    <definedName name="WP_PLAN_S004_2_AP_RECONCILIATION_FINANCIAL_STATEMENT_DATE">'&lt;.2&gt; AP Reconciliation'!$E$2</definedName>
    <definedName name="WP_PLAN_S004_2_AP_RECONCILIATION_REPORTING_CURRENCY">'&lt;.2&gt; AP Reconciliation'!$H$2</definedName>
    <definedName name="WP_PLAN_S004_2_AP_RECONCILIATION_PERFORMANCE_MATERIALITY">'&lt;.2&gt; AP Reconciliation'!$B$3</definedName>
    <definedName name="WP_PLAN_S004_2_AP_RECONCILIATION_TOLERABLE_MISSTATEMENT">'&lt;.2&gt; AP Reconciliation'!$E$3</definedName>
    <definedName name="WP_PLAN_S005_3_DPO_SURL_POPULATION_ENTITY_NAME">'&lt;.3&gt; DPO &amp; SURL Population'!$B$2</definedName>
    <definedName name="WP_PLAN_S005_3_DPO_SURL_POPULATION_FINANCIAL_STATEMENT_DATE">'&lt;.3&gt; DPO &amp; SURL Population'!$E$2</definedName>
    <definedName name="WP_PLAN_S005_3_DPO_SURL_POPULATION_REPORTING_CURRENCY">'&lt;.3&gt; DPO &amp; SURL Population'!$H$2</definedName>
    <definedName name="WP_PLAN_S005_3_DPO_SURL_POPULATION_PERFORMANCE_MATERIALITY">'&lt;.3&gt; DPO &amp; SURL Population'!$B$3</definedName>
    <definedName name="WP_PLAN_S005_3_DPO_SURL_POPULATION_TOLERABLE_MISSTATEMENT">'&lt;.3&gt; DPO &amp; SURL Population'!$E$3</definedName>
    <definedName name="WP_PLAN_S006_4_SURL_SUBSEQUENT_DISB_ENTITY_NAME">'&lt;.4&gt; SURL Subsequent Disb'!$B$2</definedName>
    <definedName name="WP_PLAN_S006_4_SURL_SUBSEQUENT_DISB_FINANCIAL_STATEMENT_DATE">'&lt;.4&gt; SURL Subsequent Disb'!$E$2</definedName>
    <definedName name="WP_PLAN_S006_4_SURL_SUBSEQUENT_DISB_REPORTING_CURRENCY">'&lt;.4&gt; SURL Subsequent Disb'!$H$2</definedName>
    <definedName name="WP_PLAN_S006_4_SURL_SUBSEQUENT_DISB_PERFORMANCE_MATERIALITY">'&lt;.4&gt; SURL Subsequent Disb'!$B$3</definedName>
    <definedName name="WP_PLAN_S006_4_SURL_SUBSEQUENT_DISB_TOLERABLE_MISSTATEMENT">'&lt;.4&gt; SURL Subsequent Disb'!$E$3</definedName>
    <definedName name="WP_PLAN_S007_5_COMPLETENESS_OF_DISB_ENTITY_NAME">'&lt;.5&gt; Completeness of Disb'!$B$2</definedName>
    <definedName name="WP_PLAN_S007_5_COMPLETENESS_OF_DISB_FINANCIAL_STATEMENT_DATE">'&lt;.5&gt; Completeness of Disb'!$E$2</definedName>
    <definedName name="WP_PLAN_S007_5_COMPLETENESS_OF_DISB_REPORTING_CURRENCY">'&lt;.5&gt; Completeness of Disb'!$H$2</definedName>
    <definedName name="WP_PLAN_S007_5_COMPLETENESS_OF_DISB_PERFORMANCE_MATERIALITY">'&lt;.5&gt; Completeness of Disb'!$B$3</definedName>
    <definedName name="WP_PLAN_S007_5_COMPLETENESS_OF_DISB_TOLERABLE_MISSTATEMENT">'&lt;.5&gt; Completeness of Disb'!$E$3</definedName>
    <definedName name="WP_PLAN_S008_6_OUTSTANDING_CHECKS_ENTITY_NAME">'&lt;.6&gt; Outstanding Checks'!$B$2</definedName>
    <definedName name="WP_PLAN_S008_6_OUTSTANDING_CHECKS_FINANCIAL_STATEMENT_DATE">'&lt;.6&gt; Outstanding Checks'!$E$2</definedName>
    <definedName name="WP_PLAN_S008_6_OUTSTANDING_CHECKS_REPORTING_CURRENCY">'&lt;.6&gt; Outstanding Checks'!$H$2</definedName>
    <definedName name="WP_PLAN_S008_6_OUTSTANDING_CHECKS_PERFORMANCE_MATERIALITY">'&lt;.6&gt; Outstanding Checks'!$B$3</definedName>
    <definedName name="WP_PLAN_S008_6_OUTSTANDING_CHECKS_TOLERABLE_MISSTATEMENT">'&lt;.6&gt; Outstanding Checks'!$E$3</definedName>
    <definedName name="WP_PLAN_S009_7_OPEN_INVOICE_CUTOFF_ENTITY_NAME">'&lt;.7&gt; Open Invoice &amp; Cutoff'!$B$2</definedName>
    <definedName name="WP_PLAN_S009_7_OPEN_INVOICE_CUTOFF_FINANCIAL_STATEMENT_DATE">'&lt;.7&gt; Open Invoice &amp; Cutoff'!$E$2</definedName>
    <definedName name="WP_PLAN_S009_7_OPEN_INVOICE_CUTOFF_REPORTING_CURRENCY">'&lt;.7&gt; Open Invoice &amp; Cutoff'!$H$2</definedName>
    <definedName name="WP_PLAN_S009_7_OPEN_INVOICE_CUTOFF_PERFORMANCE_MATERIALITY">'&lt;.7&gt; Open Invoice &amp; Cutoff'!$B$3</definedName>
    <definedName name="WP_PLAN_S009_7_OPEN_INVOICE_CUTOFF_TOLERABLE_MISSTATEMENT">'&lt;.7&gt; Open Invoice &amp; Cutoff'!$E$3</definedName>
    <definedName name="WP_PLAN_S010_8_RATIOS_DISCLOSURES_ENTITY_NAME">'&lt;.8&gt; Ratios &amp; Disclosures'!$B$2</definedName>
    <definedName name="WP_PLAN_S010_8_RATIOS_DISCLOSURES_FINANCIAL_STATEMENT_DATE">'&lt;.8&gt; Ratios &amp; Disclosures'!$E$2</definedName>
    <definedName name="WP_PLAN_S010_8_RATIOS_DISCLOSURES_REPORTING_CURRENCY">'&lt;.8&gt; Ratios &amp; Disclosures'!$H$2</definedName>
    <definedName name="WP_PLAN_S010_8_RATIOS_DISCLOSURES_PERFORMANCE_MATERIALITY">'&lt;.8&gt; Ratios &amp; Disclosures'!$B$3</definedName>
    <definedName name="WP_PLAN_S010_8_RATIOS_DISCLOSURES_TOLERABLE_MISSTATEMENT">'&lt;.8&gt; Ratios &amp; Disclosures'!$E$3</definedName>
    <definedName name="WP_PLAN_CONTEXT_ENTITY_NAME">'Planning Context'!$B$3</definedName>
    <definedName name="WP_PLAN_CONTEXT_FINANCIAL_STATEMENT_DATE">'Planning Context'!$B$4</definedName>
    <definedName name="WP_PLAN_CONTEXT_REPORTING_CURRENCY">'Planning Context'!$B$5</definedName>
    <definedName name="WP_PLAN_CONTEXT_OVERALL_MATERIALITY">'Planning Context'!$B$6</definedName>
    <definedName name="WP_PLAN_CONTEXT_PERFORMANCE_MATERIALITY">'Planning Context'!$B$7</definedName>
    <definedName name="WP_PLAN_CONTEXT_TOLERABLE_MISSTATEMENT">'Planning Context'!$B$8</definedName>
    <definedName name="WP_PLAN_CONTEXT_INDIVIDUALLY_SIGNIFICANT_THRESHOLD">'Planning Context'!$B$9</definedName>
    <definedName name="WP_PLAN_CONTEXT_POSTING_THRESHOLD">'Planning Context'!$B$10</definedName>
    <definedName name="WP_PLAN_CONTEXT_CLEARLY_TRIVIAL_THRESHOLD">'Planning Context'!$B$11</definedName>
    <definedName name="WP_PLAN_CONTEXT_ANALYTICAL_PRECISION">'Planning Context'!$B$12</definedName>
    <definedName name="WP_PROC_001_APPLICABILITY">'Library Procedures'!$A$8</definedName>
    <definedName name="WP_PROC_001_REQUIREMENT">'Library Procedures'!$B$8</definedName>
    <definedName name="WP_PROC_001_EXECUTION_STATE">'Library Procedures'!$C$8</definedName>
    <definedName name="WP_PROC_001_EVIDENCE_STATE">'Library Procedures'!$D$8</definedName>
    <definedName name="WP_PROC_001_RESULT_STATE">'Library Procedures'!$E$8</definedName>
    <definedName name="WP_PROC_001_ISSUE_STATE">'Library Procedures'!$F$8</definedName>
    <definedName name="WP_PROC_001_SIGNOFF_STATE">'Library Procedures'!$G$8</definedName>
    <definedName name="WP_PROC_001_DERIVED_OUTCOME">'Library Procedures'!$H$8</definedName>
    <definedName name="WP_PROC_001_PROCEDURE">'Library Procedures'!$I$8</definedName>
    <definedName name="WP_PROC_001_ASSERTION_S">'Library Procedures'!$J$8</definedName>
    <definedName name="WP_PROC_001_W_P_REF">'Library Procedures'!$K$8</definedName>
    <definedName name="WP_PROC_001_PERFORMED_BY">'Library Procedures'!$L$8</definedName>
    <definedName name="WP_PROC_001_DATE">'Library Procedures'!$M$8</definedName>
    <definedName name="WP_PROC_001_REASON_CODE">'Library Procedures'!$N$8</definedName>
    <definedName name="WP_PROC_001_SOURCE_FACT_EVIDENCE">'Library Procedures'!$O$8</definedName>
    <definedName name="WP_PROC_001_ISSUE_DEPENDENCY_IDS">'Library Procedures'!$P$8</definedName>
    <definedName name="WP_PROC_001_COMMENT_WORK_PERFORMED">'Library Procedures'!$Q$8</definedName>
    <definedName name="WP_PROC_002_APPLICABILITY">'Library Procedures'!$A$10</definedName>
    <definedName name="WP_PROC_002_REQUIREMENT">'Library Procedures'!$B$10</definedName>
    <definedName name="WP_PROC_002_EXECUTION_STATE">'Library Procedures'!$C$10</definedName>
    <definedName name="WP_PROC_002_EVIDENCE_STATE">'Library Procedures'!$D$10</definedName>
    <definedName name="WP_PROC_002_RESULT_STATE">'Library Procedures'!$E$10</definedName>
    <definedName name="WP_PROC_002_ISSUE_STATE">'Library Procedures'!$F$10</definedName>
    <definedName name="WP_PROC_002_SIGNOFF_STATE">'Library Procedures'!$G$10</definedName>
    <definedName name="WP_PROC_002_DERIVED_OUTCOME">'Library Procedures'!$H$10</definedName>
    <definedName name="WP_PROC_002_PROCEDURE">'Library Procedures'!$I$10</definedName>
    <definedName name="WP_PROC_002_ASSERTION_S">'Library Procedures'!$J$10</definedName>
    <definedName name="WP_PROC_002_W_P_REF">'Library Procedures'!$K$10</definedName>
    <definedName name="WP_PROC_002_PERFORMED_BY">'Library Procedures'!$L$10</definedName>
    <definedName name="WP_PROC_002_DATE">'Library Procedures'!$M$10</definedName>
    <definedName name="WP_PROC_002_REASON_CODE">'Library Procedures'!$N$10</definedName>
    <definedName name="WP_PROC_002_SOURCE_FACT_EVIDENCE">'Library Procedures'!$O$10</definedName>
    <definedName name="WP_PROC_002_ISSUE_DEPENDENCY_IDS">'Library Procedures'!$P$10</definedName>
    <definedName name="WP_PROC_002_COMMENT_WORK_PERFORMED">'Library Procedures'!$Q$10</definedName>
    <definedName name="WP_PROC_003_APPLICABILITY">'Library Procedures'!$A$11</definedName>
    <definedName name="WP_PROC_003_REQUIREMENT">'Library Procedures'!$B$11</definedName>
    <definedName name="WP_PROC_003_EXECUTION_STATE">'Library Procedures'!$C$11</definedName>
    <definedName name="WP_PROC_003_EVIDENCE_STATE">'Library Procedures'!$D$11</definedName>
    <definedName name="WP_PROC_003_RESULT_STATE">'Library Procedures'!$E$11</definedName>
    <definedName name="WP_PROC_003_ISSUE_STATE">'Library Procedures'!$F$11</definedName>
    <definedName name="WP_PROC_003_SIGNOFF_STATE">'Library Procedures'!$G$11</definedName>
    <definedName name="WP_PROC_003_DERIVED_OUTCOME">'Library Procedures'!$H$11</definedName>
    <definedName name="WP_PROC_003_PROCEDURE">'Library Procedures'!$I$11</definedName>
    <definedName name="WP_PROC_003_ASSERTION_S">'Library Procedures'!$J$11</definedName>
    <definedName name="WP_PROC_003_W_P_REF">'Library Procedures'!$K$11</definedName>
    <definedName name="WP_PROC_003_PERFORMED_BY">'Library Procedures'!$L$11</definedName>
    <definedName name="WP_PROC_003_DATE">'Library Procedures'!$M$11</definedName>
    <definedName name="WP_PROC_003_REASON_CODE">'Library Procedures'!$N$11</definedName>
    <definedName name="WP_PROC_003_SOURCE_FACT_EVIDENCE">'Library Procedures'!$O$11</definedName>
    <definedName name="WP_PROC_003_ISSUE_DEPENDENCY_IDS">'Library Procedures'!$P$11</definedName>
    <definedName name="WP_PROC_003_COMMENT_WORK_PERFORMED">'Library Procedures'!$Q$11</definedName>
    <definedName name="WP_PROC_004_APPLICABILITY">'Library Procedures'!$A$12</definedName>
    <definedName name="WP_PROC_004_REQUIREMENT">'Library Procedures'!$B$12</definedName>
    <definedName name="WP_PROC_004_EXECUTION_STATE">'Library Procedures'!$C$12</definedName>
    <definedName name="WP_PROC_004_EVIDENCE_STATE">'Library Procedures'!$D$12</definedName>
    <definedName name="WP_PROC_004_RESULT_STATE">'Library Procedures'!$E$12</definedName>
    <definedName name="WP_PROC_004_ISSUE_STATE">'Library Procedures'!$F$12</definedName>
    <definedName name="WP_PROC_004_SIGNOFF_STATE">'Library Procedures'!$G$12</definedName>
    <definedName name="WP_PROC_004_DERIVED_OUTCOME">'Library Procedures'!$H$12</definedName>
    <definedName name="WP_PROC_004_PROCEDURE">'Library Procedures'!$I$12</definedName>
    <definedName name="WP_PROC_004_ASSERTION_S">'Library Procedures'!$J$12</definedName>
    <definedName name="WP_PROC_004_W_P_REF">'Library Procedures'!$K$12</definedName>
    <definedName name="WP_PROC_004_PERFORMED_BY">'Library Procedures'!$L$12</definedName>
    <definedName name="WP_PROC_004_DATE">'Library Procedures'!$M$12</definedName>
    <definedName name="WP_PROC_004_REASON_CODE">'Library Procedures'!$N$12</definedName>
    <definedName name="WP_PROC_004_SOURCE_FACT_EVIDENCE">'Library Procedures'!$O$12</definedName>
    <definedName name="WP_PROC_004_ISSUE_DEPENDENCY_IDS">'Library Procedures'!$P$12</definedName>
    <definedName name="WP_PROC_004_COMMENT_WORK_PERFORMED">'Library Procedures'!$Q$12</definedName>
    <definedName name="WP_PROC_005_APPLICABILITY">'Library Procedures'!$A$14</definedName>
    <definedName name="WP_PROC_005_REQUIREMENT">'Library Procedures'!$B$14</definedName>
    <definedName name="WP_PROC_005_EXECUTION_STATE">'Library Procedures'!$C$14</definedName>
    <definedName name="WP_PROC_005_EVIDENCE_STATE">'Library Procedures'!$D$14</definedName>
    <definedName name="WP_PROC_005_RESULT_STATE">'Library Procedures'!$E$14</definedName>
    <definedName name="WP_PROC_005_ISSUE_STATE">'Library Procedures'!$F$14</definedName>
    <definedName name="WP_PROC_005_SIGNOFF_STATE">'Library Procedures'!$G$14</definedName>
    <definedName name="WP_PROC_005_DERIVED_OUTCOME">'Library Procedures'!$H$14</definedName>
    <definedName name="WP_PROC_005_PROCEDURE">'Library Procedures'!$I$14</definedName>
    <definedName name="WP_PROC_005_ASSERTION_S">'Library Procedures'!$J$14</definedName>
    <definedName name="WP_PROC_005_W_P_REF">'Library Procedures'!$K$14</definedName>
    <definedName name="WP_PROC_005_PERFORMED_BY">'Library Procedures'!$L$14</definedName>
    <definedName name="WP_PROC_005_DATE">'Library Procedures'!$M$14</definedName>
    <definedName name="WP_PROC_005_REASON_CODE">'Library Procedures'!$N$14</definedName>
    <definedName name="WP_PROC_005_SOURCE_FACT_EVIDENCE">'Library Procedures'!$O$14</definedName>
    <definedName name="WP_PROC_005_ISSUE_DEPENDENCY_IDS">'Library Procedures'!$P$14</definedName>
    <definedName name="WP_PROC_005_COMMENT_WORK_PERFORMED">'Library Procedures'!$Q$14</definedName>
    <definedName name="WP_PROC_006_APPLICABILITY">'Library Procedures'!$A$15</definedName>
    <definedName name="WP_PROC_006_REQUIREMENT">'Library Procedures'!$B$15</definedName>
    <definedName name="WP_PROC_006_EXECUTION_STATE">'Library Procedures'!$C$15</definedName>
    <definedName name="WP_PROC_006_EVIDENCE_STATE">'Library Procedures'!$D$15</definedName>
    <definedName name="WP_PROC_006_RESULT_STATE">'Library Procedures'!$E$15</definedName>
    <definedName name="WP_PROC_006_ISSUE_STATE">'Library Procedures'!$F$15</definedName>
    <definedName name="WP_PROC_006_SIGNOFF_STATE">'Library Procedures'!$G$15</definedName>
    <definedName name="WP_PROC_006_DERIVED_OUTCOME">'Library Procedures'!$H$15</definedName>
    <definedName name="WP_PROC_006_PROCEDURE">'Library Procedures'!$I$15</definedName>
    <definedName name="WP_PROC_006_ASSERTION_S">'Library Procedures'!$J$15</definedName>
    <definedName name="WP_PROC_006_W_P_REF">'Library Procedures'!$K$15</definedName>
    <definedName name="WP_PROC_006_PERFORMED_BY">'Library Procedures'!$L$15</definedName>
    <definedName name="WP_PROC_006_DATE">'Library Procedures'!$M$15</definedName>
    <definedName name="WP_PROC_006_REASON_CODE">'Library Procedures'!$N$15</definedName>
    <definedName name="WP_PROC_006_SOURCE_FACT_EVIDENCE">'Library Procedures'!$O$15</definedName>
    <definedName name="WP_PROC_006_ISSUE_DEPENDENCY_IDS">'Library Procedures'!$P$15</definedName>
    <definedName name="WP_PROC_006_COMMENT_WORK_PERFORMED">'Library Procedures'!$Q$15</definedName>
    <definedName name="WP_PROC_007_APPLICABILITY">'Library Procedures'!$A$17</definedName>
    <definedName name="WP_PROC_007_REQUIREMENT">'Library Procedures'!$B$17</definedName>
    <definedName name="WP_PROC_007_EXECUTION_STATE">'Library Procedures'!$C$17</definedName>
    <definedName name="WP_PROC_007_EVIDENCE_STATE">'Library Procedures'!$D$17</definedName>
    <definedName name="WP_PROC_007_RESULT_STATE">'Library Procedures'!$E$17</definedName>
    <definedName name="WP_PROC_007_ISSUE_STATE">'Library Procedures'!$F$17</definedName>
    <definedName name="WP_PROC_007_SIGNOFF_STATE">'Library Procedures'!$G$17</definedName>
    <definedName name="WP_PROC_007_DERIVED_OUTCOME">'Library Procedures'!$H$17</definedName>
    <definedName name="WP_PROC_007_PROCEDURE">'Library Procedures'!$I$17</definedName>
    <definedName name="WP_PROC_007_ASSERTION_S">'Library Procedures'!$J$17</definedName>
    <definedName name="WP_PROC_007_W_P_REF">'Library Procedures'!$K$17</definedName>
    <definedName name="WP_PROC_007_PERFORMED_BY">'Library Procedures'!$L$17</definedName>
    <definedName name="WP_PROC_007_DATE">'Library Procedures'!$M$17</definedName>
    <definedName name="WP_PROC_007_REASON_CODE">'Library Procedures'!$N$17</definedName>
    <definedName name="WP_PROC_007_SOURCE_FACT_EVIDENCE">'Library Procedures'!$O$17</definedName>
    <definedName name="WP_PROC_007_ISSUE_DEPENDENCY_IDS">'Library Procedures'!$P$17</definedName>
    <definedName name="WP_PROC_007_COMMENT_WORK_PERFORMED">'Library Procedures'!$Q$17</definedName>
    <definedName name="WP_PROC_008_APPLICABILITY">'Library Procedures'!$A$18</definedName>
    <definedName name="WP_PROC_008_REQUIREMENT">'Library Procedures'!$B$18</definedName>
    <definedName name="WP_PROC_008_EXECUTION_STATE">'Library Procedures'!$C$18</definedName>
    <definedName name="WP_PROC_008_EVIDENCE_STATE">'Library Procedures'!$D$18</definedName>
    <definedName name="WP_PROC_008_RESULT_STATE">'Library Procedures'!$E$18</definedName>
    <definedName name="WP_PROC_008_ISSUE_STATE">'Library Procedures'!$F$18</definedName>
    <definedName name="WP_PROC_008_SIGNOFF_STATE">'Library Procedures'!$G$18</definedName>
    <definedName name="WP_PROC_008_DERIVED_OUTCOME">'Library Procedures'!$H$18</definedName>
    <definedName name="WP_PROC_008_PROCEDURE">'Library Procedures'!$I$18</definedName>
    <definedName name="WP_PROC_008_ASSERTION_S">'Library Procedures'!$J$18</definedName>
    <definedName name="WP_PROC_008_W_P_REF">'Library Procedures'!$K$18</definedName>
    <definedName name="WP_PROC_008_PERFORMED_BY">'Library Procedures'!$L$18</definedName>
    <definedName name="WP_PROC_008_DATE">'Library Procedures'!$M$18</definedName>
    <definedName name="WP_PROC_008_REASON_CODE">'Library Procedures'!$N$18</definedName>
    <definedName name="WP_PROC_008_SOURCE_FACT_EVIDENCE">'Library Procedures'!$O$18</definedName>
    <definedName name="WP_PROC_008_ISSUE_DEPENDENCY_IDS">'Library Procedures'!$P$18</definedName>
    <definedName name="WP_PROC_008_COMMENT_WORK_PERFORMED">'Library Procedures'!$Q$18</definedName>
    <definedName name="WP_PROC_009_APPLICABILITY">'Library Procedures'!$A$20</definedName>
    <definedName name="WP_PROC_009_REQUIREMENT">'Library Procedures'!$B$20</definedName>
    <definedName name="WP_PROC_009_EXECUTION_STATE">'Library Procedures'!$C$20</definedName>
    <definedName name="WP_PROC_009_EVIDENCE_STATE">'Library Procedures'!$D$20</definedName>
    <definedName name="WP_PROC_009_RESULT_STATE">'Library Procedures'!$E$20</definedName>
    <definedName name="WP_PROC_009_ISSUE_STATE">'Library Procedures'!$F$20</definedName>
    <definedName name="WP_PROC_009_SIGNOFF_STATE">'Library Procedures'!$G$20</definedName>
    <definedName name="WP_PROC_009_DERIVED_OUTCOME">'Library Procedures'!$H$20</definedName>
    <definedName name="WP_PROC_009_PROCEDURE">'Library Procedures'!$I$20</definedName>
    <definedName name="WP_PROC_009_ASSERTION_S">'Library Procedures'!$J$20</definedName>
    <definedName name="WP_PROC_009_W_P_REF">'Library Procedures'!$K$20</definedName>
    <definedName name="WP_PROC_009_PERFORMED_BY">'Library Procedures'!$L$20</definedName>
    <definedName name="WP_PROC_009_DATE">'Library Procedures'!$M$20</definedName>
    <definedName name="WP_PROC_009_REASON_CODE">'Library Procedures'!$N$20</definedName>
    <definedName name="WP_PROC_009_SOURCE_FACT_EVIDENCE">'Library Procedures'!$O$20</definedName>
    <definedName name="WP_PROC_009_ISSUE_DEPENDENCY_IDS">'Library Procedures'!$P$20</definedName>
    <definedName name="WP_PROC_009_COMMENT_WORK_PERFORMED">'Library Procedures'!$Q$20</definedName>
    <definedName name="WP_PROC_010_APPLICABILITY">'Library Procedures'!$A$21</definedName>
    <definedName name="WP_PROC_010_REQUIREMENT">'Library Procedures'!$B$21</definedName>
    <definedName name="WP_PROC_010_EXECUTION_STATE">'Library Procedures'!$C$21</definedName>
    <definedName name="WP_PROC_010_EVIDENCE_STATE">'Library Procedures'!$D$21</definedName>
    <definedName name="WP_PROC_010_RESULT_STATE">'Library Procedures'!$E$21</definedName>
    <definedName name="WP_PROC_010_ISSUE_STATE">'Library Procedures'!$F$21</definedName>
    <definedName name="WP_PROC_010_SIGNOFF_STATE">'Library Procedures'!$G$21</definedName>
    <definedName name="WP_PROC_010_DERIVED_OUTCOME">'Library Procedures'!$H$21</definedName>
    <definedName name="WP_PROC_010_PROCEDURE">'Library Procedures'!$I$21</definedName>
    <definedName name="WP_PROC_010_ASSERTION_S">'Library Procedures'!$J$21</definedName>
    <definedName name="WP_PROC_010_W_P_REF">'Library Procedures'!$K$21</definedName>
    <definedName name="WP_PROC_010_PERFORMED_BY">'Library Procedures'!$L$21</definedName>
    <definedName name="WP_PROC_010_DATE">'Library Procedures'!$M$21</definedName>
    <definedName name="WP_PROC_010_REASON_CODE">'Library Procedures'!$N$21</definedName>
    <definedName name="WP_PROC_010_SOURCE_FACT_EVIDENCE">'Library Procedures'!$O$21</definedName>
    <definedName name="WP_PROC_010_ISSUE_DEPENDENCY_IDS">'Library Procedures'!$P$21</definedName>
    <definedName name="WP_PROC_010_COMMENT_WORK_PERFORMED">'Library Procedures'!$Q$21</definedName>
    <definedName name="WP_PROC_011_APPLICABILITY">'Library Procedures'!$A$23</definedName>
    <definedName name="WP_PROC_011_REQUIREMENT">'Library Procedures'!$B$23</definedName>
    <definedName name="WP_PROC_011_EXECUTION_STATE">'Library Procedures'!$C$23</definedName>
    <definedName name="WP_PROC_011_EVIDENCE_STATE">'Library Procedures'!$D$23</definedName>
    <definedName name="WP_PROC_011_RESULT_STATE">'Library Procedures'!$E$23</definedName>
    <definedName name="WP_PROC_011_ISSUE_STATE">'Library Procedures'!$F$23</definedName>
    <definedName name="WP_PROC_011_SIGNOFF_STATE">'Library Procedures'!$G$23</definedName>
    <definedName name="WP_PROC_011_DERIVED_OUTCOME">'Library Procedures'!$H$23</definedName>
    <definedName name="WP_PROC_011_PROCEDURE">'Library Procedures'!$I$23</definedName>
    <definedName name="WP_PROC_011_ASSERTION_S">'Library Procedures'!$J$23</definedName>
    <definedName name="WP_PROC_011_W_P_REF">'Library Procedures'!$K$23</definedName>
    <definedName name="WP_PROC_011_PERFORMED_BY">'Library Procedures'!$L$23</definedName>
    <definedName name="WP_PROC_011_DATE">'Library Procedures'!$M$23</definedName>
    <definedName name="WP_PROC_011_REASON_CODE">'Library Procedures'!$N$23</definedName>
    <definedName name="WP_PROC_011_SOURCE_FACT_EVIDENCE">'Library Procedures'!$O$23</definedName>
    <definedName name="WP_PROC_011_ISSUE_DEPENDENCY_IDS">'Library Procedures'!$P$23</definedName>
    <definedName name="WP_PROC_011_COMMENT_WORK_PERFORMED">'Library Procedures'!$Q$23</definedName>
    <definedName name="WP_PROC_012_APPLICABILITY">'Library Procedures'!$A$24</definedName>
    <definedName name="WP_PROC_012_REQUIREMENT">'Library Procedures'!$B$24</definedName>
    <definedName name="WP_PROC_012_EXECUTION_STATE">'Library Procedures'!$C$24</definedName>
    <definedName name="WP_PROC_012_EVIDENCE_STATE">'Library Procedures'!$D$24</definedName>
    <definedName name="WP_PROC_012_RESULT_STATE">'Library Procedures'!$E$24</definedName>
    <definedName name="WP_PROC_012_ISSUE_STATE">'Library Procedures'!$F$24</definedName>
    <definedName name="WP_PROC_012_SIGNOFF_STATE">'Library Procedures'!$G$24</definedName>
    <definedName name="WP_PROC_012_DERIVED_OUTCOME">'Library Procedures'!$H$24</definedName>
    <definedName name="WP_PROC_012_PROCEDURE">'Library Procedures'!$I$24</definedName>
    <definedName name="WP_PROC_012_ASSERTION_S">'Library Procedures'!$J$24</definedName>
    <definedName name="WP_PROC_012_W_P_REF">'Library Procedures'!$K$24</definedName>
    <definedName name="WP_PROC_012_PERFORMED_BY">'Library Procedures'!$L$24</definedName>
    <definedName name="WP_PROC_012_DATE">'Library Procedures'!$M$24</definedName>
    <definedName name="WP_PROC_012_REASON_CODE">'Library Procedures'!$N$24</definedName>
    <definedName name="WP_PROC_012_SOURCE_FACT_EVIDENCE">'Library Procedures'!$O$24</definedName>
    <definedName name="WP_PROC_012_ISSUE_DEPENDENCY_IDS">'Library Procedures'!$P$24</definedName>
    <definedName name="WP_PROC_012_COMMENT_WORK_PERFORMED">'Library Procedures'!$Q$24</definedName>
    <definedName name="WP_PROC_013_APPLICABILITY">'Library Procedures'!$A$26</definedName>
    <definedName name="WP_PROC_013_REQUIREMENT">'Library Procedures'!$B$26</definedName>
    <definedName name="WP_PROC_013_EXECUTION_STATE">'Library Procedures'!$C$26</definedName>
    <definedName name="WP_PROC_013_EVIDENCE_STATE">'Library Procedures'!$D$26</definedName>
    <definedName name="WP_PROC_013_RESULT_STATE">'Library Procedures'!$E$26</definedName>
    <definedName name="WP_PROC_013_ISSUE_STATE">'Library Procedures'!$F$26</definedName>
    <definedName name="WP_PROC_013_SIGNOFF_STATE">'Library Procedures'!$G$26</definedName>
    <definedName name="WP_PROC_013_DERIVED_OUTCOME">'Library Procedures'!$H$26</definedName>
    <definedName name="WP_PROC_013_PROCEDURE">'Library Procedures'!$I$26</definedName>
    <definedName name="WP_PROC_013_ASSERTION_S">'Library Procedures'!$J$26</definedName>
    <definedName name="WP_PROC_013_W_P_REF">'Library Procedures'!$K$26</definedName>
    <definedName name="WP_PROC_013_PERFORMED_BY">'Library Procedures'!$L$26</definedName>
    <definedName name="WP_PROC_013_DATE">'Library Procedures'!$M$26</definedName>
    <definedName name="WP_PROC_013_REASON_CODE">'Library Procedures'!$N$26</definedName>
    <definedName name="WP_PROC_013_SOURCE_FACT_EVIDENCE">'Library Procedures'!$O$26</definedName>
    <definedName name="WP_PROC_013_ISSUE_DEPENDENCY_IDS">'Library Procedures'!$P$26</definedName>
    <definedName name="WP_PROC_013_COMMENT_WORK_PERFORMED">'Library Procedures'!$Q$26</definedName>
    <definedName name="WP_PROC_014_APPLICABILITY">'Library Procedures'!$A$28</definedName>
    <definedName name="WP_PROC_014_REQUIREMENT">'Library Procedures'!$B$28</definedName>
    <definedName name="WP_PROC_014_EXECUTION_STATE">'Library Procedures'!$C$28</definedName>
    <definedName name="WP_PROC_014_EVIDENCE_STATE">'Library Procedures'!$D$28</definedName>
    <definedName name="WP_PROC_014_RESULT_STATE">'Library Procedures'!$E$28</definedName>
    <definedName name="WP_PROC_014_ISSUE_STATE">'Library Procedures'!$F$28</definedName>
    <definedName name="WP_PROC_014_SIGNOFF_STATE">'Library Procedures'!$G$28</definedName>
    <definedName name="WP_PROC_014_DERIVED_OUTCOME">'Library Procedures'!$H$28</definedName>
    <definedName name="WP_PROC_014_PROCEDURE">'Library Procedures'!$I$28</definedName>
    <definedName name="WP_PROC_014_ASSERTION_S">'Library Procedures'!$J$28</definedName>
    <definedName name="WP_PROC_014_W_P_REF">'Library Procedures'!$K$28</definedName>
    <definedName name="WP_PROC_014_PERFORMED_BY">'Library Procedures'!$L$28</definedName>
    <definedName name="WP_PROC_014_DATE">'Library Procedures'!$M$28</definedName>
    <definedName name="WP_PROC_014_REASON_CODE">'Library Procedures'!$N$28</definedName>
    <definedName name="WP_PROC_014_SOURCE_FACT_EVIDENCE">'Library Procedures'!$O$28</definedName>
    <definedName name="WP_PROC_014_ISSUE_DEPENDENCY_IDS">'Library Procedures'!$P$28</definedName>
    <definedName name="WP_PROC_014_COMMENT_WORK_PERFORMED">'Library Procedures'!$Q$28</definedName>
    <definedName name="WP_PROC_015_APPLICABILITY">'Library Procedures'!$A$29</definedName>
    <definedName name="WP_PROC_015_REQUIREMENT">'Library Procedures'!$B$29</definedName>
    <definedName name="WP_PROC_015_EXECUTION_STATE">'Library Procedures'!$C$29</definedName>
    <definedName name="WP_PROC_015_EVIDENCE_STATE">'Library Procedures'!$D$29</definedName>
    <definedName name="WP_PROC_015_RESULT_STATE">'Library Procedures'!$E$29</definedName>
    <definedName name="WP_PROC_015_ISSUE_STATE">'Library Procedures'!$F$29</definedName>
    <definedName name="WP_PROC_015_SIGNOFF_STATE">'Library Procedures'!$G$29</definedName>
    <definedName name="WP_PROC_015_DERIVED_OUTCOME">'Library Procedures'!$H$29</definedName>
    <definedName name="WP_PROC_015_PROCEDURE">'Library Procedures'!$I$29</definedName>
    <definedName name="WP_PROC_015_ASSERTION_S">'Library Procedures'!$J$29</definedName>
    <definedName name="WP_PROC_015_W_P_REF">'Library Procedures'!$K$29</definedName>
    <definedName name="WP_PROC_015_PERFORMED_BY">'Library Procedures'!$L$29</definedName>
    <definedName name="WP_PROC_015_DATE">'Library Procedures'!$M$29</definedName>
    <definedName name="WP_PROC_015_REASON_CODE">'Library Procedures'!$N$29</definedName>
    <definedName name="WP_PROC_015_SOURCE_FACT_EVIDENCE">'Library Procedures'!$O$29</definedName>
    <definedName name="WP_PROC_015_ISSUE_DEPENDENCY_IDS">'Library Procedures'!$P$29</definedName>
    <definedName name="WP_PROC_015_COMMENT_WORK_PERFORMED">'Library Procedures'!$Q$29</definedName>
    <definedName name="WP_PROC_016_APPLICABILITY">'Library Procedures'!$A$31</definedName>
    <definedName name="WP_PROC_016_REQUIREMENT">'Library Procedures'!$B$31</definedName>
    <definedName name="WP_PROC_016_EXECUTION_STATE">'Library Procedures'!$C$31</definedName>
    <definedName name="WP_PROC_016_EVIDENCE_STATE">'Library Procedures'!$D$31</definedName>
    <definedName name="WP_PROC_016_RESULT_STATE">'Library Procedures'!$E$31</definedName>
    <definedName name="WP_PROC_016_ISSUE_STATE">'Library Procedures'!$F$31</definedName>
    <definedName name="WP_PROC_016_SIGNOFF_STATE">'Library Procedures'!$G$31</definedName>
    <definedName name="WP_PROC_016_DERIVED_OUTCOME">'Library Procedures'!$H$31</definedName>
    <definedName name="WP_PROC_016_PROCEDURE">'Library Procedures'!$I$31</definedName>
    <definedName name="WP_PROC_016_ASSERTION_S">'Library Procedures'!$J$31</definedName>
    <definedName name="WP_PROC_016_W_P_REF">'Library Procedures'!$K$31</definedName>
    <definedName name="WP_PROC_016_PERFORMED_BY">'Library Procedures'!$L$31</definedName>
    <definedName name="WP_PROC_016_DATE">'Library Procedures'!$M$31</definedName>
    <definedName name="WP_PROC_016_REASON_CODE">'Library Procedures'!$N$31</definedName>
    <definedName name="WP_PROC_016_SOURCE_FACT_EVIDENCE">'Library Procedures'!$O$31</definedName>
    <definedName name="WP_PROC_016_ISSUE_DEPENDENCY_IDS">'Library Procedures'!$P$31</definedName>
    <definedName name="WP_PROC_016_COMMENT_WORK_PERFORMED">'Library Procedures'!$Q$31</definedName>
    <definedName name="WP_PROC_017_APPLICABILITY">'Library Procedures'!$A$32</definedName>
    <definedName name="WP_PROC_017_REQUIREMENT">'Library Procedures'!$B$32</definedName>
    <definedName name="WP_PROC_017_EXECUTION_STATE">'Library Procedures'!$C$32</definedName>
    <definedName name="WP_PROC_017_EVIDENCE_STATE">'Library Procedures'!$D$32</definedName>
    <definedName name="WP_PROC_017_RESULT_STATE">'Library Procedures'!$E$32</definedName>
    <definedName name="WP_PROC_017_ISSUE_STATE">'Library Procedures'!$F$32</definedName>
    <definedName name="WP_PROC_017_SIGNOFF_STATE">'Library Procedures'!$G$32</definedName>
    <definedName name="WP_PROC_017_DERIVED_OUTCOME">'Library Procedures'!$H$32</definedName>
    <definedName name="WP_PROC_017_PROCEDURE">'Library Procedures'!$I$32</definedName>
    <definedName name="WP_PROC_017_ASSERTION_S">'Library Procedures'!$J$32</definedName>
    <definedName name="WP_PROC_017_W_P_REF">'Library Procedures'!$K$32</definedName>
    <definedName name="WP_PROC_017_PERFORMED_BY">'Library Procedures'!$L$32</definedName>
    <definedName name="WP_PROC_017_DATE">'Library Procedures'!$M$32</definedName>
    <definedName name="WP_PROC_017_REASON_CODE">'Library Procedures'!$N$32</definedName>
    <definedName name="WP_PROC_017_SOURCE_FACT_EVIDENCE">'Library Procedures'!$O$32</definedName>
    <definedName name="WP_PROC_017_ISSUE_DEPENDENCY_IDS">'Library Procedures'!$P$32</definedName>
    <definedName name="WP_PROC_017_COMMENT_WORK_PERFORMED">'Library Procedures'!$Q$32</definedName>
    <definedName name="WP_PROC_018_APPLICABILITY">'Library Procedures'!$A$33</definedName>
    <definedName name="WP_PROC_018_REQUIREMENT">'Library Procedures'!$B$33</definedName>
    <definedName name="WP_PROC_018_EXECUTION_STATE">'Library Procedures'!$C$33</definedName>
    <definedName name="WP_PROC_018_EVIDENCE_STATE">'Library Procedures'!$D$33</definedName>
    <definedName name="WP_PROC_018_RESULT_STATE">'Library Procedures'!$E$33</definedName>
    <definedName name="WP_PROC_018_ISSUE_STATE">'Library Procedures'!$F$33</definedName>
    <definedName name="WP_PROC_018_SIGNOFF_STATE">'Library Procedures'!$G$33</definedName>
    <definedName name="WP_PROC_018_DERIVED_OUTCOME">'Library Procedures'!$H$33</definedName>
    <definedName name="WP_PROC_018_PROCEDURE">'Library Procedures'!$I$33</definedName>
    <definedName name="WP_PROC_018_ASSERTION_S">'Library Procedures'!$J$33</definedName>
    <definedName name="WP_PROC_018_W_P_REF">'Library Procedures'!$K$33</definedName>
    <definedName name="WP_PROC_018_PERFORMED_BY">'Library Procedures'!$L$33</definedName>
    <definedName name="WP_PROC_018_DATE">'Library Procedures'!$M$33</definedName>
    <definedName name="WP_PROC_018_REASON_CODE">'Library Procedures'!$N$33</definedName>
    <definedName name="WP_PROC_018_SOURCE_FACT_EVIDENCE">'Library Procedures'!$O$33</definedName>
    <definedName name="WP_PROC_018_ISSUE_DEPENDENCY_IDS">'Library Procedures'!$P$33</definedName>
    <definedName name="WP_PROC_018_COMMENT_WORK_PERFORMED">'Library Procedures'!$Q$33</definedName>
    <definedName name="WP_PROC_019_APPLICABILITY">'Library Procedures'!$A$35</definedName>
    <definedName name="WP_PROC_019_REQUIREMENT">'Library Procedures'!$B$35</definedName>
    <definedName name="WP_PROC_019_EXECUTION_STATE">'Library Procedures'!$C$35</definedName>
    <definedName name="WP_PROC_019_EVIDENCE_STATE">'Library Procedures'!$D$35</definedName>
    <definedName name="WP_PROC_019_RESULT_STATE">'Library Procedures'!$E$35</definedName>
    <definedName name="WP_PROC_019_ISSUE_STATE">'Library Procedures'!$F$35</definedName>
    <definedName name="WP_PROC_019_SIGNOFF_STATE">'Library Procedures'!$G$35</definedName>
    <definedName name="WP_PROC_019_DERIVED_OUTCOME">'Library Procedures'!$H$35</definedName>
    <definedName name="WP_PROC_019_PROCEDURE">'Library Procedures'!$I$35</definedName>
    <definedName name="WP_PROC_019_ASSERTION_S">'Library Procedures'!$J$35</definedName>
    <definedName name="WP_PROC_019_W_P_REF">'Library Procedures'!$K$35</definedName>
    <definedName name="WP_PROC_019_PERFORMED_BY">'Library Procedures'!$L$35</definedName>
    <definedName name="WP_PROC_019_DATE">'Library Procedures'!$M$35</definedName>
    <definedName name="WP_PROC_019_REASON_CODE">'Library Procedures'!$N$35</definedName>
    <definedName name="WP_PROC_019_SOURCE_FACT_EVIDENCE">'Library Procedures'!$O$35</definedName>
    <definedName name="WP_PROC_019_ISSUE_DEPENDENCY_IDS">'Library Procedures'!$P$35</definedName>
    <definedName name="WP_PROC_019_COMMENT_WORK_PERFORMED">'Library Procedures'!$Q$35</definedName>
    <definedName name="WP_PROC_020_APPLICABILITY">'Library Procedures'!$A$36</definedName>
    <definedName name="WP_PROC_020_REQUIREMENT">'Library Procedures'!$B$36</definedName>
    <definedName name="WP_PROC_020_EXECUTION_STATE">'Library Procedures'!$C$36</definedName>
    <definedName name="WP_PROC_020_EVIDENCE_STATE">'Library Procedures'!$D$36</definedName>
    <definedName name="WP_PROC_020_RESULT_STATE">'Library Procedures'!$E$36</definedName>
    <definedName name="WP_PROC_020_ISSUE_STATE">'Library Procedures'!$F$36</definedName>
    <definedName name="WP_PROC_020_SIGNOFF_STATE">'Library Procedures'!$G$36</definedName>
    <definedName name="WP_PROC_020_DERIVED_OUTCOME">'Library Procedures'!$H$36</definedName>
    <definedName name="WP_PROC_020_PROCEDURE">'Library Procedures'!$I$36</definedName>
    <definedName name="WP_PROC_020_ASSERTION_S">'Library Procedures'!$J$36</definedName>
    <definedName name="WP_PROC_020_W_P_REF">'Library Procedures'!$K$36</definedName>
    <definedName name="WP_PROC_020_PERFORMED_BY">'Library Procedures'!$L$36</definedName>
    <definedName name="WP_PROC_020_DATE">'Library Procedures'!$M$36</definedName>
    <definedName name="WP_PROC_020_REASON_CODE">'Library Procedures'!$N$36</definedName>
    <definedName name="WP_PROC_020_SOURCE_FACT_EVIDENCE">'Library Procedures'!$O$36</definedName>
    <definedName name="WP_PROC_020_ISSUE_DEPENDENCY_IDS">'Library Procedures'!$P$36</definedName>
    <definedName name="WP_PROC_020_COMMENT_WORK_PERFORMED">'Library Procedures'!$Q$36</definedName>
    <definedName name="WP_PROC_021_APPLICABILITY">'Library Procedures'!$A$38</definedName>
    <definedName name="WP_PROC_021_REQUIREMENT">'Library Procedures'!$B$38</definedName>
    <definedName name="WP_PROC_021_EXECUTION_STATE">'Library Procedures'!$C$38</definedName>
    <definedName name="WP_PROC_021_EVIDENCE_STATE">'Library Procedures'!$D$38</definedName>
    <definedName name="WP_PROC_021_RESULT_STATE">'Library Procedures'!$E$38</definedName>
    <definedName name="WP_PROC_021_ISSUE_STATE">'Library Procedures'!$F$38</definedName>
    <definedName name="WP_PROC_021_SIGNOFF_STATE">'Library Procedures'!$G$38</definedName>
    <definedName name="WP_PROC_021_DERIVED_OUTCOME">'Library Procedures'!$H$38</definedName>
    <definedName name="WP_PROC_021_PROCEDURE">'Library Procedures'!$I$38</definedName>
    <definedName name="WP_PROC_021_ASSERTION_S">'Library Procedures'!$J$38</definedName>
    <definedName name="WP_PROC_021_W_P_REF">'Library Procedures'!$K$38</definedName>
    <definedName name="WP_PROC_021_PERFORMED_BY">'Library Procedures'!$L$38</definedName>
    <definedName name="WP_PROC_021_DATE">'Library Procedures'!$M$38</definedName>
    <definedName name="WP_PROC_021_REASON_CODE">'Library Procedures'!$N$38</definedName>
    <definedName name="WP_PROC_021_SOURCE_FACT_EVIDENCE">'Library Procedures'!$O$38</definedName>
    <definedName name="WP_PROC_021_ISSUE_DEPENDENCY_IDS">'Library Procedures'!$P$38</definedName>
    <definedName name="WP_PROC_021_COMMENT_WORK_PERFORMED">'Library Procedures'!$Q$38</definedName>
    <definedName name="WP_TABLE_AP_SURL_DETAIL_DATA">'&lt;.4&gt; SURL Subsequent Disb'!$A$9:$R$29</definedName>
    <definedName name="WP_TABLE_AP_SURL_DETAIL_TOTAL">'&lt;.4&gt; SURL Subsequent Disb'!$A$30:$R$30</definedName>
    <definedName name="WP_TABLE_AP_OPEN_INVOICE_DATA">'&lt;.7&gt; Open Invoice &amp; Cutoff'!$A$9:$M$29</definedName>
    <definedName name="WP_TABLE_AP_OPEN_INVOICE_TOTAL">'&lt;.7&gt; Open Invoice &amp; Cutoff'!$A$30:$M$30</definedName>
    <definedName name="WP_ANALYTIC_AP_DPO_ANCHOR">'&lt;.8&gt; Ratios &amp; Disclosures'!$A$9</definedName>
    <definedName name="WP_ANALYTIC_AP_DPO_CURRENT_VALUE">'&lt;.8&gt; Ratios &amp; Disclosures'!$B$9</definedName>
    <definedName name="WP_ANALYTIC_AP_DPO_COMPARATOR_VALUE">'&lt;.8&gt; Ratios &amp; Disclosures'!$C$9</definedName>
    <definedName name="WP_ANALYTIC_AP_DPO_CHANGE">'&lt;.8&gt; Ratios &amp; Disclosures'!$D$9</definedName>
    <definedName name="WP_ANALYTIC_AP_DPO_EXPLANATION">'&lt;.8&gt; Ratios &amp; Disclosures'!$E$9</definedName>
    <definedName name="WP_ANALYTIC_AP_TURNOVER_ANCHOR">'&lt;.8&gt; Ratios &amp; Disclosures'!$A$10</definedName>
    <definedName name="WP_ANALYTIC_AP_TURNOVER_CURRENT_VALUE">'&lt;.8&gt; Ratios &amp; Disclosures'!$B$10</definedName>
    <definedName name="WP_ANALYTIC_AP_TURNOVER_COMPARATOR_VALUE">'&lt;.8&gt; Ratios &amp; Disclosures'!$C$10</definedName>
    <definedName name="WP_ANALYTIC_AP_TURNOVER_CHANGE">'&lt;.8&gt; Ratios &amp; Disclosures'!$D$10</definedName>
    <definedName name="WP_ANALYTIC_AP_TURNOVER_EXPLANATION">'&lt;.8&gt; Ratios &amp; Disclosures'!$E$10</definedName>
    <definedName name="WP_ANALYTIC_AP_AP_TO_COST_ANCHOR">'&lt;.8&gt; Ratios &amp; Disclosures'!$A$11</definedName>
    <definedName name="WP_ANALYTIC_AP_AP_TO_COST_CURRENT_VALUE">'&lt;.8&gt; Ratios &amp; Disclosures'!$B$11</definedName>
    <definedName name="WP_ANALYTIC_AP_AP_TO_COST_COMPARATOR_VALUE">'&lt;.8&gt; Ratios &amp; Disclosures'!$C$11</definedName>
    <definedName name="WP_ANALYTIC_AP_AP_TO_COST_CHANGE">'&lt;.8&gt; Ratios &amp; Disclosures'!$D$11</definedName>
    <definedName name="WP_ANALYTIC_AP_AP_TO_COST_EXPLANATION">'&lt;.8&gt; Ratios &amp; Disclosures'!$E$11</definedName>
    <definedName name="WP_ANALYTIC_AP_TRADE_AP_ANCHOR">'&lt;.8&gt; Ratios &amp; Disclosures'!$A$12</definedName>
    <definedName name="WP_ANALYTIC_AP_TRADE_AP_CURRENT_VALUE">'&lt;.8&gt; Ratios &amp; Disclosures'!$B$12</definedName>
    <definedName name="WP_ANALYTIC_AP_TRADE_AP_COMPARATOR_VALUE">'&lt;.8&gt; Ratios &amp; Disclosures'!$C$12</definedName>
    <definedName name="WP_ANALYTIC_AP_TRADE_AP_CHANGE">'&lt;.8&gt; Ratios &amp; Disclosures'!$D$12</definedName>
    <definedName name="WP_ANALYTIC_AP_TRADE_AP_EXPLANATION">'&lt;.8&gt; Ratios &amp; Disclosures'!$E$12</definedName>
    <definedName name="WP_ANALYTIC_AP_DAYS_VS_TERMS_ANCHOR">'&lt;.8&gt; Ratios &amp; Disclosures'!$A$13</definedName>
    <definedName name="WP_ANALYTIC_AP_DAYS_VS_TERMS_CURRENT_VALUE">'&lt;.8&gt; Ratios &amp; Disclosures'!$B$13</definedName>
    <definedName name="WP_ANALYTIC_AP_DAYS_VS_TERMS_COMPARATOR_VALUE">'&lt;.8&gt; Ratios &amp; Disclosures'!$C$13</definedName>
    <definedName name="WP_ANALYTIC_AP_DAYS_VS_TERMS_CHANGE">'&lt;.8&gt; Ratios &amp; Disclosures'!$D$13</definedName>
    <definedName name="WP_ANALYTIC_AP_DAYS_VS_TERMS_EXPLANATION">'&lt;.8&gt; Ratios &amp; Disclosures'!$E$13</definedName>
    <definedName name="WP_ANALYTIC_AP_DPO_SURL_PERIOD_ANCHOR">'&lt;.3&gt; DPO &amp; SURL Population'!$A$15</definedName>
    <definedName name="WP_ANALYTIC_AP_DPO_SURL_PERIOD_VALUE">'&lt;.3&gt; DPO &amp; SURL Population'!$B$15</definedName>
    <definedName name="WP_ANALYTIC_AP_DPO_SURL_PERIOD_SOURCE_REFERENCE">'&lt;.3&gt; DPO &amp; SURL Population'!$C$15</definedName>
    <definedName name="WP_DISCLOSURE_AP_RELATED_PARTIES_ANCHOR">'&lt;.8&gt; Ratios &amp; Disclosures'!$A$17</definedName>
    <definedName name="WP_DISCLOSURE_AP_RELATED_PARTIES_RELEVANT">'&lt;.8&gt; Ratios &amp; Disclosures'!$B$17</definedName>
    <definedName name="WP_DISCLOSURE_AP_RELATED_PARTIES_SOURCE_REFERENCE">'&lt;.8&gt; Ratios &amp; Disclosures'!$C$17</definedName>
    <definedName name="WP_DISCLOSURE_AP_RELATED_PARTIES_CONCLUSION">'&lt;.8&gt; Ratios &amp; Disclosures'!$D$17</definedName>
    <definedName name="WP_DISCLOSURE_AP_RELATED_PARTIES_COMMENTS">'&lt;.8&gt; Ratios &amp; Disclosures'!$E$17</definedName>
    <definedName name="WP_DISCLOSURE_AP_CLASSIFICATION_ANCHOR">'&lt;.8&gt; Ratios &amp; Disclosures'!$A$18</definedName>
    <definedName name="WP_DISCLOSURE_AP_CLASSIFICATION_RELEVANT">'&lt;.8&gt; Ratios &amp; Disclosures'!$B$18</definedName>
    <definedName name="WP_DISCLOSURE_AP_CLASSIFICATION_SOURCE_REFERENCE">'&lt;.8&gt; Ratios &amp; Disclosures'!$C$18</definedName>
    <definedName name="WP_DISCLOSURE_AP_CLASSIFICATION_CONCLUSION">'&lt;.8&gt; Ratios &amp; Disclosures'!$D$18</definedName>
    <definedName name="WP_DISCLOSURE_AP_CLASSIFICATION_COMMENTS">'&lt;.8&gt; Ratios &amp; Disclosures'!$E$18</definedName>
    <definedName name="WP_DISCLOSURE_AP_DEBIT_BALANCES_ANCHOR">'&lt;.8&gt; Ratios &amp; Disclosures'!$A$19</definedName>
    <definedName name="WP_DISCLOSURE_AP_DEBIT_BALANCES_RELEVANT">'&lt;.8&gt; Ratios &amp; Disclosures'!$B$19</definedName>
    <definedName name="WP_DISCLOSURE_AP_DEBIT_BALANCES_SOURCE_REFERENCE">'&lt;.8&gt; Ratios &amp; Disclosures'!$C$19</definedName>
    <definedName name="WP_DISCLOSURE_AP_DEBIT_BALANCES_CONCLUSION">'&lt;.8&gt; Ratios &amp; Disclosures'!$D$19</definedName>
    <definedName name="WP_DISCLOSURE_AP_DEBIT_BALANCES_COMMENTS">'&lt;.8&gt; Ratios &amp; Disclosures'!$E$19</definedName>
    <definedName name="WP_DISCLOSURE_AP_CONTRACT_LIABILITIES_ANCHOR">'&lt;.8&gt; Ratios &amp; Disclosures'!$A$20</definedName>
    <definedName name="WP_DISCLOSURE_AP_CONTRACT_LIABILITIES_RELEVANT">'&lt;.8&gt; Ratios &amp; Disclosures'!$B$20</definedName>
    <definedName name="WP_DISCLOSURE_AP_CONTRACT_LIABILITIES_SOURCE_REFERENCE">'&lt;.8&gt; Ratios &amp; Disclosures'!$C$20</definedName>
    <definedName name="WP_DISCLOSURE_AP_CONTRACT_LIABILITIES_CONCLUSION">'&lt;.8&gt; Ratios &amp; Disclosures'!$D$20</definedName>
    <definedName name="WP_DISCLOSURE_AP_CONTRACT_LIABILITIES_COMMENTS">'&lt;.8&gt; Ratios &amp; Disclosures'!$E$20</definedName>
    <definedName name="WP_DISCLOSURE_AP_CONCENTRATION_ANCHOR">'&lt;.8&gt; Ratios &amp; Disclosures'!$A$21</definedName>
    <definedName name="WP_DISCLOSURE_AP_CONCENTRATION_RELEVANT">'&lt;.8&gt; Ratios &amp; Disclosures'!$B$21</definedName>
    <definedName name="WP_DISCLOSURE_AP_CONCENTRATION_SOURCE_REFERENCE">'&lt;.8&gt; Ratios &amp; Disclosures'!$C$21</definedName>
    <definedName name="WP_DISCLOSURE_AP_CONCENTRATION_CONCLUSION">'&lt;.8&gt; Ratios &amp; Disclosures'!$D$21</definedName>
    <definedName name="WP_DISCLOSURE_AP_CONCENTRATION_COMMENTS">'&lt;.8&gt; Ratios &amp; Disclosures'!$E$21</definedName>
    <definedName name="WP_DISCLOSURE_AP_COMMITMENTS_ANCHOR">'&lt;.8&gt; Ratios &amp; Disclosures'!$A$22</definedName>
    <definedName name="WP_DISCLOSURE_AP_COMMITMENTS_RELEVANT">'&lt;.8&gt; Ratios &amp; Disclosures'!$B$22</definedName>
    <definedName name="WP_DISCLOSURE_AP_COMMITMENTS_SOURCE_REFERENCE">'&lt;.8&gt; Ratios &amp; Disclosures'!$C$22</definedName>
    <definedName name="WP_DISCLOSURE_AP_COMMITMENTS_CONCLUSION">'&lt;.8&gt; Ratios &amp; Disclosures'!$D$22</definedName>
    <definedName name="WP_DISCLOSURE_AP_COMMITMENTS_COMMENTS">'&lt;.8&gt; Ratios &amp; Disclosures'!$E$22</definedName>
    <definedName name="WP_AP_DPO_CURRENT_NUMERATOR">'&lt;.3&gt; DPO &amp; SURL Population'!$B$10</definedName>
    <definedName name="WP_AP_DPO_CURRENT_ENDING_AP">'&lt;.3&gt; DPO &amp; SURL Population'!$B$11</definedName>
    <definedName name="WP_AP_DPO_PRIOR_ENDING_AP">'&lt;.3&gt; DPO &amp; SURL Population'!$B$12</definedName>
    <definedName name="WP_AP_DPO_AVERAGE_AP">'&lt;.3&gt; DPO &amp; SURL Population'!$B$13</definedName>
    <definedName name="WP_AP_DPO_TURNOVER">'&lt;.3&gt; DPO &amp; SURL Population'!$B$14</definedName>
    <definedName name="WP_AP_DPO_DAYS">'&lt;.3&gt; DPO &amp; SURL Population'!$B$15</definedName>
    <definedName name="WP_AP_DPO_SURL_START">'&lt;.3&gt; DPO &amp; SURL Population'!$B$16</definedName>
    <definedName name="WP_AP_DPO_SURL_END">'&lt;.3&gt; DPO &amp; SURL Population'!$B$17</definedName>
    <definedName name="WP_AP_SELECTION_CONTROL_DATA">'AP Controls'!$A$9:$J$29</definedName>
    <definedName name="WP_AP_SELECTION_REQUIRED_COUNT">'AP Controls'!$B$30</definedName>
    <definedName name="WP_AP_SELECTION_RECONCILED_COUNT">'AP Controls'!$C$30</definedName>
    <definedName name="WP_AP_SELECTION_OPEN_COUNT">'AP Controls'!$D$30</definedName>
    <definedName name="WP_AP_SELECTION_OVERALL_STATUS">'AP Controls'!$E$30</definedName>
    <definedName name="WP_AP_VENDOR_STATEMENT_SCOPE_DATA">'AP Controls'!$A$36:$L$38</definedName>
    <definedName name="WP_AP_VENDOR_SCOPE_REQUIRED_COUNT">'AP Controls'!$B$39</definedName>
    <definedName name="WP_AP_VENDOR_SCOPE_PASSED_COUNT">'AP Controls'!$C$39</definedName>
    <definedName name="WP_AP_VENDOR_SCOPE_OPEN_COUNT">'AP Controls'!$D$39</definedName>
    <definedName name="WP_AP_VENDOR_STATEMENT_OVERALL_STATUS">'AP Controls'!$E$39</definedName>
    <definedName name="WP_AP_METRIC_CY_RELEVANT_EXPENSE">'AP Controls'!$B$50</definedName>
    <definedName name="WP_AP_METRIC_CY_RELEVANT_EXPENSE_SOURCE">'AP Controls'!$E$50</definedName>
    <definedName name="WP_AP_METRIC_PY_RELEVANT_EXPENSE">'AP Controls'!$B$51</definedName>
    <definedName name="WP_AP_METRIC_PY_RELEVANT_EXPENSE_SOURCE">'AP Controls'!$E$51</definedName>
    <definedName name="WP_AP_METRIC_PY_PURCHASES">'AP Controls'!$B$52</definedName>
    <definedName name="WP_AP_METRIC_PY_PURCHASES_SOURCE">'AP Controls'!$E$52</definedName>
    <definedName name="WP_AP_METRIC_PY_AVERAGE_TRADE_AP">'AP Controls'!$B$53</definedName>
    <definedName name="WP_AP_METRIC_PY_AVERAGE_TRADE_AP_SOURCE">'AP Controls'!$E$53</definedName>
    <definedName name="WP_AP_METRIC_WEIGHTED_SUPPLIER_TERMS">'AP Controls'!$B$54</definedName>
    <definedName name="WP_AP_METRIC_WEIGHTED_SUPPLIER_TERMS_SOURCE">'AP Controls'!$E$54</definedName>
    <definedName name="WP_AP_SURL_EVIDENCE_THROUGH">'AP Controls'!$B$55</definedName>
    <definedName name="WP_AP_SURL_EVIDENCE_THROUGH_SOURCE">'AP Controls'!$E$55</definedName>
    <definedName name="WP_AP_SURL_REGISTERED_WINDOW_END">'AP Controls'!$B$56</definedName>
    <definedName name="WP_AP_SURL_DPO_END">'AP Controls'!$B$57</definedName>
    <definedName name="WP_AP_SURL_REQUIRED_THROUGH">'AP Controls'!$B$58</definedName>
    <definedName name="WP_AP_SURL_COVERAGE_STATUS">'AP Controls'!$B$59</definedName>
    <definedName name="WP_SIGNOFF_REQUIRED_COMPLETION_STAGE">'Workpaper Sign-off'!$B$4</definedName>
    <definedName name="WP_SIGNOFF_ASSIGNED_PREPARER">'Workpaper Sign-off'!$B$6</definedName>
    <definedName name="WP_SIGNOFF_PREPARATION_STATE">'Workpaper Sign-off'!$B$7</definedName>
    <definedName name="WP_SIGNOFF_PREPARED_BY">'Workpaper Sign-off'!$B$8</definedName>
    <definedName name="WP_SIGNOFF_PREPARATION_DATE">'Workpaper Sign-off'!$B$9</definedName>
    <definedName name="WP_SIGNOFF_ASSIGNED_REVIEWER">'Workpaper Sign-off'!$E$6</definedName>
    <definedName name="WP_SIGNOFF_REVIEW_STATE">'Workpaper Sign-off'!$E$7</definedName>
    <definedName name="WP_SIGNOFF_REVIEWED_BY">'Workpaper Sign-off'!$E$8</definedName>
    <definedName name="WP_SIGNOFF_REVIEW_DATE">'Workpaper Sign-off'!$E$9</definedName>
    <definedName name="WP_INPUT_S005_B94BEE85A07C">'&lt;.3&gt; DPO &amp; SURL Population'!$B$10</definedName>
    <definedName name="WP_INPUT_S005_A334E6437F4F">'&lt;.3&gt; DPO &amp; SURL Population'!$C$10</definedName>
    <definedName name="WP_INPUT_S005_F2C2391CCB2B">'&lt;.3&gt; DPO &amp; SURL Population'!$B$11</definedName>
    <definedName name="WP_INPUT_S005_5D528F87A530">'&lt;.3&gt; DPO &amp; SURL Population'!$C$11</definedName>
    <definedName name="WP_INPUT_S005_CB8451FA57D0">'&lt;.3&gt; DPO &amp; SURL Population'!$B$12</definedName>
    <definedName name="WP_INPUT_S005_3EABB4A30A38">'&lt;.3&gt; DPO &amp; SURL Population'!$C$12</definedName>
    <definedName name="WP_INPUT_S007_EA3008EA1700">'&lt;.5&gt; Completeness of Disb'!$B$7</definedName>
    <definedName name="WP_INPUT_S012_09E6F7D14644">'AP Controls'!$E$9</definedName>
    <definedName name="WP_INPUT_S012_69BD5BF10E0A">'AP Controls'!$F$9</definedName>
    <definedName name="WP_INPUT_S012_7E55640E436F">'AP Controls'!$G$9</definedName>
    <definedName name="WP_INPUT_S012_073D91929656">'AP Controls'!$H$9</definedName>
    <definedName name="WP_INPUT_S012_6B3E89CE6313">'AP Controls'!$I$9</definedName>
    <definedName name="WP_INPUT_S012_376666906674">'AP Controls'!$E$10</definedName>
    <definedName name="WP_INPUT_S012_9E009114C710">'AP Controls'!$F$10</definedName>
    <definedName name="WP_INPUT_S012_E5678F4C1850">'AP Controls'!$G$10</definedName>
    <definedName name="WP_INPUT_S012_EC3C414AA375">'AP Controls'!$H$10</definedName>
    <definedName name="WP_INPUT_S012_CA2899A47113">'AP Controls'!$I$10</definedName>
    <definedName name="WP_INPUT_S012_C4E87E3B13D3">'AP Controls'!$E$11</definedName>
    <definedName name="WP_INPUT_S012_476203E875BF">'AP Controls'!$F$11</definedName>
    <definedName name="WP_INPUT_S012_1D27E5855F5E">'AP Controls'!$G$11</definedName>
    <definedName name="WP_INPUT_S012_813ED4AA8BD1">'AP Controls'!$H$11</definedName>
    <definedName name="WP_INPUT_S012_229605D5FDDC">'AP Controls'!$I$11</definedName>
    <definedName name="WP_INPUT_S012_F90C006426C0">'AP Controls'!$E$12</definedName>
    <definedName name="WP_INPUT_S012_5F4B846EC3EC">'AP Controls'!$F$12</definedName>
    <definedName name="WP_INPUT_S012_7A04D1924CB8">'AP Controls'!$G$12</definedName>
    <definedName name="WP_INPUT_S012_0DABC60C2F2E">'AP Controls'!$H$12</definedName>
    <definedName name="WP_INPUT_S012_BB2A3388C27C">'AP Controls'!$I$12</definedName>
    <definedName name="WP_INPUT_S012_22A0C66F6DF7">'AP Controls'!$E$13</definedName>
    <definedName name="WP_INPUT_S012_6B0C7249C7A3">'AP Controls'!$F$13</definedName>
    <definedName name="WP_INPUT_S012_90F32D3B42E6">'AP Controls'!$G$13</definedName>
    <definedName name="WP_INPUT_S012_58ED40BCCB11">'AP Controls'!$H$13</definedName>
    <definedName name="WP_INPUT_S012_C94BFEAEA53C">'AP Controls'!$I$13</definedName>
    <definedName name="WP_INPUT_S012_93EC6C900648">'AP Controls'!$E$14</definedName>
    <definedName name="WP_INPUT_S012_84C38669B841">'AP Controls'!$F$14</definedName>
    <definedName name="WP_INPUT_S012_1118918ED5C7">'AP Controls'!$G$14</definedName>
    <definedName name="WP_INPUT_S012_15FD4B198755">'AP Controls'!$H$14</definedName>
    <definedName name="WP_INPUT_S012_479BA588B807">'AP Controls'!$I$14</definedName>
    <definedName name="WP_INPUT_S012_5C672C055402">'AP Controls'!$E$15</definedName>
    <definedName name="WP_INPUT_S012_5A29CD3DAD91">'AP Controls'!$F$15</definedName>
    <definedName name="WP_INPUT_S012_C648243E2207">'AP Controls'!$G$15</definedName>
    <definedName name="WP_INPUT_S012_53EE82B833F0">'AP Controls'!$H$15</definedName>
    <definedName name="WP_INPUT_S012_91BBDBB56AC4">'AP Controls'!$I$15</definedName>
    <definedName name="WP_INPUT_S012_DCB078662182">'AP Controls'!$E$16</definedName>
    <definedName name="WP_INPUT_S012_3528E2947DB0">'AP Controls'!$F$16</definedName>
    <definedName name="WP_INPUT_S012_F0C376EDC55D">'AP Controls'!$G$16</definedName>
    <definedName name="WP_INPUT_S012_417053C18DDA">'AP Controls'!$H$16</definedName>
    <definedName name="WP_INPUT_S012_83F4104DC4BD">'AP Controls'!$I$16</definedName>
    <definedName name="WP_INPUT_S012_A781038C3BE5">'AP Controls'!$E$17</definedName>
    <definedName name="WP_INPUT_S012_58F03BB91281">'AP Controls'!$F$17</definedName>
    <definedName name="WP_INPUT_S012_C39CF9E05DA4">'AP Controls'!$G$17</definedName>
    <definedName name="WP_INPUT_S012_5DE2E063B7CC">'AP Controls'!$H$17</definedName>
    <definedName name="WP_INPUT_S012_A6FF56CC6B31">'AP Controls'!$I$17</definedName>
    <definedName name="WP_INPUT_S012_DFFF8B3DCDED">'AP Controls'!$E$18</definedName>
    <definedName name="WP_INPUT_S012_6CCB7B4CC12D">'AP Controls'!$F$18</definedName>
    <definedName name="WP_INPUT_S012_28A34230FE05">'AP Controls'!$G$18</definedName>
    <definedName name="WP_INPUT_S012_AE4772133006">'AP Controls'!$H$18</definedName>
    <definedName name="WP_INPUT_S012_93BC11FFF0B9">'AP Controls'!$I$18</definedName>
    <definedName name="WP_INPUT_S012_30D2C03D9CEE">'AP Controls'!$E$19</definedName>
    <definedName name="WP_INPUT_S012_D0889EE713AF">'AP Controls'!$F$19</definedName>
    <definedName name="WP_INPUT_S012_B86CEF53111E">'AP Controls'!$G$19</definedName>
    <definedName name="WP_INPUT_S012_F52BDC00351C">'AP Controls'!$H$19</definedName>
    <definedName name="WP_INPUT_S012_3B5AC07731CB">'AP Controls'!$I$19</definedName>
    <definedName name="WP_INPUT_S012_DCC2897B7BB6">'AP Controls'!$E$20</definedName>
    <definedName name="WP_INPUT_S012_069BEC2D59A9">'AP Controls'!$F$20</definedName>
    <definedName name="WP_INPUT_S012_A6781D483925">'AP Controls'!$G$20</definedName>
    <definedName name="WP_INPUT_S012_C8C61623D493">'AP Controls'!$H$20</definedName>
    <definedName name="WP_INPUT_S012_3B43ACEB7E21">'AP Controls'!$I$20</definedName>
    <definedName name="WP_INPUT_S012_EB8F767C6C37">'AP Controls'!$E$21</definedName>
    <definedName name="WP_INPUT_S012_4EA960DBA80C">'AP Controls'!$F$21</definedName>
    <definedName name="WP_INPUT_S012_86E6CDD27047">'AP Controls'!$G$21</definedName>
    <definedName name="WP_INPUT_S012_4551DEC32144">'AP Controls'!$H$21</definedName>
    <definedName name="WP_INPUT_S012_5C1543718279">'AP Controls'!$I$21</definedName>
    <definedName name="WP_INPUT_S012_696B679B1CF9">'AP Controls'!$E$22</definedName>
    <definedName name="WP_INPUT_S012_7DB4B20D908B">'AP Controls'!$F$22</definedName>
    <definedName name="WP_INPUT_S012_27D37A22EF0A">'AP Controls'!$G$22</definedName>
    <definedName name="WP_INPUT_S012_F89B10819B66">'AP Controls'!$H$22</definedName>
    <definedName name="WP_INPUT_S012_F6FC6D0E843C">'AP Controls'!$I$22</definedName>
    <definedName name="WP_INPUT_S012_3DA96146232D">'AP Controls'!$E$23</definedName>
    <definedName name="WP_INPUT_S012_57112C967022">'AP Controls'!$F$23</definedName>
    <definedName name="WP_INPUT_S012_2BBC82EBA02A">'AP Controls'!$G$23</definedName>
    <definedName name="WP_INPUT_S012_BE4C7DA06609">'AP Controls'!$H$23</definedName>
    <definedName name="WP_INPUT_S012_DBF3862FE987">'AP Controls'!$I$23</definedName>
    <definedName name="WP_INPUT_S012_29921CF2EE73">'AP Controls'!$E$24</definedName>
    <definedName name="WP_INPUT_S012_26B01A3C8DCB">'AP Controls'!$F$24</definedName>
    <definedName name="WP_INPUT_S012_39838041FD8F">'AP Controls'!$G$24</definedName>
    <definedName name="WP_INPUT_S012_FCADC85EF683">'AP Controls'!$H$24</definedName>
    <definedName name="WP_INPUT_S012_295EF04D5ADC">'AP Controls'!$I$24</definedName>
    <definedName name="WP_INPUT_S012_FDBE7302D27A">'AP Controls'!$E$25</definedName>
    <definedName name="WP_INPUT_S012_42592F3594C0">'AP Controls'!$F$25</definedName>
    <definedName name="WP_INPUT_S012_1905FB579091">'AP Controls'!$G$25</definedName>
    <definedName name="WP_INPUT_S012_E5818F2791A4">'AP Controls'!$H$25</definedName>
    <definedName name="WP_INPUT_S012_3F62ADEC83DD">'AP Controls'!$I$25</definedName>
    <definedName name="WP_INPUT_S012_A4270D8F0621">'AP Controls'!$E$26</definedName>
    <definedName name="WP_INPUT_S012_F4F33D17B67D">'AP Controls'!$F$26</definedName>
    <definedName name="WP_INPUT_S012_C2932F76DC34">'AP Controls'!$G$26</definedName>
    <definedName name="WP_INPUT_S012_058F64EEAE54">'AP Controls'!$H$26</definedName>
    <definedName name="WP_INPUT_S012_480B5912A18E">'AP Controls'!$I$26</definedName>
    <definedName name="WP_INPUT_S012_2678ED9E56C7">'AP Controls'!$E$27</definedName>
    <definedName name="WP_INPUT_S012_5A275E5338D9">'AP Controls'!$F$27</definedName>
    <definedName name="WP_INPUT_S012_ADD39D03868C">'AP Controls'!$G$27</definedName>
    <definedName name="WP_INPUT_S012_FA522F5842BE">'AP Controls'!$H$27</definedName>
    <definedName name="WP_INPUT_S012_B762993358EB">'AP Controls'!$I$27</definedName>
    <definedName name="WP_INPUT_S012_767BD61639B9">'AP Controls'!$E$28</definedName>
    <definedName name="WP_INPUT_S012_1FADEED1D2B6">'AP Controls'!$F$28</definedName>
    <definedName name="WP_INPUT_S012_A91A4C19E571">'AP Controls'!$G$28</definedName>
    <definedName name="WP_INPUT_S012_9ABF34CE33A4">'AP Controls'!$H$28</definedName>
    <definedName name="WP_INPUT_S012_5513D68E1475">'AP Controls'!$I$28</definedName>
    <definedName name="WP_INPUT_S012_AA7C4D7D4419">'AP Controls'!$E$29</definedName>
    <definedName name="WP_INPUT_S012_E8DCFCD36610">'AP Controls'!$F$29</definedName>
    <definedName name="WP_INPUT_S012_017A8D2690D5">'AP Controls'!$G$29</definedName>
    <definedName name="WP_INPUT_S012_8A0E2C3485BD">'AP Controls'!$H$29</definedName>
    <definedName name="WP_INPUT_S012_3C13141969A4">'AP Controls'!$I$29</definedName>
    <definedName name="WP_INPUT_S012_1FFE01FD1EC2">'AP Controls'!$G$36</definedName>
    <definedName name="WP_INPUT_S012_D3B59B45C153">'AP Controls'!$H$36</definedName>
    <definedName name="WP_INPUT_S012_BB04058CAEC8">'AP Controls'!$I$36</definedName>
    <definedName name="WP_INPUT_S012_0850F6523B41">'AP Controls'!$J$36</definedName>
    <definedName name="WP_INPUT_S012_66E09D741245">'AP Controls'!$K$36</definedName>
    <definedName name="WP_INPUT_S012_A229F31E3DEE">'AP Controls'!$G$37</definedName>
    <definedName name="WP_INPUT_S012_9EFF1305FF90">'AP Controls'!$H$37</definedName>
    <definedName name="WP_INPUT_S012_3CD9AD6E04C9">'AP Controls'!$I$37</definedName>
    <definedName name="WP_INPUT_S012_B62E287E4059">'AP Controls'!$J$37</definedName>
    <definedName name="WP_INPUT_S012_AC52CA57BB1E">'AP Controls'!$K$37</definedName>
    <definedName name="WP_INPUT_S012_66D387D33DBE">'AP Controls'!$G$38</definedName>
    <definedName name="WP_INPUT_S012_DF0FD1AD8562">'AP Controls'!$H$38</definedName>
    <definedName name="WP_INPUT_S012_196573473B8D">'AP Controls'!$I$38</definedName>
    <definedName name="WP_INPUT_S012_FDF3EBD448D6">'AP Controls'!$J$38</definedName>
    <definedName name="WP_INPUT_S012_939179FD7451">'AP Controls'!$K$38</definedName>
    <definedName name="WP_INPUT_S012_CDCBEEECC1D0">'AP Controls'!$B$50</definedName>
    <definedName name="WP_INPUT_S012_7A2021D8E702">'AP Controls'!$E$50</definedName>
    <definedName name="WP_INPUT_S012_82B3F0D4B571">'AP Controls'!$B$51</definedName>
    <definedName name="WP_INPUT_S012_5E2CD850C6F3">'AP Controls'!$E$51</definedName>
    <definedName name="WP_INPUT_S012_B5E8F7AB2B71">'AP Controls'!$B$52</definedName>
    <definedName name="WP_INPUT_S012_7307926199F1">'AP Controls'!$E$52</definedName>
    <definedName name="WP_INPUT_S012_6F51C4BE6E70">'AP Controls'!$B$53</definedName>
    <definedName name="WP_INPUT_S012_C56142AA3050">'AP Controls'!$E$53</definedName>
    <definedName name="WP_INPUT_S012_803C76D4DE61">'AP Controls'!$B$54</definedName>
    <definedName name="WP_INPUT_S012_E7B9469DDCB1">'AP Controls'!$E$54</definedName>
    <definedName name="WP_INPUT_S012_F42B0F2532A3">'AP Controls'!$B$55</definedName>
    <definedName name="WP_INPUT_S012_5BD9774D788D">'AP Controls'!$E$55</definedName>
    <definedName name="_xlnm._FilterDatabase" localSheetId="0" hidden="1">'Library Procedures'!$A$6:$Q$38</definedName>
    <definedName name="_xlnm.Print_Titles" localSheetId="0">'Library Procedures'!$1:$6</definedName>
    <definedName name="_xlnm.Print_Area" localSheetId="0">'Library Procedures'!$A$1:$Q$38</definedName>
    <definedName name="_xlnm.Print_Area" localSheetId="1">'&lt;.0&gt; Source Index'!$A$1:$H$32</definedName>
    <definedName name="_xlnm.Print_Area" localSheetId="2">'&lt;.1&gt; AP Lead Sheet'!$A$1:$I$34</definedName>
    <definedName name="_xlnm.Print_Area" localSheetId="3">'&lt;.2&gt; AP Reconciliation'!$A$1:$H$38</definedName>
    <definedName name="_xlnm.Print_Titles" localSheetId="4">'&lt;.3&gt; DPO &amp; SURL Population'!$1:$7</definedName>
    <definedName name="_xlnm.Print_Area" localSheetId="4">'&lt;.3&gt; DPO &amp; SURL Population'!$A$1:$H$41</definedName>
    <definedName name="_xlnm._FilterDatabase" localSheetId="5" hidden="1">'&lt;.4&gt; SURL Subsequent Disb'!$A$7:$R$29</definedName>
    <definedName name="_xlnm.Print_Titles" localSheetId="5">'&lt;.4&gt; SURL Subsequent Disb'!$1:$7</definedName>
    <definedName name="_xlnm.Print_Area" localSheetId="5">'&lt;.4&gt; SURL Subsequent Disb'!$A$1:$R$45</definedName>
    <definedName name="_xlnm.Print_Area" localSheetId="6">'&lt;.5&gt; Completeness of Disb'!$A$1:$H$35</definedName>
    <definedName name="_xlnm.Print_Area" localSheetId="7">'&lt;.6&gt; Outstanding Checks'!$A$1:$J$38</definedName>
    <definedName name="_xlnm._FilterDatabase" localSheetId="8" hidden="1">'&lt;.7&gt; Open Invoice &amp; Cutoff'!$A$7:$M$29</definedName>
    <definedName name="_xlnm.Print_Titles" localSheetId="8">'&lt;.7&gt; Open Invoice &amp; Cutoff'!$1:$7</definedName>
    <definedName name="_xlnm.Print_Area" localSheetId="8">'&lt;.7&gt; Open Invoice &amp; Cutoff'!$A$1:$M$45</definedName>
    <definedName name="_xlnm.Print_Area" localSheetId="9">'&lt;.8&gt; Ratios &amp; Disclosures'!$A$1:$H$35</definedName>
    <definedName name="_xlnm.Print_Area" localSheetId="10">'Planning Context'!$A$1:$B$21</definedName>
    <definedName name="_xlnm._FilterDatabase" localSheetId="11" hidden="1">'AP Controls'!$A$1:$L$59</definedName>
    <definedName name="_xlnm.Print_Titles" localSheetId="11">'AP Controls'!$1:$7</definedName>
    <definedName name="_xlnm.Print_Area" localSheetId="11">'AP Controls'!$A$1:$L$59</definedName>
    <definedName name="_xlnm.Print_Area" localSheetId="12">'Workpaper Sign-off'!$A$1:$F$12</definedName>
  </definedNames>
  <calcPr calcId="191029" fullCalcOnLoad="1" iterateDelta="0.0001"/>
</workbook>
</file>

<file path=xl/styles.xml><?xml version="1.0" encoding="utf-8"?>
<styleSheet xmlns="http://schemas.openxmlformats.org/spreadsheetml/2006/main">
  <numFmts count="7">
    <numFmt numFmtId="164" formatCode="yyyy\-mm\-dd"/>
    <numFmt numFmtId="165" formatCode="yyyy-mm-dd"/>
    <numFmt numFmtId="166" formatCode="m/d/yyyy"/>
    <numFmt numFmtId="167" formatCode="#,##0.00;[Red](#,##0.00);-"/>
    <numFmt numFmtId="168" formatCode="0.00x"/>
    <numFmt numFmtId="169" formatCode="0.0"/>
    <numFmt numFmtId="170" formatCode="0.0%"/>
  </numFmts>
  <fonts count="39">
    <font>
      <name val="Calibri"/>
      <charset val="1"/>
      <family val="2"/>
      <color theme="1"/>
      <sz val="11"/>
    </font>
    <font>
      <name val="Georgia"/>
      <charset val="1"/>
      <b val="1"/>
      <color rgb="FFA32020"/>
      <sz val="14"/>
    </font>
    <font>
      <name val="Georgia"/>
      <charset val="1"/>
      <b val="1"/>
      <color rgb="FF1A1A1A"/>
      <sz val="9"/>
    </font>
    <font>
      <name val="Georgia"/>
      <charset val="1"/>
      <color rgb="FF1A1A1A"/>
      <sz val="9"/>
    </font>
    <font>
      <name val="Georgia"/>
      <charset val="1"/>
      <b val="1"/>
      <color rgb="FFA32020"/>
      <sz val="9"/>
    </font>
    <font>
      <name val="Georgia"/>
      <charset val="1"/>
      <b val="1"/>
      <color rgb="FFFFFFFF"/>
      <sz val="8.5"/>
    </font>
    <font>
      <name val="Georgia"/>
      <charset val="1"/>
      <b val="1"/>
      <color rgb="FFDC6900"/>
      <sz val="9"/>
    </font>
    <font>
      <name val="Georgia"/>
      <charset val="1"/>
      <color rgb="FF6E6E6E"/>
      <sz val="9"/>
    </font>
    <font>
      <name val="Georgia"/>
      <charset val="1"/>
      <b val="1"/>
      <color rgb="FFDC6900"/>
      <sz val="8"/>
    </font>
    <font>
      <name val="Georgia"/>
      <charset val="1"/>
      <b val="1"/>
      <color rgb="FF1A1A1A"/>
      <sz val="10"/>
    </font>
    <font>
      <name val="Georgia"/>
      <charset val="1"/>
      <b val="1"/>
      <color rgb="FFA32020"/>
      <sz val="10"/>
    </font>
    <font>
      <name val="Georgia"/>
      <charset val="1"/>
      <b val="1"/>
      <color rgb="FFFFFFFF"/>
      <sz val="9"/>
    </font>
    <font>
      <b val="1"/>
      <color rgb="00FFFFFF"/>
      <sz val="14"/>
    </font>
    <font>
      <b val="1"/>
      <color rgb="001F1F1F"/>
    </font>
    <font>
      <b val="1"/>
      <color rgb="00FFFFFF"/>
    </font>
    <font>
      <b val="1"/>
    </font>
    <font>
      <name val="Carlito"/>
      <b val="1"/>
      <color rgb="00FFFFFF"/>
      <sz val="14"/>
    </font>
    <font>
      <name val="Carlito"/>
      <b val="1"/>
      <color rgb="00404040"/>
    </font>
    <font>
      <name val="Carlito"/>
      <sz val="11"/>
    </font>
    <font>
      <name val="Carlito"/>
      <i val="1"/>
      <color rgb="001F1F1F"/>
      <sz val="10"/>
    </font>
    <font>
      <name val="SourceSans3"/>
      <charset val="1"/>
      <b val="1"/>
      <color rgb="FFA32020"/>
      <sz val="14"/>
    </font>
    <font>
      <name val="SourceSans3"/>
      <charset val="1"/>
      <color rgb="FF1A1A1A"/>
      <sz val="9"/>
    </font>
    <font>
      <name val="SourceSans3"/>
      <charset val="1"/>
      <color rgb="FF6E6E6E"/>
      <sz val="9"/>
    </font>
    <font>
      <name val="SourceSans3"/>
      <charset val="1"/>
      <b val="1"/>
      <color rgb="FFFFFFFF"/>
      <sz val="9"/>
    </font>
    <font>
      <name val="SourceSans3"/>
      <charset val="1"/>
      <family val="2"/>
      <color theme="1"/>
      <sz val="11"/>
    </font>
    <font>
      <name val="SourceSans3"/>
      <charset val="1"/>
      <b val="1"/>
      <color rgb="FF1A1A1A"/>
      <sz val="9"/>
    </font>
    <font>
      <name val="SourceSans3"/>
      <charset val="1"/>
      <b val="1"/>
      <color rgb="FFA32020"/>
      <sz val="9"/>
    </font>
    <font>
      <name val="SourceSans3"/>
      <charset val="1"/>
      <b val="1"/>
      <color rgb="FFFFFFFF"/>
      <sz val="8.5"/>
    </font>
    <font>
      <name val="SourceSans3"/>
      <charset val="1"/>
      <b val="1"/>
      <color rgb="FFDC6900"/>
      <sz val="9"/>
    </font>
    <font>
      <name val="SourceSans3"/>
      <charset val="1"/>
      <b val="1"/>
      <color rgb="FFDC6900"/>
      <sz val="8"/>
    </font>
    <font>
      <name val="SourceSans3"/>
      <charset val="1"/>
      <b val="1"/>
      <color rgb="FF1A1A1A"/>
      <sz val="10"/>
    </font>
    <font>
      <name val="SourceSans3"/>
      <charset val="1"/>
      <b val="1"/>
      <color rgb="FFA32020"/>
      <sz val="10"/>
    </font>
    <font>
      <name val="SourceSans3"/>
      <b val="1"/>
      <color rgb="00FFFFFF"/>
      <sz val="14"/>
    </font>
    <font>
      <name val="SourceSans3"/>
      <b val="1"/>
      <color rgb="001F1F1F"/>
    </font>
    <font>
      <name val="SourceSans3"/>
      <b val="1"/>
      <color rgb="00FFFFFF"/>
    </font>
    <font>
      <name val="SourceSans3"/>
      <b val="1"/>
    </font>
    <font>
      <name val="SourceSans3"/>
      <b val="1"/>
      <color rgb="00404040"/>
    </font>
    <font>
      <name val="SourceSans3"/>
      <sz val="11"/>
    </font>
    <font>
      <name val="SourceSans3"/>
      <i val="1"/>
      <color rgb="001F1F1F"/>
      <sz val="10"/>
    </font>
  </fonts>
  <fills count="8">
    <fill>
      <patternFill/>
    </fill>
    <fill>
      <patternFill patternType="gray125"/>
    </fill>
    <fill>
      <patternFill patternType="solid">
        <fgColor rgb="FFA32020"/>
        <bgColor rgb="FF993366"/>
      </patternFill>
    </fill>
    <fill>
      <patternFill patternType="solid">
        <fgColor rgb="FFF4DCDC"/>
        <bgColor rgb="FFCCCCFF"/>
      </patternFill>
    </fill>
    <fill>
      <patternFill patternType="solid">
        <fgColor rgb="00FFF2CC"/>
      </patternFill>
    </fill>
    <fill>
      <patternFill patternType="solid">
        <fgColor rgb="001F4E78"/>
      </patternFill>
    </fill>
    <fill>
      <patternFill patternType="solid">
        <fgColor rgb="00D9EAF7"/>
      </patternFill>
    </fill>
    <fill>
      <patternFill patternType="solid">
        <fgColor rgb="00E7E6E6"/>
      </patternFill>
    </fill>
  </fills>
  <borders count="12">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bottom style="thin">
        <color rgb="00A6A6A6"/>
      </bottom>
    </border>
  </borders>
  <cellStyleXfs count="1">
    <xf numFmtId="0" fontId="0" fillId="0" borderId="0"/>
  </cellStyleXfs>
  <cellXfs count="111">
    <xf numFmtId="0" fontId="0" fillId="0" borderId="0" pivotButton="0" quotePrefix="0" xfId="0"/>
    <xf numFmtId="0" fontId="11" fillId="2" borderId="1" pivotButton="0" quotePrefix="0" xfId="0"/>
    <xf numFmtId="0" fontId="7" fillId="0" borderId="0" pivotButton="0" quotePrefix="0" xfId="0"/>
    <xf numFmtId="0" fontId="3" fillId="0" borderId="1" pivotButton="0" quotePrefix="0" xfId="0"/>
    <xf numFmtId="0" fontId="3" fillId="0" borderId="0" applyAlignment="1" pivotButton="0" quotePrefix="0" xfId="0">
      <alignment horizontal="left" vertical="center" wrapText="1"/>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3" fillId="0" borderId="1" pivotButton="0" quotePrefix="0" xfId="0"/>
    <xf numFmtId="0" fontId="6" fillId="0" borderId="1" applyAlignment="1" pivotButton="0" quotePrefix="0" xfId="0">
      <alignment horizontal="center" vertical="center"/>
    </xf>
    <xf numFmtId="0" fontId="8" fillId="0" borderId="0" applyAlignment="1" pivotButton="0" quotePrefix="0" xfId="0">
      <alignment horizontal="center" vertical="center"/>
    </xf>
    <xf numFmtId="4" fontId="3" fillId="0" borderId="1" pivotButton="0" quotePrefix="0" xfId="0"/>
    <xf numFmtId="10" fontId="3" fillId="0" borderId="1" pivotButton="0" quotePrefix="0" xfId="0"/>
    <xf numFmtId="0" fontId="9" fillId="3" borderId="1" pivotButton="0" quotePrefix="0" xfId="0"/>
    <xf numFmtId="4" fontId="9" fillId="3" borderId="1" pivotButton="0" quotePrefix="0" xfId="0"/>
    <xf numFmtId="0" fontId="10" fillId="0" borderId="0" pivotButton="0" quotePrefix="0" xfId="0"/>
    <xf numFmtId="0" fontId="2" fillId="0" borderId="1" pivotButton="0" quotePrefix="0" xfId="0"/>
    <xf numFmtId="4" fontId="2" fillId="3" borderId="1" pivotButton="0" quotePrefix="0" xfId="0"/>
    <xf numFmtId="2" fontId="3" fillId="0" borderId="1" pivotButton="0" quotePrefix="0" xfId="0"/>
    <xf numFmtId="1" fontId="2" fillId="3" borderId="1" pivotButton="0" quotePrefix="0" xfId="0"/>
    <xf numFmtId="164" fontId="3" fillId="0" borderId="1" pivotButton="0" quotePrefix="0" xfId="0"/>
    <xf numFmtId="164" fontId="2" fillId="3" borderId="1" pivotButton="0" quotePrefix="0" xfId="0"/>
    <xf numFmtId="4" fontId="9" fillId="3" borderId="0" pivotButton="0" quotePrefix="0" xfId="0"/>
    <xf numFmtId="0" fontId="11" fillId="2" borderId="1" applyAlignment="1" pivotButton="0" quotePrefix="0" xfId="0">
      <alignment horizontal="center" vertical="center" wrapText="1"/>
    </xf>
    <xf numFmtId="0" fontId="11" fillId="2"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xf>
    <xf numFmtId="0" fontId="9" fillId="3" borderId="1" applyAlignment="1" pivotButton="0" quotePrefix="0" xfId="0">
      <alignment horizontal="center" vertical="center"/>
    </xf>
    <xf numFmtId="0" fontId="4" fillId="0" borderId="2" pivotButton="0" quotePrefix="0" xfId="0"/>
    <xf numFmtId="0" fontId="3" fillId="0" borderId="2" applyAlignment="1" pivotButton="0" quotePrefix="0" xfId="0">
      <alignment vertical="center" wrapText="1"/>
    </xf>
    <xf numFmtId="0" fontId="0" fillId="0" borderId="2" applyAlignment="1" pivotButton="0" quotePrefix="0" xfId="0">
      <alignment vertical="center" wrapText="1"/>
    </xf>
    <xf numFmtId="0" fontId="4" fillId="0" borderId="0" pivotButton="0" quotePrefix="0" xfId="0"/>
    <xf numFmtId="0" fontId="3" fillId="0" borderId="0" applyAlignment="1" pivotButton="0" quotePrefix="0" xfId="0">
      <alignment vertical="center" wrapText="1"/>
    </xf>
    <xf numFmtId="0" fontId="3" fillId="0" borderId="2" applyAlignment="1" pivotButton="0" quotePrefix="0" xfId="0">
      <alignment horizontal="left" vertical="center" wrapText="1"/>
    </xf>
    <xf numFmtId="0" fontId="3" fillId="0" borderId="2" pivotButton="0" quotePrefix="0" xfId="0"/>
    <xf numFmtId="0" fontId="20" fillId="0" borderId="0" applyAlignment="1" pivotButton="0" quotePrefix="0" xfId="0">
      <alignment vertical="top" wrapText="1"/>
    </xf>
    <xf numFmtId="0" fontId="24" fillId="0" borderId="0" pivotButton="0" quotePrefix="0" xfId="0"/>
    <xf numFmtId="0" fontId="21" fillId="0" borderId="0" applyAlignment="1" pivotButton="0" quotePrefix="0" xfId="0">
      <alignment vertical="top" wrapText="1"/>
    </xf>
    <xf numFmtId="0" fontId="22" fillId="0" borderId="0" applyAlignment="1" pivotButton="0" quotePrefix="0" xfId="0">
      <alignment vertical="top" wrapText="1"/>
    </xf>
    <xf numFmtId="0" fontId="23" fillId="2" borderId="1" applyAlignment="1" pivotButton="0" quotePrefix="0" xfId="0">
      <alignment horizontal="left" vertical="center" wrapText="1"/>
    </xf>
    <xf numFmtId="0" fontId="23" fillId="2" borderId="1" pivotButton="0" quotePrefix="0" xfId="0"/>
    <xf numFmtId="0" fontId="23" fillId="2" borderId="0" pivotButton="0" quotePrefix="0" xfId="0"/>
    <xf numFmtId="0" fontId="21" fillId="0" borderId="1" applyAlignment="1" pivotButton="0" quotePrefix="0" xfId="0">
      <alignment vertical="top" wrapText="1"/>
    </xf>
    <xf numFmtId="0" fontId="24" fillId="0" borderId="1" applyAlignment="1" pivotButton="0" quotePrefix="0" xfId="0">
      <alignment vertical="top" wrapText="1"/>
    </xf>
    <xf numFmtId="166" fontId="24" fillId="0" borderId="1" applyAlignment="1" pivotButton="0" quotePrefix="0" xfId="0">
      <alignment vertical="top" wrapText="1"/>
    </xf>
    <xf numFmtId="0" fontId="23" fillId="2" borderId="0" applyAlignment="1" pivotButton="0" quotePrefix="0" xfId="0">
      <alignment vertical="top" wrapText="1"/>
    </xf>
    <xf numFmtId="0" fontId="20" fillId="0" borderId="0" pivotButton="0" quotePrefix="0" xfId="0"/>
    <xf numFmtId="0" fontId="25" fillId="0" borderId="0" pivotButton="0" quotePrefix="0" xfId="0"/>
    <xf numFmtId="166" fontId="21" fillId="0" borderId="0" pivotButton="0" quotePrefix="0" xfId="0"/>
    <xf numFmtId="0" fontId="21" fillId="0" borderId="0" pivotButton="0" quotePrefix="0" xfId="0"/>
    <xf numFmtId="0" fontId="25" fillId="0" borderId="0" applyAlignment="1" pivotButton="0" quotePrefix="0" xfId="0">
      <alignment vertical="top" wrapText="1"/>
    </xf>
    <xf numFmtId="4" fontId="21" fillId="0" borderId="0" pivotButton="0" quotePrefix="0" xfId="0"/>
    <xf numFmtId="0" fontId="26" fillId="0" borderId="0" pivotButton="0" quotePrefix="0" xfId="0"/>
    <xf numFmtId="0" fontId="21" fillId="0" borderId="0" applyAlignment="1" pivotButton="0" quotePrefix="0" xfId="0">
      <alignment horizontal="left" vertical="center" wrapText="1"/>
    </xf>
    <xf numFmtId="0" fontId="27" fillId="2" borderId="1" applyAlignment="1" pivotButton="0" quotePrefix="0" xfId="0">
      <alignment horizontal="center" vertical="center" wrapText="1"/>
    </xf>
    <xf numFmtId="0" fontId="21" fillId="0" borderId="1" pivotButton="0" quotePrefix="0" xfId="0"/>
    <xf numFmtId="0" fontId="28" fillId="0" borderId="1" applyAlignment="1" pivotButton="0" quotePrefix="0" xfId="0">
      <alignment horizontal="center" vertical="center"/>
    </xf>
    <xf numFmtId="0" fontId="24" fillId="0" borderId="5" pivotButton="0" quotePrefix="0" xfId="0"/>
    <xf numFmtId="0" fontId="24" fillId="0" borderId="6" pivotButton="0" quotePrefix="0" xfId="0"/>
    <xf numFmtId="0" fontId="29" fillId="0" borderId="0" applyAlignment="1" pivotButton="0" quotePrefix="0" xfId="0">
      <alignment horizontal="center" vertical="center"/>
    </xf>
    <xf numFmtId="4" fontId="21" fillId="0" borderId="1" pivotButton="0" quotePrefix="0" xfId="0"/>
    <xf numFmtId="4" fontId="21" fillId="0" borderId="1" applyAlignment="1" pivotButton="0" quotePrefix="0" xfId="0">
      <alignment vertical="top" wrapText="1"/>
    </xf>
    <xf numFmtId="10" fontId="21" fillId="0" borderId="1" applyAlignment="1" pivotButton="0" quotePrefix="0" xfId="0">
      <alignment vertical="top" wrapText="1"/>
    </xf>
    <xf numFmtId="0" fontId="30" fillId="3" borderId="1" applyAlignment="1" pivotButton="0" quotePrefix="0" xfId="0">
      <alignment vertical="top" wrapText="1"/>
    </xf>
    <xf numFmtId="0" fontId="30" fillId="3" borderId="1" pivotButton="0" quotePrefix="0" xfId="0"/>
    <xf numFmtId="4" fontId="30" fillId="3" borderId="1" pivotButton="0" quotePrefix="0" xfId="0"/>
    <xf numFmtId="0" fontId="31" fillId="0" borderId="0" applyAlignment="1" pivotButton="0" quotePrefix="0" xfId="0">
      <alignment vertical="top" wrapText="1"/>
    </xf>
    <xf numFmtId="0" fontId="25" fillId="0" borderId="1" applyAlignment="1" pivotButton="0" quotePrefix="0" xfId="0">
      <alignment vertical="top" wrapText="1"/>
    </xf>
    <xf numFmtId="4" fontId="25" fillId="3" borderId="1" pivotButton="0" quotePrefix="0" xfId="0"/>
    <xf numFmtId="0" fontId="26" fillId="0" borderId="2" pivotButton="0" quotePrefix="0" xfId="0"/>
    <xf numFmtId="0" fontId="21" fillId="0" borderId="2" applyAlignment="1" pivotButton="0" quotePrefix="0" xfId="0">
      <alignment vertical="center" wrapText="1"/>
    </xf>
    <xf numFmtId="0" fontId="24" fillId="0" borderId="9" pivotButton="0" quotePrefix="0" xfId="0"/>
    <xf numFmtId="0" fontId="24" fillId="0" borderId="10" pivotButton="0" quotePrefix="0" xfId="0"/>
    <xf numFmtId="0" fontId="21" fillId="0" borderId="0" applyAlignment="1" pivotButton="0" quotePrefix="0" xfId="0">
      <alignment vertical="center" wrapText="1"/>
    </xf>
    <xf numFmtId="167" fontId="21" fillId="4" borderId="1" applyAlignment="1" pivotButton="0" quotePrefix="0" xfId="0">
      <alignment vertical="top" wrapText="1"/>
    </xf>
    <xf numFmtId="0" fontId="24" fillId="4" borderId="0" applyAlignment="1" pivotButton="0" quotePrefix="0" xfId="0">
      <alignment vertical="top" wrapText="1"/>
    </xf>
    <xf numFmtId="0" fontId="25" fillId="0" borderId="1" pivotButton="0" quotePrefix="0" xfId="0"/>
    <xf numFmtId="167" fontId="25" fillId="3" borderId="1" applyAlignment="1" pivotButton="0" quotePrefix="0" xfId="0">
      <alignment vertical="top" wrapText="1"/>
    </xf>
    <xf numFmtId="168" fontId="21" fillId="0" borderId="1" applyAlignment="1" pivotButton="0" quotePrefix="0" xfId="0">
      <alignment vertical="top" wrapText="1"/>
    </xf>
    <xf numFmtId="169" fontId="25" fillId="3" borderId="1" applyAlignment="1" pivotButton="0" quotePrefix="0" xfId="0">
      <alignment vertical="top" wrapText="1"/>
    </xf>
    <xf numFmtId="166" fontId="21" fillId="0" borderId="1" applyAlignment="1" pivotButton="0" quotePrefix="0" xfId="0">
      <alignment vertical="top" wrapText="1"/>
    </xf>
    <xf numFmtId="166" fontId="25" fillId="3" borderId="1" applyAlignment="1" pivotButton="0" quotePrefix="0" xfId="0">
      <alignment vertical="top" wrapText="1"/>
    </xf>
    <xf numFmtId="4" fontId="30" fillId="3" borderId="0" pivotButton="0" quotePrefix="0" xfId="0"/>
    <xf numFmtId="0" fontId="21" fillId="0" borderId="2" applyAlignment="1" pivotButton="0" quotePrefix="0" xfId="0">
      <alignment horizontal="left" vertical="center" wrapText="1"/>
    </xf>
    <xf numFmtId="0" fontId="26" fillId="0" borderId="2" applyAlignment="1" pivotButton="0" quotePrefix="0" xfId="0">
      <alignment vertical="top" wrapText="1"/>
    </xf>
    <xf numFmtId="0" fontId="21" fillId="0" borderId="2" applyAlignment="1" pivotButton="0" quotePrefix="0" xfId="0">
      <alignment vertical="top" wrapText="1"/>
    </xf>
    <xf numFmtId="4" fontId="25" fillId="3" borderId="1" applyAlignment="1" pivotButton="0" quotePrefix="0" xfId="0">
      <alignment vertical="top" wrapText="1"/>
    </xf>
    <xf numFmtId="0" fontId="31" fillId="0" borderId="0" pivotButton="0" quotePrefix="0" xfId="0"/>
    <xf numFmtId="169" fontId="21" fillId="0" borderId="1" applyAlignment="1" pivotButton="0" quotePrefix="0" xfId="0">
      <alignment vertical="top" wrapText="1"/>
    </xf>
    <xf numFmtId="170" fontId="21" fillId="0" borderId="1" applyAlignment="1" pivotButton="0" quotePrefix="0" xfId="0">
      <alignment vertical="top" wrapText="1"/>
    </xf>
    <xf numFmtId="167" fontId="21" fillId="0" borderId="1" applyAlignment="1" pivotButton="0" quotePrefix="0" xfId="0">
      <alignment vertical="top" wrapText="1"/>
    </xf>
    <xf numFmtId="169" fontId="21" fillId="0" borderId="1" pivotButton="0" quotePrefix="0" xfId="0"/>
    <xf numFmtId="0" fontId="24" fillId="0" borderId="0" applyAlignment="1" pivotButton="0" quotePrefix="0" xfId="0">
      <alignment vertical="top" wrapText="1"/>
    </xf>
    <xf numFmtId="166" fontId="24" fillId="0" borderId="0" pivotButton="0" quotePrefix="0" xfId="0"/>
    <xf numFmtId="4" fontId="24" fillId="0" borderId="0" pivotButton="0" quotePrefix="0" xfId="0"/>
    <xf numFmtId="0" fontId="32" fillId="5" borderId="0" applyAlignment="1" pivotButton="0" quotePrefix="0" xfId="0">
      <alignment vertical="top" wrapText="1"/>
    </xf>
    <xf numFmtId="0" fontId="33" fillId="6" borderId="0" applyAlignment="1" pivotButton="0" quotePrefix="0" xfId="0">
      <alignment vertical="top" wrapText="1"/>
    </xf>
    <xf numFmtId="0" fontId="34" fillId="5" borderId="0" applyAlignment="1" pivotButton="0" quotePrefix="0" xfId="0">
      <alignment vertical="top" wrapText="1"/>
    </xf>
    <xf numFmtId="167" fontId="24" fillId="0" borderId="0" applyAlignment="1" pivotButton="0" quotePrefix="0" xfId="0">
      <alignment vertical="top" wrapText="1"/>
    </xf>
    <xf numFmtId="0" fontId="35" fillId="0" borderId="0" applyAlignment="1" pivotButton="0" quotePrefix="0" xfId="0">
      <alignment vertical="top" wrapText="1"/>
    </xf>
    <xf numFmtId="167" fontId="24" fillId="4" borderId="0" applyAlignment="1" pivotButton="0" quotePrefix="0" xfId="0">
      <alignment vertical="top" wrapText="1"/>
    </xf>
    <xf numFmtId="166" fontId="24" fillId="4" borderId="0" applyAlignment="1" pivotButton="0" quotePrefix="0" xfId="0">
      <alignment vertical="top" wrapText="1"/>
    </xf>
    <xf numFmtId="166" fontId="24" fillId="0" borderId="0" applyAlignment="1" pivotButton="0" quotePrefix="0" xfId="0">
      <alignment vertical="top" wrapText="1"/>
    </xf>
    <xf numFmtId="0" fontId="32" fillId="5" borderId="0" applyAlignment="1" pivotButton="0" quotePrefix="0" xfId="0">
      <alignment horizontal="left" vertical="center" wrapText="1"/>
    </xf>
    <xf numFmtId="0" fontId="36" fillId="7" borderId="11" pivotButton="0" quotePrefix="0" xfId="0"/>
    <xf numFmtId="0" fontId="37" fillId="0" borderId="11" pivotButton="0" quotePrefix="0" xfId="0"/>
    <xf numFmtId="0" fontId="37" fillId="0" borderId="11" applyAlignment="1" pivotButton="0" quotePrefix="0" xfId="0">
      <alignment vertical="top" wrapText="1"/>
    </xf>
    <xf numFmtId="166" fontId="37" fillId="0" borderId="11" pivotButton="0" quotePrefix="0" xfId="0"/>
    <xf numFmtId="0" fontId="38" fillId="6" borderId="0" applyAlignment="1" pivotButton="0" quotePrefix="0" xfId="0">
      <alignment vertical="top" wrapText="1"/>
    </xf>
  </cellXfs>
  <cellStyles count="1">
    <cellStyle name="Normal" xfId="0" builtinId="0"/>
  </cellStyles>
  <dxfs count="4">
    <dxf>
      <fill>
        <patternFill patternType="solid">
          <fgColor rgb="00FFF2CC"/>
        </patternFill>
      </fill>
    </dxf>
    <dxf>
      <fill>
        <patternFill patternType="solid">
          <fgColor rgb="00F4CCCC"/>
        </patternFill>
      </fill>
    </dxf>
    <dxf>
      <fill>
        <patternFill patternType="solid">
          <fgColor rgb="00D9EAD3"/>
        </patternFill>
      </fill>
    </dxf>
    <dxf>
      <fill>
        <patternFill patternType="solid">
          <fgColor rgb="00E7E6E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DCDC"/>
      <rgbColor rgb="FF3366FF"/>
      <rgbColor rgb="FF33CCCC"/>
      <rgbColor rgb="FF99CC00"/>
      <rgbColor rgb="FFFFCC00"/>
      <rgbColor rgb="FFFF9900"/>
      <rgbColor rgb="FFDC6900"/>
      <rgbColor rgb="FF6E6E6E"/>
      <rgbColor rgb="FF969696"/>
      <rgbColor rgb="FF003366"/>
      <rgbColor rgb="FF339966"/>
      <rgbColor rgb="FF003300"/>
      <rgbColor rgb="FF333300"/>
      <rgbColor rgb="FFA32020"/>
      <rgbColor rgb="FF993366"/>
      <rgbColor rgb="FF333399"/>
      <rgbColor rgb="FF1A1A1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ables/table1.xml><?xml version="1.0" encoding="utf-8"?>
<table xmlns="http://schemas.openxmlformats.org/spreadsheetml/2006/main" id="1" name="WP_AP_SURL_DETAIL" displayName="WP_AP_SURL_DETAIL" ref="A7:R29" headerRowCount="1">
  <autoFilter ref="A7:R29"/>
  <tableColumns count="18">
    <tableColumn id="1" name="Sample #"/>
    <tableColumn id="2" name="Payment ref #"/>
    <tableColumn id="3" name="Payment date"/>
    <tableColumn id="4" name="Vendor"/>
    <tableColumn id="5" name="Payment amount"/>
    <tableColumn id="6" name="Invoice #"/>
    <tableColumn id="7" name="Invoice date"/>
    <tableColumn id="8" name="Invoice amount"/>
    <tableColumn id="9" name="Goods received / service period"/>
    <tableColumn id="10" name="Relates to (pre-YE / post-YE)"/>
    <tableColumn id="11" name="In YE AP? (Y/N)"/>
    <tableColumn id="12" name="Properly included @ PE"/>
    <tableColumn id="13" name="Properly excluded @ PE"/>
    <tableColumn id="14" name="Improperly included @ PE"/>
    <tableColumn id="15" name="Improperly excluded (unrecorded liab.)"/>
    <tableColumn id="16" name="GL account"/>
    <tableColumn id="17" name="Tie-back / AP ref"/>
    <tableColumn id="18" name="Notes"/>
  </tableColumns>
</table>
</file>

<file path=xl/tables/table2.xml><?xml version="1.0" encoding="utf-8"?>
<table xmlns="http://schemas.openxmlformats.org/spreadsheetml/2006/main" id="2" name="WP_AP_OPEN_INVOICE" displayName="WP_AP_OPEN_INVOICE" ref="A7:M29" headerRowCount="1">
  <autoFilter ref="A7:M29"/>
  <tableColumns count="13">
    <tableColumn id="1" name="Sample #"/>
    <tableColumn id="2" name="Vendor"/>
    <tableColumn id="3" name="Invoice #"/>
    <tableColumn id="4" name="Invoice date"/>
    <tableColumn id="5" name="Due / aging date"/>
    <tableColumn id="6" name="Invoice amount"/>
    <tableColumn id="7" name="Goods received / service period"/>
    <tableColumn id="8" name="Relates to (pre-YE / post-YE)"/>
    <tableColumn id="9" name="Should be in YE AP? (Y/N)"/>
    <tableColumn id="10" name="In YE AP? (Y/N)"/>
    <tableColumn id="11" name="Tie-back / AP ref"/>
    <tableColumn id="12" name="Exception amount"/>
    <tableColumn id="13" name="Conclusion / Comments"/>
  </tableColumns>
</table>
</file>

<file path=xl/tables/table3.xml><?xml version="1.0" encoding="utf-8"?>
<table xmlns="http://schemas.openxmlformats.org/spreadsheetml/2006/main" id="3" name="WP_AP_SELECTION_EXECUTION" displayName="WP_AP_SELECTION_EXECUTION" ref="A8:J29" headerRowCount="1">
  <autoFilter ref="A8:J29"/>
  <tableColumns count="10">
    <tableColumn id="1" name="Registered Selection ID"/>
    <tableColumn id="2" name="Selection Reason"/>
    <tableColumn id="3" name="Planned Amount"/>
    <tableColumn id="4" name="Secondary Reasons"/>
    <tableColumn id="5" name="Execution Disposition"/>
    <tableColumn id="6" name="Exact Workpaper Result Ref"/>
    <tableColumn id="7" name="Approved Deviation ID"/>
    <tableColumn id="8" name="Deviation Rationale"/>
    <tableColumn id="9" name="Equivalent Selection IDs / Coverage"/>
    <tableColumn id="10" name="Reconciliation Status"/>
  </tableColumns>
  <tableStyleInfo name="TableStyleMedium2" showFirstColumn="0" showLastColumn="0" showRowStripes="1" showColumnStripes="0"/>
</table>
</file>

<file path=xl/tables/table4.xml><?xml version="1.0" encoding="utf-8"?>
<table xmlns="http://schemas.openxmlformats.org/spreadsheetml/2006/main" id="4" name="WP_AP_VENDOR_STATEMENT_SCOPE" displayName="WP_AP_VENDOR_STATEMENT_SCOPE" ref="A35:L38" headerRowCount="1">
  <autoFilter ref="A35:L38"/>
  <tableColumns count="12">
    <tableColumn id="1" name="Scope ID"/>
    <tableColumn id="2" name="Major / Scoped Vendor"/>
    <tableColumn id="3" name="Year-End Open AP"/>
    <tableColumn id="4" name="Scope Reason"/>
    <tableColumn id="5" name="Statement Date(s)"/>
    <tableColumn id="6" name="Statement Received?"/>
    <tableColumn id="7" name="Procedure Disposition"/>
    <tableColumn id="8" name="Exact Evidence / Result Ref"/>
    <tableColumn id="9" name="Approved Methodology ID"/>
    <tableColumn id="10" name="Alternative Population and Date Scope"/>
    <tableColumn id="11" name="Difference / Exception Disposition"/>
    <tableColumn id="12" name="Scope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table" Target="/xl/tables/table1.xml" Id="rId1"/></Relationships>
</file>

<file path=xl/worksheets/_rels/sheet9.xml.rels><Relationships xmlns="http://schemas.openxmlformats.org/package/2006/relationships"><Relationship Type="http://schemas.openxmlformats.org/officeDocument/2006/relationships/table" Target="/xl/tables/table2.xml" Id="rId1"/></Relationships>
</file>

<file path=xl/worksheets/_rels/sheet12.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s>
</file>

<file path=xl/worksheets/sheet1.xml><?xml version="1.0" encoding="utf-8"?>
<worksheet xmlns="http://schemas.openxmlformats.org/spreadsheetml/2006/main">
  <sheetPr>
    <outlinePr summaryBelow="1" summaryRight="1"/>
    <pageSetUpPr autoPageBreaks="0" fitToPage="1"/>
  </sheetPr>
  <dimension ref="A1:Q38"/>
  <sheetViews>
    <sheetView showGridLines="0" tabSelected="1" zoomScale="90" zoomScaleNormal="100" workbookViewId="0">
      <pane xSplit="8" ySplit="6" topLeftCell="I7" activePane="bottomRight" state="frozen"/>
      <selection pane="topRight"/>
      <selection pane="bottomLeft"/>
      <selection pane="bottomRight" activeCell="B38" sqref="B38"/>
    </sheetView>
  </sheetViews>
  <sheetFormatPr baseColWidth="8" defaultColWidth="8.6328125" defaultRowHeight="14.5"/>
  <cols>
    <col width="42" customWidth="1" min="1" max="1"/>
    <col width="15" customWidth="1" min="2" max="2"/>
    <col width="15" customWidth="1" min="3" max="3"/>
    <col width="17" customWidth="1" min="4" max="4"/>
    <col width="18" customWidth="1" min="5" max="5"/>
    <col width="14" customWidth="1" min="6" max="6"/>
    <col width="14" customWidth="1" min="7" max="7"/>
    <col width="42" customWidth="1" min="8" max="8"/>
    <col width="88" customWidth="1" min="9" max="9"/>
    <col width="39.4" customWidth="1" min="10" max="10"/>
    <col width="14" customWidth="1" min="11" max="11"/>
    <col width="18" customWidth="1" min="12" max="12"/>
    <col width="14" customWidth="1" min="13" max="13"/>
    <col width="18" customWidth="1" min="14" max="14"/>
    <col width="42" customWidth="1" min="15" max="15"/>
    <col width="42" customWidth="1" min="16" max="16"/>
    <col width="64" customWidth="1" min="17" max="17"/>
  </cols>
  <sheetData>
    <row r="1" ht="27" customHeight="1">
      <c r="A1" s="37" t="inlineStr">
        <is>
          <t>Accounts Payable — Library of Audit Procedures</t>
        </is>
      </c>
      <c r="B1" s="38" t="n"/>
      <c r="C1" s="38" t="n"/>
      <c r="D1" s="38" t="n"/>
      <c r="E1" s="38" t="n"/>
      <c r="F1" s="38" t="n"/>
      <c r="G1" s="38" t="n"/>
      <c r="H1" s="38" t="n"/>
      <c r="I1" s="38" t="n"/>
      <c r="J1" s="38" t="n"/>
      <c r="K1" s="38" t="n"/>
      <c r="L1" s="38" t="n"/>
      <c r="M1" s="38" t="n"/>
      <c r="N1" s="38" t="n"/>
      <c r="O1" s="38" t="n"/>
      <c r="P1" s="38" t="n"/>
      <c r="Q1" s="38" t="n"/>
    </row>
    <row r="2">
      <c r="A2" s="39" t="inlineStr">
        <is>
          <t>Client / Entity: Vaquite Industries, Inc.</t>
        </is>
      </c>
      <c r="B2" s="38" t="n"/>
      <c r="C2" s="38" t="n"/>
      <c r="D2" s="38" t="n"/>
      <c r="E2" s="38" t="n"/>
      <c r="F2" s="38" t="n"/>
      <c r="G2" s="38" t="n"/>
      <c r="H2" s="38" t="n"/>
      <c r="I2" s="38" t="n"/>
      <c r="J2" s="38" t="n"/>
      <c r="K2" s="38" t="n"/>
      <c r="L2" s="38" t="n"/>
      <c r="M2" s="38" t="n"/>
      <c r="N2" s="38" t="n"/>
      <c r="O2" s="38" t="n"/>
      <c r="P2" s="38" t="n"/>
      <c r="Q2" s="38" t="n"/>
    </row>
    <row r="3" ht="40.5" customHeight="1">
      <c r="A3" s="39" t="inlineStr">
        <is>
          <t>Prepared by: Audit Senior 80A0 (assigned)      Reviewed by: Audit Manager 403F (assigned)</t>
        </is>
      </c>
      <c r="B3" s="38" t="n"/>
      <c r="C3" s="38" t="n"/>
      <c r="D3" s="38" t="n"/>
      <c r="E3" s="38" t="n"/>
      <c r="F3" s="38" t="n"/>
      <c r="G3" s="38" t="n"/>
      <c r="H3" s="38" t="n"/>
      <c r="I3" s="38" t="n"/>
      <c r="J3" s="38" t="n"/>
      <c r="K3" s="38" t="n"/>
      <c r="L3" s="38" t="n"/>
      <c r="M3" s="38" t="n"/>
      <c r="N3" s="38" t="n"/>
      <c r="O3" s="38" t="n"/>
      <c r="P3" s="38" t="n"/>
      <c r="Q3" s="38" t="n"/>
    </row>
    <row r="4" ht="25.5" customHeight="1">
      <c r="A4" s="40" t="inlineStr">
        <is>
          <t>For every procedure, record applicability, requirement, execution, evidence, result, issue, and signoff states. Performed procedures require a W/P reference, preparer, date, result, and exact Evidence Index citation. Fact-driven N/A requires a FACT:/ JSON-Pointer citation and rationale; missing evidence remains Open. Preserve the assigned PROC: and WINDOW: dependency tokens.</t>
        </is>
      </c>
      <c r="B4" s="38" t="n"/>
      <c r="C4" s="38" t="n"/>
      <c r="D4" s="38" t="n"/>
      <c r="E4" s="38" t="n"/>
      <c r="F4" s="38" t="n"/>
      <c r="G4" s="38" t="n"/>
      <c r="H4" s="38" t="n"/>
      <c r="I4" s="38" t="n"/>
      <c r="J4" s="38" t="n"/>
      <c r="K4" s="38" t="n"/>
      <c r="L4" s="38" t="n"/>
      <c r="M4" s="38" t="n"/>
      <c r="N4" s="38" t="n"/>
      <c r="O4" s="38" t="n"/>
      <c r="P4" s="38" t="n"/>
      <c r="Q4" s="38" t="n"/>
    </row>
    <row r="5">
      <c r="A5" s="38" t="n"/>
      <c r="B5" s="38" t="n"/>
      <c r="C5" s="38" t="n"/>
      <c r="D5" s="38" t="n"/>
      <c r="E5" s="38" t="n"/>
      <c r="F5" s="38" t="n"/>
      <c r="G5" s="38" t="n"/>
      <c r="H5" s="38" t="n"/>
      <c r="I5" s="38" t="n"/>
      <c r="J5" s="38" t="n"/>
      <c r="K5" s="38" t="n"/>
      <c r="L5" s="38" t="n"/>
      <c r="M5" s="38" t="n"/>
      <c r="N5" s="38" t="n"/>
      <c r="O5" s="38" t="n"/>
      <c r="P5" s="38" t="n"/>
      <c r="Q5" s="38" t="n"/>
    </row>
    <row r="6" ht="19.5" customHeight="1">
      <c r="A6" s="41" t="inlineStr">
        <is>
          <t>Applicability</t>
        </is>
      </c>
      <c r="B6" s="41" t="inlineStr">
        <is>
          <t>Requirement</t>
        </is>
      </c>
      <c r="C6" s="41" t="inlineStr">
        <is>
          <t>Execution state</t>
        </is>
      </c>
      <c r="D6" s="41" t="inlineStr">
        <is>
          <t>Evidence state</t>
        </is>
      </c>
      <c r="E6" s="41" t="inlineStr">
        <is>
          <t>Result state</t>
        </is>
      </c>
      <c r="F6" s="41" t="inlineStr">
        <is>
          <t>Issue state</t>
        </is>
      </c>
      <c r="G6" s="41" t="inlineStr">
        <is>
          <t>Signoff state</t>
        </is>
      </c>
      <c r="H6" s="41" t="inlineStr">
        <is>
          <t>Derived outcome</t>
        </is>
      </c>
      <c r="I6" s="41" t="inlineStr">
        <is>
          <t>Procedure</t>
        </is>
      </c>
      <c r="J6" s="41" t="inlineStr">
        <is>
          <t>Assertion(s)</t>
        </is>
      </c>
      <c r="K6" s="41" t="inlineStr">
        <is>
          <t>W/P Ref</t>
        </is>
      </c>
      <c r="L6" s="41" t="inlineStr">
        <is>
          <t>Performed by</t>
        </is>
      </c>
      <c r="M6" s="41" t="inlineStr">
        <is>
          <t>Date</t>
        </is>
      </c>
      <c r="N6" s="41" t="inlineStr">
        <is>
          <t>Reason code</t>
        </is>
      </c>
      <c r="O6" s="41" t="inlineStr">
        <is>
          <t>Source fact / evidence</t>
        </is>
      </c>
      <c r="P6" s="41" t="inlineStr">
        <is>
          <t>Issue / dependency IDs</t>
        </is>
      </c>
      <c r="Q6" s="41" t="inlineStr">
        <is>
          <t>Comment / Work performed</t>
        </is>
      </c>
    </row>
    <row r="7">
      <c r="A7" s="42" t="n"/>
      <c r="B7" s="38" t="n"/>
      <c r="C7" s="38" t="n"/>
      <c r="D7" s="38" t="n"/>
      <c r="E7" s="38" t="n"/>
      <c r="F7" s="38" t="n"/>
      <c r="G7" s="38" t="n"/>
      <c r="H7" s="38" t="n"/>
      <c r="I7" s="43" t="inlineStr">
        <is>
          <t>&lt;.0&gt; Source Index</t>
        </is>
      </c>
      <c r="J7" s="38" t="n"/>
      <c r="K7" s="38" t="n"/>
      <c r="L7" s="38" t="n"/>
      <c r="M7" s="38" t="n"/>
      <c r="N7" s="38" t="n"/>
      <c r="O7" s="38" t="n"/>
      <c r="P7" s="38" t="n"/>
      <c r="Q7" s="38" t="n"/>
    </row>
    <row r="8" ht="120" customHeight="1">
      <c r="A8" s="44" t="inlineStr">
        <is>
          <t>Applicable</t>
        </is>
      </c>
      <c r="B8" s="44" t="inlineStr">
        <is>
          <t>Required</t>
        </is>
      </c>
      <c r="C8" s="44" t="inlineStr">
        <is>
          <t>Not Started</t>
        </is>
      </c>
      <c r="D8" s="44" t="inlineStr">
        <is>
          <t>Missing</t>
        </is>
      </c>
      <c r="E8" s="44" t="inlineStr">
        <is>
          <t>Unable to Conclude</t>
        </is>
      </c>
      <c r="F8" s="44" t="inlineStr">
        <is>
          <t>None</t>
        </is>
      </c>
      <c r="G8" s="45" t="inlineStr">
        <is>
          <t>Unsigned</t>
        </is>
      </c>
      <c r="H8" s="45">
        <f>IF(A8="Not Applicable - Fact Driven",IF(AND(C8="Not Performed",D8="Not Required",OR(F8="None",F8="Resolved",F8="Passed"),OR(G8="Prepared",G8="Reviewed"),LEFT(O8,6)="FACT:/",Q8&lt;&gt;""),"Valid N/A","Blocked"),IF(AND(B8="Recommended",C8="Not Performed",D8="Not Required",OR(F8="None",F8="Resolved",F8="Passed")),"Recommended - Not Performed",IF(C8&lt;&gt;"Performed","Open - "&amp;C8,IF(D8&lt;&gt;"Sufficient","Open - "&amp;D8&amp;" Evidence",IF(E8="Unable to Conclude","Open - Unable to Conclude",IF(AND(E8="Exception Identified",ISERROR(SEARCH("ISSUE:",P8))),"Open - Missing Issue ID",IF(AND(F8="Open",ISERROR(SEARCH("ISSUE:",P8))),"Open - Missing Issue ID",IF(OR(F8="Open",F8="Superseded"),"Open - "&amp;F8&amp;" Issue",IF(AND(E8="Exception Identified",NOT(OR(F8="Adjusted",F8="Passed",F8="Resolved"))),"Open - Undispositioned Exception",IF(OR(G8="Prepared",G8="Reviewed"),"Passed","Open - Unsigned"))))))))))</f>
        <v/>
      </c>
      <c r="I8" s="45" t="inlineStr">
        <is>
          <t>1. Obtain and index all AP PBC sources (trade-only AP aging/sub-ledger, GL detail, subsequent disbursement records / bank statements, open/unpaid invoice file, vendor statements, RNI / unmatched-receiving report); document limitations.</t>
        </is>
      </c>
      <c r="J8" s="45" t="inlineStr">
        <is>
          <t>Completeness</t>
        </is>
      </c>
      <c r="K8" s="45" t="inlineStr">
        <is>
          <t>&lt;.0&gt;</t>
        </is>
      </c>
      <c r="L8" s="45" t="n"/>
      <c r="M8" s="46" t="n"/>
      <c r="N8" s="45" t="n"/>
      <c r="O8" s="45" t="n"/>
      <c r="P8" s="45" t="inlineStr">
        <is>
          <t>PROC:PROC-AP-AND-ACCRUALS; WINDOW:WIN-AP-SURL</t>
        </is>
      </c>
      <c r="Q8" s="45" t="n"/>
    </row>
    <row r="9">
      <c r="A9" s="42" t="n"/>
      <c r="B9" s="38" t="n"/>
      <c r="C9" s="38" t="n"/>
      <c r="D9" s="38" t="n"/>
      <c r="E9" s="38" t="n"/>
      <c r="F9" s="38" t="n"/>
      <c r="G9" s="38" t="n"/>
      <c r="H9" s="38" t="n"/>
      <c r="I9" s="47" t="inlineStr">
        <is>
          <t>&lt;.1&gt; AP Lead Sheet</t>
        </is>
      </c>
      <c r="J9" s="38" t="n"/>
      <c r="K9" s="38" t="n"/>
      <c r="L9" s="38" t="n"/>
      <c r="M9" s="38" t="n"/>
      <c r="N9" s="38" t="n"/>
      <c r="O9" s="38" t="n"/>
      <c r="P9" s="38" t="n"/>
      <c r="Q9" s="38" t="n"/>
    </row>
    <row r="10" ht="120" customHeight="1">
      <c r="A10" s="44" t="inlineStr">
        <is>
          <t>Applicable</t>
        </is>
      </c>
      <c r="B10" s="44" t="inlineStr">
        <is>
          <t>Required</t>
        </is>
      </c>
      <c r="C10" s="44" t="inlineStr">
        <is>
          <t>Not Started</t>
        </is>
      </c>
      <c r="D10" s="44" t="inlineStr">
        <is>
          <t>Missing</t>
        </is>
      </c>
      <c r="E10" s="44" t="inlineStr">
        <is>
          <t>Unable to Conclude</t>
        </is>
      </c>
      <c r="F10" s="44" t="inlineStr">
        <is>
          <t>None</t>
        </is>
      </c>
      <c r="G10" s="45" t="inlineStr">
        <is>
          <t>Unsigned</t>
        </is>
      </c>
      <c r="H10" s="45">
        <f>IF(A10="Not Applicable - Fact Driven",IF(AND(C10="Not Performed",D10="Not Required",OR(F10="None",F10="Resolved",F10="Passed"),OR(G10="Prepared",G10="Reviewed"),LEFT(O10,6)="FACT:/",Q10&lt;&gt;""),"Valid N/A","Blocked"),IF(AND(B10="Recommended",C10="Not Performed",D10="Not Required",OR(F10="None",F10="Resolved",F10="Passed")),"Recommended - Not Performed",IF(C10&lt;&gt;"Performed","Open - "&amp;C10,IF(D10&lt;&gt;"Sufficient","Open - "&amp;D10&amp;" Evidence",IF(E10="Unable to Conclude","Open - Unable to Conclude",IF(AND(E10="Exception Identified",ISERROR(SEARCH("ISSUE:",P10))),"Open - Missing Issue ID",IF(AND(F10="Open",ISERROR(SEARCH("ISSUE:",P10))),"Open - Missing Issue ID",IF(OR(F10="Open",F10="Superseded"),"Open - "&amp;F10&amp;" Issue",IF(AND(E10="Exception Identified",NOT(OR(F10="Adjusted",F10="Passed",F10="Resolved"))),"Open - Undispositioned Exception",IF(OR(G10="Prepared",G10="Reviewed"),"Passed","Open - Unsigned"))))))))))</f>
        <v/>
      </c>
      <c r="I10" s="45" t="inlineStr">
        <is>
          <t>2. Obtain the AP lead sheet and agree each CY and PY trade-payable balance to the trial balance and general ledger; state the sign convention (positive payable magnitudes).</t>
        </is>
      </c>
      <c r="J10" s="45" t="inlineStr">
        <is>
          <t>Completeness; Existence</t>
        </is>
      </c>
      <c r="K10" s="45" t="inlineStr">
        <is>
          <t>&lt;.1&gt;</t>
        </is>
      </c>
      <c r="L10" s="45" t="n"/>
      <c r="M10" s="46" t="n"/>
      <c r="N10" s="45" t="n"/>
      <c r="O10" s="45" t="n"/>
      <c r="P10" s="45" t="inlineStr">
        <is>
          <t>PROC:PROC-AP-AND-ACCRUALS</t>
        </is>
      </c>
      <c r="Q10" s="45" t="n"/>
    </row>
    <row r="11" ht="120" customHeight="1">
      <c r="A11" s="44" t="inlineStr">
        <is>
          <t>Applicable</t>
        </is>
      </c>
      <c r="B11" s="44" t="inlineStr">
        <is>
          <t>Required</t>
        </is>
      </c>
      <c r="C11" s="44" t="inlineStr">
        <is>
          <t>Not Started</t>
        </is>
      </c>
      <c r="D11" s="44" t="inlineStr">
        <is>
          <t>Missing</t>
        </is>
      </c>
      <c r="E11" s="44" t="inlineStr">
        <is>
          <t>Unable to Conclude</t>
        </is>
      </c>
      <c r="F11" s="44" t="inlineStr">
        <is>
          <t>None</t>
        </is>
      </c>
      <c r="G11" s="45" t="inlineStr">
        <is>
          <t>Unsigned</t>
        </is>
      </c>
      <c r="H11" s="45">
        <f>IF(A11="Not Applicable - Fact Driven",IF(AND(C11="Not Performed",D11="Not Required",OR(F11="None",F11="Resolved",F11="Passed"),OR(G11="Prepared",G11="Reviewed"),LEFT(O11,6)="FACT:/",Q11&lt;&gt;""),"Valid N/A","Blocked"),IF(AND(B11="Recommended",C11="Not Performed",D11="Not Required",OR(F11="None",F11="Resolved",F11="Passed")),"Recommended - Not Performed",IF(C11&lt;&gt;"Performed","Open - "&amp;C11,IF(D11&lt;&gt;"Sufficient","Open - "&amp;D11&amp;" Evidence",IF(E11="Unable to Conclude","Open - Unable to Conclude",IF(AND(E11="Exception Identified",ISERROR(SEARCH("ISSUE:",P11))),"Open - Missing Issue ID",IF(AND(F11="Open",ISERROR(SEARCH("ISSUE:",P11))),"Open - Missing Issue ID",IF(OR(F11="Open",F11="Superseded"),"Open - "&amp;F11&amp;" Issue",IF(AND(E11="Exception Identified",NOT(OR(F11="Adjusted",F11="Passed",F11="Resolved"))),"Open - Undispositioned Exception",IF(OR(G11="Prepared",G11="Reviewed"),"Passed","Open - Unsigned"))))))))))</f>
        <v/>
      </c>
      <c r="I11" s="45" t="inlineStr">
        <is>
          <t>3. Foot the lead sheet and agree CY and PY totals to the trial balance.</t>
        </is>
      </c>
      <c r="J11" s="45" t="inlineStr">
        <is>
          <t>Accuracy</t>
        </is>
      </c>
      <c r="K11" s="45" t="inlineStr">
        <is>
          <t>&lt;.1&gt;</t>
        </is>
      </c>
      <c r="L11" s="45" t="n"/>
      <c r="M11" s="46" t="n"/>
      <c r="N11" s="45" t="n"/>
      <c r="O11" s="45" t="n"/>
      <c r="P11" s="45" t="inlineStr">
        <is>
          <t>PROC:PROC-AP-AND-ACCRUALS</t>
        </is>
      </c>
      <c r="Q11" s="45" t="n"/>
    </row>
    <row r="12" ht="120" customHeight="1">
      <c r="A12" s="44" t="inlineStr">
        <is>
          <t>Applicable</t>
        </is>
      </c>
      <c r="B12" s="44" t="inlineStr">
        <is>
          <t>Required</t>
        </is>
      </c>
      <c r="C12" s="44" t="inlineStr">
        <is>
          <t>Not Started</t>
        </is>
      </c>
      <c r="D12" s="44" t="inlineStr">
        <is>
          <t>Missing</t>
        </is>
      </c>
      <c r="E12" s="44" t="inlineStr">
        <is>
          <t>Unable to Conclude</t>
        </is>
      </c>
      <c r="F12" s="44" t="inlineStr">
        <is>
          <t>None</t>
        </is>
      </c>
      <c r="G12" s="45" t="inlineStr">
        <is>
          <t>Unsigned</t>
        </is>
      </c>
      <c r="H12" s="45">
        <f>IF(A12="Not Applicable - Fact Driven",IF(AND(C12="Not Performed",D12="Not Required",OR(F12="None",F12="Resolved",F12="Passed"),OR(G12="Prepared",G12="Reviewed"),LEFT(O12,6)="FACT:/",Q12&lt;&gt;""),"Valid N/A","Blocked"),IF(AND(B12="Recommended",C12="Not Performed",D12="Not Required",OR(F12="None",F12="Resolved",F12="Passed")),"Recommended - Not Performed",IF(C12&lt;&gt;"Performed","Open - "&amp;C12,IF(D12&lt;&gt;"Sufficient","Open - "&amp;D12&amp;" Evidence",IF(E12="Unable to Conclude","Open - Unable to Conclude",IF(AND(E12="Exception Identified",ISERROR(SEARCH("ISSUE:",P12))),"Open - Missing Issue ID",IF(AND(F12="Open",ISERROR(SEARCH("ISSUE:",P12))),"Open - Missing Issue ID",IF(OR(F12="Open",F12="Superseded"),"Open - "&amp;F12&amp;" Issue",IF(AND(E12="Exception Identified",NOT(OR(F12="Adjusted",F12="Passed",F12="Resolved"))),"Open - Undispositioned Exception",IF(OR(G12="Prepared",G12="Reviewed"),"Passed","Open - Unsigned"))))))))))</f>
        <v/>
      </c>
      <c r="I12" s="45" t="inlineStr">
        <is>
          <t>4. Confirm the population is trade payables only — separate non-trade items miscoded into the AP aging (e.g. accrued payroll, customer deposits) and investigate debit balances for reclassification to other assets.</t>
        </is>
      </c>
      <c r="J12" s="45" t="inlineStr">
        <is>
          <t>Classification; Completeness</t>
        </is>
      </c>
      <c r="K12" s="45" t="inlineStr">
        <is>
          <t>&lt;.1&gt;</t>
        </is>
      </c>
      <c r="L12" s="45" t="n"/>
      <c r="M12" s="46" t="n"/>
      <c r="N12" s="45" t="n"/>
      <c r="O12" s="45" t="n"/>
      <c r="P12" s="45" t="inlineStr">
        <is>
          <t>PROC:PROC-AP-AND-ACCRUALS</t>
        </is>
      </c>
      <c r="Q12" s="45" t="n"/>
    </row>
    <row r="13">
      <c r="A13" s="42" t="n"/>
      <c r="B13" s="38" t="n"/>
      <c r="C13" s="38" t="n"/>
      <c r="D13" s="38" t="n"/>
      <c r="E13" s="38" t="n"/>
      <c r="F13" s="38" t="n"/>
      <c r="G13" s="38" t="n"/>
      <c r="H13" s="38" t="n"/>
      <c r="I13" s="47" t="inlineStr">
        <is>
          <t>&lt;.2&gt; AP Reconciliation</t>
        </is>
      </c>
      <c r="J13" s="38" t="n"/>
      <c r="K13" s="38" t="n"/>
      <c r="L13" s="38" t="n"/>
      <c r="M13" s="38" t="n"/>
      <c r="N13" s="38" t="n"/>
      <c r="O13" s="38" t="n"/>
      <c r="P13" s="38" t="n"/>
      <c r="Q13" s="38" t="n"/>
    </row>
    <row r="14" ht="120" customHeight="1">
      <c r="A14" s="44" t="inlineStr">
        <is>
          <t>Applicable</t>
        </is>
      </c>
      <c r="B14" s="44" t="inlineStr">
        <is>
          <t>Required</t>
        </is>
      </c>
      <c r="C14" s="44" t="inlineStr">
        <is>
          <t>Not Started</t>
        </is>
      </c>
      <c r="D14" s="44" t="inlineStr">
        <is>
          <t>Missing</t>
        </is>
      </c>
      <c r="E14" s="44" t="inlineStr">
        <is>
          <t>Unable to Conclude</t>
        </is>
      </c>
      <c r="F14" s="44" t="inlineStr">
        <is>
          <t>None</t>
        </is>
      </c>
      <c r="G14" s="45" t="inlineStr">
        <is>
          <t>Unsigned</t>
        </is>
      </c>
      <c r="H14" s="45">
        <f>IF(A14="Not Applicable - Fact Driven",IF(AND(C14="Not Performed",D14="Not Required",OR(F14="None",F14="Resolved",F14="Passed"),OR(G14="Prepared",G14="Reviewed"),LEFT(O14,6)="FACT:/",Q14&lt;&gt;""),"Valid N/A","Blocked"),IF(AND(B14="Recommended",C14="Not Performed",D14="Not Required",OR(F14="None",F14="Resolved",F14="Passed")),"Recommended - Not Performed",IF(C14&lt;&gt;"Performed","Open - "&amp;C14,IF(D14&lt;&gt;"Sufficient","Open - "&amp;D14&amp;" Evidence",IF(E14="Unable to Conclude","Open - Unable to Conclude",IF(AND(E14="Exception Identified",ISERROR(SEARCH("ISSUE:",P14))),"Open - Missing Issue ID",IF(AND(F14="Open",ISERROR(SEARCH("ISSUE:",P14))),"Open - Missing Issue ID",IF(OR(F14="Open",F14="Superseded"),"Open - "&amp;F14&amp;" Issue",IF(AND(E14="Exception Identified",NOT(OR(F14="Adjusted",F14="Passed",F14="Resolved"))),"Open - Undispositioned Exception",IF(OR(G14="Prepared",G14="Reviewed"),"Passed","Open - Unsigned"))))))))))</f>
        <v/>
      </c>
      <c r="I14" s="45" t="inlineStr">
        <is>
          <t>5. Reconcile the AP sub-ledger / aging to the general ledger and trial balance; investigate reconciling items.</t>
        </is>
      </c>
      <c r="J14" s="45" t="inlineStr">
        <is>
          <t>Completeness; Accuracy</t>
        </is>
      </c>
      <c r="K14" s="45" t="inlineStr">
        <is>
          <t>&lt;.2&gt;</t>
        </is>
      </c>
      <c r="L14" s="45" t="n"/>
      <c r="M14" s="46" t="n"/>
      <c r="N14" s="45" t="n"/>
      <c r="O14" s="45" t="inlineStr">
        <is>
          <t>AP-01 — AP-to-GL Reconciliation</t>
        </is>
      </c>
      <c r="P14" s="45" t="inlineStr">
        <is>
          <t>PROC:PROC-AP-AND-ACCRUALS; PBC:AP-01-RECONCILIATION</t>
        </is>
      </c>
      <c r="Q14" s="45" t="n"/>
    </row>
    <row r="15" ht="120" customHeight="1">
      <c r="A15" s="44" t="inlineStr">
        <is>
          <t>Applicable</t>
        </is>
      </c>
      <c r="B15" s="44" t="inlineStr">
        <is>
          <t>Required</t>
        </is>
      </c>
      <c r="C15" s="44" t="inlineStr">
        <is>
          <t>Not Started</t>
        </is>
      </c>
      <c r="D15" s="44" t="inlineStr">
        <is>
          <t>Missing</t>
        </is>
      </c>
      <c r="E15" s="44" t="inlineStr">
        <is>
          <t>Unable to Conclude</t>
        </is>
      </c>
      <c r="F15" s="44" t="inlineStr">
        <is>
          <t>None</t>
        </is>
      </c>
      <c r="G15" s="45" t="inlineStr">
        <is>
          <t>Unsigned</t>
        </is>
      </c>
      <c r="H15" s="45">
        <f>IF(A15="Not Applicable - Fact Driven",IF(AND(C15="Not Performed",D15="Not Required",OR(F15="None",F15="Resolved",F15="Passed"),OR(G15="Prepared",G15="Reviewed"),LEFT(O15,6)="FACT:/",Q15&lt;&gt;""),"Valid N/A","Blocked"),IF(AND(B15="Recommended",C15="Not Performed",D15="Not Required",OR(F15="None",F15="Resolved",F15="Passed")),"Recommended - Not Performed",IF(C15&lt;&gt;"Performed","Open - "&amp;C15,IF(D15&lt;&gt;"Sufficient","Open - "&amp;D15&amp;" Evidence",IF(E15="Unable to Conclude","Open - Unable to Conclude",IF(AND(E15="Exception Identified",ISERROR(SEARCH("ISSUE:",P15))),"Open - Missing Issue ID",IF(AND(F15="Open",ISERROR(SEARCH("ISSUE:",P15))),"Open - Missing Issue ID",IF(OR(F15="Open",F15="Superseded"),"Open - "&amp;F15&amp;" Issue",IF(AND(E15="Exception Identified",NOT(OR(F15="Adjusted",F15="Passed",F15="Resolved"))),"Open - Undispositioned Exception",IF(OR(G15="Prepared",G15="Reviewed"),"Passed","Open - Unsigned"))))))))))</f>
        <v/>
      </c>
      <c r="I15" s="45" t="inlineStr">
        <is>
          <t>6. Obtain vendor statements for major vendors and reconcile to the AP sub-ledger; resolve in-transit invoices/payments and differences.</t>
        </is>
      </c>
      <c r="J15" s="45" t="inlineStr">
        <is>
          <t>Completeness; Existence</t>
        </is>
      </c>
      <c r="K15" s="45" t="inlineStr">
        <is>
          <t>&lt;.2&gt;</t>
        </is>
      </c>
      <c r="L15" s="45" t="n"/>
      <c r="M15" s="46" t="n"/>
      <c r="N15" s="45" t="n"/>
      <c r="O15" s="45" t="inlineStr">
        <is>
          <t>AP Controls — vendor statement scope</t>
        </is>
      </c>
      <c r="P15" s="45" t="inlineStr">
        <is>
          <t>PROC:PROC-AP-AND-ACCRUALS; APCTRL:Vendor reference Statement Scope</t>
        </is>
      </c>
      <c r="Q15" s="45" t="n"/>
    </row>
    <row r="16">
      <c r="A16" s="42" t="n"/>
      <c r="B16" s="38" t="n"/>
      <c r="C16" s="38" t="n"/>
      <c r="D16" s="38" t="n"/>
      <c r="E16" s="38" t="n"/>
      <c r="F16" s="38" t="n"/>
      <c r="G16" s="38" t="n"/>
      <c r="H16" s="38" t="n"/>
      <c r="I16" s="47" t="inlineStr">
        <is>
          <t>&lt;.3&gt; DPO &amp; SURL Population</t>
        </is>
      </c>
      <c r="J16" s="38" t="n"/>
      <c r="K16" s="38" t="n"/>
      <c r="L16" s="38" t="n"/>
      <c r="M16" s="38" t="n"/>
      <c r="N16" s="38" t="n"/>
      <c r="O16" s="38" t="n"/>
      <c r="P16" s="38" t="n"/>
      <c r="Q16" s="38" t="n"/>
    </row>
    <row r="17" ht="120" customHeight="1">
      <c r="A17" s="44" t="inlineStr">
        <is>
          <t>Applicable</t>
        </is>
      </c>
      <c r="B17" s="44" t="inlineStr">
        <is>
          <t>Required</t>
        </is>
      </c>
      <c r="C17" s="44" t="inlineStr">
        <is>
          <t>Not Started</t>
        </is>
      </c>
      <c r="D17" s="44" t="inlineStr">
        <is>
          <t>Missing</t>
        </is>
      </c>
      <c r="E17" s="44" t="inlineStr">
        <is>
          <t>Unable to Conclude</t>
        </is>
      </c>
      <c r="F17" s="44" t="inlineStr">
        <is>
          <t>None</t>
        </is>
      </c>
      <c r="G17" s="45" t="inlineStr">
        <is>
          <t>Unsigned</t>
        </is>
      </c>
      <c r="H17" s="45">
        <f>IF(A17="Not Applicable - Fact Driven",IF(AND(C17="Not Performed",D17="Not Required",OR(F17="None",F17="Resolved",F17="Passed"),OR(G17="Prepared",G17="Reviewed"),LEFT(O17,6)="FACT:/",Q17&lt;&gt;""),"Valid N/A","Blocked"),IF(AND(B17="Recommended",C17="Not Performed",D17="Not Required",OR(F17="None",F17="Resolved",F17="Passed")),"Recommended - Not Performed",IF(C17&lt;&gt;"Performed","Open - "&amp;C17,IF(D17&lt;&gt;"Sufficient","Open - "&amp;D17&amp;" Evidence",IF(E17="Unable to Conclude","Open - Unable to Conclude",IF(AND(E17="Exception Identified",ISERROR(SEARCH("ISSUE:",P17))),"Open - Missing Issue ID",IF(AND(F17="Open",ISERROR(SEARCH("ISSUE:",P17))),"Open - Missing Issue ID",IF(OR(F17="Open",F17="Superseded"),"Open - "&amp;F17&amp;" Issue",IF(AND(E17="Exception Identified",NOT(OR(F17="Adjusted",F17="Passed",F17="Resolved"))),"Open - Undispositioned Exception",IF(OR(G17="Prepared",G17="Reviewed"),"Passed","Open - Unsigned"))))))))))</f>
        <v/>
      </c>
      <c r="I17" s="45" t="inlineStr">
        <is>
          <t>7. Compute Days Payable Outstanding (DPO = 365 / AP turnover) and set the SURL look-forward period as period-end through period-end + DPO.</t>
        </is>
      </c>
      <c r="J17" s="45" t="inlineStr">
        <is>
          <t>Completeness; Cutoff</t>
        </is>
      </c>
      <c r="K17" s="45" t="inlineStr">
        <is>
          <t>&lt;.3&gt;</t>
        </is>
      </c>
      <c r="L17" s="45" t="n"/>
      <c r="M17" s="46" t="n"/>
      <c r="N17" s="45" t="n"/>
      <c r="O17" s="45" t="inlineStr">
        <is>
          <t>AP Controls — typed metric/SURL section</t>
        </is>
      </c>
      <c r="P17" s="45" t="inlineStr">
        <is>
          <t>PROC:PROC-AP-AND-ACCRUALS; WINDOW:WIN-AP-SURL; APCTRL:SURL-WINDOW</t>
        </is>
      </c>
      <c r="Q17" s="45" t="n"/>
    </row>
    <row r="18" ht="120" customHeight="1">
      <c r="A18" s="44" t="inlineStr">
        <is>
          <t>Applicable</t>
        </is>
      </c>
      <c r="B18" s="44" t="inlineStr">
        <is>
          <t>Required</t>
        </is>
      </c>
      <c r="C18" s="44" t="inlineStr">
        <is>
          <t>Not Started</t>
        </is>
      </c>
      <c r="D18" s="44" t="inlineStr">
        <is>
          <t>Missing</t>
        </is>
      </c>
      <c r="E18" s="44" t="inlineStr">
        <is>
          <t>Unable to Conclude</t>
        </is>
      </c>
      <c r="F18" s="44" t="inlineStr">
        <is>
          <t>None</t>
        </is>
      </c>
      <c r="G18" s="45" t="inlineStr">
        <is>
          <t>Unsigned</t>
        </is>
      </c>
      <c r="H18" s="45">
        <f>IF(A18="Not Applicable - Fact Driven",IF(AND(C18="Not Performed",D18="Not Required",OR(F18="None",F18="Resolved",F18="Passed"),OR(G18="Prepared",G18="Reviewed"),LEFT(O18,6)="FACT:/",Q18&lt;&gt;""),"Valid N/A","Blocked"),IF(AND(B18="Recommended",C18="Not Performed",D18="Not Required",OR(F18="None",F18="Resolved",F18="Passed")),"Recommended - Not Performed",IF(C18&lt;&gt;"Performed","Open - "&amp;C18,IF(D18&lt;&gt;"Sufficient","Open - "&amp;D18&amp;" Evidence",IF(E18="Unable to Conclude","Open - Unable to Conclude",IF(AND(E18="Exception Identified",ISERROR(SEARCH("ISSUE:",P18))),"Open - Missing Issue ID",IF(AND(F18="Open",ISERROR(SEARCH("ISSUE:",P18))),"Open - Missing Issue ID",IF(OR(F18="Open",F18="Superseded"),"Open - "&amp;F18&amp;" Issue",IF(AND(E18="Exception Identified",NOT(OR(F18="Adjusted",F18="Passed",F18="Resolved"))),"Open - Undispositioned Exception",IF(OR(G18="Prepared",G18="Reviewed"),"Passed","Open - Unsigned"))))))))))</f>
        <v/>
      </c>
      <c r="I18" s="45" t="inlineStr">
        <is>
          <t>8. Quantify the subsequent-disbursement population (checks, ACH, wires, credit cards) from which SURL selections will be drawn.</t>
        </is>
      </c>
      <c r="J18" s="45" t="inlineStr">
        <is>
          <t>Completeness</t>
        </is>
      </c>
      <c r="K18" s="45" t="inlineStr">
        <is>
          <t>&lt;.3&gt;</t>
        </is>
      </c>
      <c r="L18" s="45" t="n"/>
      <c r="M18" s="46" t="n"/>
      <c r="N18" s="45" t="n"/>
      <c r="O18" s="45" t="inlineStr">
        <is>
          <t>AP Controls — typed metric/SURL section; AP-04 — Bank Debit Control</t>
        </is>
      </c>
      <c r="P18" s="45" t="inlineStr">
        <is>
          <t>PROC:PROC-AP-AND-ACCRUALS; WINDOW:WIN-AP-SURL; APCTRL:SURL-WINDOW; PBC:AP-04-Bank account Debit Control</t>
        </is>
      </c>
      <c r="Q18" s="45" t="n"/>
    </row>
    <row r="19">
      <c r="A19" s="42" t="n"/>
      <c r="B19" s="38" t="n"/>
      <c r="C19" s="38" t="n"/>
      <c r="D19" s="38" t="n"/>
      <c r="E19" s="38" t="n"/>
      <c r="F19" s="38" t="n"/>
      <c r="G19" s="38" t="n"/>
      <c r="H19" s="38" t="n"/>
      <c r="I19" s="47" t="inlineStr">
        <is>
          <t>&lt;.4&gt; SURL — Subsequent Disbursements</t>
        </is>
      </c>
      <c r="J19" s="38" t="n"/>
      <c r="K19" s="38" t="n"/>
      <c r="L19" s="38" t="n"/>
      <c r="M19" s="38" t="n"/>
      <c r="N19" s="38" t="n"/>
      <c r="O19" s="38" t="n"/>
      <c r="P19" s="38" t="n"/>
      <c r="Q19" s="38" t="n"/>
    </row>
    <row r="20" ht="120" customHeight="1">
      <c r="A20" s="44" t="inlineStr">
        <is>
          <t>Applicable</t>
        </is>
      </c>
      <c r="B20" s="44" t="inlineStr">
        <is>
          <t>Required</t>
        </is>
      </c>
      <c r="C20" s="44" t="inlineStr">
        <is>
          <t>Not Started</t>
        </is>
      </c>
      <c r="D20" s="44" t="inlineStr">
        <is>
          <t>Missing</t>
        </is>
      </c>
      <c r="E20" s="44" t="inlineStr">
        <is>
          <t>Unable to Conclude</t>
        </is>
      </c>
      <c r="F20" s="44" t="inlineStr">
        <is>
          <t>None</t>
        </is>
      </c>
      <c r="G20" s="45" t="inlineStr">
        <is>
          <t>Unsigned</t>
        </is>
      </c>
      <c r="H20" s="45">
        <f>IF(A20="Not Applicable - Fact Driven",IF(AND(C20="Not Performed",D20="Not Required",OR(F20="None",F20="Resolved",F20="Passed"),OR(G20="Prepared",G20="Reviewed"),LEFT(O20,6)="FACT:/",Q20&lt;&gt;""),"Valid N/A","Blocked"),IF(AND(B20="Recommended",C20="Not Performed",D20="Not Required",OR(F20="None",F20="Resolved",F20="Passed")),"Recommended - Not Performed",IF(C20&lt;&gt;"Performed","Open - "&amp;C20,IF(D20&lt;&gt;"Sufficient","Open - "&amp;D20&amp;" Evidence",IF(E20="Unable to Conclude","Open - Unable to Conclude",IF(AND(E20="Exception Identified",ISERROR(SEARCH("ISSUE:",P20))),"Open - Missing Issue ID",IF(AND(F20="Open",ISERROR(SEARCH("ISSUE:",P20))),"Open - Missing Issue ID",IF(OR(F20="Open",F20="Superseded"),"Open - "&amp;F20&amp;" Issue",IF(AND(E20="Exception Identified",NOT(OR(F20="Adjusted",F20="Passed",F20="Resolved"))),"Open - Undispositioned Exception",IF(OR(G20="Prepared",G20="Reviewed"),"Passed","Open - Unsigned"))))))))))</f>
        <v/>
      </c>
      <c r="I20" s="45" t="inlineStr">
        <is>
          <t>9. Perform a search for unrecorded liabilities — examine subsequent disbursements above the testing threshold through the SURL period; vouch to invoice and determine the goods-received / service period.</t>
        </is>
      </c>
      <c r="J20" s="45" t="inlineStr">
        <is>
          <t>Completeness; Cutoff</t>
        </is>
      </c>
      <c r="K20" s="45" t="inlineStr">
        <is>
          <t>&lt;.4&gt;</t>
        </is>
      </c>
      <c r="L20" s="45" t="n"/>
      <c r="M20" s="46" t="n"/>
      <c r="N20" s="45" t="n"/>
      <c r="O20" s="45" t="inlineStr">
        <is>
          <t>AP Controls — selection reconciliation</t>
        </is>
      </c>
      <c r="P20" s="45" t="inlineStr">
        <is>
          <t>PROC:PROC-AP-AND-ACCRUALS; WINDOW:WIN-AP-SURL; APCTRL:REGISTERED-SELECTIONS</t>
        </is>
      </c>
      <c r="Q20" s="45" t="n"/>
    </row>
    <row r="21" ht="120" customHeight="1">
      <c r="A21" s="44" t="inlineStr">
        <is>
          <t>Applicable</t>
        </is>
      </c>
      <c r="B21" s="44" t="inlineStr">
        <is>
          <t>Required</t>
        </is>
      </c>
      <c r="C21" s="44" t="inlineStr">
        <is>
          <t>Not Started</t>
        </is>
      </c>
      <c r="D21" s="44" t="inlineStr">
        <is>
          <t>Missing</t>
        </is>
      </c>
      <c r="E21" s="44" t="inlineStr">
        <is>
          <t>Unable to Conclude</t>
        </is>
      </c>
      <c r="F21" s="44" t="inlineStr">
        <is>
          <t>None</t>
        </is>
      </c>
      <c r="G21" s="45" t="inlineStr">
        <is>
          <t>Unsigned</t>
        </is>
      </c>
      <c r="H21" s="45">
        <f>IF(A21="Not Applicable - Fact Driven",IF(AND(C21="Not Performed",D21="Not Required",OR(F21="None",F21="Resolved",F21="Passed"),OR(G21="Prepared",G21="Reviewed"),LEFT(O21,6)="FACT:/",Q21&lt;&gt;""),"Valid N/A","Blocked"),IF(AND(B21="Recommended",C21="Not Performed",D21="Not Required",OR(F21="None",F21="Resolved",F21="Passed")),"Recommended - Not Performed",IF(C21&lt;&gt;"Performed","Open - "&amp;C21,IF(D21&lt;&gt;"Sufficient","Open - "&amp;D21&amp;" Evidence",IF(E21="Unable to Conclude","Open - Unable to Conclude",IF(AND(E21="Exception Identified",ISERROR(SEARCH("ISSUE:",P21))),"Open - Missing Issue ID",IF(AND(F21="Open",ISERROR(SEARCH("ISSUE:",P21))),"Open - Missing Issue ID",IF(OR(F21="Open",F21="Superseded"),"Open - "&amp;F21&amp;" Issue",IF(AND(E21="Exception Identified",NOT(OR(F21="Adjusted",F21="Passed",F21="Resolved"))),"Open - Undispositioned Exception",IF(OR(G21="Prepared",G21="Reviewed"),"Passed","Open - Unsigned"))))))))))</f>
        <v/>
      </c>
      <c r="I21" s="45" t="inlineStr">
        <is>
          <t>10. Classify each item at period end — properly included, properly excluded, improperly included, or improperly excluded (an unrecorded liability); for pre-year-end items tie back to year-end AP, and for post-year-end items confirm exclusion from year-end AP.</t>
        </is>
      </c>
      <c r="J21" s="45" t="inlineStr">
        <is>
          <t>Completeness; Cutoff; Valuation &amp; Allocation</t>
        </is>
      </c>
      <c r="K21" s="45" t="inlineStr">
        <is>
          <t>&lt;.4&gt;</t>
        </is>
      </c>
      <c r="L21" s="45" t="n"/>
      <c r="M21" s="46" t="n"/>
      <c r="N21" s="45" t="n"/>
      <c r="O21" s="45" t="inlineStr">
        <is>
          <t>AP Controls — selection reconciliation</t>
        </is>
      </c>
      <c r="P21" s="45" t="inlineStr">
        <is>
          <t>PROC:PROC-AP-AND-ACCRUALS; APCTRL:REGISTERED-SELECTIONS</t>
        </is>
      </c>
      <c r="Q21" s="45" t="n"/>
    </row>
    <row r="22">
      <c r="A22" s="42" t="n"/>
      <c r="B22" s="38" t="n"/>
      <c r="C22" s="38" t="n"/>
      <c r="D22" s="38" t="n"/>
      <c r="E22" s="38" t="n"/>
      <c r="F22" s="38" t="n"/>
      <c r="G22" s="38" t="n"/>
      <c r="H22" s="38" t="n"/>
      <c r="I22" s="47" t="inlineStr">
        <is>
          <t>&lt;.5&gt; Completeness of Disbursements</t>
        </is>
      </c>
      <c r="J22" s="38" t="n"/>
      <c r="K22" s="38" t="n"/>
      <c r="L22" s="38" t="n"/>
      <c r="M22" s="38" t="n"/>
      <c r="N22" s="38" t="n"/>
      <c r="O22" s="38" t="n"/>
      <c r="P22" s="38" t="n"/>
      <c r="Q22" s="38" t="n"/>
    </row>
    <row r="23" ht="120" customHeight="1">
      <c r="A23" s="44" t="inlineStr">
        <is>
          <t>Applicable</t>
        </is>
      </c>
      <c r="B23" s="44" t="inlineStr">
        <is>
          <t>Required</t>
        </is>
      </c>
      <c r="C23" s="44" t="inlineStr">
        <is>
          <t>Not Started</t>
        </is>
      </c>
      <c r="D23" s="44" t="inlineStr">
        <is>
          <t>Missing</t>
        </is>
      </c>
      <c r="E23" s="44" t="inlineStr">
        <is>
          <t>Unable to Conclude</t>
        </is>
      </c>
      <c r="F23" s="44" t="inlineStr">
        <is>
          <t>None</t>
        </is>
      </c>
      <c r="G23" s="45" t="inlineStr">
        <is>
          <t>Unsigned</t>
        </is>
      </c>
      <c r="H23" s="45">
        <f>IF(A23="Not Applicable - Fact Driven",IF(AND(C23="Not Performed",D23="Not Required",OR(F23="None",F23="Resolved",F23="Passed"),OR(G23="Prepared",G23="Reviewed"),LEFT(O23,6)="FACT:/",Q23&lt;&gt;""),"Valid N/A","Blocked"),IF(AND(B23="Recommended",C23="Not Performed",D23="Not Required",OR(F23="None",F23="Resolved",F23="Passed")),"Recommended - Not Performed",IF(C23&lt;&gt;"Performed","Open - "&amp;C23,IF(D23&lt;&gt;"Sufficient","Open - "&amp;D23&amp;" Evidence",IF(E23="Unable to Conclude","Open - Unable to Conclude",IF(AND(E23="Exception Identified",ISERROR(SEARCH("ISSUE:",P23))),"Open - Missing Issue ID",IF(AND(F23="Open",ISERROR(SEARCH("ISSUE:",P23))),"Open - Missing Issue ID",IF(OR(F23="Open",F23="Superseded"),"Open - "&amp;F23&amp;" Issue",IF(AND(E23="Exception Identified",NOT(OR(F23="Adjusted",F23="Passed",F23="Resolved"))),"Open - Undispositioned Exception",IF(OR(G23="Prepared",G23="Reviewed"),"Passed","Open - Unsigned"))))))))))</f>
        <v/>
      </c>
      <c r="I23" s="45" t="inlineStr">
        <is>
          <t>11. Where SURL selections were drawn from the disbursement listing, test the completeness of that population — perform a sequence check of payment/check document numbers and agree the listing to the subsequent-period bank statement.</t>
        </is>
      </c>
      <c r="J23" s="45" t="inlineStr">
        <is>
          <t>Completeness</t>
        </is>
      </c>
      <c r="K23" s="45" t="inlineStr">
        <is>
          <t>&lt;.5&gt;</t>
        </is>
      </c>
      <c r="L23" s="45" t="n"/>
      <c r="M23" s="46" t="n"/>
      <c r="N23" s="45" t="n"/>
      <c r="O23" s="45" t="n"/>
      <c r="P23" s="45" t="inlineStr">
        <is>
          <t>PROC:PROC-AP-AND-ACCRUALS; WINDOW:WIN-AP-SURL</t>
        </is>
      </c>
      <c r="Q23" s="45" t="n"/>
    </row>
    <row r="24" ht="120" customHeight="1">
      <c r="A24" s="44" t="inlineStr">
        <is>
          <t>Applicable</t>
        </is>
      </c>
      <c r="B24" s="44" t="inlineStr">
        <is>
          <t>Required</t>
        </is>
      </c>
      <c r="C24" s="44" t="inlineStr">
        <is>
          <t>Not Started</t>
        </is>
      </c>
      <c r="D24" s="44" t="inlineStr">
        <is>
          <t>Missing</t>
        </is>
      </c>
      <c r="E24" s="44" t="inlineStr">
        <is>
          <t>Unable to Conclude</t>
        </is>
      </c>
      <c r="F24" s="44" t="inlineStr">
        <is>
          <t>None</t>
        </is>
      </c>
      <c r="G24" s="45" t="inlineStr">
        <is>
          <t>Unsigned</t>
        </is>
      </c>
      <c r="H24" s="45">
        <f>IF(A24="Not Applicable - Fact Driven",IF(AND(C24="Not Performed",D24="Not Required",OR(F24="None",F24="Resolved",F24="Passed"),OR(G24="Prepared",G24="Reviewed"),LEFT(O24,6)="FACT:/",Q24&lt;&gt;""),"Valid N/A","Blocked"),IF(AND(B24="Recommended",C24="Not Performed",D24="Not Required",OR(F24="None",F24="Resolved",F24="Passed")),"Recommended - Not Performed",IF(C24&lt;&gt;"Performed","Open - "&amp;C24,IF(D24&lt;&gt;"Sufficient","Open - "&amp;D24&amp;" Evidence",IF(E24="Unable to Conclude","Open - Unable to Conclude",IF(AND(E24="Exception Identified",ISERROR(SEARCH("ISSUE:",P24))),"Open - Missing Issue ID",IF(AND(F24="Open",ISERROR(SEARCH("ISSUE:",P24))),"Open - Missing Issue ID",IF(OR(F24="Open",F24="Superseded"),"Open - "&amp;F24&amp;" Issue",IF(AND(E24="Exception Identified",NOT(OR(F24="Adjusted",F24="Passed",F24="Resolved"))),"Open - Undispositioned Exception",IF(OR(G24="Prepared",G24="Reviewed"),"Passed","Open - Unsigned"))))))))))</f>
        <v/>
      </c>
      <c r="I24" s="45" t="inlineStr">
        <is>
          <t>12. Where SURL selections were drawn directly from the bank statement, document that the completeness test of the disbursement listing is NOT required (the bank statement is inherently complete).</t>
        </is>
      </c>
      <c r="J24" s="45" t="inlineStr">
        <is>
          <t>Completeness</t>
        </is>
      </c>
      <c r="K24" s="45" t="inlineStr">
        <is>
          <t>&lt;.5&gt;</t>
        </is>
      </c>
      <c r="L24" s="45" t="n"/>
      <c r="M24" s="46" t="n"/>
      <c r="N24" s="45" t="n"/>
      <c r="O24" s="45" t="n"/>
      <c r="P24" s="45" t="inlineStr">
        <is>
          <t>PROC:PROC-AP-AND-ACCRUALS; WINDOW:WIN-AP-SURL</t>
        </is>
      </c>
      <c r="Q24" s="45" t="n"/>
    </row>
    <row r="25">
      <c r="A25" s="42" t="n"/>
      <c r="B25" s="38" t="n"/>
      <c r="C25" s="38" t="n"/>
      <c r="D25" s="38" t="n"/>
      <c r="E25" s="38" t="n"/>
      <c r="F25" s="38" t="n"/>
      <c r="G25" s="38" t="n"/>
      <c r="H25" s="38" t="n"/>
      <c r="I25" s="47" t="inlineStr">
        <is>
          <t>&lt;.6&gt; Outstanding Checks → AP Tie-Back</t>
        </is>
      </c>
      <c r="J25" s="38" t="n"/>
      <c r="K25" s="38" t="n"/>
      <c r="L25" s="38" t="n"/>
      <c r="M25" s="38" t="n"/>
      <c r="N25" s="38" t="n"/>
      <c r="O25" s="38" t="n"/>
      <c r="P25" s="38" t="n"/>
      <c r="Q25" s="38" t="n"/>
    </row>
    <row r="26" ht="120" customHeight="1">
      <c r="A26" s="44" t="inlineStr">
        <is>
          <t>Applicable</t>
        </is>
      </c>
      <c r="B26" s="44" t="inlineStr">
        <is>
          <t>Required</t>
        </is>
      </c>
      <c r="C26" s="44" t="inlineStr">
        <is>
          <t>Not Started</t>
        </is>
      </c>
      <c r="D26" s="44" t="inlineStr">
        <is>
          <t>Missing</t>
        </is>
      </c>
      <c r="E26" s="44" t="inlineStr">
        <is>
          <t>Unable to Conclude</t>
        </is>
      </c>
      <c r="F26" s="44" t="inlineStr">
        <is>
          <t>None</t>
        </is>
      </c>
      <c r="G26" s="45" t="inlineStr">
        <is>
          <t>Unsigned</t>
        </is>
      </c>
      <c r="H26" s="45">
        <f>IF(A26="Not Applicable - Fact Driven",IF(AND(C26="Not Performed",D26="Not Required",OR(F26="None",F26="Resolved",F26="Passed"),OR(G26="Prepared",G26="Reviewed"),LEFT(O26,6)="FACT:/",Q26&lt;&gt;""),"Valid N/A","Blocked"),IF(AND(B26="Recommended",C26="Not Performed",D26="Not Required",OR(F26="None",F26="Resolved",F26="Passed")),"Recommended - Not Performed",IF(C26&lt;&gt;"Performed","Open - "&amp;C26,IF(D26&lt;&gt;"Sufficient","Open - "&amp;D26&amp;" Evidence",IF(E26="Unable to Conclude","Open - Unable to Conclude",IF(AND(E26="Exception Identified",ISERROR(SEARCH("ISSUE:",P26))),"Open - Missing Issue ID",IF(AND(F26="Open",ISERROR(SEARCH("ISSUE:",P26))),"Open - Missing Issue ID",IF(OR(F26="Open",F26="Superseded"),"Open - "&amp;F26&amp;" Issue",IF(AND(E26="Exception Identified",NOT(OR(F26="Adjusted",F26="Passed",F26="Resolved"))),"Open - Undispositioned Exception",IF(OR(G26="Prepared",G26="Reviewed"),"Passed","Open - Unsigned"))))))))))</f>
        <v/>
      </c>
      <c r="I26" s="45" t="inlineStr">
        <is>
          <t>13. Select outstanding checks issued on or before period-end that had not cleared the bank, and tie each back to the AP listing to confirm the related payable is appropriately recorded.</t>
        </is>
      </c>
      <c r="J26" s="45" t="inlineStr">
        <is>
          <t>Completeness; Existence</t>
        </is>
      </c>
      <c r="K26" s="45" t="inlineStr">
        <is>
          <t>&lt;.6&gt;</t>
        </is>
      </c>
      <c r="L26" s="45" t="n"/>
      <c r="M26" s="46" t="n"/>
      <c r="N26" s="45" t="n"/>
      <c r="O26" s="45" t="inlineStr">
        <is>
          <t>AP-04 — Outstanding Check AP Relief</t>
        </is>
      </c>
      <c r="P26" s="45" t="inlineStr">
        <is>
          <t>PROC:PROC-AP-AND-ACCRUALS; PBC:AP-04-OUTSTANDING-CHECK-RELIEF</t>
        </is>
      </c>
      <c r="Q26" s="45" t="n"/>
    </row>
    <row r="27">
      <c r="A27" s="42" t="n"/>
      <c r="B27" s="38" t="n"/>
      <c r="C27" s="38" t="n"/>
      <c r="D27" s="38" t="n"/>
      <c r="E27" s="38" t="n"/>
      <c r="F27" s="38" t="n"/>
      <c r="G27" s="38" t="n"/>
      <c r="H27" s="38" t="n"/>
      <c r="I27" s="47" t="inlineStr">
        <is>
          <t>&lt;.7&gt; Open / Unpaid Invoice &amp; Cutoff</t>
        </is>
      </c>
      <c r="J27" s="38" t="n"/>
      <c r="K27" s="38" t="n"/>
      <c r="L27" s="38" t="n"/>
      <c r="M27" s="38" t="n"/>
      <c r="N27" s="38" t="n"/>
      <c r="O27" s="38" t="n"/>
      <c r="P27" s="38" t="n"/>
      <c r="Q27" s="38" t="n"/>
    </row>
    <row r="28" ht="120" customHeight="1">
      <c r="A28" s="44" t="inlineStr">
        <is>
          <t>Applicable</t>
        </is>
      </c>
      <c r="B28" s="44" t="inlineStr">
        <is>
          <t>Required</t>
        </is>
      </c>
      <c r="C28" s="44" t="inlineStr">
        <is>
          <t>Not Started</t>
        </is>
      </c>
      <c r="D28" s="44" t="inlineStr">
        <is>
          <t>Missing</t>
        </is>
      </c>
      <c r="E28" s="44" t="inlineStr">
        <is>
          <t>Unable to Conclude</t>
        </is>
      </c>
      <c r="F28" s="44" t="inlineStr">
        <is>
          <t>None</t>
        </is>
      </c>
      <c r="G28" s="45" t="inlineStr">
        <is>
          <t>Unsigned</t>
        </is>
      </c>
      <c r="H28" s="45">
        <f>IF(A28="Not Applicable - Fact Driven",IF(AND(C28="Not Performed",D28="Not Required",OR(F28="None",F28="Resolved",F28="Passed"),OR(G28="Prepared",G28="Reviewed"),LEFT(O28,6)="FACT:/",Q28&lt;&gt;""),"Valid N/A","Blocked"),IF(AND(B28="Recommended",C28="Not Performed",D28="Not Required",OR(F28="None",F28="Resolved",F28="Passed")),"Recommended - Not Performed",IF(C28&lt;&gt;"Performed","Open - "&amp;C28,IF(D28&lt;&gt;"Sufficient","Open - "&amp;D28&amp;" Evidence",IF(E28="Unable to Conclude","Open - Unable to Conclude",IF(AND(E28="Exception Identified",ISERROR(SEARCH("ISSUE:",P28))),"Open - Missing Issue ID",IF(AND(F28="Open",ISERROR(SEARCH("ISSUE:",P28))),"Open - Missing Issue ID",IF(OR(F28="Open",F28="Superseded"),"Open - "&amp;F28&amp;" Issue",IF(AND(E28="Exception Identified",NOT(OR(F28="Adjusted",F28="Passed",F28="Resolved"))),"Open - Undispositioned Exception",IF(OR(G28="Prepared",G28="Reviewed"),"Passed","Open - Unsigned"))))))))))</f>
        <v/>
      </c>
      <c r="I28" s="45" t="inlineStr">
        <is>
          <t>14. Select unpaid / open invoices from the subsequent period; determine the goods-received / service period; if it relates to pre-year-end, trace into year-end AP (an unrecorded liability if omitted); if post-year-end, confirm it is excluded from year-end AP.</t>
        </is>
      </c>
      <c r="J28" s="45" t="inlineStr">
        <is>
          <t>Completeness; Existence; Cutoff</t>
        </is>
      </c>
      <c r="K28" s="45" t="inlineStr">
        <is>
          <t>&lt;.7&gt;</t>
        </is>
      </c>
      <c r="L28" s="45" t="n"/>
      <c r="M28" s="46" t="n"/>
      <c r="N28" s="45" t="n"/>
      <c r="O28" s="45" t="inlineStr">
        <is>
          <t>AP Controls — selection reconciliation</t>
        </is>
      </c>
      <c r="P28" s="45" t="inlineStr">
        <is>
          <t>PROC:PROC-AP-AND-ACCRUALS; WINDOW:WIN-AP-SURL; APCTRL:REGISTERED-SELECTIONS</t>
        </is>
      </c>
      <c r="Q28" s="45" t="n"/>
    </row>
    <row r="29" ht="120" customHeight="1">
      <c r="A29" s="44" t="inlineStr">
        <is>
          <t>Applicable</t>
        </is>
      </c>
      <c r="B29" s="44" t="inlineStr">
        <is>
          <t>Required</t>
        </is>
      </c>
      <c r="C29" s="44" t="inlineStr">
        <is>
          <t>Not Started</t>
        </is>
      </c>
      <c r="D29" s="44" t="inlineStr">
        <is>
          <t>Missing</t>
        </is>
      </c>
      <c r="E29" s="44" t="inlineStr">
        <is>
          <t>Unable to Conclude</t>
        </is>
      </c>
      <c r="F29" s="44" t="inlineStr">
        <is>
          <t>None</t>
        </is>
      </c>
      <c r="G29" s="45" t="inlineStr">
        <is>
          <t>Unsigned</t>
        </is>
      </c>
      <c r="H29" s="45">
        <f>IF(A29="Not Applicable - Fact Driven",IF(AND(C29="Not Performed",D29="Not Required",OR(F29="None",F29="Resolved",F29="Passed"),OR(G29="Prepared",G29="Reviewed"),LEFT(O29,6)="FACT:/",Q29&lt;&gt;""),"Valid N/A","Blocked"),IF(AND(B29="Recommended",C29="Not Performed",D29="Not Required",OR(F29="None",F29="Resolved",F29="Passed")),"Recommended - Not Performed",IF(C29&lt;&gt;"Performed","Open - "&amp;C29,IF(D29&lt;&gt;"Sufficient","Open - "&amp;D29&amp;" Evidence",IF(E29="Unable to Conclude","Open - Unable to Conclude",IF(AND(E29="Exception Identified",ISERROR(SEARCH("ISSUE:",P29))),"Open - Missing Issue ID",IF(AND(F29="Open",ISERROR(SEARCH("ISSUE:",P29))),"Open - Missing Issue ID",IF(OR(F29="Open",F29="Superseded"),"Open - "&amp;F29&amp;" Issue",IF(AND(E29="Exception Identified",NOT(OR(F29="Adjusted",F29="Passed",F29="Resolved"))),"Open - Undispositioned Exception",IF(OR(G29="Prepared",G29="Reviewed"),"Passed","Open - Unsigned"))))))))))</f>
        <v/>
      </c>
      <c r="I29" s="45" t="inlineStr">
        <is>
          <t>15. Obtain the received-not-invoiced (RNI) / unmatched-receiving report and test completeness of accrued purchases.</t>
        </is>
      </c>
      <c r="J29" s="45" t="inlineStr">
        <is>
          <t>Completeness</t>
        </is>
      </c>
      <c r="K29" s="45" t="inlineStr">
        <is>
          <t>&lt;.7&gt;</t>
        </is>
      </c>
      <c r="L29" s="45" t="n"/>
      <c r="M29" s="46" t="n"/>
      <c r="N29" s="45" t="n"/>
      <c r="O29" s="45" t="inlineStr">
        <is>
          <t>AP-06 — Population Controls/RNI Exceptions; accrued-expense RNI disposition</t>
        </is>
      </c>
      <c r="P29" s="45" t="inlineStr">
        <is>
          <t>PROC:PROC-AP-AND-ACCRUALS; PBC:AP-06-Received-not-invoiced reference Control; ACCRUAL:Received-not-invoiced reference Disposition</t>
        </is>
      </c>
      <c r="Q29" s="45" t="n"/>
    </row>
    <row r="30">
      <c r="A30" s="42" t="n"/>
      <c r="B30" s="38" t="n"/>
      <c r="C30" s="38" t="n"/>
      <c r="D30" s="38" t="n"/>
      <c r="E30" s="38" t="n"/>
      <c r="F30" s="38" t="n"/>
      <c r="G30" s="38" t="n"/>
      <c r="H30" s="38" t="n"/>
      <c r="I30" s="47" t="inlineStr">
        <is>
          <t>&lt;.8&gt; Ratios &amp; Disclosures</t>
        </is>
      </c>
      <c r="J30" s="38" t="n"/>
      <c r="K30" s="38" t="n"/>
      <c r="L30" s="38" t="n"/>
      <c r="M30" s="38" t="n"/>
      <c r="N30" s="38" t="n"/>
      <c r="O30" s="38" t="n"/>
      <c r="P30" s="38" t="n"/>
      <c r="Q30" s="38" t="n"/>
    </row>
    <row r="31" ht="120" customHeight="1">
      <c r="A31" s="44" t="inlineStr">
        <is>
          <t>Applicable</t>
        </is>
      </c>
      <c r="B31" s="44" t="inlineStr">
        <is>
          <t>Required</t>
        </is>
      </c>
      <c r="C31" s="44" t="inlineStr">
        <is>
          <t>Not Started</t>
        </is>
      </c>
      <c r="D31" s="44" t="inlineStr">
        <is>
          <t>Missing</t>
        </is>
      </c>
      <c r="E31" s="44" t="inlineStr">
        <is>
          <t>Unable to Conclude</t>
        </is>
      </c>
      <c r="F31" s="44" t="inlineStr">
        <is>
          <t>None</t>
        </is>
      </c>
      <c r="G31" s="45" t="inlineStr">
        <is>
          <t>Unsigned</t>
        </is>
      </c>
      <c r="H31" s="45">
        <f>IF(A31="Not Applicable - Fact Driven",IF(AND(C31="Not Performed",D31="Not Required",OR(F31="None",F31="Resolved",F31="Passed"),OR(G31="Prepared",G31="Reviewed"),LEFT(O31,6)="FACT:/",Q31&lt;&gt;""),"Valid N/A","Blocked"),IF(AND(B31="Recommended",C31="Not Performed",D31="Not Required",OR(F31="None",F31="Resolved",F31="Passed")),"Recommended - Not Performed",IF(C31&lt;&gt;"Performed","Open - "&amp;C31,IF(D31&lt;&gt;"Sufficient","Open - "&amp;D31&amp;" Evidence",IF(E31="Unable to Conclude","Open - Unable to Conclude",IF(AND(E31="Exception Identified",ISERROR(SEARCH("ISSUE:",P31))),"Open - Missing Issue ID",IF(AND(F31="Open",ISERROR(SEARCH("ISSUE:",P31))),"Open - Missing Issue ID",IF(OR(F31="Open",F31="Superseded"),"Open - "&amp;F31&amp;" Issue",IF(AND(E31="Exception Identified",NOT(OR(F31="Adjusted",F31="Passed",F31="Resolved"))),"Open - Undispositioned Exception",IF(OR(G31="Prepared",G31="Reviewed"),"Passed","Open - Unsigned"))))))))))</f>
        <v/>
      </c>
      <c r="I31" s="45" t="inlineStr">
        <is>
          <t>16. Compute AP analytics (DPO, AP turnover, AP as % of COGS/expenses) and investigate unusual trends.</t>
        </is>
      </c>
      <c r="J31" s="45" t="inlineStr">
        <is>
          <t>Presentation &amp; Disclosure</t>
        </is>
      </c>
      <c r="K31" s="45" t="inlineStr">
        <is>
          <t>&lt;.8&gt;</t>
        </is>
      </c>
      <c r="L31" s="45" t="n"/>
      <c r="M31" s="46" t="n"/>
      <c r="N31" s="45" t="n"/>
      <c r="O31" s="45" t="inlineStr">
        <is>
          <t>AP Controls — typed metric/SURL section</t>
        </is>
      </c>
      <c r="P31" s="45" t="inlineStr">
        <is>
          <t>PROC:PROC-AP-AND-ACCRUALS; APCTRL:TYPED-METRICS</t>
        </is>
      </c>
      <c r="Q31" s="45" t="n"/>
    </row>
    <row r="32" ht="120" customHeight="1">
      <c r="A32" s="44" t="inlineStr">
        <is>
          <t>Applicable</t>
        </is>
      </c>
      <c r="B32" s="44" t="inlineStr">
        <is>
          <t>Required</t>
        </is>
      </c>
      <c r="C32" s="44" t="inlineStr">
        <is>
          <t>Not Started</t>
        </is>
      </c>
      <c r="D32" s="44" t="inlineStr">
        <is>
          <t>Missing</t>
        </is>
      </c>
      <c r="E32" s="44" t="inlineStr">
        <is>
          <t>Unable to Conclude</t>
        </is>
      </c>
      <c r="F32" s="44" t="inlineStr">
        <is>
          <t>None</t>
        </is>
      </c>
      <c r="G32" s="45" t="inlineStr">
        <is>
          <t>Unsigned</t>
        </is>
      </c>
      <c r="H32" s="45">
        <f>IF(A32="Not Applicable - Fact Driven",IF(AND(C32="Not Performed",D32="Not Required",OR(F32="None",F32="Resolved",F32="Passed"),OR(G32="Prepared",G32="Reviewed"),LEFT(O32,6)="FACT:/",Q32&lt;&gt;""),"Valid N/A","Blocked"),IF(AND(B32="Recommended",C32="Not Performed",D32="Not Required",OR(F32="None",F32="Resolved",F32="Passed")),"Recommended - Not Performed",IF(C32&lt;&gt;"Performed","Open - "&amp;C32,IF(D32&lt;&gt;"Sufficient","Open - "&amp;D32&amp;" Evidence",IF(E32="Unable to Conclude","Open - Unable to Conclude",IF(AND(E32="Exception Identified",ISERROR(SEARCH("ISSUE:",P32))),"Open - Missing Issue ID",IF(AND(F32="Open",ISERROR(SEARCH("ISSUE:",P32))),"Open - Missing Issue ID",IF(OR(F32="Open",F32="Superseded"),"Open - "&amp;F32&amp;" Issue",IF(AND(E32="Exception Identified",NOT(OR(F32="Adjusted",F32="Passed",F32="Resolved"))),"Open - Undispositioned Exception",IF(OR(G32="Prepared",G32="Reviewed"),"Passed","Open - Unsigned"))))))))))</f>
        <v/>
      </c>
      <c r="I32" s="45" t="inlineStr">
        <is>
          <t>17. Evaluate AP presentation and disclosure — related-party payables, current vs noncurrent, debit balances reclassified, customer deposits / contract-liability classification, and concentration.</t>
        </is>
      </c>
      <c r="J32" s="45" t="inlineStr">
        <is>
          <t>Presentation &amp; Disclosure; Classification</t>
        </is>
      </c>
      <c r="K32" s="45" t="inlineStr">
        <is>
          <t>&lt;.8&gt;</t>
        </is>
      </c>
      <c r="L32" s="45" t="n"/>
      <c r="M32" s="46" t="n"/>
      <c r="N32" s="45" t="n"/>
      <c r="O32" s="45" t="n"/>
      <c r="P32" s="45" t="inlineStr">
        <is>
          <t>PROC:PROC-AP-AND-ACCRUALS</t>
        </is>
      </c>
      <c r="Q32" s="45" t="n"/>
    </row>
    <row r="33" ht="120" customHeight="1">
      <c r="A33" s="44" t="inlineStr">
        <is>
          <t>Applicable</t>
        </is>
      </c>
      <c r="B33" s="44" t="inlineStr">
        <is>
          <t>Required</t>
        </is>
      </c>
      <c r="C33" s="44" t="inlineStr">
        <is>
          <t>Not Started</t>
        </is>
      </c>
      <c r="D33" s="44" t="inlineStr">
        <is>
          <t>Missing</t>
        </is>
      </c>
      <c r="E33" s="44" t="inlineStr">
        <is>
          <t>Unable to Conclude</t>
        </is>
      </c>
      <c r="F33" s="44" t="inlineStr">
        <is>
          <t>None</t>
        </is>
      </c>
      <c r="G33" s="45" t="inlineStr">
        <is>
          <t>Unsigned</t>
        </is>
      </c>
      <c r="H33" s="45">
        <f>IF(A33="Not Applicable - Fact Driven",IF(AND(C33="Not Performed",D33="Not Required",OR(F33="None",F33="Resolved",F33="Passed"),OR(G33="Prepared",G33="Reviewed"),LEFT(O33,6)="FACT:/",Q33&lt;&gt;""),"Valid N/A","Blocked"),IF(AND(B33="Recommended",C33="Not Performed",D33="Not Required",OR(F33="None",F33="Resolved",F33="Passed")),"Recommended - Not Performed",IF(C33&lt;&gt;"Performed","Open - "&amp;C33,IF(D33&lt;&gt;"Sufficient","Open - "&amp;D33&amp;" Evidence",IF(E33="Unable to Conclude","Open - Unable to Conclude",IF(AND(E33="Exception Identified",ISERROR(SEARCH("ISSUE:",P33))),"Open - Missing Issue ID",IF(AND(F33="Open",ISERROR(SEARCH("ISSUE:",P33))),"Open - Missing Issue ID",IF(OR(F33="Open",F33="Superseded"),"Open - "&amp;F33&amp;" Issue",IF(AND(E33="Exception Identified",NOT(OR(F33="Adjusted",F33="Passed",F33="Resolved"))),"Open - Undispositioned Exception",IF(OR(G33="Prepared",G33="Reviewed"),"Passed","Open - Unsigned"))))))))))</f>
        <v/>
      </c>
      <c r="I33" s="45" t="inlineStr">
        <is>
          <t>18. Inquire of management and review board minutes / legal letters for unrecorded obligations, commitments and purchase obligations.</t>
        </is>
      </c>
      <c r="J33" s="45" t="inlineStr">
        <is>
          <t>Completeness; Presentation &amp; Disclosure</t>
        </is>
      </c>
      <c r="K33" s="45" t="inlineStr">
        <is>
          <t>&lt;.8&gt;</t>
        </is>
      </c>
      <c r="L33" s="45" t="n"/>
      <c r="M33" s="46" t="n"/>
      <c r="N33" s="45" t="n"/>
      <c r="O33" s="45" t="n"/>
      <c r="P33" s="45" t="inlineStr">
        <is>
          <t>PROC:PROC-AP-AND-ACCRUALS</t>
        </is>
      </c>
      <c r="Q33" s="45" t="n"/>
    </row>
    <row r="34">
      <c r="A34" s="42" t="n"/>
      <c r="B34" s="38" t="n"/>
      <c r="C34" s="38" t="n"/>
      <c r="D34" s="38" t="n"/>
      <c r="E34" s="38" t="n"/>
      <c r="F34" s="38" t="n"/>
      <c r="G34" s="38" t="n"/>
      <c r="H34" s="38" t="n"/>
      <c r="I34" s="47" t="inlineStr">
        <is>
          <t>Documentation &amp; Review</t>
        </is>
      </c>
      <c r="J34" s="38" t="n"/>
      <c r="K34" s="38" t="n"/>
      <c r="L34" s="38" t="n"/>
      <c r="M34" s="38" t="n"/>
      <c r="N34" s="38" t="n"/>
      <c r="O34" s="38" t="n"/>
      <c r="P34" s="38" t="n"/>
      <c r="Q34" s="38" t="n"/>
    </row>
    <row r="35" ht="120" customHeight="1">
      <c r="A35" s="44" t="inlineStr">
        <is>
          <t>Applicable</t>
        </is>
      </c>
      <c r="B35" s="44" t="inlineStr">
        <is>
          <t>Required</t>
        </is>
      </c>
      <c r="C35" s="44" t="inlineStr">
        <is>
          <t>Not Started</t>
        </is>
      </c>
      <c r="D35" s="44" t="inlineStr">
        <is>
          <t>Missing</t>
        </is>
      </c>
      <c r="E35" s="44" t="inlineStr">
        <is>
          <t>Unable to Conclude</t>
        </is>
      </c>
      <c r="F35" s="44" t="inlineStr">
        <is>
          <t>None</t>
        </is>
      </c>
      <c r="G35" s="45" t="inlineStr">
        <is>
          <t>Unsigned</t>
        </is>
      </c>
      <c r="H35" s="45">
        <f>IF(A35="Not Applicable - Fact Driven",IF(AND(C35="Not Performed",D35="Not Required",OR(F35="None",F35="Resolved",F35="Passed"),OR(G35="Prepared",G35="Reviewed"),LEFT(O35,6)="FACT:/",Q35&lt;&gt;""),"Valid N/A","Blocked"),IF(AND(B35="Recommended",C35="Not Performed",D35="Not Required",OR(F35="None",F35="Resolved",F35="Passed")),"Recommended - Not Performed",IF(C35&lt;&gt;"Performed","Open - "&amp;C35,IF(D35&lt;&gt;"Sufficient","Open - "&amp;D35&amp;" Evidence",IF(E35="Unable to Conclude","Open - Unable to Conclude",IF(AND(E35="Exception Identified",ISERROR(SEARCH("ISSUE:",P35))),"Open - Missing Issue ID",IF(AND(F35="Open",ISERROR(SEARCH("ISSUE:",P35))),"Open - Missing Issue ID",IF(OR(F35="Open",F35="Superseded"),"Open - "&amp;F35&amp;" Issue",IF(AND(E35="Exception Identified",NOT(OR(F35="Adjusted",F35="Passed",F35="Resolved"))),"Open - Undispositioned Exception",IF(OR(G35="Prepared",G35="Reviewed"),"Passed","Open - Unsigned"))))))))))</f>
        <v/>
      </c>
      <c r="I35" s="45" t="inlineStr">
        <is>
          <t>19. Cross-reference each procedure to its workpaper tab and link it to the relevant assertion(s).</t>
        </is>
      </c>
      <c r="J35" s="45" t="inlineStr">
        <is>
          <t>Overall</t>
        </is>
      </c>
      <c r="K35" s="45" t="inlineStr">
        <is>
          <t>&lt;.0&gt;-&lt;.8&gt;</t>
        </is>
      </c>
      <c r="L35" s="45" t="n"/>
      <c r="M35" s="46" t="n"/>
      <c r="N35" s="45" t="n"/>
      <c r="O35" s="45" t="n"/>
      <c r="P35" s="45" t="inlineStr">
        <is>
          <t>PROC:PROC-AP-AND-ACCRUALS</t>
        </is>
      </c>
      <c r="Q35" s="45" t="n"/>
    </row>
    <row r="36" ht="120" customHeight="1">
      <c r="A36" s="44" t="inlineStr">
        <is>
          <t>Applicable</t>
        </is>
      </c>
      <c r="B36" s="44" t="inlineStr">
        <is>
          <t>Required</t>
        </is>
      </c>
      <c r="C36" s="44" t="inlineStr">
        <is>
          <t>Not Started</t>
        </is>
      </c>
      <c r="D36" s="44" t="inlineStr">
        <is>
          <t>Missing</t>
        </is>
      </c>
      <c r="E36" s="44" t="inlineStr">
        <is>
          <t>Unable to Conclude</t>
        </is>
      </c>
      <c r="F36" s="44" t="inlineStr">
        <is>
          <t>None</t>
        </is>
      </c>
      <c r="G36" s="45" t="inlineStr">
        <is>
          <t>Unsigned</t>
        </is>
      </c>
      <c r="H36" s="45">
        <f>IF(A36="Not Applicable - Fact Driven",IF(AND(C36="Not Performed",D36="Not Required",OR(F36="None",F36="Resolved",F36="Passed"),OR(G36="Prepared",G36="Reviewed"),LEFT(O36,6)="FACT:/",Q36&lt;&gt;""),"Valid N/A","Blocked"),IF(AND(B36="Recommended",C36="Not Performed",D36="Not Required",OR(F36="None",F36="Resolved",F36="Passed")),"Recommended - Not Performed",IF(C36&lt;&gt;"Performed","Open - "&amp;C36,IF(D36&lt;&gt;"Sufficient","Open - "&amp;D36&amp;" Evidence",IF(E36="Unable to Conclude","Open - Unable to Conclude",IF(AND(E36="Exception Identified",ISERROR(SEARCH("ISSUE:",P36))),"Open - Missing Issue ID",IF(AND(F36="Open",ISERROR(SEARCH("ISSUE:",P36))),"Open - Missing Issue ID",IF(OR(F36="Open",F36="Superseded"),"Open - "&amp;F36&amp;" Issue",IF(AND(E36="Exception Identified",NOT(OR(F36="Adjusted",F36="Passed",F36="Resolved"))),"Open - Undispositioned Exception",IF(OR(G36="Prepared",G36="Reviewed"),"Passed","Open - Unsigned"))))))))))</f>
        <v/>
      </c>
      <c r="I36" s="45" t="inlineStr">
        <is>
          <t>20. Verify lead-sheet and reconciliation tie-out formulas foot correctly and the workbook source trail is complete.</t>
        </is>
      </c>
      <c r="J36" s="45" t="inlineStr">
        <is>
          <t>Accuracy; Completeness</t>
        </is>
      </c>
      <c r="K36" s="45" t="inlineStr">
        <is>
          <t>&lt;.1&gt;/&lt;.2&gt;</t>
        </is>
      </c>
      <c r="L36" s="45" t="n"/>
      <c r="M36" s="46" t="n"/>
      <c r="N36" s="45" t="n"/>
      <c r="O36" s="45" t="inlineStr">
        <is>
          <t>AP Controls — all sections</t>
        </is>
      </c>
      <c r="P36" s="45" t="inlineStr">
        <is>
          <t>PROC:PROC-AP-AND-ACCRUALS; APCTRL:AP-CYCLE-CONTROLS</t>
        </is>
      </c>
      <c r="Q36" s="45" t="n"/>
    </row>
    <row r="37">
      <c r="A37" s="42" t="n"/>
      <c r="B37" s="38" t="n"/>
      <c r="C37" s="38" t="n"/>
      <c r="D37" s="38" t="n"/>
      <c r="E37" s="38" t="n"/>
      <c r="F37" s="38" t="n"/>
      <c r="G37" s="38" t="n"/>
      <c r="H37" s="38" t="n"/>
      <c r="I37" s="43" t="inlineStr">
        <is>
          <t>Conclusion</t>
        </is>
      </c>
      <c r="J37" s="38" t="n"/>
      <c r="K37" s="38" t="n"/>
      <c r="L37" s="38" t="n"/>
      <c r="M37" s="38" t="n"/>
      <c r="N37" s="38" t="n"/>
      <c r="O37" s="38" t="n"/>
      <c r="P37" s="38" t="n"/>
      <c r="Q37" s="38" t="n"/>
    </row>
    <row r="38" ht="120" customHeight="1">
      <c r="A38" s="44" t="inlineStr">
        <is>
          <t>Applicable</t>
        </is>
      </c>
      <c r="B38" s="44" t="inlineStr">
        <is>
          <t>Required</t>
        </is>
      </c>
      <c r="C38" s="44" t="inlineStr">
        <is>
          <t>Not Started</t>
        </is>
      </c>
      <c r="D38" s="44" t="inlineStr">
        <is>
          <t>Missing</t>
        </is>
      </c>
      <c r="E38" s="44" t="inlineStr">
        <is>
          <t>Unable to Conclude</t>
        </is>
      </c>
      <c r="F38" s="44" t="inlineStr">
        <is>
          <t>None</t>
        </is>
      </c>
      <c r="G38" s="45" t="inlineStr">
        <is>
          <t>Unsigned</t>
        </is>
      </c>
      <c r="H38" s="45">
        <f>IF(A38="Not Applicable - Fact Driven",IF(AND(C38="Not Performed",D38="Not Required",OR(F38="None",F38="Resolved",F38="Passed"),OR(G38="Prepared",G38="Reviewed"),LEFT(O38,6)="FACT:/",Q38&lt;&gt;""),"Valid N/A","Blocked"),IF(AND(B38="Recommended",C38="Not Performed",D38="Not Required",OR(F38="None",F38="Resolved",F38="Passed")),"Recommended - Not Performed",IF(C38&lt;&gt;"Performed","Open - "&amp;C38,IF(D38&lt;&gt;"Sufficient","Open - "&amp;D38&amp;" Evidence",IF(E38="Unable to Conclude","Open - Unable to Conclude",IF(AND(E38="Exception Identified",ISERROR(SEARCH("ISSUE:",P38))),"Open - Missing Issue ID",IF(AND(F38="Open",ISERROR(SEARCH("ISSUE:",P38))),"Open - Missing Issue ID",IF(OR(F38="Open",F38="Superseded"),"Open - "&amp;F38&amp;" Issue",IF(AND(E38="Exception Identified",NOT(OR(F38="Adjusted",F38="Passed",F38="Resolved"))),"Open - Undispositioned Exception",IF(OR(G38="Prepared",G38="Reviewed"),"Passed","Open - Unsigned"))))))))))</f>
        <v/>
      </c>
      <c r="I38" s="45" t="inlineStr">
        <is>
          <t>21. All planned AP audit procedures above were performed; results support the recorded accounts-payable balance and related disclosures, subject to documented open items.</t>
        </is>
      </c>
      <c r="J38" s="45" t="inlineStr">
        <is>
          <t>Overall</t>
        </is>
      </c>
      <c r="K38" s="45" t="inlineStr">
        <is>
          <t>&lt;.0&gt;-&lt;.8&gt;</t>
        </is>
      </c>
      <c r="L38" s="45" t="n"/>
      <c r="M38" s="46" t="n"/>
      <c r="N38" s="45" t="n"/>
      <c r="O38" s="45" t="inlineStr">
        <is>
          <t>AP Controls — all sections</t>
        </is>
      </c>
      <c r="P38" s="45" t="inlineStr">
        <is>
          <t>PROC:PROC-AP-AND-ACCRUALS; APCTRL:AP-CYCLE-CONTROLS</t>
        </is>
      </c>
      <c r="Q38" s="45" t="n"/>
    </row>
  </sheetData>
  <autoFilter ref="A6:Q38"/>
  <mergeCells count="12">
    <mergeCell ref="I16:Q16"/>
    <mergeCell ref="I7:Q7"/>
    <mergeCell ref="I25:Q25"/>
    <mergeCell ref="I19:Q19"/>
    <mergeCell ref="I37:Q37"/>
    <mergeCell ref="I13:Q13"/>
    <mergeCell ref="I22:Q22"/>
    <mergeCell ref="I9:Q9"/>
    <mergeCell ref="I30:Q30"/>
    <mergeCell ref="I34:Q34"/>
    <mergeCell ref="I27:Q27"/>
    <mergeCell ref="A4:Q4"/>
  </mergeCells>
  <conditionalFormatting sqref="A8:Q38">
    <cfRule type="expression" priority="1" dxfId="0">
      <formula>AND($F8="Open",$P8&lt;&gt;"")</formula>
    </cfRule>
    <cfRule type="expression" priority="2" dxfId="1">
      <formula>OR($H8="Blocked",AND($F8="Open",$P8=""))</formula>
    </cfRule>
    <cfRule type="expression" priority="3" dxfId="2">
      <formula>$H8="Passed"</formula>
    </cfRule>
    <cfRule type="expression" priority="4" dxfId="3">
      <formula>OR($H8="Valid N/A",$H8="Recommended - Not Performed")</formula>
    </cfRule>
  </conditionalFormatting>
  <dataValidations count="7">
    <dataValidation sqref="A8 A10 A11 A12 A14 A15 A17 A18 A20 A21 A23 A24 A26 A28 A29 A31 A32 A33 A35 A36 A38" showDropDown="0" showInputMessage="0" showErrorMessage="0" allowBlank="0" type="list">
      <formula1>"Applicable,Not Applicable - Fact Driven"</formula1>
    </dataValidation>
    <dataValidation sqref="B8 B10 B11 B12 B14 B15 B17 B18 B20 B21 B23 B24 B26 B28 B29 B31 B32 B33 B35 B36 B38" showDropDown="0" showInputMessage="0" showErrorMessage="0" allowBlank="0" type="list">
      <formula1>"Required,Recommended"</formula1>
    </dataValidation>
    <dataValidation sqref="C8 C10 C11 C12 C14 C15 C17 C18 C20 C21 C23 C24 C26 C28 C29 C31 C32 C33 C35 C36 C38" showDropDown="0" showInputMessage="0" showErrorMessage="0" allowBlank="0" type="list">
      <formula1>"Not Started,In Progress,Performed,Not Performed"</formula1>
    </dataValidation>
    <dataValidation sqref="D8 D10 D11 D12 D14 D15 D17 D18 D20 D21 D23 D24 D26 D28 D29 D31 D32 D33 D35 D36 D38" showDropDown="0" showInputMessage="0" showErrorMessage="0" allowBlank="0" type="list">
      <formula1>"Sufficient,Missing,Unreadable,Unreliable,Contradictory,Not Required"</formula1>
    </dataValidation>
    <dataValidation sqref="E8 E10 E11 E12 E14 E15 E17 E18 E20 E21 E23 E24 E26 E28 E29 E31 E32 E33 E35 E36 E38" showDropDown="0" showInputMessage="0" showErrorMessage="0" allowBlank="0" type="list">
      <formula1>"No Exception,Exception Identified,Unable to Conclude"</formula1>
    </dataValidation>
    <dataValidation sqref="F8 F10 F11 F12 F14 F15 F17 F18 F20 F21 F23 F24 F26 F28 F29 F31 F32 F33 F35 F36 F38" showDropDown="0" showInputMessage="0" showErrorMessage="0" allowBlank="0" type="list">
      <formula1>"None,Open,Adjusted,Passed,Resolved,Superseded"</formula1>
    </dataValidation>
    <dataValidation sqref="G8 G10 G11 G12 G14 G15 G17 G18 G20 G21 G23 G24 G26 G28 G29 G31 G32 G33 G35 G36 G38" showDropDown="0" showInputMessage="0" showErrorMessage="0" allowBlank="0" type="list">
      <formula1>"Unsigned,Prepared,Reviewed,Superseded"</formula1>
    </dataValidation>
  </dataValidations>
  <printOptions horizontalCentered="0" verticalCentered="0"/>
  <pageMargins left="0.25" right="0.25" top="0.5" bottom="0.5" header="0.2" footer="0.2"/>
  <pageSetup orientation="landscape" paperSize="1" fitToHeight="0" fitToWidth="2" horizontalDpi="300" verticalDpi="300"/>
</worksheet>
</file>

<file path=xl/worksheets/sheet2.xml><?xml version="1.0" encoding="utf-8"?>
<worksheet xmlns="http://schemas.openxmlformats.org/spreadsheetml/2006/main">
  <sheetPr>
    <outlinePr summaryBelow="1" summaryRight="1"/>
    <pageSetUpPr autoPageBreaks="0" fitToPage="1"/>
  </sheetPr>
  <dimension ref="A1:H32"/>
  <sheetViews>
    <sheetView showGridLines="0" zoomScale="90" zoomScaleNormal="100" workbookViewId="0">
      <pane ySplit="7" topLeftCell="A8" activePane="bottomLeft" state="frozen"/>
      <selection pane="bottomLeft" activeCell="A1" sqref="A1:A1048576"/>
    </sheetView>
  </sheetViews>
  <sheetFormatPr baseColWidth="8" defaultColWidth="8.6328125" defaultRowHeight="14.5"/>
  <cols>
    <col width="21.90625" bestFit="1" customWidth="1" min="1" max="1"/>
    <col width="36" customWidth="1" min="2" max="2"/>
    <col width="20" customWidth="1" min="3" max="3"/>
    <col width="37.7" customWidth="1" min="4" max="4"/>
    <col width="12" customWidth="1" min="5" max="5"/>
    <col width="24" customWidth="1" min="6" max="6"/>
    <col width="34" customWidth="1" min="7" max="7"/>
    <col width="13" customWidth="1" min="8" max="8"/>
  </cols>
  <sheetData>
    <row r="1" ht="17.5" customHeight="1">
      <c r="A1" s="48" t="inlineStr">
        <is>
          <t>Source Index</t>
        </is>
      </c>
      <c r="B1" s="38" t="n"/>
      <c r="C1" s="38" t="n"/>
      <c r="D1" s="38" t="n"/>
      <c r="E1" s="38" t="n"/>
      <c r="F1" s="38" t="n"/>
      <c r="G1" s="38" t="n"/>
      <c r="H1" s="38" t="n"/>
    </row>
    <row r="2">
      <c r="A2" s="49" t="inlineStr">
        <is>
          <t>Client / Entity</t>
        </is>
      </c>
      <c r="B2" s="39" t="inlineStr">
        <is>
          <t>Vaquite Industries, Inc.</t>
        </is>
      </c>
      <c r="C2" s="38" t="n"/>
      <c r="D2" s="49" t="inlineStr">
        <is>
          <t>Year-End</t>
        </is>
      </c>
      <c r="E2" s="50" t="n">
        <v>46022</v>
      </c>
      <c r="F2" s="38" t="n"/>
      <c r="G2" s="49" t="inlineStr">
        <is>
          <t>Currency</t>
        </is>
      </c>
      <c r="H2" s="51" t="inlineStr">
        <is>
          <t>USD</t>
        </is>
      </c>
    </row>
    <row r="3" ht="27" customHeight="1">
      <c r="A3" s="52" t="inlineStr">
        <is>
          <t>Performance Materiality</t>
        </is>
      </c>
      <c r="B3" s="53" t="n">
        <v>23100</v>
      </c>
      <c r="C3" s="38" t="n"/>
      <c r="D3" s="52" t="inlineStr">
        <is>
          <t>Tolerable misstatement / testing threshold</t>
        </is>
      </c>
      <c r="E3" s="53" t="n">
        <v>20800</v>
      </c>
      <c r="F3" s="38" t="n"/>
      <c r="G3" s="38" t="n"/>
      <c r="H3" s="38" t="n"/>
    </row>
    <row r="4" ht="15" customHeight="1">
      <c r="A4" s="54" t="inlineStr">
        <is>
          <t>Purpose:</t>
        </is>
      </c>
      <c r="B4" s="55" t="inlineStr">
        <is>
          <t>Map every AP PBC source and its limitations so the evidence trail is complete and traceable.</t>
        </is>
      </c>
      <c r="C4" s="38" t="n"/>
      <c r="D4" s="38" t="n"/>
      <c r="E4" s="38" t="n"/>
      <c r="F4" s="38" t="n"/>
      <c r="G4" s="38" t="n"/>
      <c r="H4" s="38" t="n"/>
    </row>
    <row r="5" ht="42" customHeight="1">
      <c r="A5" s="54" t="inlineStr">
        <is>
          <t>Scope:</t>
        </is>
      </c>
      <c r="B5" s="55" t="inlineStr">
        <is>
          <t>All client-provided AP support: trade-only AP aging/sub-ledger, GL detail, subsequent disbursement records / bank statements, open/unpaid invoice file, vendor statements, RNI / unmatched-receiving report.</t>
        </is>
      </c>
      <c r="C5" s="38" t="n"/>
      <c r="D5" s="38" t="n"/>
      <c r="E5" s="38" t="n"/>
      <c r="F5" s="38" t="n"/>
      <c r="G5" s="38" t="n"/>
      <c r="H5" s="38" t="n"/>
    </row>
    <row r="6" ht="15" customHeight="1">
      <c r="A6" s="54" t="inlineStr">
        <is>
          <t>Assertions:</t>
        </is>
      </c>
      <c r="B6" s="55" t="inlineStr">
        <is>
          <t>Completeness</t>
        </is>
      </c>
      <c r="C6" s="38" t="n"/>
      <c r="D6" s="38" t="n"/>
      <c r="E6" s="38" t="n"/>
      <c r="F6" s="38" t="n"/>
      <c r="G6" s="38" t="n"/>
      <c r="H6" s="38" t="n"/>
    </row>
    <row r="7" ht="30" customHeight="1">
      <c r="A7" s="56" t="inlineStr">
        <is>
          <t>Ref</t>
        </is>
      </c>
      <c r="B7" s="56" t="inlineStr">
        <is>
          <t>Source document / PBC</t>
        </is>
      </c>
      <c r="C7" s="56" t="inlineStr">
        <is>
          <t>Provided by</t>
        </is>
      </c>
      <c r="D7" s="56" t="inlineStr">
        <is>
          <t>Date received</t>
        </is>
      </c>
      <c r="E7" s="56" t="inlineStr">
        <is>
          <t>Format</t>
        </is>
      </c>
      <c r="F7" s="56" t="inlineStr">
        <is>
          <t>Used in tab(s)</t>
        </is>
      </c>
      <c r="G7" s="56" t="inlineStr">
        <is>
          <t>Limitations / notes</t>
        </is>
      </c>
      <c r="H7" s="38" t="n"/>
    </row>
    <row r="8">
      <c r="A8" s="57" t="n"/>
      <c r="B8" s="57" t="n"/>
      <c r="C8" s="57" t="n"/>
      <c r="D8" s="57" t="n"/>
      <c r="E8" s="57" t="n"/>
      <c r="F8" s="57" t="n"/>
      <c r="G8" s="57" t="n"/>
      <c r="H8" s="38" t="n"/>
    </row>
    <row r="9">
      <c r="A9" s="57" t="n"/>
      <c r="B9" s="57" t="n"/>
      <c r="C9" s="57" t="n"/>
      <c r="D9" s="57" t="n"/>
      <c r="E9" s="57" t="n"/>
      <c r="F9" s="57" t="n"/>
      <c r="G9" s="57" t="n"/>
      <c r="H9" s="38" t="n"/>
    </row>
    <row r="10">
      <c r="A10" s="57" t="n"/>
      <c r="B10" s="57" t="n"/>
      <c r="C10" s="57" t="n"/>
      <c r="D10" s="57" t="n"/>
      <c r="E10" s="57" t="n"/>
      <c r="F10" s="57" t="n"/>
      <c r="G10" s="57" t="n"/>
      <c r="H10" s="38" t="n"/>
    </row>
    <row r="11">
      <c r="A11" s="57" t="n"/>
      <c r="B11" s="57" t="n"/>
      <c r="C11" s="57" t="n"/>
      <c r="D11" s="57" t="n"/>
      <c r="E11" s="57" t="n"/>
      <c r="F11" s="57" t="n"/>
      <c r="G11" s="57" t="n"/>
      <c r="H11" s="38" t="n"/>
    </row>
    <row r="12">
      <c r="A12" s="57" t="n"/>
      <c r="B12" s="57" t="n"/>
      <c r="C12" s="57" t="n"/>
      <c r="D12" s="57" t="n"/>
      <c r="E12" s="57" t="n"/>
      <c r="F12" s="57" t="n"/>
      <c r="G12" s="57" t="n"/>
      <c r="H12" s="38" t="n"/>
    </row>
    <row r="13">
      <c r="A13" s="57" t="n"/>
      <c r="B13" s="57" t="n"/>
      <c r="C13" s="57" t="n"/>
      <c r="D13" s="57" t="n"/>
      <c r="E13" s="57" t="n"/>
      <c r="F13" s="57" t="n"/>
      <c r="G13" s="57" t="n"/>
      <c r="H13" s="38" t="n"/>
    </row>
    <row r="14">
      <c r="A14" s="57" t="n"/>
      <c r="B14" s="57" t="n"/>
      <c r="C14" s="57" t="n"/>
      <c r="D14" s="57" t="n"/>
      <c r="E14" s="57" t="n"/>
      <c r="F14" s="57" t="n"/>
      <c r="G14" s="57" t="n"/>
      <c r="H14" s="38" t="n"/>
    </row>
    <row r="15">
      <c r="A15" s="57" t="n"/>
      <c r="B15" s="57" t="n"/>
      <c r="C15" s="57" t="n"/>
      <c r="D15" s="57" t="n"/>
      <c r="E15" s="57" t="n"/>
      <c r="F15" s="57" t="n"/>
      <c r="G15" s="57" t="n"/>
      <c r="H15" s="38" t="n"/>
    </row>
    <row r="16">
      <c r="A16" s="57" t="n"/>
      <c r="B16" s="57" t="n"/>
      <c r="C16" s="57" t="n"/>
      <c r="D16" s="57" t="n"/>
      <c r="E16" s="57" t="n"/>
      <c r="F16" s="57" t="n"/>
      <c r="G16" s="57" t="n"/>
      <c r="H16" s="38" t="n"/>
    </row>
    <row r="17">
      <c r="A17" s="57" t="n"/>
      <c r="B17" s="57" t="n"/>
      <c r="C17" s="57" t="n"/>
      <c r="D17" s="57" t="n"/>
      <c r="E17" s="57" t="n"/>
      <c r="F17" s="57" t="n"/>
      <c r="G17" s="57" t="n"/>
      <c r="H17" s="38" t="n"/>
    </row>
    <row r="18">
      <c r="A18" s="57" t="n"/>
      <c r="B18" s="57" t="n"/>
      <c r="C18" s="57" t="n"/>
      <c r="D18" s="57" t="n"/>
      <c r="E18" s="57" t="n"/>
      <c r="F18" s="57" t="n"/>
      <c r="G18" s="57" t="n"/>
      <c r="H18" s="38" t="n"/>
    </row>
    <row r="19">
      <c r="A19" s="57" t="n"/>
      <c r="B19" s="57" t="n"/>
      <c r="C19" s="57" t="n"/>
      <c r="D19" s="57" t="n"/>
      <c r="E19" s="57" t="n"/>
      <c r="F19" s="57" t="n"/>
      <c r="G19" s="57" t="n"/>
      <c r="H19" s="38" t="n"/>
    </row>
    <row r="20">
      <c r="A20" s="38" t="n"/>
      <c r="B20" s="38" t="n"/>
      <c r="C20" s="38" t="n"/>
      <c r="D20" s="38" t="n"/>
      <c r="E20" s="38" t="n"/>
      <c r="F20" s="38" t="n"/>
      <c r="G20" s="38" t="n"/>
      <c r="H20" s="38" t="n"/>
    </row>
    <row r="21">
      <c r="A21" s="54" t="inlineStr">
        <is>
          <t>TM Legends</t>
        </is>
      </c>
      <c r="B21" s="38" t="n"/>
      <c r="C21" s="38" t="n"/>
      <c r="D21" s="38" t="n"/>
      <c r="E21" s="38" t="n"/>
      <c r="F21" s="38" t="n"/>
      <c r="G21" s="38" t="n"/>
      <c r="H21" s="38" t="n"/>
    </row>
    <row r="22">
      <c r="A22" s="58" t="inlineStr">
        <is>
          <t>TB</t>
        </is>
      </c>
      <c r="B22" s="44" t="inlineStr">
        <is>
          <t>Agreed to trial balance</t>
        </is>
      </c>
      <c r="C22" s="59" t="n"/>
      <c r="D22" s="60" t="n"/>
      <c r="E22" s="38" t="n"/>
      <c r="F22" s="38" t="n"/>
      <c r="G22" s="38" t="n"/>
      <c r="H22" s="38" t="n"/>
    </row>
    <row r="23">
      <c r="A23" s="58" t="inlineStr">
        <is>
          <t>GL</t>
        </is>
      </c>
      <c r="B23" s="44" t="inlineStr">
        <is>
          <t>Agreed to general ledger</t>
        </is>
      </c>
      <c r="C23" s="59" t="n"/>
      <c r="D23" s="60" t="n"/>
      <c r="E23" s="38" t="n"/>
      <c r="F23" s="38" t="n"/>
      <c r="G23" s="38" t="n"/>
      <c r="H23" s="38" t="n"/>
    </row>
    <row r="24">
      <c r="A24" s="58" t="inlineStr">
        <is>
          <t>CF</t>
        </is>
      </c>
      <c r="B24" s="44" t="inlineStr">
        <is>
          <t>Confirmed with third party</t>
        </is>
      </c>
      <c r="C24" s="59" t="n"/>
      <c r="D24" s="60" t="n"/>
      <c r="E24" s="38" t="n"/>
      <c r="F24" s="38" t="n"/>
      <c r="G24" s="38" t="n"/>
      <c r="H24" s="38" t="n"/>
    </row>
    <row r="25">
      <c r="A25" s="58" t="inlineStr">
        <is>
          <t>V</t>
        </is>
      </c>
      <c r="B25" s="44" t="inlineStr">
        <is>
          <t>Vouched to source document</t>
        </is>
      </c>
      <c r="C25" s="59" t="n"/>
      <c r="D25" s="60" t="n"/>
      <c r="E25" s="38" t="n"/>
      <c r="F25" s="38" t="n"/>
      <c r="G25" s="38" t="n"/>
      <c r="H25" s="38" t="n"/>
    </row>
    <row r="26">
      <c r="A26" s="58" t="inlineStr">
        <is>
          <t>SR</t>
        </is>
      </c>
      <c r="B26" s="44" t="inlineStr">
        <is>
          <t>Agreed to subsequent bank-cleared receipt</t>
        </is>
      </c>
      <c r="C26" s="59" t="n"/>
      <c r="D26" s="60" t="n"/>
      <c r="E26" s="38" t="n"/>
      <c r="F26" s="38" t="n"/>
      <c r="G26" s="38" t="n"/>
      <c r="H26" s="38" t="n"/>
    </row>
    <row r="27">
      <c r="A27" s="58" t="inlineStr">
        <is>
          <t>R</t>
        </is>
      </c>
      <c r="B27" s="44" t="inlineStr">
        <is>
          <t>Recalculated independently</t>
        </is>
      </c>
      <c r="C27" s="59" t="n"/>
      <c r="D27" s="60" t="n"/>
      <c r="E27" s="38" t="n"/>
      <c r="F27" s="38" t="n"/>
      <c r="G27" s="38" t="n"/>
      <c r="H27" s="38" t="n"/>
    </row>
    <row r="28">
      <c r="A28" s="58" t="inlineStr">
        <is>
          <t>F</t>
        </is>
      </c>
      <c r="B28" s="44" t="inlineStr">
        <is>
          <t>Footed / cross-cast</t>
        </is>
      </c>
      <c r="C28" s="59" t="n"/>
      <c r="D28" s="60" t="n"/>
      <c r="E28" s="38" t="n"/>
      <c r="F28" s="38" t="n"/>
      <c r="G28" s="38" t="n"/>
      <c r="H28" s="38" t="n"/>
    </row>
    <row r="29">
      <c r="A29" s="58" t="inlineStr">
        <is>
          <t>T</t>
        </is>
      </c>
      <c r="B29" s="44" t="inlineStr">
        <is>
          <t>Traced to downstream record</t>
        </is>
      </c>
      <c r="C29" s="59" t="n"/>
      <c r="D29" s="60" t="n"/>
      <c r="E29" s="38" t="n"/>
      <c r="F29" s="38" t="n"/>
      <c r="G29" s="38" t="n"/>
      <c r="H29" s="38" t="n"/>
    </row>
    <row r="30">
      <c r="A30" s="58" t="inlineStr">
        <is>
          <t>PBC</t>
        </is>
      </c>
      <c r="B30" s="44" t="inlineStr">
        <is>
          <t>Prepared by client</t>
        </is>
      </c>
      <c r="C30" s="59" t="n"/>
      <c r="D30" s="60" t="n"/>
      <c r="E30" s="38" t="n"/>
      <c r="F30" s="38" t="n"/>
      <c r="G30" s="38" t="n"/>
      <c r="H30" s="38" t="n"/>
    </row>
    <row r="31">
      <c r="A31" s="38" t="n"/>
      <c r="B31" s="38" t="n"/>
      <c r="C31" s="38" t="n"/>
      <c r="D31" s="38" t="n"/>
      <c r="E31" s="38" t="n"/>
      <c r="F31" s="38" t="n"/>
      <c r="G31" s="38" t="n"/>
      <c r="H31" s="38" t="n"/>
    </row>
    <row r="32" ht="25.5" customHeight="1">
      <c r="A32" s="40" t="inlineStr">
        <is>
          <t>Before sign-off complete Library Procedure 1 (source completeness &amp; limitations).</t>
        </is>
      </c>
      <c r="B32" s="38" t="n"/>
      <c r="C32" s="38" t="n"/>
      <c r="D32" s="38" t="n"/>
      <c r="E32" s="38" t="n"/>
      <c r="F32" s="38" t="n"/>
      <c r="G32" s="38" t="n"/>
      <c r="H32" s="38" t="n"/>
    </row>
  </sheetData>
  <mergeCells count="13">
    <mergeCell ref="A32:G32"/>
    <mergeCell ref="B28:D28"/>
    <mergeCell ref="B5:G5"/>
    <mergeCell ref="B23:D23"/>
    <mergeCell ref="B22:D22"/>
    <mergeCell ref="B26:D26"/>
    <mergeCell ref="B27:D27"/>
    <mergeCell ref="B4:G4"/>
    <mergeCell ref="B30:D30"/>
    <mergeCell ref="B29:D29"/>
    <mergeCell ref="B25:D25"/>
    <mergeCell ref="B24:D24"/>
    <mergeCell ref="B6:G6"/>
  </mergeCells>
  <printOptions horizontalCentered="0" verticalCentered="0"/>
  <pageMargins left="0.25" right="0.25" top="0.5" bottom="0.5" header="0.2" footer="0.2"/>
  <pageSetup orientation="portrait" paperSize="1" fitToHeight="0" fitToWidth="1" horizontalDpi="300" verticalDpi="300"/>
</worksheet>
</file>

<file path=xl/worksheets/sheet3.xml><?xml version="1.0" encoding="utf-8"?>
<worksheet xmlns="http://schemas.openxmlformats.org/spreadsheetml/2006/main">
  <sheetPr>
    <outlinePr summaryBelow="1" summaryRight="1"/>
    <pageSetUpPr autoPageBreaks="0" fitToPage="1"/>
  </sheetPr>
  <dimension ref="A1:I34"/>
  <sheetViews>
    <sheetView showGridLines="0" zoomScale="90" zoomScaleNormal="100" workbookViewId="0">
      <pane xSplit="1" ySplit="7" topLeftCell="B8" activePane="bottomRight" state="frozen"/>
      <selection pane="topRight"/>
      <selection pane="bottomLeft"/>
      <selection pane="bottomRight" activeCell="A1" sqref="A1:A1048576"/>
    </sheetView>
  </sheetViews>
  <sheetFormatPr baseColWidth="8" defaultColWidth="8.6328125" defaultRowHeight="14.5"/>
  <cols>
    <col width="22" customWidth="1" min="1" max="1"/>
    <col width="22.4" customWidth="1" min="2" max="2"/>
    <col width="26" customWidth="1" min="3" max="3"/>
    <col width="37.7" customWidth="1" min="4" max="5"/>
    <col width="13.05" customWidth="1" min="5" max="5"/>
    <col width="30.9" customWidth="1" min="6" max="6"/>
    <col width="34.3" customWidth="1" min="7" max="7"/>
    <col width="26" customWidth="1" min="8" max="9"/>
    <col width="16.45" customWidth="1" min="9" max="9"/>
  </cols>
  <sheetData>
    <row r="1" ht="17.5" customHeight="1">
      <c r="A1" s="48" t="inlineStr">
        <is>
          <t>AP Lead Sheet</t>
        </is>
      </c>
      <c r="B1" s="38" t="n"/>
      <c r="C1" s="38" t="n"/>
      <c r="D1" s="38" t="n"/>
      <c r="E1" s="38" t="n"/>
      <c r="F1" s="38" t="n"/>
      <c r="G1" s="38" t="n"/>
      <c r="H1" s="38" t="n"/>
      <c r="I1" s="38" t="n"/>
    </row>
    <row r="2" ht="27" customHeight="1">
      <c r="A2" s="49" t="inlineStr">
        <is>
          <t>Client / Entity</t>
        </is>
      </c>
      <c r="B2" s="39" t="inlineStr">
        <is>
          <t>Vaquite Industries, Inc.</t>
        </is>
      </c>
      <c r="C2" s="38" t="n"/>
      <c r="D2" s="49" t="inlineStr">
        <is>
          <t>Year-End</t>
        </is>
      </c>
      <c r="E2" s="50" t="n">
        <v>46022</v>
      </c>
      <c r="F2" s="38" t="n"/>
      <c r="G2" s="49" t="inlineStr">
        <is>
          <t>Currency</t>
        </is>
      </c>
      <c r="H2" s="51" t="inlineStr">
        <is>
          <t>USD</t>
        </is>
      </c>
      <c r="I2" s="38" t="n"/>
    </row>
    <row r="3" ht="27" customHeight="1">
      <c r="A3" s="52" t="inlineStr">
        <is>
          <t>Performance Materiality</t>
        </is>
      </c>
      <c r="B3" s="53" t="n">
        <v>23100</v>
      </c>
      <c r="C3" s="38" t="n"/>
      <c r="D3" s="52" t="inlineStr">
        <is>
          <t>Tolerable misstatement / testing threshold</t>
        </is>
      </c>
      <c r="E3" s="53" t="n">
        <v>20800</v>
      </c>
      <c r="F3" s="38" t="n"/>
      <c r="G3" s="38" t="n"/>
      <c r="H3" s="38" t="n"/>
      <c r="I3" s="38" t="n"/>
    </row>
    <row r="4" ht="27.75" customHeight="1">
      <c r="A4" s="54" t="inlineStr">
        <is>
          <t>Purpose:</t>
        </is>
      </c>
      <c r="B4" s="55" t="inlineStr">
        <is>
          <t>Summarize the trade-payable population and tie CY/PY balances to the trial balance and general ledger.</t>
        </is>
      </c>
      <c r="C4" s="38" t="n"/>
      <c r="D4" s="38" t="n"/>
      <c r="E4" s="38" t="n"/>
      <c r="F4" s="38" t="n"/>
      <c r="G4" s="38" t="n"/>
      <c r="H4" s="38" t="n"/>
      <c r="I4" s="38" t="n"/>
    </row>
    <row r="5" ht="42" customHeight="1">
      <c r="A5" s="54" t="inlineStr">
        <is>
          <t>Scope:</t>
        </is>
      </c>
      <c r="B5" s="55" t="inlineStr">
        <is>
          <t>Trade payables only (sign convention: positive payable magnitudes). Non-trade items miscoded into the AP aging (e.g. accrued payroll, customer deposits) are excluded and addressed separately.</t>
        </is>
      </c>
      <c r="C5" s="38" t="n"/>
      <c r="D5" s="38" t="n"/>
      <c r="E5" s="38" t="n"/>
      <c r="F5" s="38" t="n"/>
      <c r="G5" s="38" t="n"/>
      <c r="H5" s="38" t="n"/>
      <c r="I5" s="38" t="n"/>
    </row>
    <row r="6" ht="15" customHeight="1">
      <c r="A6" s="54" t="inlineStr">
        <is>
          <t>Assertions:</t>
        </is>
      </c>
      <c r="B6" s="55" t="inlineStr">
        <is>
          <t>Completeness; Existence; Rights &amp; Obligations; Accuracy</t>
        </is>
      </c>
      <c r="C6" s="38" t="n"/>
      <c r="D6" s="38" t="n"/>
      <c r="E6" s="38" t="n"/>
      <c r="F6" s="38" t="n"/>
      <c r="G6" s="38" t="n"/>
      <c r="H6" s="38" t="n"/>
      <c r="I6" s="38" t="n"/>
    </row>
    <row r="7" ht="30" customHeight="1">
      <c r="A7" s="56" t="inlineStr">
        <is>
          <t>Entity / Property</t>
        </is>
      </c>
      <c r="B7" s="56" t="inlineStr">
        <is>
          <t>GL Account</t>
        </is>
      </c>
      <c r="C7" s="56" t="inlineStr">
        <is>
          <t>Account Description</t>
        </is>
      </c>
      <c r="D7" s="56" t="inlineStr">
        <is>
          <t>CY TB Balance</t>
        </is>
      </c>
      <c r="E7" s="56" t="inlineStr">
        <is>
          <t>PY TB Balance</t>
        </is>
      </c>
      <c r="F7" s="56" t="inlineStr">
        <is>
          <t>Difference</t>
        </is>
      </c>
      <c r="G7" s="56" t="inlineStr">
        <is>
          <t>% Change</t>
        </is>
      </c>
      <c r="H7" s="56" t="inlineStr">
        <is>
          <t>Testing Disposition</t>
        </is>
      </c>
      <c r="I7" s="56" t="inlineStr">
        <is>
          <t>Source / Comments</t>
        </is>
      </c>
    </row>
    <row r="8">
      <c r="A8" s="38" t="n"/>
      <c r="B8" s="38" t="n"/>
      <c r="C8" s="38" t="n"/>
      <c r="D8" s="61" t="inlineStr">
        <is>
          <t>TB</t>
        </is>
      </c>
      <c r="E8" s="61" t="inlineStr">
        <is>
          <t>PY</t>
        </is>
      </c>
      <c r="F8" s="61" t="inlineStr">
        <is>
          <t>R</t>
        </is>
      </c>
      <c r="G8" s="61" t="inlineStr">
        <is>
          <t>R</t>
        </is>
      </c>
      <c r="H8" s="38" t="n"/>
      <c r="I8" s="38" t="n"/>
    </row>
    <row r="9">
      <c r="A9" s="57" t="n"/>
      <c r="B9" s="57" t="n"/>
      <c r="C9" s="57" t="n"/>
      <c r="D9" s="62" t="n"/>
      <c r="E9" s="62" t="n"/>
      <c r="F9" s="63">
        <f>IF(AND(D9="",E9=""),"",D9-E9)</f>
        <v/>
      </c>
      <c r="G9" s="64">
        <f>IF(OR(E9="",E9=0),"",(D9-E9)/E9)</f>
        <v/>
      </c>
      <c r="H9" s="57" t="n"/>
      <c r="I9" s="57" t="n"/>
    </row>
    <row r="10" ht="27" customHeight="1">
      <c r="A10" s="57" t="n"/>
      <c r="B10" s="57" t="n"/>
      <c r="C10" s="57" t="n"/>
      <c r="D10" s="62" t="n"/>
      <c r="E10" s="62" t="n"/>
      <c r="F10" s="63">
        <f>IF(AND(D10="",E10=""),"",D10-E10)</f>
        <v/>
      </c>
      <c r="G10" s="64">
        <f>IF(OR(E10="",E10=0),"",(D10-E10)/E10)</f>
        <v/>
      </c>
      <c r="H10" s="57" t="n"/>
      <c r="I10" s="57" t="n"/>
    </row>
    <row r="11" ht="27" customHeight="1">
      <c r="A11" s="57" t="n"/>
      <c r="B11" s="57" t="n"/>
      <c r="C11" s="57" t="n"/>
      <c r="D11" s="62" t="n"/>
      <c r="E11" s="62" t="n"/>
      <c r="F11" s="63">
        <f>IF(AND(D11="",E11=""),"",D11-E11)</f>
        <v/>
      </c>
      <c r="G11" s="64">
        <f>IF(OR(E11="",E11=0),"",(D11-E11)/E11)</f>
        <v/>
      </c>
      <c r="H11" s="57" t="n"/>
      <c r="I11" s="57" t="n"/>
    </row>
    <row r="12" ht="27" customHeight="1">
      <c r="A12" s="57" t="n"/>
      <c r="B12" s="57" t="n"/>
      <c r="C12" s="57" t="n"/>
      <c r="D12" s="62" t="n"/>
      <c r="E12" s="62" t="n"/>
      <c r="F12" s="63">
        <f>IF(AND(D12="",E12=""),"",D12-E12)</f>
        <v/>
      </c>
      <c r="G12" s="64">
        <f>IF(OR(E12="",E12=0),"",(D12-E12)/E12)</f>
        <v/>
      </c>
      <c r="H12" s="57" t="n"/>
      <c r="I12" s="57" t="n"/>
    </row>
    <row r="13" ht="27" customHeight="1">
      <c r="A13" s="57" t="n"/>
      <c r="B13" s="57" t="n"/>
      <c r="C13" s="57" t="n"/>
      <c r="D13" s="62" t="n"/>
      <c r="E13" s="62" t="n"/>
      <c r="F13" s="63">
        <f>IF(AND(D13="",E13=""),"",D13-E13)</f>
        <v/>
      </c>
      <c r="G13" s="64">
        <f>IF(OR(E13="",E13=0),"",(D13-E13)/E13)</f>
        <v/>
      </c>
      <c r="H13" s="57" t="n"/>
      <c r="I13" s="57" t="n"/>
    </row>
    <row r="14" ht="27" customHeight="1">
      <c r="A14" s="57" t="n"/>
      <c r="B14" s="57" t="n"/>
      <c r="C14" s="57" t="n"/>
      <c r="D14" s="62" t="n"/>
      <c r="E14" s="62" t="n"/>
      <c r="F14" s="63">
        <f>IF(AND(D14="",E14=""),"",D14-E14)</f>
        <v/>
      </c>
      <c r="G14" s="64">
        <f>IF(OR(E14="",E14=0),"",(D14-E14)/E14)</f>
        <v/>
      </c>
      <c r="H14" s="57" t="n"/>
      <c r="I14" s="57" t="n"/>
    </row>
    <row r="15" ht="27" customHeight="1">
      <c r="A15" s="57" t="n"/>
      <c r="B15" s="57" t="n"/>
      <c r="C15" s="57" t="n"/>
      <c r="D15" s="62" t="n"/>
      <c r="E15" s="62" t="n"/>
      <c r="F15" s="63">
        <f>IF(AND(D15="",E15=""),"",D15-E15)</f>
        <v/>
      </c>
      <c r="G15" s="64">
        <f>IF(OR(E15="",E15=0),"",(D15-E15)/E15)</f>
        <v/>
      </c>
      <c r="H15" s="57" t="n"/>
      <c r="I15" s="57" t="n"/>
    </row>
    <row r="16" ht="27" customHeight="1">
      <c r="A16" s="57" t="n"/>
      <c r="B16" s="57" t="n"/>
      <c r="C16" s="57" t="n"/>
      <c r="D16" s="62" t="n"/>
      <c r="E16" s="62" t="n"/>
      <c r="F16" s="63">
        <f>IF(AND(D16="",E16=""),"",D16-E16)</f>
        <v/>
      </c>
      <c r="G16" s="64">
        <f>IF(OR(E16="",E16=0),"",(D16-E16)/E16)</f>
        <v/>
      </c>
      <c r="H16" s="57" t="n"/>
      <c r="I16" s="57" t="n"/>
    </row>
    <row r="17" ht="27" customHeight="1">
      <c r="A17" s="57" t="n"/>
      <c r="B17" s="57" t="n"/>
      <c r="C17" s="57" t="n"/>
      <c r="D17" s="62" t="n"/>
      <c r="E17" s="62" t="n"/>
      <c r="F17" s="63">
        <f>IF(AND(D17="",E17=""),"",D17-E17)</f>
        <v/>
      </c>
      <c r="G17" s="64">
        <f>IF(OR(E17="",E17=0),"",(D17-E17)/E17)</f>
        <v/>
      </c>
      <c r="H17" s="57" t="n"/>
      <c r="I17" s="57" t="n"/>
    </row>
    <row r="18" ht="27" customHeight="1">
      <c r="A18" s="57" t="n"/>
      <c r="B18" s="57" t="n"/>
      <c r="C18" s="57" t="n"/>
      <c r="D18" s="62" t="n"/>
      <c r="E18" s="62" t="n"/>
      <c r="F18" s="63">
        <f>IF(AND(D18="",E18=""),"",D18-E18)</f>
        <v/>
      </c>
      <c r="G18" s="64">
        <f>IF(OR(E18="",E18=0),"",(D18-E18)/E18)</f>
        <v/>
      </c>
      <c r="H18" s="57" t="n"/>
      <c r="I18" s="57" t="n"/>
    </row>
    <row r="19">
      <c r="A19" s="65" t="inlineStr">
        <is>
          <t>Total per lead sheet</t>
        </is>
      </c>
      <c r="B19" s="66" t="n"/>
      <c r="C19" s="66" t="n"/>
      <c r="D19" s="67">
        <f>SUM(D9:D18)</f>
        <v/>
      </c>
      <c r="E19" s="67">
        <f>SUM(E9:E18)</f>
        <v/>
      </c>
      <c r="F19" s="67">
        <f>SUM(F9:F18)</f>
        <v/>
      </c>
      <c r="G19" s="66" t="n"/>
      <c r="H19" s="66" t="n"/>
      <c r="I19" s="66" t="n"/>
    </row>
    <row r="20">
      <c r="A20" s="38" t="n"/>
      <c r="B20" s="38" t="n"/>
      <c r="C20" s="38" t="n"/>
      <c r="D20" s="38" t="n"/>
      <c r="E20" s="38" t="n"/>
      <c r="F20" s="38" t="n"/>
      <c r="G20" s="38" t="n"/>
      <c r="H20" s="38" t="n"/>
      <c r="I20" s="38" t="n"/>
    </row>
    <row r="21" ht="25.5" customHeight="1">
      <c r="A21" s="40" t="inlineStr">
        <is>
          <t>Sign convention: payables shown as positive magnitudes. Investigate any debit balances within AP for reclassification to other assets; confirm non-trade items are not commingled in the trade-AP aging.</t>
        </is>
      </c>
      <c r="B21" s="38" t="n"/>
      <c r="C21" s="38" t="n"/>
      <c r="D21" s="38" t="n"/>
      <c r="E21" s="38" t="n"/>
      <c r="F21" s="38" t="n"/>
      <c r="G21" s="38" t="n"/>
      <c r="H21" s="38" t="n"/>
      <c r="I21" s="38" t="n"/>
    </row>
    <row r="22">
      <c r="A22" s="38" t="n"/>
      <c r="B22" s="38" t="n"/>
      <c r="C22" s="38" t="n"/>
      <c r="D22" s="38" t="n"/>
      <c r="E22" s="38" t="n"/>
      <c r="F22" s="38" t="n"/>
      <c r="G22" s="38" t="n"/>
      <c r="H22" s="38" t="n"/>
      <c r="I22" s="38" t="n"/>
    </row>
    <row r="23">
      <c r="A23" s="54" t="inlineStr">
        <is>
          <t>TM Legends</t>
        </is>
      </c>
      <c r="B23" s="38" t="n"/>
      <c r="C23" s="38" t="n"/>
      <c r="D23" s="38" t="n"/>
      <c r="E23" s="38" t="n"/>
      <c r="F23" s="38" t="n"/>
      <c r="G23" s="38" t="n"/>
      <c r="H23" s="38" t="n"/>
      <c r="I23" s="38" t="n"/>
    </row>
    <row r="24">
      <c r="A24" s="58" t="inlineStr">
        <is>
          <t>TB</t>
        </is>
      </c>
      <c r="B24" s="44" t="inlineStr">
        <is>
          <t>Agreed to trial balance</t>
        </is>
      </c>
      <c r="C24" s="59" t="n"/>
      <c r="D24" s="60" t="n"/>
      <c r="E24" s="38" t="n"/>
      <c r="F24" s="38" t="n"/>
      <c r="G24" s="38" t="n"/>
      <c r="H24" s="38" t="n"/>
      <c r="I24" s="38" t="n"/>
    </row>
    <row r="25">
      <c r="A25" s="58" t="inlineStr">
        <is>
          <t>GL</t>
        </is>
      </c>
      <c r="B25" s="44" t="inlineStr">
        <is>
          <t>Agreed to general ledger</t>
        </is>
      </c>
      <c r="C25" s="59" t="n"/>
      <c r="D25" s="60" t="n"/>
      <c r="E25" s="38" t="n"/>
      <c r="F25" s="38" t="n"/>
      <c r="G25" s="38" t="n"/>
      <c r="H25" s="38" t="n"/>
      <c r="I25" s="38" t="n"/>
    </row>
    <row r="26">
      <c r="A26" s="58" t="inlineStr">
        <is>
          <t>CF</t>
        </is>
      </c>
      <c r="B26" s="44" t="inlineStr">
        <is>
          <t>Confirmed with third party</t>
        </is>
      </c>
      <c r="C26" s="59" t="n"/>
      <c r="D26" s="60" t="n"/>
      <c r="E26" s="38" t="n"/>
      <c r="F26" s="38" t="n"/>
      <c r="G26" s="38" t="n"/>
      <c r="H26" s="38" t="n"/>
      <c r="I26" s="38" t="n"/>
    </row>
    <row r="27">
      <c r="A27" s="58" t="inlineStr">
        <is>
          <t>V</t>
        </is>
      </c>
      <c r="B27" s="44" t="inlineStr">
        <is>
          <t>Vouched to source document</t>
        </is>
      </c>
      <c r="C27" s="59" t="n"/>
      <c r="D27" s="60" t="n"/>
      <c r="E27" s="38" t="n"/>
      <c r="F27" s="38" t="n"/>
      <c r="G27" s="38" t="n"/>
      <c r="H27" s="38" t="n"/>
      <c r="I27" s="38" t="n"/>
    </row>
    <row r="28">
      <c r="A28" s="58" t="inlineStr">
        <is>
          <t>SR</t>
        </is>
      </c>
      <c r="B28" s="44" t="inlineStr">
        <is>
          <t>Agreed to subsequent bank-cleared receipt</t>
        </is>
      </c>
      <c r="C28" s="59" t="n"/>
      <c r="D28" s="60" t="n"/>
      <c r="E28" s="38" t="n"/>
      <c r="F28" s="38" t="n"/>
      <c r="G28" s="38" t="n"/>
      <c r="H28" s="38" t="n"/>
      <c r="I28" s="38" t="n"/>
    </row>
    <row r="29">
      <c r="A29" s="58" t="inlineStr">
        <is>
          <t>R</t>
        </is>
      </c>
      <c r="B29" s="44" t="inlineStr">
        <is>
          <t>Recalculated independently</t>
        </is>
      </c>
      <c r="C29" s="59" t="n"/>
      <c r="D29" s="60" t="n"/>
      <c r="E29" s="38" t="n"/>
      <c r="F29" s="38" t="n"/>
      <c r="G29" s="38" t="n"/>
      <c r="H29" s="38" t="n"/>
      <c r="I29" s="38" t="n"/>
    </row>
    <row r="30">
      <c r="A30" s="58" t="inlineStr">
        <is>
          <t>F</t>
        </is>
      </c>
      <c r="B30" s="44" t="inlineStr">
        <is>
          <t>Footed / cross-cast</t>
        </is>
      </c>
      <c r="C30" s="59" t="n"/>
      <c r="D30" s="60" t="n"/>
      <c r="E30" s="38" t="n"/>
      <c r="F30" s="38" t="n"/>
      <c r="G30" s="38" t="n"/>
      <c r="H30" s="38" t="n"/>
      <c r="I30" s="38" t="n"/>
    </row>
    <row r="31">
      <c r="A31" s="58" t="inlineStr">
        <is>
          <t>T</t>
        </is>
      </c>
      <c r="B31" s="44" t="inlineStr">
        <is>
          <t>Traced to downstream record</t>
        </is>
      </c>
      <c r="C31" s="59" t="n"/>
      <c r="D31" s="60" t="n"/>
      <c r="E31" s="38" t="n"/>
      <c r="F31" s="38" t="n"/>
      <c r="G31" s="38" t="n"/>
      <c r="H31" s="38" t="n"/>
      <c r="I31" s="38" t="n"/>
    </row>
    <row r="32">
      <c r="A32" s="58" t="inlineStr">
        <is>
          <t>PBC</t>
        </is>
      </c>
      <c r="B32" s="44" t="inlineStr">
        <is>
          <t>Prepared by client</t>
        </is>
      </c>
      <c r="C32" s="59" t="n"/>
      <c r="D32" s="60" t="n"/>
      <c r="E32" s="38" t="n"/>
      <c r="F32" s="38" t="n"/>
      <c r="G32" s="38" t="n"/>
      <c r="H32" s="38" t="n"/>
      <c r="I32" s="38" t="n"/>
    </row>
    <row r="33">
      <c r="A33" s="38" t="n"/>
      <c r="B33" s="38" t="n"/>
      <c r="C33" s="38" t="n"/>
      <c r="D33" s="38" t="n"/>
      <c r="E33" s="38" t="n"/>
      <c r="F33" s="38" t="n"/>
      <c r="G33" s="38" t="n"/>
      <c r="H33" s="38" t="n"/>
      <c r="I33" s="38" t="n"/>
    </row>
    <row r="34" ht="25.5" customHeight="1">
      <c r="A34" s="40" t="inlineStr">
        <is>
          <t>Before sign-off complete Library Procedures 2-4 (AP Lead Sheet).</t>
        </is>
      </c>
      <c r="B34" s="38" t="n"/>
      <c r="C34" s="38" t="n"/>
      <c r="D34" s="38" t="n"/>
      <c r="E34" s="38" t="n"/>
      <c r="F34" s="38" t="n"/>
      <c r="G34" s="38" t="n"/>
      <c r="H34" s="38" t="n"/>
      <c r="I34" s="38" t="n"/>
    </row>
  </sheetData>
  <mergeCells count="14">
    <mergeCell ref="B28:D28"/>
    <mergeCell ref="B31:D31"/>
    <mergeCell ref="B6:I6"/>
    <mergeCell ref="B32:D32"/>
    <mergeCell ref="B26:D26"/>
    <mergeCell ref="B27:D27"/>
    <mergeCell ref="B4:I4"/>
    <mergeCell ref="B5:I5"/>
    <mergeCell ref="B30:D30"/>
    <mergeCell ref="B29:D29"/>
    <mergeCell ref="B25:D25"/>
    <mergeCell ref="B24:D24"/>
    <mergeCell ref="A21:I21"/>
    <mergeCell ref="A34:I34"/>
  </mergeCells>
  <printOptions horizontalCentered="0" verticalCentered="0"/>
  <pageMargins left="0.25" right="0.25" top="0.5" bottom="0.5" header="0.2" footer="0.2"/>
  <pageSetup orientation="landscape" paperSize="1" fitToHeight="0" fitToWidth="1" horizontalDpi="300" verticalDpi="300"/>
</worksheet>
</file>

<file path=xl/worksheets/sheet4.xml><?xml version="1.0" encoding="utf-8"?>
<worksheet xmlns="http://schemas.openxmlformats.org/spreadsheetml/2006/main">
  <sheetPr>
    <outlinePr summaryBelow="1" summaryRight="1"/>
    <pageSetUpPr autoPageBreaks="0" fitToPage="1"/>
  </sheetPr>
  <dimension ref="A1:H38"/>
  <sheetViews>
    <sheetView showGridLines="0" zoomScale="90" zoomScaleNormal="100" workbookViewId="0">
      <pane ySplit="7" topLeftCell="A8" activePane="bottomLeft" state="frozen"/>
      <selection pane="bottomLeft" activeCell="B9" sqref="B9"/>
    </sheetView>
  </sheetViews>
  <sheetFormatPr baseColWidth="8" defaultColWidth="8.6328125" defaultRowHeight="14.5"/>
  <cols>
    <col width="42" customWidth="1" min="1" max="1"/>
    <col width="22.4" customWidth="1" min="2" max="4"/>
    <col width="13.05" customWidth="1" min="3" max="3"/>
    <col width="37.7" customWidth="1" min="4" max="4"/>
    <col width="26" customWidth="1" min="5" max="5"/>
    <col width="28" customWidth="1" min="6" max="6"/>
    <col width="13" customWidth="1" min="7" max="7"/>
    <col width="13" customWidth="1" min="8" max="8"/>
  </cols>
  <sheetData>
    <row r="1" ht="17.5" customHeight="1">
      <c r="A1" s="48" t="inlineStr">
        <is>
          <t>AP Reconciliation</t>
        </is>
      </c>
      <c r="B1" s="38" t="n"/>
      <c r="C1" s="38" t="n"/>
      <c r="D1" s="38" t="n"/>
      <c r="E1" s="38" t="n"/>
      <c r="F1" s="38" t="n"/>
      <c r="G1" s="38" t="n"/>
      <c r="H1" s="38" t="n"/>
    </row>
    <row r="2" ht="27" customHeight="1">
      <c r="A2" s="49" t="inlineStr">
        <is>
          <t>Client / Entity</t>
        </is>
      </c>
      <c r="B2" s="39" t="inlineStr">
        <is>
          <t>Vaquite Industries, Inc.</t>
        </is>
      </c>
      <c r="C2" s="38" t="n"/>
      <c r="D2" s="49" t="inlineStr">
        <is>
          <t>Year-End</t>
        </is>
      </c>
      <c r="E2" s="50" t="n">
        <v>46022</v>
      </c>
      <c r="F2" s="38" t="n"/>
      <c r="G2" s="49" t="inlineStr">
        <is>
          <t>Currency</t>
        </is>
      </c>
      <c r="H2" s="51" t="inlineStr">
        <is>
          <t>USD</t>
        </is>
      </c>
    </row>
    <row r="3" ht="27" customHeight="1">
      <c r="A3" s="52" t="inlineStr">
        <is>
          <t>Performance Materiality</t>
        </is>
      </c>
      <c r="B3" s="53" t="n">
        <v>23100</v>
      </c>
      <c r="C3" s="38" t="n"/>
      <c r="D3" s="52" t="inlineStr">
        <is>
          <t>Tolerable misstatement / testing threshold</t>
        </is>
      </c>
      <c r="E3" s="53" t="n">
        <v>20800</v>
      </c>
      <c r="F3" s="38" t="n"/>
      <c r="G3" s="38" t="n"/>
      <c r="H3" s="38" t="n"/>
    </row>
    <row r="4" ht="27.75" customHeight="1">
      <c r="A4" s="54" t="inlineStr">
        <is>
          <t>Purpose:</t>
        </is>
      </c>
      <c r="B4" s="55" t="inlineStr">
        <is>
          <t>Reconcile the AP sub-ledger / aging to the general ledger and trial balance, and reconcile major vendor statements to the AP sub-ledger.</t>
        </is>
      </c>
      <c r="C4" s="38" t="n"/>
      <c r="D4" s="38" t="n"/>
      <c r="E4" s="38" t="n"/>
      <c r="F4" s="38" t="n"/>
      <c r="G4" s="38" t="n"/>
      <c r="H4" s="38" t="n"/>
    </row>
    <row r="5" ht="15" customHeight="1">
      <c r="A5" s="54" t="inlineStr">
        <is>
          <t>Scope:</t>
        </is>
      </c>
      <c r="B5" s="55" t="inlineStr">
        <is>
          <t>AP sub-ledger / aging, GL detail, trial balance, and vendor statements for major vendors.</t>
        </is>
      </c>
      <c r="C5" s="38" t="n"/>
      <c r="D5" s="38" t="n"/>
      <c r="E5" s="38" t="n"/>
      <c r="F5" s="38" t="n"/>
      <c r="G5" s="38" t="n"/>
      <c r="H5" s="38" t="n"/>
    </row>
    <row r="6" ht="15" customHeight="1">
      <c r="A6" s="54" t="inlineStr">
        <is>
          <t>Assertions:</t>
        </is>
      </c>
      <c r="B6" s="55" t="inlineStr">
        <is>
          <t>Completeness; Existence; Accuracy</t>
        </is>
      </c>
      <c r="C6" s="38" t="n"/>
      <c r="D6" s="38" t="n"/>
      <c r="E6" s="38" t="n"/>
      <c r="F6" s="38" t="n"/>
      <c r="G6" s="38" t="n"/>
      <c r="H6" s="38" t="n"/>
    </row>
    <row r="7">
      <c r="A7" s="68" t="inlineStr">
        <is>
          <t>A. Sub-ledger to general ledger</t>
        </is>
      </c>
      <c r="B7" s="38" t="n"/>
      <c r="C7" s="38" t="n"/>
      <c r="D7" s="38" t="n"/>
      <c r="E7" s="38" t="n"/>
      <c r="F7" s="38" t="n"/>
      <c r="G7" s="38" t="n"/>
      <c r="H7" s="38" t="n"/>
    </row>
    <row r="8">
      <c r="A8" s="44" t="inlineStr">
        <is>
          <t>AP per sub-ledger / aging</t>
        </is>
      </c>
      <c r="B8" s="62" t="n"/>
      <c r="C8" s="38" t="n"/>
      <c r="D8" s="38" t="n"/>
      <c r="E8" s="38" t="n"/>
      <c r="F8" s="38" t="n"/>
      <c r="G8" s="38" t="n"/>
      <c r="H8" s="38" t="n"/>
    </row>
    <row r="9">
      <c r="A9" s="44" t="inlineStr">
        <is>
          <t>Add/(less): unposted or in-transit invoices</t>
        </is>
      </c>
      <c r="B9" s="62" t="n"/>
      <c r="C9" s="38" t="n"/>
      <c r="D9" s="38" t="n"/>
      <c r="E9" s="38" t="n"/>
      <c r="F9" s="38" t="n"/>
      <c r="G9" s="38" t="n"/>
      <c r="H9" s="38" t="n"/>
    </row>
    <row r="10">
      <c r="A10" s="44" t="inlineStr">
        <is>
          <t>Add/(less): received-not-invoiced (RNI)</t>
        </is>
      </c>
      <c r="B10" s="62" t="n"/>
      <c r="C10" s="38" t="n"/>
      <c r="D10" s="38" t="n"/>
      <c r="E10" s="38" t="n"/>
      <c r="F10" s="38" t="n"/>
      <c r="G10" s="38" t="n"/>
      <c r="H10" s="38" t="n"/>
    </row>
    <row r="11">
      <c r="A11" s="44" t="inlineStr">
        <is>
          <t>Add/(less): other reconciling items</t>
        </is>
      </c>
      <c r="B11" s="62" t="n"/>
      <c r="C11" s="38" t="n"/>
      <c r="D11" s="38" t="n"/>
      <c r="E11" s="38" t="n"/>
      <c r="F11" s="38" t="n"/>
      <c r="G11" s="38" t="n"/>
      <c r="H11" s="38" t="n"/>
    </row>
    <row r="12">
      <c r="A12" s="69" t="inlineStr">
        <is>
          <t>AP per general ledger (computed)</t>
        </is>
      </c>
      <c r="B12" s="70">
        <f>B8+B9+B10+B11</f>
        <v/>
      </c>
      <c r="C12" s="38" t="n"/>
      <c r="D12" s="38" t="n"/>
      <c r="E12" s="38" t="n"/>
      <c r="F12" s="38" t="n"/>
      <c r="G12" s="38" t="n"/>
      <c r="H12" s="38" t="n"/>
    </row>
    <row r="13">
      <c r="A13" s="44" t="inlineStr">
        <is>
          <t>AP per trial balance</t>
        </is>
      </c>
      <c r="B13" s="62" t="n"/>
      <c r="C13" s="38" t="n"/>
      <c r="D13" s="38" t="n"/>
      <c r="E13" s="38" t="n"/>
      <c r="F13" s="38" t="n"/>
      <c r="G13" s="38" t="n"/>
      <c r="H13" s="38" t="n"/>
    </row>
    <row r="14">
      <c r="A14" s="69" t="inlineStr">
        <is>
          <t>Difference (should be 0)</t>
        </is>
      </c>
      <c r="B14" s="70">
        <f>B12-B13</f>
        <v/>
      </c>
      <c r="C14" s="38" t="n"/>
      <c r="D14" s="38" t="n"/>
      <c r="E14" s="38" t="n"/>
      <c r="F14" s="38" t="n"/>
      <c r="G14" s="38" t="n"/>
      <c r="H14" s="38" t="n"/>
    </row>
    <row r="15">
      <c r="A15" s="38" t="n"/>
      <c r="B15" s="38" t="n"/>
      <c r="C15" s="38" t="n"/>
      <c r="D15" s="38" t="n"/>
      <c r="E15" s="38" t="n"/>
      <c r="F15" s="38" t="n"/>
      <c r="G15" s="38" t="n"/>
      <c r="H15" s="38" t="n"/>
    </row>
    <row r="16" ht="27" customHeight="1">
      <c r="A16" s="68" t="inlineStr">
        <is>
          <t>B. Vendor statement reconciliations (major vendors)</t>
        </is>
      </c>
      <c r="B16" s="38" t="n"/>
      <c r="C16" s="38" t="n"/>
      <c r="D16" s="38" t="n"/>
      <c r="E16" s="38" t="n"/>
      <c r="F16" s="38" t="n"/>
      <c r="G16" s="38" t="n"/>
      <c r="H16" s="38" t="n"/>
    </row>
    <row r="17" ht="24" customHeight="1">
      <c r="A17" s="56" t="inlineStr">
        <is>
          <t>Vendor</t>
        </is>
      </c>
      <c r="B17" s="56" t="inlineStr">
        <is>
          <t>Per statement</t>
        </is>
      </c>
      <c r="C17" s="56" t="inlineStr">
        <is>
          <t>Per AP ledger</t>
        </is>
      </c>
      <c r="D17" s="56" t="inlineStr">
        <is>
          <t>Difference</t>
        </is>
      </c>
      <c r="E17" s="56" t="inlineStr">
        <is>
          <t>Reconciling items</t>
        </is>
      </c>
      <c r="F17" s="56" t="inlineStr">
        <is>
          <t>Resolution / comments</t>
        </is>
      </c>
      <c r="G17" s="38" t="n"/>
      <c r="H17" s="38" t="n"/>
    </row>
    <row r="18">
      <c r="A18" s="57" t="n"/>
      <c r="B18" s="62" t="n"/>
      <c r="C18" s="62" t="n"/>
      <c r="D18" s="63">
        <f>IF(AND(B18="",C18=""),"",B18-C18)</f>
        <v/>
      </c>
      <c r="E18" s="57" t="n"/>
      <c r="F18" s="57" t="n"/>
      <c r="G18" s="38" t="n"/>
      <c r="H18" s="38" t="n"/>
    </row>
    <row r="19">
      <c r="A19" s="57" t="n"/>
      <c r="B19" s="62" t="n"/>
      <c r="C19" s="62" t="n"/>
      <c r="D19" s="63">
        <f>IF(AND(B19="",C19=""),"",B19-C19)</f>
        <v/>
      </c>
      <c r="E19" s="57" t="n"/>
      <c r="F19" s="57" t="n"/>
      <c r="G19" s="38" t="n"/>
      <c r="H19" s="38" t="n"/>
    </row>
    <row r="20">
      <c r="A20" s="57" t="n"/>
      <c r="B20" s="62" t="n"/>
      <c r="C20" s="62" t="n"/>
      <c r="D20" s="63">
        <f>IF(AND(B20="",C20=""),"",B20-C20)</f>
        <v/>
      </c>
      <c r="E20" s="57" t="n"/>
      <c r="F20" s="57" t="n"/>
      <c r="G20" s="38" t="n"/>
      <c r="H20" s="38" t="n"/>
    </row>
    <row r="21">
      <c r="A21" s="57" t="n"/>
      <c r="B21" s="62" t="n"/>
      <c r="C21" s="62" t="n"/>
      <c r="D21" s="63">
        <f>IF(AND(B21="",C21=""),"",B21-C21)</f>
        <v/>
      </c>
      <c r="E21" s="57" t="n"/>
      <c r="F21" s="57" t="n"/>
      <c r="G21" s="38" t="n"/>
      <c r="H21" s="38" t="n"/>
    </row>
    <row r="22">
      <c r="A22" s="57" t="n"/>
      <c r="B22" s="62" t="n"/>
      <c r="C22" s="62" t="n"/>
      <c r="D22" s="63">
        <f>IF(AND(B22="",C22=""),"",B22-C22)</f>
        <v/>
      </c>
      <c r="E22" s="57" t="n"/>
      <c r="F22" s="57" t="n"/>
      <c r="G22" s="38" t="n"/>
      <c r="H22" s="38" t="n"/>
    </row>
    <row r="23">
      <c r="A23" s="57" t="n"/>
      <c r="B23" s="62" t="n"/>
      <c r="C23" s="62" t="n"/>
      <c r="D23" s="63">
        <f>IF(AND(B23="",C23=""),"",B23-C23)</f>
        <v/>
      </c>
      <c r="E23" s="57" t="n"/>
      <c r="F23" s="57" t="n"/>
      <c r="G23" s="38" t="n"/>
      <c r="H23" s="38" t="n"/>
    </row>
    <row r="24">
      <c r="A24" s="57" t="n"/>
      <c r="B24" s="62" t="n"/>
      <c r="C24" s="62" t="n"/>
      <c r="D24" s="63">
        <f>IF(AND(B24="",C24=""),"",B24-C24)</f>
        <v/>
      </c>
      <c r="E24" s="57" t="n"/>
      <c r="F24" s="57" t="n"/>
      <c r="G24" s="38" t="n"/>
      <c r="H24" s="38" t="n"/>
    </row>
    <row r="25">
      <c r="A25" s="57" t="n"/>
      <c r="B25" s="62" t="n"/>
      <c r="C25" s="62" t="n"/>
      <c r="D25" s="63">
        <f>IF(AND(B25="",C25=""),"",B25-C25)</f>
        <v/>
      </c>
      <c r="E25" s="57" t="n"/>
      <c r="F25" s="57" t="n"/>
      <c r="G25" s="38" t="n"/>
      <c r="H25" s="38" t="n"/>
    </row>
    <row r="26">
      <c r="A26" s="38" t="n"/>
      <c r="B26" s="38" t="n"/>
      <c r="C26" s="38" t="n"/>
      <c r="D26" s="38" t="n"/>
      <c r="E26" s="38" t="n"/>
      <c r="F26" s="38" t="n"/>
      <c r="G26" s="38" t="n"/>
      <c r="H26" s="38" t="n"/>
    </row>
    <row r="27">
      <c r="A27" s="54" t="inlineStr">
        <is>
          <t>TM Legends</t>
        </is>
      </c>
      <c r="B27" s="38" t="n"/>
      <c r="C27" s="38" t="n"/>
      <c r="D27" s="38" t="n"/>
      <c r="E27" s="38" t="n"/>
      <c r="F27" s="38" t="n"/>
      <c r="G27" s="38" t="n"/>
      <c r="H27" s="38" t="n"/>
    </row>
    <row r="28">
      <c r="A28" s="58" t="inlineStr">
        <is>
          <t>TB</t>
        </is>
      </c>
      <c r="B28" s="44" t="inlineStr">
        <is>
          <t>Agreed to trial balance</t>
        </is>
      </c>
      <c r="C28" s="59" t="n"/>
      <c r="D28" s="60" t="n"/>
      <c r="E28" s="38" t="n"/>
      <c r="F28" s="38" t="n"/>
      <c r="G28" s="38" t="n"/>
      <c r="H28" s="38" t="n"/>
    </row>
    <row r="29">
      <c r="A29" s="58" t="inlineStr">
        <is>
          <t>GL</t>
        </is>
      </c>
      <c r="B29" s="44" t="inlineStr">
        <is>
          <t>Agreed to general ledger</t>
        </is>
      </c>
      <c r="C29" s="59" t="n"/>
      <c r="D29" s="60" t="n"/>
      <c r="E29" s="38" t="n"/>
      <c r="F29" s="38" t="n"/>
      <c r="G29" s="38" t="n"/>
      <c r="H29" s="38" t="n"/>
    </row>
    <row r="30">
      <c r="A30" s="58" t="inlineStr">
        <is>
          <t>CF</t>
        </is>
      </c>
      <c r="B30" s="44" t="inlineStr">
        <is>
          <t>Confirmed with third party</t>
        </is>
      </c>
      <c r="C30" s="59" t="n"/>
      <c r="D30" s="60" t="n"/>
      <c r="E30" s="38" t="n"/>
      <c r="F30" s="38" t="n"/>
      <c r="G30" s="38" t="n"/>
      <c r="H30" s="38" t="n"/>
    </row>
    <row r="31">
      <c r="A31" s="58" t="inlineStr">
        <is>
          <t>V</t>
        </is>
      </c>
      <c r="B31" s="44" t="inlineStr">
        <is>
          <t>Vouched to source document</t>
        </is>
      </c>
      <c r="C31" s="59" t="n"/>
      <c r="D31" s="60" t="n"/>
      <c r="E31" s="38" t="n"/>
      <c r="F31" s="38" t="n"/>
      <c r="G31" s="38" t="n"/>
      <c r="H31" s="38" t="n"/>
    </row>
    <row r="32">
      <c r="A32" s="58" t="inlineStr">
        <is>
          <t>SR</t>
        </is>
      </c>
      <c r="B32" s="44" t="inlineStr">
        <is>
          <t>Agreed to subsequent bank-cleared receipt</t>
        </is>
      </c>
      <c r="C32" s="59" t="n"/>
      <c r="D32" s="60" t="n"/>
      <c r="E32" s="38" t="n"/>
      <c r="F32" s="38" t="n"/>
      <c r="G32" s="38" t="n"/>
      <c r="H32" s="38" t="n"/>
    </row>
    <row r="33">
      <c r="A33" s="58" t="inlineStr">
        <is>
          <t>R</t>
        </is>
      </c>
      <c r="B33" s="44" t="inlineStr">
        <is>
          <t>Recalculated independently</t>
        </is>
      </c>
      <c r="C33" s="59" t="n"/>
      <c r="D33" s="60" t="n"/>
      <c r="E33" s="38" t="n"/>
      <c r="F33" s="38" t="n"/>
      <c r="G33" s="38" t="n"/>
      <c r="H33" s="38" t="n"/>
    </row>
    <row r="34">
      <c r="A34" s="58" t="inlineStr">
        <is>
          <t>F</t>
        </is>
      </c>
      <c r="B34" s="44" t="inlineStr">
        <is>
          <t>Footed / cross-cast</t>
        </is>
      </c>
      <c r="C34" s="59" t="n"/>
      <c r="D34" s="60" t="n"/>
      <c r="E34" s="38" t="n"/>
      <c r="F34" s="38" t="n"/>
      <c r="G34" s="38" t="n"/>
      <c r="H34" s="38" t="n"/>
    </row>
    <row r="35">
      <c r="A35" s="58" t="inlineStr">
        <is>
          <t>T</t>
        </is>
      </c>
      <c r="B35" s="44" t="inlineStr">
        <is>
          <t>Traced to downstream record</t>
        </is>
      </c>
      <c r="C35" s="59" t="n"/>
      <c r="D35" s="60" t="n"/>
      <c r="E35" s="38" t="n"/>
      <c r="F35" s="38" t="n"/>
      <c r="G35" s="38" t="n"/>
      <c r="H35" s="38" t="n"/>
    </row>
    <row r="36">
      <c r="A36" s="58" t="inlineStr">
        <is>
          <t>PBC</t>
        </is>
      </c>
      <c r="B36" s="44" t="inlineStr">
        <is>
          <t>Prepared by client</t>
        </is>
      </c>
      <c r="C36" s="59" t="n"/>
      <c r="D36" s="60" t="n"/>
      <c r="E36" s="38" t="n"/>
      <c r="F36" s="38" t="n"/>
      <c r="G36" s="38" t="n"/>
      <c r="H36" s="38" t="n"/>
    </row>
    <row r="37">
      <c r="A37" s="38" t="n"/>
      <c r="B37" s="38" t="n"/>
      <c r="C37" s="38" t="n"/>
      <c r="D37" s="38" t="n"/>
      <c r="E37" s="38" t="n"/>
      <c r="F37" s="38" t="n"/>
      <c r="G37" s="38" t="n"/>
      <c r="H37" s="38" t="n"/>
    </row>
    <row r="38" ht="25.5" customHeight="1">
      <c r="A38" s="40" t="inlineStr">
        <is>
          <t>Before sign-off complete Library Procedures 5-6 (sub-ledger-to-GL reconciliation and vendor statement reconciliations).</t>
        </is>
      </c>
      <c r="B38" s="38" t="n"/>
      <c r="C38" s="38" t="n"/>
      <c r="D38" s="38" t="n"/>
      <c r="E38" s="38" t="n"/>
      <c r="F38" s="38" t="n"/>
      <c r="G38" s="38" t="n"/>
      <c r="H38" s="38" t="n"/>
    </row>
  </sheetData>
  <mergeCells count="13">
    <mergeCell ref="A38:F38"/>
    <mergeCell ref="B4:F4"/>
    <mergeCell ref="B28:D28"/>
    <mergeCell ref="B33:D33"/>
    <mergeCell ref="B36:D36"/>
    <mergeCell ref="B6:F6"/>
    <mergeCell ref="B31:D31"/>
    <mergeCell ref="B35:D35"/>
    <mergeCell ref="B32:D32"/>
    <mergeCell ref="B5:F5"/>
    <mergeCell ref="B30:D30"/>
    <mergeCell ref="B29:D29"/>
    <mergeCell ref="B34:D34"/>
  </mergeCells>
  <printOptions horizontalCentered="0" verticalCentered="0"/>
  <pageMargins left="0.25" right="0.25" top="0.5" bottom="0.5" header="0.2" footer="0.2"/>
  <pageSetup orientation="portrait" paperSize="1" fitToHeight="0" fitToWidth="1" horizontalDpi="300" verticalDpi="300"/>
</worksheet>
</file>

<file path=xl/worksheets/sheet5.xml><?xml version="1.0" encoding="utf-8"?>
<worksheet xmlns="http://schemas.openxmlformats.org/spreadsheetml/2006/main">
  <sheetPr>
    <outlinePr summaryBelow="1" summaryRight="1"/>
    <pageSetUpPr autoPageBreaks="0" fitToPage="1"/>
  </sheetPr>
  <dimension ref="A1:H41"/>
  <sheetViews>
    <sheetView showGridLines="0" zoomScale="90" zoomScaleNormal="100" workbookViewId="0">
      <pane ySplit="7" topLeftCell="A8" activePane="bottomLeft" state="frozen"/>
      <selection pane="bottomLeft" activeCell="A8" sqref="A8"/>
    </sheetView>
  </sheetViews>
  <sheetFormatPr baseColWidth="8" defaultColWidth="8.6328125" defaultRowHeight="14.5"/>
  <cols>
    <col width="42" customWidth="1" min="1" max="1"/>
    <col width="42" customWidth="1" min="2" max="2"/>
    <col width="35.15" customWidth="1" min="3" max="3"/>
    <col width="37.7" customWidth="1" min="4" max="4"/>
    <col width="13" customWidth="1" min="5" max="5"/>
    <col width="13" customWidth="1" min="6" max="6"/>
    <col width="13" customWidth="1" min="7" max="7"/>
    <col width="13" customWidth="1" min="8" max="8"/>
  </cols>
  <sheetData>
    <row r="1" ht="17.5" customHeight="1">
      <c r="A1" s="37" t="inlineStr">
        <is>
          <t>DPO &amp; SURL Population</t>
        </is>
      </c>
      <c r="B1" s="38" t="n"/>
      <c r="C1" s="38" t="n"/>
      <c r="D1" s="38" t="n"/>
      <c r="E1" s="38" t="n"/>
      <c r="F1" s="38" t="n"/>
      <c r="G1" s="38" t="n"/>
      <c r="H1" s="38" t="n"/>
    </row>
    <row r="2">
      <c r="A2" s="49" t="inlineStr">
        <is>
          <t>Client / Entity</t>
        </is>
      </c>
      <c r="B2" s="39" t="inlineStr">
        <is>
          <t>Vaquite Industries, Inc.</t>
        </is>
      </c>
      <c r="C2" s="38" t="n"/>
      <c r="D2" s="49" t="inlineStr">
        <is>
          <t>Year-End</t>
        </is>
      </c>
      <c r="E2" s="50" t="n">
        <v>46022</v>
      </c>
      <c r="F2" s="38" t="n"/>
      <c r="G2" s="49" t="inlineStr">
        <is>
          <t>Currency</t>
        </is>
      </c>
      <c r="H2" s="51" t="inlineStr">
        <is>
          <t>USD</t>
        </is>
      </c>
    </row>
    <row r="3" ht="27" customHeight="1">
      <c r="A3" s="52" t="inlineStr">
        <is>
          <t>Performance Materiality</t>
        </is>
      </c>
      <c r="B3" s="53" t="n">
        <v>23100</v>
      </c>
      <c r="C3" s="38" t="n"/>
      <c r="D3" s="52" t="inlineStr">
        <is>
          <t>Tolerable misstatement / testing threshold</t>
        </is>
      </c>
      <c r="E3" s="53" t="n">
        <v>20800</v>
      </c>
      <c r="F3" s="38" t="n"/>
      <c r="G3" s="38" t="n"/>
      <c r="H3" s="38" t="n"/>
    </row>
    <row r="4">
      <c r="A4" s="49" t="n"/>
      <c r="B4" s="51" t="n"/>
      <c r="C4" s="38" t="n"/>
      <c r="D4" s="49" t="n"/>
      <c r="E4" s="51" t="n"/>
      <c r="F4" s="38" t="n"/>
      <c r="G4" s="38" t="n"/>
      <c r="H4" s="38" t="n"/>
    </row>
    <row r="5" ht="37" customHeight="1">
      <c r="A5" s="71" t="inlineStr">
        <is>
          <t>Purpose:</t>
        </is>
      </c>
      <c r="B5" s="72" t="inlineStr">
        <is>
          <t>Compute Days Payable Outstanding (DPO) and set the SURL look-forward period; quantify the subsequent-disbursement population that selections are drawn from.</t>
        </is>
      </c>
      <c r="C5" s="73" t="n"/>
      <c r="D5" s="73" t="n"/>
      <c r="E5" s="73" t="n"/>
      <c r="F5" s="74" t="n"/>
      <c r="G5" s="38" t="n"/>
      <c r="H5" s="38" t="n"/>
    </row>
    <row r="6" ht="33.5" customHeight="1">
      <c r="A6" s="71" t="inlineStr">
        <is>
          <t>Scope:</t>
        </is>
      </c>
      <c r="B6" s="72" t="inlineStr">
        <is>
          <t>Expenses paid through disbursements, period-end and prior-period AP/disbursement-related accruals, and the subsequent-disbursement population by type.</t>
        </is>
      </c>
      <c r="C6" s="73" t="n"/>
      <c r="D6" s="73" t="n"/>
      <c r="E6" s="73" t="n"/>
      <c r="F6" s="74" t="n"/>
      <c r="G6" s="38" t="n"/>
      <c r="H6" s="38" t="n"/>
    </row>
    <row r="7" ht="15" customHeight="1">
      <c r="A7" s="71" t="inlineStr">
        <is>
          <t>Assertions:</t>
        </is>
      </c>
      <c r="B7" s="72" t="inlineStr">
        <is>
          <t>Completeness; Cutoff</t>
        </is>
      </c>
      <c r="C7" s="73" t="n"/>
      <c r="D7" s="73" t="n"/>
      <c r="E7" s="73" t="n"/>
      <c r="F7" s="74" t="n"/>
      <c r="G7" s="38" t="n"/>
      <c r="H7" s="38" t="n"/>
    </row>
    <row r="8" ht="15" customHeight="1">
      <c r="A8" s="54" t="n"/>
      <c r="B8" s="75" t="n"/>
      <c r="C8" s="75" t="n"/>
      <c r="D8" s="75" t="n"/>
      <c r="E8" s="75" t="n"/>
      <c r="F8" s="75" t="n"/>
      <c r="G8" s="38" t="n"/>
      <c r="H8" s="38" t="n"/>
    </row>
    <row r="9" ht="27" customHeight="1">
      <c r="A9" s="68" t="inlineStr">
        <is>
          <t>A. Days Payable Outstanding (DPO) and SURL period</t>
        </is>
      </c>
      <c r="B9" s="38" t="n"/>
      <c r="C9" s="38" t="n"/>
      <c r="D9" s="38" t="n"/>
      <c r="E9" s="38" t="n"/>
      <c r="F9" s="38" t="n"/>
      <c r="G9" s="38" t="n"/>
      <c r="H9" s="38" t="n"/>
    </row>
    <row r="10" ht="27" customHeight="1">
      <c r="A10" s="44" t="inlineStr">
        <is>
          <t>Expenses paid through disbursements (A)</t>
        </is>
      </c>
      <c r="B10" s="76" t="inlineStr">
        <is>
          <t>[Enter CY purchases / relevant disbursement expense]</t>
        </is>
      </c>
      <c r="C10" s="77" t="inlineStr">
        <is>
          <t>[Cite complete CY numerator population]</t>
        </is>
      </c>
      <c r="D10" s="38" t="n"/>
      <c r="E10" s="38" t="n"/>
      <c r="F10" s="38" t="n"/>
      <c r="G10" s="38" t="n"/>
      <c r="H10" s="38" t="n"/>
    </row>
    <row r="11" ht="27" customHeight="1">
      <c r="A11" s="44" t="inlineStr">
        <is>
          <t>Period-end AP &amp; disbursement-related accruals (B)</t>
        </is>
      </c>
      <c r="B11" s="76" t="inlineStr">
        <is>
          <t>[Enter CY ending AP and related accrual amount]</t>
        </is>
      </c>
      <c r="C11" s="77" t="inlineStr">
        <is>
          <t>[Cite CY AP / accrual source]</t>
        </is>
      </c>
      <c r="D11" s="38" t="n"/>
      <c r="E11" s="38" t="n"/>
      <c r="F11" s="38" t="n"/>
      <c r="G11" s="38" t="n"/>
      <c r="H11" s="38" t="n"/>
    </row>
    <row r="12" ht="27" customHeight="1">
      <c r="A12" s="44" t="inlineStr">
        <is>
          <t>Prior-period AP &amp; disbursement-related accruals (B)</t>
        </is>
      </c>
      <c r="B12" s="76" t="inlineStr">
        <is>
          <t>[Enter PY ending AP and related accrual amount]</t>
        </is>
      </c>
      <c r="C12" s="77" t="inlineStr">
        <is>
          <t>[Cite PY AP / accrual source]</t>
        </is>
      </c>
      <c r="D12" s="38" t="n"/>
      <c r="E12" s="38" t="n"/>
      <c r="F12" s="38" t="n"/>
      <c r="G12" s="38" t="n"/>
      <c r="H12" s="38" t="n"/>
    </row>
    <row r="13">
      <c r="A13" s="78" t="inlineStr">
        <is>
          <t>Average AP</t>
        </is>
      </c>
      <c r="B13" s="79">
        <f>IF(COUNT(B11:B12)&lt;2,"",(B11+B12)/2)</f>
        <v/>
      </c>
      <c r="C13" s="38" t="n"/>
      <c r="D13" s="38" t="n"/>
      <c r="E13" s="38" t="n"/>
      <c r="F13" s="38" t="n"/>
      <c r="G13" s="38" t="n"/>
      <c r="H13" s="38" t="n"/>
    </row>
    <row r="14" ht="27" customHeight="1">
      <c r="A14" s="57" t="inlineStr">
        <is>
          <t>AP turnover</t>
        </is>
      </c>
      <c r="B14" s="80">
        <f>IF(OR(NOT(ISNUMBER(B10)),NOT(ISNUMBER(B13)),B13=0),"",B10/B13)</f>
        <v/>
      </c>
      <c r="C14" s="38" t="n"/>
      <c r="D14" s="38" t="n"/>
      <c r="E14" s="38" t="n"/>
      <c r="F14" s="38" t="n"/>
      <c r="G14" s="38" t="n"/>
      <c r="H14" s="38" t="n"/>
    </row>
    <row r="15">
      <c r="A15" s="69" t="inlineStr">
        <is>
          <t>Days Payable Outstanding (DPO)</t>
        </is>
      </c>
      <c r="B15" s="81">
        <f>IF(OR(NOT(ISNUMBER(B14)),B14=0),"",365/B14)</f>
        <v/>
      </c>
      <c r="C15" s="38" t="n"/>
      <c r="D15" s="38" t="n"/>
      <c r="E15" s="38" t="n"/>
      <c r="F15" s="38" t="n"/>
      <c r="G15" s="38" t="n"/>
      <c r="H15" s="38" t="n"/>
    </row>
    <row r="16">
      <c r="A16" s="44" t="inlineStr">
        <is>
          <t>SURL start date (period-end + 1)</t>
        </is>
      </c>
      <c r="B16" s="82">
        <f>IF(ISNUMBER(E2),E2+1,"")</f>
        <v/>
      </c>
      <c r="C16" s="38" t="n"/>
      <c r="D16" s="38" t="n"/>
      <c r="E16" s="38" t="n"/>
      <c r="F16" s="38" t="n"/>
      <c r="G16" s="38" t="n"/>
      <c r="H16" s="38" t="n"/>
    </row>
    <row r="17" ht="27" customHeight="1">
      <c r="A17" s="69" t="inlineStr">
        <is>
          <t>SURL end date (= start + DPO)</t>
        </is>
      </c>
      <c r="B17" s="83">
        <f>IF(OR(NOT(ISNUMBER(B16)),NOT(ISNUMBER(B15))),"",B16+ROUNDUP(B15,0))</f>
        <v/>
      </c>
      <c r="C17" s="38" t="n"/>
      <c r="D17" s="38" t="n"/>
      <c r="E17" s="38" t="n"/>
      <c r="F17" s="38" t="n"/>
      <c r="G17" s="38" t="n"/>
      <c r="H17" s="38" t="n"/>
    </row>
    <row r="18">
      <c r="A18" s="38" t="n"/>
      <c r="B18" s="38" t="n"/>
      <c r="C18" s="38" t="n"/>
      <c r="D18" s="38" t="n"/>
      <c r="E18" s="38" t="n"/>
      <c r="F18" s="38" t="n"/>
      <c r="G18" s="38" t="n"/>
      <c r="H18" s="38" t="n"/>
    </row>
    <row r="19">
      <c r="A19" s="68" t="inlineStr">
        <is>
          <t>B. Subsequent-disbursement population</t>
        </is>
      </c>
      <c r="B19" s="38" t="n"/>
      <c r="C19" s="38" t="n"/>
      <c r="D19" s="38" t="n"/>
      <c r="E19" s="38" t="n"/>
      <c r="F19" s="38" t="n"/>
      <c r="G19" s="38" t="n"/>
      <c r="H19" s="38" t="n"/>
    </row>
    <row r="20" ht="18" customHeight="1">
      <c r="A20" s="56" t="inlineStr">
        <is>
          <t>Disbursement type</t>
        </is>
      </c>
      <c r="B20" s="56" t="inlineStr">
        <is>
          <t>Amount</t>
        </is>
      </c>
      <c r="C20" s="56" t="n"/>
      <c r="D20" s="38" t="n"/>
      <c r="E20" s="38" t="n"/>
      <c r="F20" s="38" t="n"/>
      <c r="G20" s="38" t="n"/>
      <c r="H20" s="38" t="n"/>
    </row>
    <row r="21">
      <c r="A21" s="57" t="inlineStr">
        <is>
          <t>Checks</t>
        </is>
      </c>
      <c r="B21" s="62" t="n"/>
      <c r="C21" s="57" t="n"/>
      <c r="D21" s="38" t="n"/>
      <c r="E21" s="38" t="n"/>
      <c r="F21" s="38" t="n"/>
      <c r="G21" s="38" t="n"/>
      <c r="H21" s="38" t="n"/>
    </row>
    <row r="22">
      <c r="A22" s="57" t="inlineStr">
        <is>
          <t>ACH</t>
        </is>
      </c>
      <c r="B22" s="62" t="n"/>
      <c r="C22" s="57" t="n"/>
      <c r="D22" s="38" t="n"/>
      <c r="E22" s="38" t="n"/>
      <c r="F22" s="38" t="n"/>
      <c r="G22" s="38" t="n"/>
      <c r="H22" s="38" t="n"/>
    </row>
    <row r="23">
      <c r="A23" s="57" t="inlineStr">
        <is>
          <t>Wires</t>
        </is>
      </c>
      <c r="B23" s="62" t="n"/>
      <c r="C23" s="57" t="n"/>
      <c r="D23" s="38" t="n"/>
      <c r="E23" s="38" t="n"/>
      <c r="F23" s="38" t="n"/>
      <c r="G23" s="38" t="n"/>
      <c r="H23" s="38" t="n"/>
    </row>
    <row r="24">
      <c r="A24" s="57" t="inlineStr">
        <is>
          <t>Credit card</t>
        </is>
      </c>
      <c r="B24" s="62" t="n"/>
      <c r="C24" s="57" t="n"/>
      <c r="D24" s="38" t="n"/>
      <c r="E24" s="38" t="n"/>
      <c r="F24" s="38" t="n"/>
      <c r="G24" s="38" t="n"/>
      <c r="H24" s="38" t="n"/>
    </row>
    <row r="25">
      <c r="A25" s="57" t="inlineStr">
        <is>
          <t>Other</t>
        </is>
      </c>
      <c r="B25" s="62" t="n"/>
      <c r="C25" s="57" t="n"/>
      <c r="D25" s="38" t="n"/>
      <c r="E25" s="38" t="n"/>
      <c r="F25" s="38" t="n"/>
      <c r="G25" s="38" t="n"/>
      <c r="H25" s="38" t="n"/>
    </row>
    <row r="26">
      <c r="A26" s="65" t="inlineStr">
        <is>
          <t>Total disbursement population</t>
        </is>
      </c>
      <c r="B26" s="84">
        <f>SUM(B21:B25)</f>
        <v/>
      </c>
      <c r="C26" s="66" t="n"/>
      <c r="D26" s="38" t="n"/>
      <c r="E26" s="38" t="n"/>
      <c r="F26" s="38" t="n"/>
      <c r="G26" s="38" t="n"/>
      <c r="H26" s="38" t="n"/>
    </row>
    <row r="27">
      <c r="A27" s="38" t="n"/>
      <c r="B27" s="38" t="n"/>
      <c r="C27" s="38" t="n"/>
      <c r="D27" s="38" t="n"/>
      <c r="E27" s="38" t="n"/>
      <c r="F27" s="38" t="n"/>
      <c r="G27" s="38" t="n"/>
      <c r="H27" s="38" t="n"/>
    </row>
    <row r="28" ht="27" customHeight="1">
      <c r="A28" s="40" t="inlineStr">
        <is>
          <t>SURL selections are made from this disbursement population (above the testing threshold, through the SURL end date) OR directly from the bank statement. If selections are made from the bank statement, the completeness test on &lt;.5&gt; is NOT required.</t>
        </is>
      </c>
      <c r="B28" s="38" t="n"/>
      <c r="C28" s="38" t="n"/>
      <c r="D28" s="38" t="n"/>
      <c r="E28" s="38" t="n"/>
      <c r="F28" s="38" t="n"/>
      <c r="G28" s="38" t="n"/>
      <c r="H28" s="38" t="n"/>
    </row>
    <row r="29">
      <c r="A29" s="38" t="n"/>
      <c r="B29" s="38" t="n"/>
      <c r="C29" s="38" t="n"/>
      <c r="D29" s="38" t="n"/>
      <c r="E29" s="38" t="n"/>
      <c r="F29" s="38" t="n"/>
      <c r="G29" s="38" t="n"/>
      <c r="H29" s="38" t="n"/>
    </row>
    <row r="30">
      <c r="A30" s="54" t="inlineStr">
        <is>
          <t>TM Legends</t>
        </is>
      </c>
      <c r="B30" s="38" t="n"/>
      <c r="C30" s="38" t="n"/>
      <c r="D30" s="38" t="n"/>
      <c r="E30" s="38" t="n"/>
      <c r="F30" s="38" t="n"/>
      <c r="G30" s="38" t="n"/>
      <c r="H30" s="38" t="n"/>
    </row>
    <row r="31">
      <c r="A31" s="58" t="inlineStr">
        <is>
          <t>TB</t>
        </is>
      </c>
      <c r="B31" s="44" t="inlineStr">
        <is>
          <t>Agreed to trial balance</t>
        </is>
      </c>
      <c r="C31" s="59" t="n"/>
      <c r="D31" s="60" t="n"/>
      <c r="E31" s="38" t="n"/>
      <c r="F31" s="38" t="n"/>
      <c r="G31" s="38" t="n"/>
      <c r="H31" s="38" t="n"/>
    </row>
    <row r="32">
      <c r="A32" s="58" t="inlineStr">
        <is>
          <t>GL</t>
        </is>
      </c>
      <c r="B32" s="44" t="inlineStr">
        <is>
          <t>Agreed to general ledger</t>
        </is>
      </c>
      <c r="C32" s="59" t="n"/>
      <c r="D32" s="60" t="n"/>
      <c r="E32" s="38" t="n"/>
      <c r="F32" s="38" t="n"/>
      <c r="G32" s="38" t="n"/>
      <c r="H32" s="38" t="n"/>
    </row>
    <row r="33">
      <c r="A33" s="58" t="inlineStr">
        <is>
          <t>CF</t>
        </is>
      </c>
      <c r="B33" s="44" t="inlineStr">
        <is>
          <t>Confirmed with third party</t>
        </is>
      </c>
      <c r="C33" s="59" t="n"/>
      <c r="D33" s="60" t="n"/>
      <c r="E33" s="38" t="n"/>
      <c r="F33" s="38" t="n"/>
      <c r="G33" s="38" t="n"/>
      <c r="H33" s="38" t="n"/>
    </row>
    <row r="34">
      <c r="A34" s="58" t="inlineStr">
        <is>
          <t>V</t>
        </is>
      </c>
      <c r="B34" s="44" t="inlineStr">
        <is>
          <t>Vouched to source document</t>
        </is>
      </c>
      <c r="C34" s="59" t="n"/>
      <c r="D34" s="60" t="n"/>
      <c r="E34" s="38" t="n"/>
      <c r="F34" s="38" t="n"/>
      <c r="G34" s="38" t="n"/>
      <c r="H34" s="38" t="n"/>
    </row>
    <row r="35">
      <c r="A35" s="58" t="inlineStr">
        <is>
          <t>SR</t>
        </is>
      </c>
      <c r="B35" s="44" t="inlineStr">
        <is>
          <t>Agreed to subsequent bank-cleared receipt</t>
        </is>
      </c>
      <c r="C35" s="59" t="n"/>
      <c r="D35" s="60" t="n"/>
      <c r="E35" s="38" t="n"/>
      <c r="F35" s="38" t="n"/>
      <c r="G35" s="38" t="n"/>
      <c r="H35" s="38" t="n"/>
    </row>
    <row r="36">
      <c r="A36" s="58" t="inlineStr">
        <is>
          <t>R</t>
        </is>
      </c>
      <c r="B36" s="44" t="inlineStr">
        <is>
          <t>Recalculated independently</t>
        </is>
      </c>
      <c r="C36" s="59" t="n"/>
      <c r="D36" s="60" t="n"/>
      <c r="E36" s="38" t="n"/>
      <c r="F36" s="38" t="n"/>
      <c r="G36" s="38" t="n"/>
      <c r="H36" s="38" t="n"/>
    </row>
    <row r="37">
      <c r="A37" s="58" t="inlineStr">
        <is>
          <t>F</t>
        </is>
      </c>
      <c r="B37" s="44" t="inlineStr">
        <is>
          <t>Footed / cross-cast</t>
        </is>
      </c>
      <c r="C37" s="59" t="n"/>
      <c r="D37" s="60" t="n"/>
      <c r="E37" s="38" t="n"/>
      <c r="F37" s="38" t="n"/>
      <c r="G37" s="38" t="n"/>
      <c r="H37" s="38" t="n"/>
    </row>
    <row r="38">
      <c r="A38" s="58" t="inlineStr">
        <is>
          <t>T</t>
        </is>
      </c>
      <c r="B38" s="44" t="inlineStr">
        <is>
          <t>Traced to downstream record</t>
        </is>
      </c>
      <c r="C38" s="59" t="n"/>
      <c r="D38" s="60" t="n"/>
      <c r="E38" s="38" t="n"/>
      <c r="F38" s="38" t="n"/>
      <c r="G38" s="38" t="n"/>
      <c r="H38" s="38" t="n"/>
    </row>
    <row r="39">
      <c r="A39" s="58" t="inlineStr">
        <is>
          <t>PBC</t>
        </is>
      </c>
      <c r="B39" s="44" t="inlineStr">
        <is>
          <t>Prepared by client</t>
        </is>
      </c>
      <c r="C39" s="59" t="n"/>
      <c r="D39" s="60" t="n"/>
      <c r="E39" s="38" t="n"/>
      <c r="F39" s="38" t="n"/>
      <c r="G39" s="38" t="n"/>
      <c r="H39" s="38" t="n"/>
    </row>
    <row r="40">
      <c r="A40" s="38" t="n"/>
      <c r="B40" s="38" t="n"/>
      <c r="C40" s="38" t="n"/>
      <c r="D40" s="38" t="n"/>
      <c r="E40" s="38" t="n"/>
      <c r="F40" s="38" t="n"/>
      <c r="G40" s="38" t="n"/>
      <c r="H40" s="38" t="n"/>
    </row>
    <row r="41" ht="25.5" customHeight="1">
      <c r="A41" s="40" t="inlineStr">
        <is>
          <t>Before sign-off complete Library Procedures 7-8 (DPO-based period and population).</t>
        </is>
      </c>
      <c r="B41" s="38" t="n"/>
      <c r="C41" s="38" t="n"/>
      <c r="D41" s="38" t="n"/>
      <c r="E41" s="38" t="n"/>
      <c r="F41" s="38" t="n"/>
      <c r="G41" s="38" t="n"/>
      <c r="H41" s="38" t="n"/>
    </row>
  </sheetData>
  <mergeCells count="14">
    <mergeCell ref="B33:D33"/>
    <mergeCell ref="A28:C28"/>
    <mergeCell ref="A41:C41"/>
    <mergeCell ref="B7:F7"/>
    <mergeCell ref="B37:D37"/>
    <mergeCell ref="B6:F6"/>
    <mergeCell ref="B36:D36"/>
    <mergeCell ref="B31:D31"/>
    <mergeCell ref="B32:D32"/>
    <mergeCell ref="B35:D35"/>
    <mergeCell ref="B5:F5"/>
    <mergeCell ref="B39:D39"/>
    <mergeCell ref="B38:D38"/>
    <mergeCell ref="B34:D34"/>
  </mergeCells>
  <printOptions horizontalCentered="0" verticalCentered="0"/>
  <pageMargins left="0.25" right="0.25" top="0.5" bottom="0.5" header="0.2" footer="0.2"/>
  <pageSetup orientation="portrait" paperSize="1" fitToHeight="0" fitToWidth="1" horizontalDpi="300" verticalDpi="300"/>
</worksheet>
</file>

<file path=xl/worksheets/sheet6.xml><?xml version="1.0" encoding="utf-8"?>
<worksheet xmlns="http://schemas.openxmlformats.org/spreadsheetml/2006/main">
  <sheetPr>
    <outlinePr summaryBelow="1" summaryRight="1"/>
    <pageSetUpPr autoPageBreaks="0" fitToPage="1"/>
  </sheetPr>
  <dimension ref="A1:R45"/>
  <sheetViews>
    <sheetView showGridLines="0" zoomScale="90" zoomScaleNormal="100" workbookViewId="0">
      <pane xSplit="1" ySplit="7" topLeftCell="B8" activePane="bottomRight" state="frozen"/>
      <selection pane="topRight"/>
      <selection pane="bottomLeft"/>
      <selection pane="bottomRight" activeCell="D1" sqref="D1"/>
      <selection pane="bottomLeft" activeCell="A9" sqref="A9"/>
      <selection pane="bottomRight" activeCell="A27" sqref="A27:R27"/>
    </sheetView>
  </sheetViews>
  <sheetFormatPr baseColWidth="8" defaultColWidth="8.6328125" defaultRowHeight="14.5"/>
  <cols>
    <col width="42" customWidth="1" min="1" max="1"/>
    <col width="22.4" customWidth="1" min="2" max="2"/>
    <col width="12.2" customWidth="1" min="3" max="3"/>
    <col width="37.7" customWidth="1" min="4" max="4"/>
    <col width="14" customWidth="1" min="5" max="5"/>
    <col width="12" customWidth="1" min="6" max="7"/>
    <col width="13" customWidth="1" min="7" max="7"/>
    <col width="14" customWidth="1" min="8" max="8"/>
    <col width="28.35" customWidth="1" min="9" max="9"/>
    <col width="26.65" customWidth="1" min="10" max="10"/>
    <col width="14.75" customWidth="1" min="11" max="11"/>
    <col width="20.7" customWidth="1" min="12" max="14"/>
    <col width="20.7" customWidth="1" min="13" max="13"/>
    <col width="22.4" customWidth="1" min="14" max="14"/>
    <col width="34.3" customWidth="1" min="15" max="15"/>
    <col width="16" customWidth="1" min="16" max="17"/>
    <col width="16.45" customWidth="1" min="17" max="17"/>
    <col width="24" customWidth="1" min="18" max="18"/>
  </cols>
  <sheetData>
    <row r="1" ht="27" customHeight="1">
      <c r="A1" s="37" t="inlineStr">
        <is>
          <t>Search for Unrecorded Liabilities — Subsequent Disbursements</t>
        </is>
      </c>
      <c r="B1" s="38" t="n"/>
      <c r="C1" s="38" t="n"/>
      <c r="D1" s="38" t="n"/>
      <c r="E1" s="38" t="n"/>
      <c r="F1" s="38" t="n"/>
      <c r="G1" s="38" t="n"/>
      <c r="H1" s="38" t="n"/>
      <c r="I1" s="38" t="n"/>
      <c r="J1" s="38" t="n"/>
      <c r="K1" s="38" t="n"/>
      <c r="L1" s="38" t="n"/>
      <c r="M1" s="38" t="n"/>
      <c r="N1" s="38" t="n"/>
      <c r="O1" s="38" t="n"/>
      <c r="P1" s="38" t="n"/>
      <c r="Q1" s="38" t="n"/>
      <c r="R1" s="38" t="n"/>
    </row>
    <row r="2" ht="27" customHeight="1">
      <c r="A2" s="49" t="inlineStr">
        <is>
          <t>Client / Entity</t>
        </is>
      </c>
      <c r="B2" s="39" t="inlineStr">
        <is>
          <t>Vaquite Industries, Inc.</t>
        </is>
      </c>
      <c r="C2" s="38" t="n"/>
      <c r="D2" s="49" t="inlineStr">
        <is>
          <t>Year-End</t>
        </is>
      </c>
      <c r="E2" s="50" t="n">
        <v>46022</v>
      </c>
      <c r="F2" s="38" t="n"/>
      <c r="G2" s="49" t="inlineStr">
        <is>
          <t>Currency</t>
        </is>
      </c>
      <c r="H2" s="51" t="inlineStr">
        <is>
          <t>USD</t>
        </is>
      </c>
      <c r="I2" s="38" t="n"/>
      <c r="J2" s="38" t="n"/>
      <c r="K2" s="38" t="n"/>
      <c r="L2" s="38" t="n"/>
      <c r="M2" s="38" t="n"/>
      <c r="N2" s="38" t="n"/>
      <c r="O2" s="38" t="n"/>
      <c r="P2" s="38" t="n"/>
      <c r="Q2" s="38" t="n"/>
      <c r="R2" s="38" t="n"/>
    </row>
    <row r="3" ht="27" customHeight="1">
      <c r="A3" s="52" t="inlineStr">
        <is>
          <t>Performance Materiality</t>
        </is>
      </c>
      <c r="B3" s="53" t="n">
        <v>23100</v>
      </c>
      <c r="C3" s="38" t="n"/>
      <c r="D3" s="52" t="inlineStr">
        <is>
          <t>Tolerable misstatement / testing threshold</t>
        </is>
      </c>
      <c r="E3" s="53" t="n">
        <v>20800</v>
      </c>
      <c r="F3" s="38" t="n"/>
      <c r="G3" s="38" t="n"/>
      <c r="H3" s="38" t="n"/>
      <c r="I3" s="38" t="n"/>
      <c r="J3" s="38" t="n"/>
      <c r="K3" s="38" t="n"/>
      <c r="L3" s="38" t="n"/>
      <c r="M3" s="38" t="n"/>
      <c r="N3" s="38" t="n"/>
      <c r="O3" s="38" t="n"/>
      <c r="P3" s="38" t="n"/>
      <c r="Q3" s="38" t="n"/>
      <c r="R3" s="38" t="n"/>
    </row>
    <row r="4" ht="27.75" customHeight="1">
      <c r="A4" s="54" t="inlineStr">
        <is>
          <t>Purpose:</t>
        </is>
      </c>
      <c r="B4" s="55" t="inlineStr">
        <is>
          <t>Examine subsequent disbursements above the testing threshold through the SURL period; vouch to invoice, determine the goods/service period, and classify the cutoff outcome at period end.</t>
        </is>
      </c>
      <c r="C4" s="38" t="n"/>
      <c r="D4" s="38" t="n"/>
      <c r="E4" s="38" t="n"/>
      <c r="F4" s="38" t="n"/>
      <c r="G4" s="38" t="n"/>
      <c r="H4" s="38" t="n"/>
      <c r="I4" s="38" t="n"/>
      <c r="J4" s="38" t="n"/>
      <c r="K4" s="38" t="n"/>
      <c r="L4" s="38" t="n"/>
      <c r="M4" s="38" t="n"/>
      <c r="N4" s="38" t="n"/>
      <c r="O4" s="38" t="n"/>
      <c r="P4" s="38" t="n"/>
      <c r="Q4" s="38" t="n"/>
      <c r="R4" s="38" t="n"/>
    </row>
    <row r="5" ht="27.75" customHeight="1">
      <c r="A5" s="54" t="inlineStr">
        <is>
          <t>Scope:</t>
        </is>
      </c>
      <c r="B5" s="55" t="inlineStr">
        <is>
          <t>Selections from the subsequent-disbursement population (&lt;.3&gt;) or bank statement, above the testing threshold, through the SURL end date.</t>
        </is>
      </c>
      <c r="C5" s="38" t="n"/>
      <c r="D5" s="38" t="n"/>
      <c r="E5" s="38" t="n"/>
      <c r="F5" s="38" t="n"/>
      <c r="G5" s="38" t="n"/>
      <c r="H5" s="38" t="n"/>
      <c r="I5" s="38" t="n"/>
      <c r="J5" s="38" t="n"/>
      <c r="K5" s="38" t="n"/>
      <c r="L5" s="38" t="n"/>
      <c r="M5" s="38" t="n"/>
      <c r="N5" s="38" t="n"/>
      <c r="O5" s="38" t="n"/>
      <c r="P5" s="38" t="n"/>
      <c r="Q5" s="38" t="n"/>
      <c r="R5" s="38" t="n"/>
    </row>
    <row r="6" ht="15" customHeight="1">
      <c r="A6" s="54" t="inlineStr">
        <is>
          <t>Assertions:</t>
        </is>
      </c>
      <c r="B6" s="55" t="inlineStr">
        <is>
          <t>Completeness; Cutoff; Valuation &amp; Allocation</t>
        </is>
      </c>
      <c r="C6" s="38" t="n"/>
      <c r="D6" s="38" t="n"/>
      <c r="E6" s="38" t="n"/>
      <c r="F6" s="38" t="n"/>
      <c r="G6" s="38" t="n"/>
      <c r="H6" s="38" t="n"/>
      <c r="I6" s="38" t="n"/>
      <c r="J6" s="38" t="n"/>
      <c r="K6" s="38" t="n"/>
      <c r="L6" s="38" t="n"/>
      <c r="M6" s="38" t="n"/>
      <c r="N6" s="38" t="n"/>
      <c r="O6" s="38" t="n"/>
      <c r="P6" s="38" t="n"/>
      <c r="Q6" s="38" t="n"/>
      <c r="R6" s="38" t="n"/>
    </row>
    <row r="7" ht="43.5" customHeight="1">
      <c r="A7" s="56" t="inlineStr">
        <is>
          <t>Sample #</t>
        </is>
      </c>
      <c r="B7" s="56" t="inlineStr">
        <is>
          <t>Payment ref #</t>
        </is>
      </c>
      <c r="C7" s="56" t="inlineStr">
        <is>
          <t>Payment date</t>
        </is>
      </c>
      <c r="D7" s="56" t="inlineStr">
        <is>
          <t>Vendor</t>
        </is>
      </c>
      <c r="E7" s="56" t="inlineStr">
        <is>
          <t>Payment amount</t>
        </is>
      </c>
      <c r="F7" s="56" t="inlineStr">
        <is>
          <t>Invoice #</t>
        </is>
      </c>
      <c r="G7" s="56" t="inlineStr">
        <is>
          <t>Invoice date</t>
        </is>
      </c>
      <c r="H7" s="56" t="inlineStr">
        <is>
          <t>Invoice amount</t>
        </is>
      </c>
      <c r="I7" s="56" t="inlineStr">
        <is>
          <t>Goods received / service period</t>
        </is>
      </c>
      <c r="J7" s="56" t="inlineStr">
        <is>
          <t>Relates to (pre-YE / post-YE)</t>
        </is>
      </c>
      <c r="K7" s="56" t="inlineStr">
        <is>
          <t>In YE AP? (Y/N)</t>
        </is>
      </c>
      <c r="L7" s="56" t="inlineStr">
        <is>
          <t>Properly included @ PE</t>
        </is>
      </c>
      <c r="M7" s="56" t="inlineStr">
        <is>
          <t>Properly excluded @ PE</t>
        </is>
      </c>
      <c r="N7" s="56" t="inlineStr">
        <is>
          <t>Improperly included @ PE</t>
        </is>
      </c>
      <c r="O7" s="56" t="inlineStr">
        <is>
          <t>Improperly excluded (unrecorded liab.)</t>
        </is>
      </c>
      <c r="P7" s="56" t="inlineStr">
        <is>
          <t>GL account</t>
        </is>
      </c>
      <c r="Q7" s="56" t="inlineStr">
        <is>
          <t>Tie-back / AP ref</t>
        </is>
      </c>
      <c r="R7" s="56" t="inlineStr">
        <is>
          <t>Notes</t>
        </is>
      </c>
    </row>
    <row r="8">
      <c r="A8" s="38" t="n"/>
      <c r="B8" s="38" t="n"/>
      <c r="C8" s="38" t="n"/>
      <c r="D8" s="38" t="n"/>
      <c r="E8" s="61" t="inlineStr">
        <is>
          <t>V</t>
        </is>
      </c>
      <c r="F8" s="38" t="n"/>
      <c r="G8" s="38" t="n"/>
      <c r="H8" s="61" t="inlineStr">
        <is>
          <t>V</t>
        </is>
      </c>
      <c r="I8" s="38" t="n"/>
      <c r="J8" s="38" t="n"/>
      <c r="K8" s="38" t="n"/>
      <c r="L8" s="38" t="n"/>
      <c r="M8" s="38" t="n"/>
      <c r="N8" s="38" t="n"/>
      <c r="O8" s="61" t="inlineStr">
        <is>
          <t>R</t>
        </is>
      </c>
      <c r="P8" s="38" t="n"/>
      <c r="Q8" s="38" t="n"/>
      <c r="R8" s="38" t="n"/>
    </row>
    <row r="9">
      <c r="A9" s="57" t="n"/>
      <c r="B9" s="57" t="n"/>
      <c r="C9" s="57" t="n"/>
      <c r="D9" s="57" t="n"/>
      <c r="E9" s="62" t="n"/>
      <c r="F9" s="57" t="n"/>
      <c r="G9" s="57" t="n"/>
      <c r="H9" s="62" t="n"/>
      <c r="I9" s="57" t="n"/>
      <c r="J9" s="57" t="n"/>
      <c r="K9" s="57" t="n"/>
      <c r="L9" s="62" t="n"/>
      <c r="M9" s="62" t="n"/>
      <c r="N9" s="62" t="n"/>
      <c r="O9" s="62" t="n"/>
      <c r="P9" s="57" t="n"/>
      <c r="Q9" s="57" t="n"/>
      <c r="R9" s="57" t="n"/>
    </row>
    <row r="10">
      <c r="A10" s="57" t="n"/>
      <c r="B10" s="57" t="n"/>
      <c r="C10" s="57" t="n"/>
      <c r="D10" s="57" t="n"/>
      <c r="E10" s="62" t="n"/>
      <c r="F10" s="57" t="n"/>
      <c r="G10" s="57" t="n"/>
      <c r="H10" s="62" t="n"/>
      <c r="I10" s="57" t="n"/>
      <c r="J10" s="57" t="n"/>
      <c r="K10" s="57" t="n"/>
      <c r="L10" s="62" t="n"/>
      <c r="M10" s="62" t="n"/>
      <c r="N10" s="62" t="n"/>
      <c r="O10" s="62" t="n"/>
      <c r="P10" s="57" t="n"/>
      <c r="Q10" s="57" t="n"/>
      <c r="R10" s="57" t="n"/>
    </row>
    <row r="11">
      <c r="A11" s="57" t="n"/>
      <c r="B11" s="57" t="n"/>
      <c r="C11" s="57" t="n"/>
      <c r="D11" s="57" t="n"/>
      <c r="E11" s="62" t="n"/>
      <c r="F11" s="57" t="n"/>
      <c r="G11" s="57" t="n"/>
      <c r="H11" s="62" t="n"/>
      <c r="I11" s="57" t="n"/>
      <c r="J11" s="57" t="n"/>
      <c r="K11" s="57" t="n"/>
      <c r="L11" s="62" t="n"/>
      <c r="M11" s="62" t="n"/>
      <c r="N11" s="62" t="n"/>
      <c r="O11" s="62" t="n"/>
      <c r="P11" s="57" t="n"/>
      <c r="Q11" s="57" t="n"/>
      <c r="R11" s="57" t="n"/>
    </row>
    <row r="12">
      <c r="A12" s="57" t="n"/>
      <c r="B12" s="57" t="n"/>
      <c r="C12" s="57" t="n"/>
      <c r="D12" s="57" t="n"/>
      <c r="E12" s="62" t="n"/>
      <c r="F12" s="57" t="n"/>
      <c r="G12" s="57" t="n"/>
      <c r="H12" s="62" t="n"/>
      <c r="I12" s="57" t="n"/>
      <c r="J12" s="57" t="n"/>
      <c r="K12" s="57" t="n"/>
      <c r="L12" s="62" t="n"/>
      <c r="M12" s="62" t="n"/>
      <c r="N12" s="62" t="n"/>
      <c r="O12" s="62" t="n"/>
      <c r="P12" s="57" t="n"/>
      <c r="Q12" s="57" t="n"/>
      <c r="R12" s="57" t="n"/>
    </row>
    <row r="13">
      <c r="A13" s="57" t="n"/>
      <c r="B13" s="57" t="n"/>
      <c r="C13" s="57" t="n"/>
      <c r="D13" s="57" t="n"/>
      <c r="E13" s="62" t="n"/>
      <c r="F13" s="57" t="n"/>
      <c r="G13" s="57" t="n"/>
      <c r="H13" s="62" t="n"/>
      <c r="I13" s="57" t="n"/>
      <c r="J13" s="57" t="n"/>
      <c r="K13" s="57" t="n"/>
      <c r="L13" s="62" t="n"/>
      <c r="M13" s="62" t="n"/>
      <c r="N13" s="62" t="n"/>
      <c r="O13" s="62" t="n"/>
      <c r="P13" s="57" t="n"/>
      <c r="Q13" s="57" t="n"/>
      <c r="R13" s="57" t="n"/>
    </row>
    <row r="14">
      <c r="A14" s="57" t="n"/>
      <c r="B14" s="57" t="n"/>
      <c r="C14" s="57" t="n"/>
      <c r="D14" s="57" t="n"/>
      <c r="E14" s="62" t="n"/>
      <c r="F14" s="57" t="n"/>
      <c r="G14" s="57" t="n"/>
      <c r="H14" s="62" t="n"/>
      <c r="I14" s="57" t="n"/>
      <c r="J14" s="57" t="n"/>
      <c r="K14" s="57" t="n"/>
      <c r="L14" s="62" t="n"/>
      <c r="M14" s="62" t="n"/>
      <c r="N14" s="62" t="n"/>
      <c r="O14" s="62" t="n"/>
      <c r="P14" s="57" t="n"/>
      <c r="Q14" s="57" t="n"/>
      <c r="R14" s="57" t="n"/>
    </row>
    <row r="15">
      <c r="A15" s="57" t="n"/>
      <c r="B15" s="57" t="n"/>
      <c r="C15" s="57" t="n"/>
      <c r="D15" s="57" t="n"/>
      <c r="E15" s="62" t="n"/>
      <c r="F15" s="57" t="n"/>
      <c r="G15" s="57" t="n"/>
      <c r="H15" s="62" t="n"/>
      <c r="I15" s="57" t="n"/>
      <c r="J15" s="57" t="n"/>
      <c r="K15" s="57" t="n"/>
      <c r="L15" s="62" t="n"/>
      <c r="M15" s="62" t="n"/>
      <c r="N15" s="62" t="n"/>
      <c r="O15" s="62" t="n"/>
      <c r="P15" s="57" t="n"/>
      <c r="Q15" s="57" t="n"/>
      <c r="R15" s="57" t="n"/>
    </row>
    <row r="16">
      <c r="A16" s="57" t="n"/>
      <c r="B16" s="57" t="n"/>
      <c r="C16" s="57" t="n"/>
      <c r="D16" s="57" t="n"/>
      <c r="E16" s="62" t="n"/>
      <c r="F16" s="57" t="n"/>
      <c r="G16" s="57" t="n"/>
      <c r="H16" s="62" t="n"/>
      <c r="I16" s="57" t="n"/>
      <c r="J16" s="57" t="n"/>
      <c r="K16" s="57" t="n"/>
      <c r="L16" s="62" t="n"/>
      <c r="M16" s="62" t="n"/>
      <c r="N16" s="62" t="n"/>
      <c r="O16" s="62" t="n"/>
      <c r="P16" s="57" t="n"/>
      <c r="Q16" s="57" t="n"/>
      <c r="R16" s="57" t="n"/>
    </row>
    <row r="17">
      <c r="A17" s="57" t="n"/>
      <c r="B17" s="57" t="n"/>
      <c r="C17" s="57" t="n"/>
      <c r="D17" s="57" t="n"/>
      <c r="E17" s="62" t="n"/>
      <c r="F17" s="57" t="n"/>
      <c r="G17" s="57" t="n"/>
      <c r="H17" s="62" t="n"/>
      <c r="I17" s="57" t="n"/>
      <c r="J17" s="57" t="n"/>
      <c r="K17" s="57" t="n"/>
      <c r="L17" s="62" t="n"/>
      <c r="M17" s="62" t="n"/>
      <c r="N17" s="62" t="n"/>
      <c r="O17" s="62" t="n"/>
      <c r="P17" s="57" t="n"/>
      <c r="Q17" s="57" t="n"/>
      <c r="R17" s="57" t="n"/>
    </row>
    <row r="18">
      <c r="A18" s="57" t="n"/>
      <c r="B18" s="57" t="n"/>
      <c r="C18" s="57" t="n"/>
      <c r="D18" s="57" t="n"/>
      <c r="E18" s="62" t="n"/>
      <c r="F18" s="57" t="n"/>
      <c r="G18" s="57" t="n"/>
      <c r="H18" s="62" t="n"/>
      <c r="I18" s="57" t="n"/>
      <c r="J18" s="57" t="n"/>
      <c r="K18" s="57" t="n"/>
      <c r="L18" s="62" t="n"/>
      <c r="M18" s="62" t="n"/>
      <c r="N18" s="62" t="n"/>
      <c r="O18" s="62" t="n"/>
      <c r="P18" s="57" t="n"/>
      <c r="Q18" s="57" t="n"/>
      <c r="R18" s="57" t="n"/>
    </row>
    <row r="19">
      <c r="A19" s="57" t="n"/>
      <c r="B19" s="57" t="n"/>
      <c r="C19" s="57" t="n"/>
      <c r="D19" s="57" t="n"/>
      <c r="E19" s="62" t="n"/>
      <c r="F19" s="57" t="n"/>
      <c r="G19" s="57" t="n"/>
      <c r="H19" s="62" t="n"/>
      <c r="I19" s="57" t="n"/>
      <c r="J19" s="57" t="n"/>
      <c r="K19" s="57" t="n"/>
      <c r="L19" s="62" t="n"/>
      <c r="M19" s="62" t="n"/>
      <c r="N19" s="62" t="n"/>
      <c r="O19" s="62" t="n"/>
      <c r="P19" s="57" t="n"/>
      <c r="Q19" s="57" t="n"/>
      <c r="R19" s="57" t="n"/>
    </row>
    <row r="20">
      <c r="A20" s="57" t="n"/>
      <c r="B20" s="57" t="n"/>
      <c r="C20" s="57" t="n"/>
      <c r="D20" s="57" t="n"/>
      <c r="E20" s="62" t="n"/>
      <c r="F20" s="57" t="n"/>
      <c r="G20" s="57" t="n"/>
      <c r="H20" s="62" t="n"/>
      <c r="I20" s="57" t="n"/>
      <c r="J20" s="57" t="n"/>
      <c r="K20" s="57" t="n"/>
      <c r="L20" s="62" t="n"/>
      <c r="M20" s="62" t="n"/>
      <c r="N20" s="62" t="n"/>
      <c r="O20" s="62" t="n"/>
      <c r="P20" s="57" t="n"/>
      <c r="Q20" s="57" t="n"/>
      <c r="R20" s="57" t="n"/>
    </row>
    <row r="21">
      <c r="A21" s="57" t="n"/>
      <c r="B21" s="57" t="n"/>
      <c r="C21" s="57" t="n"/>
      <c r="D21" s="57" t="n"/>
      <c r="E21" s="62" t="n"/>
      <c r="F21" s="57" t="n"/>
      <c r="G21" s="57" t="n"/>
      <c r="H21" s="62" t="n"/>
      <c r="I21" s="57" t="n"/>
      <c r="J21" s="57" t="n"/>
      <c r="K21" s="57" t="n"/>
      <c r="L21" s="62" t="n"/>
      <c r="M21" s="62" t="n"/>
      <c r="N21" s="62" t="n"/>
      <c r="O21" s="62" t="n"/>
      <c r="P21" s="57" t="n"/>
      <c r="Q21" s="57" t="n"/>
      <c r="R21" s="57" t="n"/>
    </row>
    <row r="22">
      <c r="A22" s="57" t="n"/>
      <c r="B22" s="57" t="n"/>
      <c r="C22" s="57" t="n"/>
      <c r="D22" s="57" t="n"/>
      <c r="E22" s="62" t="n"/>
      <c r="F22" s="57" t="n"/>
      <c r="G22" s="57" t="n"/>
      <c r="H22" s="62" t="n"/>
      <c r="I22" s="57" t="n"/>
      <c r="J22" s="57" t="n"/>
      <c r="K22" s="57" t="n"/>
      <c r="L22" s="62" t="n"/>
      <c r="M22" s="62" t="n"/>
      <c r="N22" s="62" t="n"/>
      <c r="O22" s="62" t="n"/>
      <c r="P22" s="57" t="n"/>
      <c r="Q22" s="57" t="n"/>
      <c r="R22" s="57" t="n"/>
    </row>
    <row r="23">
      <c r="A23" s="57" t="n"/>
      <c r="B23" s="57" t="n"/>
      <c r="C23" s="57" t="n"/>
      <c r="D23" s="57" t="n"/>
      <c r="E23" s="62" t="n"/>
      <c r="F23" s="57" t="n"/>
      <c r="G23" s="57" t="n"/>
      <c r="H23" s="62" t="n"/>
      <c r="I23" s="57" t="n"/>
      <c r="J23" s="57" t="n"/>
      <c r="K23" s="57" t="n"/>
      <c r="L23" s="62" t="n"/>
      <c r="M23" s="62" t="n"/>
      <c r="N23" s="62" t="n"/>
      <c r="O23" s="62" t="n"/>
      <c r="P23" s="57" t="n"/>
      <c r="Q23" s="57" t="n"/>
      <c r="R23" s="57" t="n"/>
    </row>
    <row r="24">
      <c r="A24" s="57" t="n"/>
      <c r="B24" s="57" t="n"/>
      <c r="C24" s="57" t="n"/>
      <c r="D24" s="57" t="n"/>
      <c r="E24" s="62" t="n"/>
      <c r="F24" s="57" t="n"/>
      <c r="G24" s="57" t="n"/>
      <c r="H24" s="62" t="n"/>
      <c r="I24" s="57" t="n"/>
      <c r="J24" s="57" t="n"/>
      <c r="K24" s="57" t="n"/>
      <c r="L24" s="62" t="n"/>
      <c r="M24" s="62" t="n"/>
      <c r="N24" s="62" t="n"/>
      <c r="O24" s="62" t="n"/>
      <c r="P24" s="57" t="n"/>
      <c r="Q24" s="57" t="n"/>
      <c r="R24" s="57" t="n"/>
    </row>
    <row r="25">
      <c r="A25" s="57" t="n"/>
      <c r="B25" s="57" t="n"/>
      <c r="C25" s="57" t="n"/>
      <c r="D25" s="57" t="n"/>
      <c r="E25" s="62" t="n"/>
      <c r="F25" s="57" t="n"/>
      <c r="G25" s="57" t="n"/>
      <c r="H25" s="62" t="n"/>
      <c r="I25" s="57" t="n"/>
      <c r="J25" s="57" t="n"/>
      <c r="K25" s="57" t="n"/>
      <c r="L25" s="62" t="n"/>
      <c r="M25" s="62" t="n"/>
      <c r="N25" s="62" t="n"/>
      <c r="O25" s="62" t="n"/>
      <c r="P25" s="57" t="n"/>
      <c r="Q25" s="57" t="n"/>
      <c r="R25" s="57" t="n"/>
    </row>
    <row r="26">
      <c r="A26" s="57" t="n"/>
      <c r="B26" s="57" t="n"/>
      <c r="C26" s="57" t="n"/>
      <c r="D26" s="57" t="n"/>
      <c r="E26" s="62" t="n"/>
      <c r="F26" s="57" t="n"/>
      <c r="G26" s="57" t="n"/>
      <c r="H26" s="62" t="n"/>
      <c r="I26" s="57" t="n"/>
      <c r="J26" s="57" t="n"/>
      <c r="K26" s="57" t="n"/>
      <c r="L26" s="62" t="n"/>
      <c r="M26" s="62" t="n"/>
      <c r="N26" s="62" t="n"/>
      <c r="O26" s="62" t="n"/>
      <c r="P26" s="57" t="n"/>
      <c r="Q26" s="57" t="n"/>
      <c r="R26" s="57" t="n"/>
    </row>
    <row r="27">
      <c r="A27" s="57" t="n"/>
      <c r="B27" s="57" t="n"/>
      <c r="C27" s="57" t="n"/>
      <c r="D27" s="57" t="n"/>
      <c r="E27" s="62" t="n"/>
      <c r="F27" s="57" t="n"/>
      <c r="G27" s="57" t="n"/>
      <c r="H27" s="62" t="n"/>
      <c r="I27" s="57" t="n"/>
      <c r="J27" s="57" t="n"/>
      <c r="K27" s="57" t="n"/>
      <c r="L27" s="62" t="n"/>
      <c r="M27" s="62" t="n"/>
      <c r="N27" s="62" t="n"/>
      <c r="O27" s="62" t="n"/>
      <c r="P27" s="57" t="n"/>
      <c r="Q27" s="57" t="n"/>
      <c r="R27" s="57" t="n"/>
    </row>
    <row r="28">
      <c r="A28" s="57" t="n"/>
      <c r="B28" s="57" t="n"/>
      <c r="C28" s="57" t="n"/>
      <c r="D28" s="57" t="n"/>
      <c r="E28" s="62" t="n"/>
      <c r="F28" s="57" t="n"/>
      <c r="G28" s="57" t="n"/>
      <c r="H28" s="62" t="n"/>
      <c r="I28" s="57" t="n"/>
      <c r="J28" s="57" t="n"/>
      <c r="K28" s="57" t="n"/>
      <c r="L28" s="62" t="n"/>
      <c r="M28" s="62" t="n"/>
      <c r="N28" s="62" t="n"/>
      <c r="O28" s="62" t="n"/>
      <c r="P28" s="57" t="n"/>
      <c r="Q28" s="57" t="n"/>
      <c r="R28" s="57" t="n"/>
    </row>
    <row r="29">
      <c r="A29" s="57" t="n"/>
      <c r="B29" s="57" t="n"/>
      <c r="C29" s="57" t="n"/>
      <c r="D29" s="57" t="n"/>
      <c r="E29" s="62" t="n"/>
      <c r="F29" s="57" t="n"/>
      <c r="G29" s="57" t="n"/>
      <c r="H29" s="62" t="n"/>
      <c r="I29" s="57" t="n"/>
      <c r="J29" s="57" t="n"/>
      <c r="K29" s="57" t="n"/>
      <c r="L29" s="62" t="n"/>
      <c r="M29" s="62" t="n"/>
      <c r="N29" s="62" t="n"/>
      <c r="O29" s="62" t="n"/>
      <c r="P29" s="57" t="n"/>
      <c r="Q29" s="57" t="n"/>
      <c r="R29" s="57" t="n"/>
    </row>
    <row r="30">
      <c r="A30" s="66" t="inlineStr">
        <is>
          <t>Total</t>
        </is>
      </c>
      <c r="B30" s="66" t="n"/>
      <c r="C30" s="66" t="n"/>
      <c r="D30" s="66" t="n"/>
      <c r="E30" s="67">
        <f>SUM(E9:E29)</f>
        <v/>
      </c>
      <c r="F30" s="66" t="n"/>
      <c r="G30" s="66" t="n"/>
      <c r="H30" s="66" t="n"/>
      <c r="I30" s="66" t="n"/>
      <c r="J30" s="66" t="n"/>
      <c r="K30" s="66" t="n"/>
      <c r="L30" s="67">
        <f>SUM(L9:L29)</f>
        <v/>
      </c>
      <c r="M30" s="67">
        <f>SUM(M9:M29)</f>
        <v/>
      </c>
      <c r="N30" s="67">
        <f>SUM(N9:N29)</f>
        <v/>
      </c>
      <c r="O30" s="67">
        <f>SUM(O9:O29)</f>
        <v/>
      </c>
      <c r="P30" s="66" t="n"/>
      <c r="Q30" s="66" t="n"/>
      <c r="R30" s="66" t="n"/>
    </row>
    <row r="31">
      <c r="A31" s="38" t="n"/>
      <c r="B31" s="38" t="n"/>
      <c r="C31" s="38" t="n"/>
      <c r="D31" s="38" t="n"/>
      <c r="E31" s="38" t="n"/>
      <c r="F31" s="38" t="n"/>
      <c r="G31" s="38" t="n"/>
      <c r="H31" s="38" t="n"/>
      <c r="I31" s="38" t="n"/>
      <c r="J31" s="38" t="n"/>
      <c r="K31" s="38" t="n"/>
      <c r="L31" s="38" t="n"/>
      <c r="M31" s="38" t="n"/>
      <c r="N31" s="38" t="n"/>
      <c r="O31" s="38" t="n"/>
      <c r="P31" s="38" t="n"/>
      <c r="Q31" s="38" t="n"/>
      <c r="R31" s="38" t="n"/>
    </row>
    <row r="32">
      <c r="A32" s="40" t="inlineStr">
        <is>
          <t>For each item determine the period the goods/services relate to: if PRE-year-end, the liability belongs in year-end AP (tie back to the AP listing; an 'improperly excluded' item is an unrecorded liability); if POST-year-end, confirm it is properly excluded from year-end AP. Payment amount should reconcile to the included/excluded classification columns.</t>
        </is>
      </c>
      <c r="B32" s="38" t="n"/>
      <c r="C32" s="38" t="n"/>
      <c r="D32" s="38" t="n"/>
      <c r="E32" s="38" t="n"/>
      <c r="F32" s="38" t="n"/>
      <c r="G32" s="38" t="n"/>
      <c r="H32" s="38" t="n"/>
      <c r="I32" s="38" t="n"/>
      <c r="J32" s="38" t="n"/>
      <c r="K32" s="38" t="n"/>
      <c r="L32" s="38" t="n"/>
      <c r="M32" s="38" t="n"/>
      <c r="N32" s="38" t="n"/>
      <c r="O32" s="38" t="n"/>
      <c r="P32" s="38" t="n"/>
      <c r="Q32" s="38" t="n"/>
      <c r="R32" s="38" t="n"/>
    </row>
    <row r="33">
      <c r="A33" s="38" t="n"/>
      <c r="B33" s="38" t="n"/>
      <c r="C33" s="38" t="n"/>
      <c r="D33" s="38" t="n"/>
      <c r="E33" s="38" t="n"/>
      <c r="F33" s="38" t="n"/>
      <c r="G33" s="38" t="n"/>
      <c r="H33" s="38" t="n"/>
      <c r="I33" s="38" t="n"/>
      <c r="J33" s="38" t="n"/>
      <c r="K33" s="38" t="n"/>
      <c r="L33" s="38" t="n"/>
      <c r="M33" s="38" t="n"/>
      <c r="N33" s="38" t="n"/>
      <c r="O33" s="38" t="n"/>
      <c r="P33" s="38" t="n"/>
      <c r="Q33" s="38" t="n"/>
      <c r="R33" s="38" t="n"/>
    </row>
    <row r="34">
      <c r="A34" s="54" t="inlineStr">
        <is>
          <t>TM Legends</t>
        </is>
      </c>
      <c r="B34" s="38" t="n"/>
      <c r="C34" s="38" t="n"/>
      <c r="D34" s="38" t="n"/>
      <c r="E34" s="38" t="n"/>
      <c r="F34" s="38" t="n"/>
      <c r="G34" s="38" t="n"/>
      <c r="H34" s="38" t="n"/>
      <c r="I34" s="38" t="n"/>
      <c r="J34" s="38" t="n"/>
      <c r="K34" s="38" t="n"/>
      <c r="L34" s="38" t="n"/>
      <c r="M34" s="38" t="n"/>
      <c r="N34" s="38" t="n"/>
      <c r="O34" s="38" t="n"/>
      <c r="P34" s="38" t="n"/>
      <c r="Q34" s="38" t="n"/>
      <c r="R34" s="38" t="n"/>
    </row>
    <row r="35">
      <c r="A35" s="58" t="inlineStr">
        <is>
          <t>TB</t>
        </is>
      </c>
      <c r="B35" s="44" t="inlineStr">
        <is>
          <t>Agreed to trial balance</t>
        </is>
      </c>
      <c r="C35" s="59" t="n"/>
      <c r="D35" s="60" t="n"/>
      <c r="E35" s="38" t="n"/>
      <c r="F35" s="38" t="n"/>
      <c r="G35" s="38" t="n"/>
      <c r="H35" s="38" t="n"/>
      <c r="I35" s="38" t="n"/>
      <c r="J35" s="38" t="n"/>
      <c r="K35" s="38" t="n"/>
      <c r="L35" s="38" t="n"/>
      <c r="M35" s="38" t="n"/>
      <c r="N35" s="38" t="n"/>
      <c r="O35" s="38" t="n"/>
      <c r="P35" s="38" t="n"/>
      <c r="Q35" s="38" t="n"/>
      <c r="R35" s="38" t="n"/>
    </row>
    <row r="36">
      <c r="A36" s="58" t="inlineStr">
        <is>
          <t>GL</t>
        </is>
      </c>
      <c r="B36" s="44" t="inlineStr">
        <is>
          <t>Agreed to general ledger</t>
        </is>
      </c>
      <c r="C36" s="59" t="n"/>
      <c r="D36" s="60" t="n"/>
      <c r="E36" s="38" t="n"/>
      <c r="F36" s="38" t="n"/>
      <c r="G36" s="38" t="n"/>
      <c r="H36" s="38" t="n"/>
      <c r="I36" s="38" t="n"/>
      <c r="J36" s="38" t="n"/>
      <c r="K36" s="38" t="n"/>
      <c r="L36" s="38" t="n"/>
      <c r="M36" s="38" t="n"/>
      <c r="N36" s="38" t="n"/>
      <c r="O36" s="38" t="n"/>
      <c r="P36" s="38" t="n"/>
      <c r="Q36" s="38" t="n"/>
      <c r="R36" s="38" t="n"/>
    </row>
    <row r="37">
      <c r="A37" s="58" t="inlineStr">
        <is>
          <t>CF</t>
        </is>
      </c>
      <c r="B37" s="44" t="inlineStr">
        <is>
          <t>Confirmed with third party</t>
        </is>
      </c>
      <c r="C37" s="59" t="n"/>
      <c r="D37" s="60" t="n"/>
      <c r="E37" s="38" t="n"/>
      <c r="F37" s="38" t="n"/>
      <c r="G37" s="38" t="n"/>
      <c r="H37" s="38" t="n"/>
      <c r="I37" s="38" t="n"/>
      <c r="J37" s="38" t="n"/>
      <c r="K37" s="38" t="n"/>
      <c r="L37" s="38" t="n"/>
      <c r="M37" s="38" t="n"/>
      <c r="N37" s="38" t="n"/>
      <c r="O37" s="38" t="n"/>
      <c r="P37" s="38" t="n"/>
      <c r="Q37" s="38" t="n"/>
      <c r="R37" s="38" t="n"/>
    </row>
    <row r="38">
      <c r="A38" s="58" t="inlineStr">
        <is>
          <t>V</t>
        </is>
      </c>
      <c r="B38" s="44" t="inlineStr">
        <is>
          <t>Vouched to source document</t>
        </is>
      </c>
      <c r="C38" s="59" t="n"/>
      <c r="D38" s="60" t="n"/>
      <c r="E38" s="38" t="n"/>
      <c r="F38" s="38" t="n"/>
      <c r="G38" s="38" t="n"/>
      <c r="H38" s="38" t="n"/>
      <c r="I38" s="38" t="n"/>
      <c r="J38" s="38" t="n"/>
      <c r="K38" s="38" t="n"/>
      <c r="L38" s="38" t="n"/>
      <c r="M38" s="38" t="n"/>
      <c r="N38" s="38" t="n"/>
      <c r="O38" s="38" t="n"/>
      <c r="P38" s="38" t="n"/>
      <c r="Q38" s="38" t="n"/>
      <c r="R38" s="38" t="n"/>
    </row>
    <row r="39">
      <c r="A39" s="58" t="inlineStr">
        <is>
          <t>SR</t>
        </is>
      </c>
      <c r="B39" s="44" t="inlineStr">
        <is>
          <t>Agreed to subsequent bank-cleared receipt</t>
        </is>
      </c>
      <c r="C39" s="59" t="n"/>
      <c r="D39" s="60" t="n"/>
      <c r="E39" s="38" t="n"/>
      <c r="F39" s="38" t="n"/>
      <c r="G39" s="38" t="n"/>
      <c r="H39" s="38" t="n"/>
      <c r="I39" s="38" t="n"/>
      <c r="J39" s="38" t="n"/>
      <c r="K39" s="38" t="n"/>
      <c r="L39" s="38" t="n"/>
      <c r="M39" s="38" t="n"/>
      <c r="N39" s="38" t="n"/>
      <c r="O39" s="38" t="n"/>
      <c r="P39" s="38" t="n"/>
      <c r="Q39" s="38" t="n"/>
      <c r="R39" s="38" t="n"/>
    </row>
    <row r="40" ht="25.5" customHeight="1">
      <c r="A40" s="58" t="inlineStr">
        <is>
          <t>R</t>
        </is>
      </c>
      <c r="B40" s="44" t="inlineStr">
        <is>
          <t>Recalculated independently</t>
        </is>
      </c>
      <c r="C40" s="59" t="n"/>
      <c r="D40" s="60" t="n"/>
      <c r="E40" s="38" t="n"/>
      <c r="F40" s="38" t="n"/>
      <c r="G40" s="38" t="n"/>
      <c r="H40" s="38" t="n"/>
      <c r="I40" s="38" t="n"/>
      <c r="J40" s="38" t="n"/>
      <c r="K40" s="38" t="n"/>
      <c r="L40" s="38" t="n"/>
      <c r="M40" s="38" t="n"/>
      <c r="N40" s="38" t="n"/>
      <c r="O40" s="38" t="n"/>
      <c r="P40" s="38" t="n"/>
      <c r="Q40" s="38" t="n"/>
      <c r="R40" s="38" t="n"/>
    </row>
    <row r="41">
      <c r="A41" s="58" t="inlineStr">
        <is>
          <t>F</t>
        </is>
      </c>
      <c r="B41" s="44" t="inlineStr">
        <is>
          <t>Footed / cross-cast</t>
        </is>
      </c>
      <c r="C41" s="59" t="n"/>
      <c r="D41" s="60" t="n"/>
      <c r="E41" s="38" t="n"/>
      <c r="F41" s="38" t="n"/>
      <c r="G41" s="38" t="n"/>
      <c r="H41" s="38" t="n"/>
      <c r="I41" s="38" t="n"/>
      <c r="J41" s="38" t="n"/>
      <c r="K41" s="38" t="n"/>
      <c r="L41" s="38" t="n"/>
      <c r="M41" s="38" t="n"/>
      <c r="N41" s="38" t="n"/>
      <c r="O41" s="38" t="n"/>
      <c r="P41" s="38" t="n"/>
      <c r="Q41" s="38" t="n"/>
      <c r="R41" s="38" t="n"/>
    </row>
    <row r="42">
      <c r="A42" s="58" t="inlineStr">
        <is>
          <t>T</t>
        </is>
      </c>
      <c r="B42" s="44" t="inlineStr">
        <is>
          <t>Traced to downstream record</t>
        </is>
      </c>
      <c r="C42" s="59" t="n"/>
      <c r="D42" s="60" t="n"/>
      <c r="E42" s="38" t="n"/>
      <c r="F42" s="38" t="n"/>
      <c r="G42" s="38" t="n"/>
      <c r="H42" s="38" t="n"/>
      <c r="I42" s="38" t="n"/>
      <c r="J42" s="38" t="n"/>
      <c r="K42" s="38" t="n"/>
      <c r="L42" s="38" t="n"/>
      <c r="M42" s="38" t="n"/>
      <c r="N42" s="38" t="n"/>
      <c r="O42" s="38" t="n"/>
      <c r="P42" s="38" t="n"/>
      <c r="Q42" s="38" t="n"/>
      <c r="R42" s="38" t="n"/>
    </row>
    <row r="43">
      <c r="A43" s="58" t="inlineStr">
        <is>
          <t>PBC</t>
        </is>
      </c>
      <c r="B43" s="44" t="inlineStr">
        <is>
          <t>Prepared by client</t>
        </is>
      </c>
      <c r="C43" s="59" t="n"/>
      <c r="D43" s="60" t="n"/>
      <c r="E43" s="38" t="n"/>
      <c r="F43" s="38" t="n"/>
      <c r="G43" s="38" t="n"/>
      <c r="H43" s="38" t="n"/>
      <c r="I43" s="38" t="n"/>
      <c r="J43" s="38" t="n"/>
      <c r="K43" s="38" t="n"/>
      <c r="L43" s="38" t="n"/>
      <c r="M43" s="38" t="n"/>
      <c r="N43" s="38" t="n"/>
      <c r="O43" s="38" t="n"/>
      <c r="P43" s="38" t="n"/>
      <c r="Q43" s="38" t="n"/>
      <c r="R43" s="38" t="n"/>
    </row>
    <row r="44">
      <c r="A44" s="38" t="n"/>
      <c r="B44" s="38" t="n"/>
      <c r="C44" s="38" t="n"/>
      <c r="D44" s="38" t="n"/>
      <c r="E44" s="38" t="n"/>
      <c r="F44" s="38" t="n"/>
      <c r="G44" s="38" t="n"/>
      <c r="H44" s="38" t="n"/>
      <c r="I44" s="38" t="n"/>
      <c r="J44" s="38" t="n"/>
      <c r="K44" s="38" t="n"/>
      <c r="L44" s="38" t="n"/>
      <c r="M44" s="38" t="n"/>
      <c r="N44" s="38" t="n"/>
      <c r="O44" s="38" t="n"/>
      <c r="P44" s="38" t="n"/>
      <c r="Q44" s="38" t="n"/>
      <c r="R44" s="38" t="n"/>
    </row>
    <row r="45">
      <c r="A45" s="40" t="inlineStr">
        <is>
          <t>Before sign-off complete Library Procedures 9-10 (SURL examination and cutoff classification).</t>
        </is>
      </c>
      <c r="B45" s="38" t="n"/>
      <c r="C45" s="38" t="n"/>
      <c r="D45" s="38" t="n"/>
      <c r="E45" s="38" t="n"/>
      <c r="F45" s="38" t="n"/>
      <c r="G45" s="38" t="n"/>
      <c r="H45" s="38" t="n"/>
      <c r="I45" s="38" t="n"/>
      <c r="J45" s="38" t="n"/>
      <c r="K45" s="38" t="n"/>
      <c r="L45" s="38" t="n"/>
      <c r="M45" s="38" t="n"/>
      <c r="N45" s="38" t="n"/>
      <c r="O45" s="38" t="n"/>
      <c r="P45" s="38" t="n"/>
      <c r="Q45" s="38" t="n"/>
      <c r="R45" s="38" t="n"/>
    </row>
  </sheetData>
  <autoFilter ref="A7:R29"/>
  <mergeCells count="14">
    <mergeCell ref="B42:D42"/>
    <mergeCell ref="B4:R4"/>
    <mergeCell ref="B36:D36"/>
    <mergeCell ref="B41:D41"/>
    <mergeCell ref="B35:D35"/>
    <mergeCell ref="B38:D38"/>
    <mergeCell ref="B37:D37"/>
    <mergeCell ref="B6:R6"/>
    <mergeCell ref="B40:D40"/>
    <mergeCell ref="A32:R32"/>
    <mergeCell ref="A45:R45"/>
    <mergeCell ref="B43:D43"/>
    <mergeCell ref="B5:R5"/>
    <mergeCell ref="B39:D39"/>
  </mergeCells>
  <printOptions horizontalCentered="0" verticalCentered="0"/>
  <pageMargins left="0.25" right="0.25" top="0.5" bottom="0.5" header="0.2" footer="0.2"/>
  <pageSetup orientation="landscape" paperSize="1" fitToHeight="0" fitToWidth="2" horizontalDpi="300" verticalDpi="300"/>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autoPageBreaks="0" fitToPage="1"/>
  </sheetPr>
  <dimension ref="A1:H35"/>
  <sheetViews>
    <sheetView showGridLines="0" zoomScale="90" zoomScaleNormal="100" workbookViewId="0">
      <pane ySplit="7" topLeftCell="A8" activePane="bottomLeft" state="frozen"/>
      <selection pane="bottomLeft" activeCell="B6" sqref="B6:D6"/>
    </sheetView>
  </sheetViews>
  <sheetFormatPr baseColWidth="8" defaultColWidth="8.6328125" defaultRowHeight="14.5"/>
  <cols>
    <col width="42" customWidth="1" min="1" max="1"/>
    <col width="30.9" customWidth="1" min="2" max="2"/>
    <col width="18" customWidth="1" min="3" max="3"/>
    <col width="37.7" customWidth="1" min="4" max="4"/>
    <col width="13" customWidth="1" min="5" max="5"/>
    <col width="13" customWidth="1" min="6" max="6"/>
    <col width="13" customWidth="1" min="7" max="7"/>
    <col width="13" customWidth="1" min="8" max="8"/>
  </cols>
  <sheetData>
    <row r="1" ht="17.5" customHeight="1">
      <c r="A1" s="37" t="inlineStr">
        <is>
          <t>Completeness of Disbursements (conditional)</t>
        </is>
      </c>
      <c r="B1" s="38" t="n"/>
      <c r="C1" s="38" t="n"/>
      <c r="D1" s="38" t="n"/>
      <c r="E1" s="38" t="n"/>
      <c r="F1" s="38" t="n"/>
      <c r="G1" s="38" t="n"/>
      <c r="H1" s="38" t="n"/>
    </row>
    <row r="2">
      <c r="A2" s="49" t="inlineStr">
        <is>
          <t>Client / Entity</t>
        </is>
      </c>
      <c r="B2" s="39" t="inlineStr">
        <is>
          <t>Vaquite Industries, Inc.</t>
        </is>
      </c>
      <c r="C2" s="38" t="n"/>
      <c r="D2" s="49" t="inlineStr">
        <is>
          <t>Year-End</t>
        </is>
      </c>
      <c r="E2" s="50" t="n">
        <v>46022</v>
      </c>
      <c r="F2" s="38" t="n"/>
      <c r="G2" s="49" t="inlineStr">
        <is>
          <t>Currency</t>
        </is>
      </c>
      <c r="H2" s="51" t="inlineStr">
        <is>
          <t>USD</t>
        </is>
      </c>
    </row>
    <row r="3" ht="27" customHeight="1">
      <c r="A3" s="52" t="inlineStr">
        <is>
          <t>Performance Materiality</t>
        </is>
      </c>
      <c r="B3" s="53" t="n">
        <v>23100</v>
      </c>
      <c r="C3" s="38" t="n"/>
      <c r="D3" s="52" t="inlineStr">
        <is>
          <t>Tolerable misstatement / testing threshold</t>
        </is>
      </c>
      <c r="E3" s="53" t="n">
        <v>20800</v>
      </c>
      <c r="F3" s="38" t="n"/>
      <c r="G3" s="38" t="n"/>
      <c r="H3" s="38" t="n"/>
    </row>
    <row r="4" ht="42" customHeight="1">
      <c r="A4" s="71" t="inlineStr">
        <is>
          <t>Purpose:</t>
        </is>
      </c>
      <c r="B4" s="85" t="inlineStr">
        <is>
          <t>Test the completeness of the disbursement population from which SURL selections were made. Required ONLY if selections were drawn from the disbursement listing; NOT required if drawn from the bank statement.</t>
        </is>
      </c>
      <c r="C4" s="73" t="n"/>
      <c r="D4" s="74" t="n"/>
      <c r="E4" s="38" t="n"/>
      <c r="F4" s="38" t="n"/>
      <c r="G4" s="38" t="n"/>
      <c r="H4" s="38" t="n"/>
    </row>
    <row r="5" ht="27" customHeight="1">
      <c r="A5" s="71" t="inlineStr">
        <is>
          <t>Scope:</t>
        </is>
      </c>
      <c r="B5" s="85" t="inlineStr">
        <is>
          <t>The subsequent-disbursement listing and the corresponding subsequent-period bank statement.</t>
        </is>
      </c>
      <c r="C5" s="73" t="n"/>
      <c r="D5" s="74" t="n"/>
      <c r="E5" s="38" t="n"/>
      <c r="F5" s="38" t="n"/>
      <c r="G5" s="38" t="n"/>
      <c r="H5" s="38" t="n"/>
    </row>
    <row r="6" ht="15" customHeight="1">
      <c r="A6" s="71" t="inlineStr">
        <is>
          <t>Assertions:</t>
        </is>
      </c>
      <c r="B6" s="85" t="inlineStr">
        <is>
          <t>Completeness</t>
        </is>
      </c>
      <c r="C6" s="73" t="n"/>
      <c r="D6" s="74" t="n"/>
      <c r="E6" s="38" t="n"/>
      <c r="F6" s="38" t="n"/>
      <c r="G6" s="38" t="n"/>
      <c r="H6" s="38" t="n"/>
    </row>
    <row r="7">
      <c r="A7" s="86" t="inlineStr">
        <is>
          <t>SURL selection source</t>
        </is>
      </c>
      <c r="B7" s="87" t="inlineStr">
        <is>
          <t>[Disbursement listing / Bank statement]</t>
        </is>
      </c>
      <c r="C7" s="73" t="n"/>
      <c r="D7" s="74" t="n"/>
      <c r="E7" s="38" t="n"/>
      <c r="F7" s="38" t="n"/>
      <c r="G7" s="38" t="n"/>
      <c r="H7" s="38" t="n"/>
    </row>
    <row r="8" ht="25.5" customHeight="1">
      <c r="A8" s="40" t="inlineStr">
        <is>
          <t>If 'Bank statement' — completeness test below is NOT required (the bank statement is inherently complete). Document and skip.</t>
        </is>
      </c>
      <c r="B8" s="38" t="n"/>
      <c r="C8" s="38" t="n"/>
      <c r="D8" s="38" t="n"/>
      <c r="E8" s="38" t="n"/>
      <c r="F8" s="38" t="n"/>
      <c r="G8" s="38" t="n"/>
      <c r="H8" s="38" t="n"/>
    </row>
    <row r="9">
      <c r="A9" s="38" t="n"/>
      <c r="B9" s="38" t="n"/>
      <c r="C9" s="38" t="n"/>
      <c r="D9" s="38" t="n"/>
      <c r="E9" s="38" t="n"/>
      <c r="F9" s="38" t="n"/>
      <c r="G9" s="38" t="n"/>
      <c r="H9" s="38" t="n"/>
    </row>
    <row r="10" ht="27" customHeight="1">
      <c r="A10" s="68" t="inlineStr">
        <is>
          <t>A. Sequence check of payment / check document numbers</t>
        </is>
      </c>
      <c r="B10" s="38" t="n"/>
      <c r="C10" s="38" t="n"/>
      <c r="D10" s="38" t="n"/>
      <c r="E10" s="38" t="n"/>
      <c r="F10" s="38" t="n"/>
      <c r="G10" s="38" t="n"/>
      <c r="H10" s="38" t="n"/>
    </row>
    <row r="11" ht="18" customHeight="1">
      <c r="A11" s="56" t="inlineStr">
        <is>
          <t>Item</t>
        </is>
      </c>
      <c r="B11" s="56" t="inlineStr">
        <is>
          <t>Result</t>
        </is>
      </c>
      <c r="C11" s="56" t="inlineStr">
        <is>
          <t>Reference</t>
        </is>
      </c>
      <c r="D11" s="56" t="inlineStr">
        <is>
          <t>Comments</t>
        </is>
      </c>
      <c r="E11" s="38" t="n"/>
      <c r="F11" s="38" t="n"/>
      <c r="G11" s="38" t="n"/>
      <c r="H11" s="38" t="n"/>
    </row>
    <row r="12">
      <c r="A12" s="44" t="inlineStr">
        <is>
          <t>First document number in sequence</t>
        </is>
      </c>
      <c r="B12" s="57" t="n"/>
      <c r="C12" s="57" t="n"/>
      <c r="D12" s="57" t="n"/>
      <c r="E12" s="38" t="n"/>
      <c r="F12" s="38" t="n"/>
      <c r="G12" s="38" t="n"/>
      <c r="H12" s="38" t="n"/>
    </row>
    <row r="13">
      <c r="A13" s="44" t="inlineStr">
        <is>
          <t>Last document number in sequence</t>
        </is>
      </c>
      <c r="B13" s="57" t="n"/>
      <c r="C13" s="57" t="n"/>
      <c r="D13" s="57" t="n"/>
      <c r="E13" s="38" t="n"/>
      <c r="F13" s="38" t="n"/>
      <c r="G13" s="38" t="n"/>
      <c r="H13" s="38" t="n"/>
    </row>
    <row r="14">
      <c r="A14" s="44" t="inlineStr">
        <is>
          <t>Missing / voided numbers (list)</t>
        </is>
      </c>
      <c r="B14" s="57" t="n"/>
      <c r="C14" s="57" t="n"/>
      <c r="D14" s="57" t="n"/>
      <c r="E14" s="38" t="n"/>
      <c r="F14" s="38" t="n"/>
      <c r="G14" s="38" t="n"/>
      <c r="H14" s="38" t="n"/>
    </row>
    <row r="15">
      <c r="A15" s="44" t="inlineStr">
        <is>
          <t>Gaps investigated &amp; explained (Y/N)</t>
        </is>
      </c>
      <c r="B15" s="57" t="n"/>
      <c r="C15" s="57" t="n"/>
      <c r="D15" s="57" t="n"/>
      <c r="E15" s="38" t="n"/>
      <c r="F15" s="38" t="n"/>
      <c r="G15" s="38" t="n"/>
      <c r="H15" s="38" t="n"/>
    </row>
    <row r="16">
      <c r="A16" s="38" t="n"/>
      <c r="B16" s="38" t="n"/>
      <c r="C16" s="38" t="n"/>
      <c r="D16" s="38" t="n"/>
      <c r="E16" s="38" t="n"/>
      <c r="F16" s="38" t="n"/>
      <c r="G16" s="38" t="n"/>
      <c r="H16" s="38" t="n"/>
    </row>
    <row r="17" ht="27" customHeight="1">
      <c r="A17" s="68" t="inlineStr">
        <is>
          <t>B. Reconcile disbursement listing to subsequent-period bank statement</t>
        </is>
      </c>
      <c r="B17" s="38" t="n"/>
      <c r="C17" s="38" t="n"/>
      <c r="D17" s="38" t="n"/>
      <c r="E17" s="38" t="n"/>
      <c r="F17" s="38" t="n"/>
      <c r="G17" s="38" t="n"/>
      <c r="H17" s="38" t="n"/>
    </row>
    <row r="18">
      <c r="A18" s="44" t="inlineStr">
        <is>
          <t>Total per disbursement listing</t>
        </is>
      </c>
      <c r="B18" s="62" t="n"/>
      <c r="C18" s="38" t="n"/>
      <c r="D18" s="38" t="n"/>
      <c r="E18" s="38" t="n"/>
      <c r="F18" s="38" t="n"/>
      <c r="G18" s="38" t="n"/>
      <c r="H18" s="38" t="n"/>
    </row>
    <row r="19">
      <c r="A19" s="44" t="inlineStr">
        <is>
          <t>Total per bank statement (subsequent period)</t>
        </is>
      </c>
      <c r="B19" s="62" t="n"/>
      <c r="C19" s="38" t="n"/>
      <c r="D19" s="38" t="n"/>
      <c r="E19" s="38" t="n"/>
      <c r="F19" s="38" t="n"/>
      <c r="G19" s="38" t="n"/>
      <c r="H19" s="38" t="n"/>
    </row>
    <row r="20" ht="27" customHeight="1">
      <c r="A20" s="78" t="inlineStr">
        <is>
          <t>Difference</t>
        </is>
      </c>
      <c r="B20" s="88">
        <f>IF(AND(B18="",B19=""),"",B18-B19)</f>
        <v/>
      </c>
      <c r="C20" s="38" t="n"/>
      <c r="D20" s="38" t="n"/>
      <c r="E20" s="38" t="n"/>
      <c r="F20" s="38" t="n"/>
      <c r="G20" s="38" t="n"/>
      <c r="H20" s="38" t="n"/>
    </row>
    <row r="21">
      <c r="A21" s="44" t="inlineStr">
        <is>
          <t>Reconciling items (describe)</t>
        </is>
      </c>
      <c r="B21" s="57" t="n"/>
      <c r="C21" s="59" t="n"/>
      <c r="D21" s="60" t="n"/>
      <c r="E21" s="38" t="n"/>
      <c r="F21" s="38" t="n"/>
      <c r="G21" s="38" t="n"/>
      <c r="H21" s="38" t="n"/>
    </row>
    <row r="22">
      <c r="A22" s="38" t="n"/>
      <c r="B22" s="38" t="n"/>
      <c r="C22" s="38" t="n"/>
      <c r="D22" s="38" t="n"/>
      <c r="E22" s="38" t="n"/>
      <c r="F22" s="38" t="n"/>
      <c r="G22" s="38" t="n"/>
      <c r="H22" s="38" t="n"/>
    </row>
    <row r="23">
      <c r="A23" s="38" t="n"/>
      <c r="B23" s="38" t="n"/>
      <c r="C23" s="38" t="n"/>
      <c r="D23" s="38" t="n"/>
      <c r="E23" s="38" t="n"/>
      <c r="F23" s="38" t="n"/>
      <c r="G23" s="38" t="n"/>
      <c r="H23" s="38" t="n"/>
    </row>
    <row r="24">
      <c r="A24" s="54" t="inlineStr">
        <is>
          <t>TM Legends</t>
        </is>
      </c>
      <c r="B24" s="38" t="n"/>
      <c r="C24" s="38" t="n"/>
      <c r="D24" s="38" t="n"/>
      <c r="E24" s="38" t="n"/>
      <c r="F24" s="38" t="n"/>
      <c r="G24" s="38" t="n"/>
      <c r="H24" s="38" t="n"/>
    </row>
    <row r="25">
      <c r="A25" s="58" t="inlineStr">
        <is>
          <t>TB</t>
        </is>
      </c>
      <c r="B25" s="44" t="inlineStr">
        <is>
          <t>Agreed to trial balance</t>
        </is>
      </c>
      <c r="C25" s="59" t="n"/>
      <c r="D25" s="60" t="n"/>
      <c r="E25" s="38" t="n"/>
      <c r="F25" s="38" t="n"/>
      <c r="G25" s="38" t="n"/>
      <c r="H25" s="38" t="n"/>
    </row>
    <row r="26">
      <c r="A26" s="58" t="inlineStr">
        <is>
          <t>GL</t>
        </is>
      </c>
      <c r="B26" s="44" t="inlineStr">
        <is>
          <t>Agreed to general ledger</t>
        </is>
      </c>
      <c r="C26" s="59" t="n"/>
      <c r="D26" s="60" t="n"/>
      <c r="E26" s="38" t="n"/>
      <c r="F26" s="38" t="n"/>
      <c r="G26" s="38" t="n"/>
      <c r="H26" s="38" t="n"/>
    </row>
    <row r="27">
      <c r="A27" s="58" t="inlineStr">
        <is>
          <t>CF</t>
        </is>
      </c>
      <c r="B27" s="44" t="inlineStr">
        <is>
          <t>Confirmed with third party</t>
        </is>
      </c>
      <c r="C27" s="59" t="n"/>
      <c r="D27" s="60" t="n"/>
      <c r="E27" s="38" t="n"/>
      <c r="F27" s="38" t="n"/>
      <c r="G27" s="38" t="n"/>
      <c r="H27" s="38" t="n"/>
    </row>
    <row r="28">
      <c r="A28" s="58" t="inlineStr">
        <is>
          <t>V</t>
        </is>
      </c>
      <c r="B28" s="44" t="inlineStr">
        <is>
          <t>Vouched to source document</t>
        </is>
      </c>
      <c r="C28" s="59" t="n"/>
      <c r="D28" s="60" t="n"/>
      <c r="E28" s="38" t="n"/>
      <c r="F28" s="38" t="n"/>
      <c r="G28" s="38" t="n"/>
      <c r="H28" s="38" t="n"/>
    </row>
    <row r="29">
      <c r="A29" s="58" t="inlineStr">
        <is>
          <t>SR</t>
        </is>
      </c>
      <c r="B29" s="44" t="inlineStr">
        <is>
          <t>Agreed to subsequent bank-cleared receipt</t>
        </is>
      </c>
      <c r="C29" s="59" t="n"/>
      <c r="D29" s="60" t="n"/>
      <c r="E29" s="38" t="n"/>
      <c r="F29" s="38" t="n"/>
      <c r="G29" s="38" t="n"/>
      <c r="H29" s="38" t="n"/>
    </row>
    <row r="30">
      <c r="A30" s="58" t="inlineStr">
        <is>
          <t>R</t>
        </is>
      </c>
      <c r="B30" s="44" t="inlineStr">
        <is>
          <t>Recalculated independently</t>
        </is>
      </c>
      <c r="C30" s="59" t="n"/>
      <c r="D30" s="60" t="n"/>
      <c r="E30" s="38" t="n"/>
      <c r="F30" s="38" t="n"/>
      <c r="G30" s="38" t="n"/>
      <c r="H30" s="38" t="n"/>
    </row>
    <row r="31">
      <c r="A31" s="58" t="inlineStr">
        <is>
          <t>F</t>
        </is>
      </c>
      <c r="B31" s="44" t="inlineStr">
        <is>
          <t>Footed / cross-cast</t>
        </is>
      </c>
      <c r="C31" s="59" t="n"/>
      <c r="D31" s="60" t="n"/>
      <c r="E31" s="38" t="n"/>
      <c r="F31" s="38" t="n"/>
      <c r="G31" s="38" t="n"/>
      <c r="H31" s="38" t="n"/>
    </row>
    <row r="32">
      <c r="A32" s="58" t="inlineStr">
        <is>
          <t>T</t>
        </is>
      </c>
      <c r="B32" s="44" t="inlineStr">
        <is>
          <t>Traced to downstream record</t>
        </is>
      </c>
      <c r="C32" s="59" t="n"/>
      <c r="D32" s="60" t="n"/>
      <c r="E32" s="38" t="n"/>
      <c r="F32" s="38" t="n"/>
      <c r="G32" s="38" t="n"/>
      <c r="H32" s="38" t="n"/>
    </row>
    <row r="33">
      <c r="A33" s="58" t="inlineStr">
        <is>
          <t>PBC</t>
        </is>
      </c>
      <c r="B33" s="44" t="inlineStr">
        <is>
          <t>Prepared by client</t>
        </is>
      </c>
      <c r="C33" s="59" t="n"/>
      <c r="D33" s="60" t="n"/>
      <c r="E33" s="38" t="n"/>
      <c r="F33" s="38" t="n"/>
      <c r="G33" s="38" t="n"/>
      <c r="H33" s="38" t="n"/>
    </row>
    <row r="34">
      <c r="A34" s="38" t="n"/>
      <c r="B34" s="38" t="n"/>
      <c r="C34" s="38" t="n"/>
      <c r="D34" s="38" t="n"/>
      <c r="E34" s="38" t="n"/>
      <c r="F34" s="38" t="n"/>
      <c r="G34" s="38" t="n"/>
      <c r="H34" s="38" t="n"/>
    </row>
    <row r="35" ht="27" customHeight="1">
      <c r="A35" s="40" t="inlineStr">
        <is>
          <t>Before sign-off complete Library Procedures 11-12 (completeness via sequence check / bank-statement reconciliation; document when not required).</t>
        </is>
      </c>
      <c r="B35" s="38" t="n"/>
      <c r="C35" s="38" t="n"/>
      <c r="D35" s="38" t="n"/>
      <c r="E35" s="38" t="n"/>
      <c r="F35" s="38" t="n"/>
      <c r="G35" s="38" t="n"/>
      <c r="H35" s="38" t="n"/>
    </row>
  </sheetData>
  <mergeCells count="16">
    <mergeCell ref="B33:D33"/>
    <mergeCell ref="B28:D28"/>
    <mergeCell ref="B5:D5"/>
    <mergeCell ref="A8:D8"/>
    <mergeCell ref="B31:D31"/>
    <mergeCell ref="A35:D35"/>
    <mergeCell ref="B32:D32"/>
    <mergeCell ref="B4:D4"/>
    <mergeCell ref="B26:D26"/>
    <mergeCell ref="B27:D27"/>
    <mergeCell ref="B30:D30"/>
    <mergeCell ref="B21:D21"/>
    <mergeCell ref="B29:D29"/>
    <mergeCell ref="B7:D7"/>
    <mergeCell ref="B25:D25"/>
    <mergeCell ref="B6:D6"/>
  </mergeCells>
  <printOptions horizontalCentered="0" verticalCentered="0"/>
  <pageMargins left="0.25" right="0.25" top="0.5" bottom="0.5" header="0.2" footer="0.2"/>
  <pageSetup orientation="portrait" paperSize="1" fitToHeight="0" fitToWidth="1" horizontalDpi="300" verticalDpi="300"/>
</worksheet>
</file>

<file path=xl/worksheets/sheet8.xml><?xml version="1.0" encoding="utf-8"?>
<worksheet xmlns="http://schemas.openxmlformats.org/spreadsheetml/2006/main">
  <sheetPr>
    <outlinePr summaryBelow="1" summaryRight="1"/>
    <pageSetUpPr autoPageBreaks="0" fitToPage="1"/>
  </sheetPr>
  <dimension ref="A1:J38"/>
  <sheetViews>
    <sheetView showGridLines="0" zoomScale="90" zoomScaleNormal="100" workbookViewId="0">
      <pane xSplit="1" ySplit="7" topLeftCell="B8" activePane="bottomRight" state="frozen"/>
      <selection pane="topRight"/>
      <selection pane="bottomLeft"/>
      <selection pane="bottomRight" activeCell="A1" sqref="A1:A1048576"/>
    </sheetView>
  </sheetViews>
  <sheetFormatPr baseColWidth="8" defaultColWidth="8.6328125" defaultRowHeight="14.5"/>
  <cols>
    <col width="29.2" customWidth="1" min="1" max="1"/>
    <col width="24" customWidth="1" min="2" max="2"/>
    <col width="12" customWidth="1" min="3" max="3"/>
    <col width="37.7" customWidth="1" min="4" max="4"/>
    <col width="30.9" customWidth="1" min="5" max="5"/>
    <col width="21.55" customWidth="1" min="6" max="6"/>
    <col width="19" customWidth="1" min="7" max="7"/>
    <col width="18" customWidth="1" min="8" max="8"/>
    <col width="12.2" customWidth="1" min="9" max="9"/>
    <col width="26" customWidth="1" min="10" max="10"/>
  </cols>
  <sheetData>
    <row r="1" ht="27" customHeight="1">
      <c r="A1" s="37" t="inlineStr">
        <is>
          <t>Outstanding Checks → AP Tie-Back</t>
        </is>
      </c>
      <c r="B1" s="38" t="n"/>
      <c r="C1" s="38" t="n"/>
      <c r="D1" s="38" t="n"/>
      <c r="E1" s="38" t="n"/>
      <c r="F1" s="38" t="n"/>
      <c r="G1" s="38" t="n"/>
      <c r="H1" s="38" t="n"/>
      <c r="I1" s="38" t="n"/>
      <c r="J1" s="38" t="n"/>
    </row>
    <row r="2">
      <c r="A2" s="49" t="inlineStr">
        <is>
          <t>Client / Entity</t>
        </is>
      </c>
      <c r="B2" s="39" t="inlineStr">
        <is>
          <t>Vaquite Industries, Inc.</t>
        </is>
      </c>
      <c r="C2" s="38" t="n"/>
      <c r="D2" s="49" t="inlineStr">
        <is>
          <t>Year-End</t>
        </is>
      </c>
      <c r="E2" s="50" t="n">
        <v>46022</v>
      </c>
      <c r="F2" s="38" t="n"/>
      <c r="G2" s="49" t="inlineStr">
        <is>
          <t>Currency</t>
        </is>
      </c>
      <c r="H2" s="51" t="inlineStr">
        <is>
          <t>USD</t>
        </is>
      </c>
      <c r="I2" s="38" t="n"/>
      <c r="J2" s="38" t="n"/>
    </row>
    <row r="3" ht="27" customHeight="1">
      <c r="A3" s="52" t="inlineStr">
        <is>
          <t>Performance Materiality</t>
        </is>
      </c>
      <c r="B3" s="53" t="n">
        <v>23100</v>
      </c>
      <c r="C3" s="38" t="n"/>
      <c r="D3" s="52" t="inlineStr">
        <is>
          <t>Tolerable misstatement / testing threshold</t>
        </is>
      </c>
      <c r="E3" s="53" t="n">
        <v>20800</v>
      </c>
      <c r="F3" s="38" t="n"/>
      <c r="G3" s="38" t="n"/>
      <c r="H3" s="38" t="n"/>
      <c r="I3" s="38" t="n"/>
      <c r="J3" s="38" t="n"/>
    </row>
    <row r="4" ht="27.75" customHeight="1">
      <c r="A4" s="54" t="inlineStr">
        <is>
          <t>Purpose:</t>
        </is>
      </c>
      <c r="B4" s="55" t="inlineStr">
        <is>
          <t>Select outstanding checks issued on or before period-end that had not cleared the bank, and tie each back to the AP listing to confirm the related payable is appropriately recorded.</t>
        </is>
      </c>
      <c r="C4" s="38" t="n"/>
      <c r="D4" s="38" t="n"/>
      <c r="E4" s="38" t="n"/>
      <c r="F4" s="38" t="n"/>
      <c r="G4" s="38" t="n"/>
      <c r="H4" s="38" t="n"/>
      <c r="I4" s="38" t="n"/>
      <c r="J4" s="38" t="n"/>
    </row>
    <row r="5" ht="27.75" customHeight="1">
      <c r="A5" s="54" t="inlineStr">
        <is>
          <t>Scope:</t>
        </is>
      </c>
      <c r="B5" s="55" t="inlineStr">
        <is>
          <t>Year-end outstanding-check list (checks not yet reflected in the bank) and the AP sub-ledger / listing.</t>
        </is>
      </c>
      <c r="C5" s="38" t="n"/>
      <c r="D5" s="38" t="n"/>
      <c r="E5" s="38" t="n"/>
      <c r="F5" s="38" t="n"/>
      <c r="G5" s="38" t="n"/>
      <c r="H5" s="38" t="n"/>
      <c r="I5" s="38" t="n"/>
      <c r="J5" s="38" t="n"/>
    </row>
    <row r="6" ht="15" customHeight="1">
      <c r="A6" s="54" t="inlineStr">
        <is>
          <t>Assertions:</t>
        </is>
      </c>
      <c r="B6" s="55" t="inlineStr">
        <is>
          <t>Completeness; Existence</t>
        </is>
      </c>
      <c r="C6" s="38" t="n"/>
      <c r="D6" s="38" t="n"/>
      <c r="E6" s="38" t="n"/>
      <c r="F6" s="38" t="n"/>
      <c r="G6" s="38" t="n"/>
      <c r="H6" s="38" t="n"/>
      <c r="I6" s="38" t="n"/>
      <c r="J6" s="38" t="n"/>
    </row>
    <row r="7" ht="30" customHeight="1">
      <c r="A7" s="56" t="inlineStr">
        <is>
          <t>Check #</t>
        </is>
      </c>
      <c r="B7" s="56" t="inlineStr">
        <is>
          <t>Payee / Vendor</t>
        </is>
      </c>
      <c r="C7" s="56" t="inlineStr">
        <is>
          <t>Check date</t>
        </is>
      </c>
      <c r="D7" s="56" t="inlineStr">
        <is>
          <t>Amount</t>
        </is>
      </c>
      <c r="E7" s="56" t="inlineStr">
        <is>
          <t>Cleared per subsequent bank (date)</t>
        </is>
      </c>
      <c r="F7" s="56" t="inlineStr">
        <is>
          <t>Still outstanding (Y/N)</t>
        </is>
      </c>
      <c r="G7" s="56" t="inlineStr">
        <is>
          <t>Per AP listing (Y/N)</t>
        </is>
      </c>
      <c r="H7" s="56" t="inlineStr">
        <is>
          <t>AP / invoice ref</t>
        </is>
      </c>
      <c r="I7" s="56" t="inlineStr">
        <is>
          <t>Agreed (Y/N)</t>
        </is>
      </c>
      <c r="J7" s="56" t="inlineStr">
        <is>
          <t>Comments</t>
        </is>
      </c>
    </row>
    <row r="8">
      <c r="A8" s="38" t="n"/>
      <c r="B8" s="38" t="n"/>
      <c r="C8" s="38" t="n"/>
      <c r="D8" s="61" t="inlineStr">
        <is>
          <t>V</t>
        </is>
      </c>
      <c r="E8" s="61" t="inlineStr">
        <is>
          <t>T</t>
        </is>
      </c>
      <c r="F8" s="38" t="n"/>
      <c r="G8" s="61" t="inlineStr">
        <is>
          <t>T</t>
        </is>
      </c>
      <c r="H8" s="38" t="n"/>
      <c r="I8" s="38" t="n"/>
      <c r="J8" s="38" t="n"/>
    </row>
    <row r="9">
      <c r="A9" s="57" t="n"/>
      <c r="B9" s="57" t="n"/>
      <c r="C9" s="57" t="n"/>
      <c r="D9" s="62" t="n"/>
      <c r="E9" s="57" t="n"/>
      <c r="F9" s="57" t="n"/>
      <c r="G9" s="57" t="n"/>
      <c r="H9" s="57" t="n"/>
      <c r="I9" s="57" t="n"/>
      <c r="J9" s="57" t="n"/>
    </row>
    <row r="10">
      <c r="A10" s="57" t="n"/>
      <c r="B10" s="57" t="n"/>
      <c r="C10" s="57" t="n"/>
      <c r="D10" s="62" t="n"/>
      <c r="E10" s="57" t="n"/>
      <c r="F10" s="57" t="n"/>
      <c r="G10" s="57" t="n"/>
      <c r="H10" s="57" t="n"/>
      <c r="I10" s="57" t="n"/>
      <c r="J10" s="57" t="n"/>
    </row>
    <row r="11">
      <c r="A11" s="57" t="n"/>
      <c r="B11" s="57" t="n"/>
      <c r="C11" s="57" t="n"/>
      <c r="D11" s="62" t="n"/>
      <c r="E11" s="57" t="n"/>
      <c r="F11" s="57" t="n"/>
      <c r="G11" s="57" t="n"/>
      <c r="H11" s="57" t="n"/>
      <c r="I11" s="57" t="n"/>
      <c r="J11" s="57" t="n"/>
    </row>
    <row r="12">
      <c r="A12" s="57" t="n"/>
      <c r="B12" s="57" t="n"/>
      <c r="C12" s="57" t="n"/>
      <c r="D12" s="62" t="n"/>
      <c r="E12" s="57" t="n"/>
      <c r="F12" s="57" t="n"/>
      <c r="G12" s="57" t="n"/>
      <c r="H12" s="57" t="n"/>
      <c r="I12" s="57" t="n"/>
      <c r="J12" s="57" t="n"/>
    </row>
    <row r="13">
      <c r="A13" s="57" t="n"/>
      <c r="B13" s="57" t="n"/>
      <c r="C13" s="57" t="n"/>
      <c r="D13" s="62" t="n"/>
      <c r="E13" s="57" t="n"/>
      <c r="F13" s="57" t="n"/>
      <c r="G13" s="57" t="n"/>
      <c r="H13" s="57" t="n"/>
      <c r="I13" s="57" t="n"/>
      <c r="J13" s="57" t="n"/>
    </row>
    <row r="14">
      <c r="A14" s="57" t="n"/>
      <c r="B14" s="57" t="n"/>
      <c r="C14" s="57" t="n"/>
      <c r="D14" s="62" t="n"/>
      <c r="E14" s="57" t="n"/>
      <c r="F14" s="57" t="n"/>
      <c r="G14" s="57" t="n"/>
      <c r="H14" s="57" t="n"/>
      <c r="I14" s="57" t="n"/>
      <c r="J14" s="57" t="n"/>
    </row>
    <row r="15">
      <c r="A15" s="57" t="n"/>
      <c r="B15" s="57" t="n"/>
      <c r="C15" s="57" t="n"/>
      <c r="D15" s="62" t="n"/>
      <c r="E15" s="57" t="n"/>
      <c r="F15" s="57" t="n"/>
      <c r="G15" s="57" t="n"/>
      <c r="H15" s="57" t="n"/>
      <c r="I15" s="57" t="n"/>
      <c r="J15" s="57" t="n"/>
    </row>
    <row r="16">
      <c r="A16" s="57" t="n"/>
      <c r="B16" s="57" t="n"/>
      <c r="C16" s="57" t="n"/>
      <c r="D16" s="62" t="n"/>
      <c r="E16" s="57" t="n"/>
      <c r="F16" s="57" t="n"/>
      <c r="G16" s="57" t="n"/>
      <c r="H16" s="57" t="n"/>
      <c r="I16" s="57" t="n"/>
      <c r="J16" s="57" t="n"/>
    </row>
    <row r="17">
      <c r="A17" s="57" t="n"/>
      <c r="B17" s="57" t="n"/>
      <c r="C17" s="57" t="n"/>
      <c r="D17" s="62" t="n"/>
      <c r="E17" s="57" t="n"/>
      <c r="F17" s="57" t="n"/>
      <c r="G17" s="57" t="n"/>
      <c r="H17" s="57" t="n"/>
      <c r="I17" s="57" t="n"/>
      <c r="J17" s="57" t="n"/>
    </row>
    <row r="18">
      <c r="A18" s="57" t="n"/>
      <c r="B18" s="57" t="n"/>
      <c r="C18" s="57" t="n"/>
      <c r="D18" s="62" t="n"/>
      <c r="E18" s="57" t="n"/>
      <c r="F18" s="57" t="n"/>
      <c r="G18" s="57" t="n"/>
      <c r="H18" s="57" t="n"/>
      <c r="I18" s="57" t="n"/>
      <c r="J18" s="57" t="n"/>
    </row>
    <row r="19">
      <c r="A19" s="57" t="n"/>
      <c r="B19" s="57" t="n"/>
      <c r="C19" s="57" t="n"/>
      <c r="D19" s="62" t="n"/>
      <c r="E19" s="57" t="n"/>
      <c r="F19" s="57" t="n"/>
      <c r="G19" s="57" t="n"/>
      <c r="H19" s="57" t="n"/>
      <c r="I19" s="57" t="n"/>
      <c r="J19" s="57" t="n"/>
    </row>
    <row r="20">
      <c r="A20" s="57" t="n"/>
      <c r="B20" s="57" t="n"/>
      <c r="C20" s="57" t="n"/>
      <c r="D20" s="62" t="n"/>
      <c r="E20" s="57" t="n"/>
      <c r="F20" s="57" t="n"/>
      <c r="G20" s="57" t="n"/>
      <c r="H20" s="57" t="n"/>
      <c r="I20" s="57" t="n"/>
      <c r="J20" s="57" t="n"/>
    </row>
    <row r="21">
      <c r="A21" s="57" t="n"/>
      <c r="B21" s="57" t="n"/>
      <c r="C21" s="57" t="n"/>
      <c r="D21" s="62" t="n"/>
      <c r="E21" s="57" t="n"/>
      <c r="F21" s="57" t="n"/>
      <c r="G21" s="57" t="n"/>
      <c r="H21" s="57" t="n"/>
      <c r="I21" s="57" t="n"/>
      <c r="J21" s="57" t="n"/>
    </row>
    <row r="22">
      <c r="A22" s="57" t="n"/>
      <c r="B22" s="57" t="n"/>
      <c r="C22" s="57" t="n"/>
      <c r="D22" s="62" t="n"/>
      <c r="E22" s="57" t="n"/>
      <c r="F22" s="57" t="n"/>
      <c r="G22" s="57" t="n"/>
      <c r="H22" s="57" t="n"/>
      <c r="I22" s="57" t="n"/>
      <c r="J22" s="57" t="n"/>
    </row>
    <row r="23">
      <c r="A23" s="66" t="inlineStr">
        <is>
          <t>Total</t>
        </is>
      </c>
      <c r="B23" s="66" t="n"/>
      <c r="C23" s="66" t="n"/>
      <c r="D23" s="67">
        <f>SUM(D9:D22)</f>
        <v/>
      </c>
      <c r="E23" s="66" t="n"/>
      <c r="F23" s="66" t="n"/>
      <c r="G23" s="66" t="n"/>
      <c r="H23" s="66" t="n"/>
      <c r="I23" s="66" t="n"/>
      <c r="J23" s="66" t="n"/>
    </row>
    <row r="24">
      <c r="A24" s="38" t="n"/>
      <c r="B24" s="38" t="n"/>
      <c r="C24" s="38" t="n"/>
      <c r="D24" s="38" t="n"/>
      <c r="E24" s="38" t="n"/>
      <c r="F24" s="38" t="n"/>
      <c r="G24" s="38" t="n"/>
      <c r="H24" s="38" t="n"/>
      <c r="I24" s="38" t="n"/>
      <c r="J24" s="38" t="n"/>
    </row>
    <row r="25" ht="25.5" customHeight="1">
      <c r="A25" s="40" t="inlineStr">
        <is>
          <t>Outstanding checks reduce both cash and AP when issued; select uncleared checks and trace to the AP listing to confirm the payable was recorded/relieved appropriately and AP is neither over- nor under-stated.</t>
        </is>
      </c>
      <c r="B25" s="38" t="n"/>
      <c r="C25" s="38" t="n"/>
      <c r="D25" s="38" t="n"/>
      <c r="E25" s="38" t="n"/>
      <c r="F25" s="38" t="n"/>
      <c r="G25" s="38" t="n"/>
      <c r="H25" s="38" t="n"/>
      <c r="I25" s="38" t="n"/>
      <c r="J25" s="38" t="n"/>
    </row>
    <row r="26">
      <c r="A26" s="38" t="n"/>
      <c r="B26" s="38" t="n"/>
      <c r="C26" s="38" t="n"/>
      <c r="D26" s="38" t="n"/>
      <c r="E26" s="38" t="n"/>
      <c r="F26" s="38" t="n"/>
      <c r="G26" s="38" t="n"/>
      <c r="H26" s="38" t="n"/>
      <c r="I26" s="38" t="n"/>
      <c r="J26" s="38" t="n"/>
    </row>
    <row r="27">
      <c r="A27" s="54" t="inlineStr">
        <is>
          <t>TM Legends</t>
        </is>
      </c>
      <c r="B27" s="38" t="n"/>
      <c r="C27" s="38" t="n"/>
      <c r="D27" s="38" t="n"/>
      <c r="E27" s="38" t="n"/>
      <c r="F27" s="38" t="n"/>
      <c r="G27" s="38" t="n"/>
      <c r="H27" s="38" t="n"/>
      <c r="I27" s="38" t="n"/>
      <c r="J27" s="38" t="n"/>
    </row>
    <row r="28">
      <c r="A28" s="58" t="inlineStr">
        <is>
          <t>TB</t>
        </is>
      </c>
      <c r="B28" s="44" t="inlineStr">
        <is>
          <t>Agreed to trial balance</t>
        </is>
      </c>
      <c r="C28" s="59" t="n"/>
      <c r="D28" s="60" t="n"/>
      <c r="E28" s="38" t="n"/>
      <c r="F28" s="38" t="n"/>
      <c r="G28" s="38" t="n"/>
      <c r="H28" s="38" t="n"/>
      <c r="I28" s="38" t="n"/>
      <c r="J28" s="38" t="n"/>
    </row>
    <row r="29">
      <c r="A29" s="58" t="inlineStr">
        <is>
          <t>GL</t>
        </is>
      </c>
      <c r="B29" s="44" t="inlineStr">
        <is>
          <t>Agreed to general ledger</t>
        </is>
      </c>
      <c r="C29" s="59" t="n"/>
      <c r="D29" s="60" t="n"/>
      <c r="E29" s="38" t="n"/>
      <c r="F29" s="38" t="n"/>
      <c r="G29" s="38" t="n"/>
      <c r="H29" s="38" t="n"/>
      <c r="I29" s="38" t="n"/>
      <c r="J29" s="38" t="n"/>
    </row>
    <row r="30">
      <c r="A30" s="58" t="inlineStr">
        <is>
          <t>CF</t>
        </is>
      </c>
      <c r="B30" s="44" t="inlineStr">
        <is>
          <t>Confirmed with third party</t>
        </is>
      </c>
      <c r="C30" s="59" t="n"/>
      <c r="D30" s="60" t="n"/>
      <c r="E30" s="38" t="n"/>
      <c r="F30" s="38" t="n"/>
      <c r="G30" s="38" t="n"/>
      <c r="H30" s="38" t="n"/>
      <c r="I30" s="38" t="n"/>
      <c r="J30" s="38" t="n"/>
    </row>
    <row r="31">
      <c r="A31" s="58" t="inlineStr">
        <is>
          <t>V</t>
        </is>
      </c>
      <c r="B31" s="44" t="inlineStr">
        <is>
          <t>Vouched to source document</t>
        </is>
      </c>
      <c r="C31" s="59" t="n"/>
      <c r="D31" s="60" t="n"/>
      <c r="E31" s="38" t="n"/>
      <c r="F31" s="38" t="n"/>
      <c r="G31" s="38" t="n"/>
      <c r="H31" s="38" t="n"/>
      <c r="I31" s="38" t="n"/>
      <c r="J31" s="38" t="n"/>
    </row>
    <row r="32">
      <c r="A32" s="58" t="inlineStr">
        <is>
          <t>SR</t>
        </is>
      </c>
      <c r="B32" s="44" t="inlineStr">
        <is>
          <t>Agreed to subsequent bank-cleared receipt</t>
        </is>
      </c>
      <c r="C32" s="59" t="n"/>
      <c r="D32" s="60" t="n"/>
      <c r="E32" s="38" t="n"/>
      <c r="F32" s="38" t="n"/>
      <c r="G32" s="38" t="n"/>
      <c r="H32" s="38" t="n"/>
      <c r="I32" s="38" t="n"/>
      <c r="J32" s="38" t="n"/>
    </row>
    <row r="33">
      <c r="A33" s="58" t="inlineStr">
        <is>
          <t>R</t>
        </is>
      </c>
      <c r="B33" s="44" t="inlineStr">
        <is>
          <t>Recalculated independently</t>
        </is>
      </c>
      <c r="C33" s="59" t="n"/>
      <c r="D33" s="60" t="n"/>
      <c r="E33" s="38" t="n"/>
      <c r="F33" s="38" t="n"/>
      <c r="G33" s="38" t="n"/>
      <c r="H33" s="38" t="n"/>
      <c r="I33" s="38" t="n"/>
      <c r="J33" s="38" t="n"/>
    </row>
    <row r="34">
      <c r="A34" s="58" t="inlineStr">
        <is>
          <t>F</t>
        </is>
      </c>
      <c r="B34" s="44" t="inlineStr">
        <is>
          <t>Footed / cross-cast</t>
        </is>
      </c>
      <c r="C34" s="59" t="n"/>
      <c r="D34" s="60" t="n"/>
      <c r="E34" s="38" t="n"/>
      <c r="F34" s="38" t="n"/>
      <c r="G34" s="38" t="n"/>
      <c r="H34" s="38" t="n"/>
      <c r="I34" s="38" t="n"/>
      <c r="J34" s="38" t="n"/>
    </row>
    <row r="35">
      <c r="A35" s="58" t="inlineStr">
        <is>
          <t>T</t>
        </is>
      </c>
      <c r="B35" s="44" t="inlineStr">
        <is>
          <t>Traced to downstream record</t>
        </is>
      </c>
      <c r="C35" s="59" t="n"/>
      <c r="D35" s="60" t="n"/>
      <c r="E35" s="38" t="n"/>
      <c r="F35" s="38" t="n"/>
      <c r="G35" s="38" t="n"/>
      <c r="H35" s="38" t="n"/>
      <c r="I35" s="38" t="n"/>
      <c r="J35" s="38" t="n"/>
    </row>
    <row r="36">
      <c r="A36" s="58" t="inlineStr">
        <is>
          <t>PBC</t>
        </is>
      </c>
      <c r="B36" s="44" t="inlineStr">
        <is>
          <t>Prepared by client</t>
        </is>
      </c>
      <c r="C36" s="59" t="n"/>
      <c r="D36" s="60" t="n"/>
      <c r="E36" s="38" t="n"/>
      <c r="F36" s="38" t="n"/>
      <c r="G36" s="38" t="n"/>
      <c r="H36" s="38" t="n"/>
      <c r="I36" s="38" t="n"/>
      <c r="J36" s="38" t="n"/>
    </row>
    <row r="37">
      <c r="A37" s="38" t="n"/>
      <c r="B37" s="38" t="n"/>
      <c r="C37" s="38" t="n"/>
      <c r="D37" s="38" t="n"/>
      <c r="E37" s="38" t="n"/>
      <c r="F37" s="38" t="n"/>
      <c r="G37" s="38" t="n"/>
      <c r="H37" s="38" t="n"/>
      <c r="I37" s="38" t="n"/>
      <c r="J37" s="38" t="n"/>
    </row>
    <row r="38" ht="25.5" customHeight="1">
      <c r="A38" s="40" t="inlineStr">
        <is>
          <t>Before sign-off complete Library Procedure 13 (outstanding checks tie-back).</t>
        </is>
      </c>
      <c r="B38" s="38" t="n"/>
      <c r="C38" s="38" t="n"/>
      <c r="D38" s="38" t="n"/>
      <c r="E38" s="38" t="n"/>
      <c r="F38" s="38" t="n"/>
      <c r="G38" s="38" t="n"/>
      <c r="H38" s="38" t="n"/>
      <c r="I38" s="38" t="n"/>
      <c r="J38" s="38" t="n"/>
    </row>
  </sheetData>
  <mergeCells count="14">
    <mergeCell ref="B33:D33"/>
    <mergeCell ref="B28:D28"/>
    <mergeCell ref="B36:D36"/>
    <mergeCell ref="B5:J5"/>
    <mergeCell ref="B31:D31"/>
    <mergeCell ref="B35:D35"/>
    <mergeCell ref="B32:D32"/>
    <mergeCell ref="B30:D30"/>
    <mergeCell ref="A38:J38"/>
    <mergeCell ref="B4:J4"/>
    <mergeCell ref="B29:D29"/>
    <mergeCell ref="A25:J25"/>
    <mergeCell ref="B6:J6"/>
    <mergeCell ref="B34:D34"/>
  </mergeCells>
  <printOptions horizontalCentered="0" verticalCentered="0"/>
  <pageMargins left="0.25" right="0.25" top="0.5" bottom="0.5" header="0.2" footer="0.2"/>
  <pageSetup orientation="landscape" paperSize="1" fitToHeight="0" fitToWidth="1" horizontalDpi="300" verticalDpi="300"/>
</worksheet>
</file>

<file path=xl/worksheets/sheet9.xml><?xml version="1.0" encoding="utf-8"?>
<worksheet xmlns="http://schemas.openxmlformats.org/spreadsheetml/2006/main">
  <sheetPr>
    <outlinePr summaryBelow="1" summaryRight="1"/>
    <pageSetUpPr autoPageBreaks="0" fitToPage="1"/>
  </sheetPr>
  <dimension ref="A1:M45"/>
  <sheetViews>
    <sheetView showGridLines="0" zoomScale="90" zoomScaleNormal="100" workbookViewId="0">
      <pane xSplit="1" ySplit="7" topLeftCell="B8" activePane="bottomRight" state="frozen"/>
      <selection pane="topRight"/>
      <selection pane="bottomLeft"/>
      <selection pane="bottomRight" activeCell="A1" sqref="A1:A1048576"/>
    </sheetView>
  </sheetViews>
  <sheetFormatPr baseColWidth="8" defaultColWidth="8.6328125" defaultRowHeight="14.5"/>
  <cols>
    <col width="27.5" customWidth="1" min="1" max="1"/>
    <col width="22.4" customWidth="1" min="2" max="2"/>
    <col width="13" customWidth="1" min="3" max="3"/>
    <col width="37.7" customWidth="1" min="4" max="4"/>
    <col width="15.6" customWidth="1" min="5" max="5"/>
    <col width="14" customWidth="1" min="6" max="6"/>
    <col width="28.35" customWidth="1" min="7" max="7"/>
    <col width="26.65" customWidth="1" min="8" max="8"/>
    <col width="23.25" customWidth="1" min="9" max="9"/>
    <col width="14.75" customWidth="1" min="10" max="10"/>
    <col width="16.45" customWidth="1" min="11" max="11"/>
    <col width="42" customWidth="1" min="12" max="12"/>
    <col width="28" customWidth="1" min="13" max="13"/>
  </cols>
  <sheetData>
    <row r="1" ht="27" customHeight="1">
      <c r="A1" s="37" t="inlineStr">
        <is>
          <t>Open / Unpaid Invoice &amp; Cutoff</t>
        </is>
      </c>
      <c r="B1" s="38" t="n"/>
      <c r="C1" s="38" t="n"/>
      <c r="D1" s="38" t="n"/>
      <c r="E1" s="38" t="n"/>
      <c r="F1" s="38" t="n"/>
      <c r="G1" s="38" t="n"/>
      <c r="H1" s="38" t="n"/>
      <c r="I1" s="38" t="n"/>
      <c r="J1" s="38" t="n"/>
      <c r="K1" s="38" t="n"/>
      <c r="L1" s="38" t="n"/>
      <c r="M1" s="38" t="n"/>
    </row>
    <row r="2" ht="27" customHeight="1">
      <c r="A2" s="49" t="inlineStr">
        <is>
          <t>Client / Entity</t>
        </is>
      </c>
      <c r="B2" s="39" t="inlineStr">
        <is>
          <t>Vaquite Industries, Inc.</t>
        </is>
      </c>
      <c r="C2" s="38" t="n"/>
      <c r="D2" s="49" t="inlineStr">
        <is>
          <t>Year-End</t>
        </is>
      </c>
      <c r="E2" s="50" t="n">
        <v>46022</v>
      </c>
      <c r="F2" s="38" t="n"/>
      <c r="G2" s="49" t="inlineStr">
        <is>
          <t>Currency</t>
        </is>
      </c>
      <c r="H2" s="51" t="inlineStr">
        <is>
          <t>USD</t>
        </is>
      </c>
      <c r="I2" s="38" t="n"/>
      <c r="J2" s="38" t="n"/>
      <c r="K2" s="38" t="n"/>
      <c r="L2" s="38" t="n"/>
      <c r="M2" s="38" t="n"/>
    </row>
    <row r="3" ht="27" customHeight="1">
      <c r="A3" s="52" t="inlineStr">
        <is>
          <t>Performance Materiality</t>
        </is>
      </c>
      <c r="B3" s="53" t="n">
        <v>23100</v>
      </c>
      <c r="C3" s="38" t="n"/>
      <c r="D3" s="52" t="inlineStr">
        <is>
          <t>Tolerable misstatement / testing threshold</t>
        </is>
      </c>
      <c r="E3" s="53" t="n">
        <v>20800</v>
      </c>
      <c r="F3" s="38" t="n"/>
      <c r="G3" s="38" t="n"/>
      <c r="H3" s="38" t="n"/>
      <c r="I3" s="38" t="n"/>
      <c r="J3" s="38" t="n"/>
      <c r="K3" s="38" t="n"/>
      <c r="L3" s="38" t="n"/>
      <c r="M3" s="38" t="n"/>
    </row>
    <row r="4" ht="42" customHeight="1">
      <c r="A4" s="54" t="inlineStr">
        <is>
          <t>Purpose:</t>
        </is>
      </c>
      <c r="B4" s="55" t="inlineStr">
        <is>
          <t>Select unpaid / open invoices from the subsequent period; determine the goods/service period; if pre-year-end, tie back to year-end AP (an unrecorded liability if omitted); if post-year-end, confirm exclusion from year-end AP.</t>
        </is>
      </c>
      <c r="C4" s="38" t="n"/>
      <c r="D4" s="38" t="n"/>
      <c r="E4" s="38" t="n"/>
      <c r="F4" s="38" t="n"/>
      <c r="G4" s="38" t="n"/>
      <c r="H4" s="38" t="n"/>
      <c r="I4" s="38" t="n"/>
      <c r="J4" s="38" t="n"/>
      <c r="K4" s="38" t="n"/>
      <c r="L4" s="38" t="n"/>
      <c r="M4" s="38" t="n"/>
    </row>
    <row r="5" ht="27.75" customHeight="1">
      <c r="A5" s="54" t="inlineStr">
        <is>
          <t>Scope:</t>
        </is>
      </c>
      <c r="B5" s="55" t="inlineStr">
        <is>
          <t>Subsequent-period open / unpaid invoice file and the received-not-invoiced (RNI) / unmatched-receiving report.</t>
        </is>
      </c>
      <c r="C5" s="38" t="n"/>
      <c r="D5" s="38" t="n"/>
      <c r="E5" s="38" t="n"/>
      <c r="F5" s="38" t="n"/>
      <c r="G5" s="38" t="n"/>
      <c r="H5" s="38" t="n"/>
      <c r="I5" s="38" t="n"/>
      <c r="J5" s="38" t="n"/>
      <c r="K5" s="38" t="n"/>
      <c r="L5" s="38" t="n"/>
      <c r="M5" s="38" t="n"/>
    </row>
    <row r="6" ht="15" customHeight="1">
      <c r="A6" s="54" t="inlineStr">
        <is>
          <t>Assertions:</t>
        </is>
      </c>
      <c r="B6" s="55" t="inlineStr">
        <is>
          <t>Completeness; Existence; Cutoff</t>
        </is>
      </c>
      <c r="C6" s="38" t="n"/>
      <c r="D6" s="38" t="n"/>
      <c r="E6" s="38" t="n"/>
      <c r="F6" s="38" t="n"/>
      <c r="G6" s="38" t="n"/>
      <c r="H6" s="38" t="n"/>
      <c r="I6" s="38" t="n"/>
      <c r="J6" s="38" t="n"/>
      <c r="K6" s="38" t="n"/>
      <c r="L6" s="38" t="n"/>
      <c r="M6" s="38" t="n"/>
    </row>
    <row r="7" ht="39.75" customHeight="1">
      <c r="A7" s="56" t="inlineStr">
        <is>
          <t>Sample #</t>
        </is>
      </c>
      <c r="B7" s="56" t="inlineStr">
        <is>
          <t>Vendor</t>
        </is>
      </c>
      <c r="C7" s="56" t="inlineStr">
        <is>
          <t>Invoice #</t>
        </is>
      </c>
      <c r="D7" s="56" t="inlineStr">
        <is>
          <t>Invoice date</t>
        </is>
      </c>
      <c r="E7" s="56" t="inlineStr">
        <is>
          <t>Due / aging date</t>
        </is>
      </c>
      <c r="F7" s="56" t="inlineStr">
        <is>
          <t>Invoice amount</t>
        </is>
      </c>
      <c r="G7" s="56" t="inlineStr">
        <is>
          <t>Goods received / service period</t>
        </is>
      </c>
      <c r="H7" s="56" t="inlineStr">
        <is>
          <t>Relates to (pre-YE / post-YE)</t>
        </is>
      </c>
      <c r="I7" s="56" t="inlineStr">
        <is>
          <t>Should be in YE AP? (Y/N)</t>
        </is>
      </c>
      <c r="J7" s="56" t="inlineStr">
        <is>
          <t>In YE AP? (Y/N)</t>
        </is>
      </c>
      <c r="K7" s="56" t="inlineStr">
        <is>
          <t>Tie-back / AP ref</t>
        </is>
      </c>
      <c r="L7" s="56" t="inlineStr">
        <is>
          <t>Exception amount</t>
        </is>
      </c>
      <c r="M7" s="56" t="inlineStr">
        <is>
          <t>Conclusion / Comments</t>
        </is>
      </c>
    </row>
    <row r="8">
      <c r="A8" s="38" t="n"/>
      <c r="B8" s="38" t="n"/>
      <c r="C8" s="38" t="n"/>
      <c r="D8" s="38" t="n"/>
      <c r="E8" s="38" t="n"/>
      <c r="F8" s="61" t="inlineStr">
        <is>
          <t>V</t>
        </is>
      </c>
      <c r="G8" s="38" t="n"/>
      <c r="H8" s="38" t="n"/>
      <c r="I8" s="38" t="n"/>
      <c r="J8" s="38" t="n"/>
      <c r="K8" s="38" t="n"/>
      <c r="L8" s="61" t="inlineStr">
        <is>
          <t>R</t>
        </is>
      </c>
      <c r="M8" s="38" t="n"/>
    </row>
    <row r="9" ht="27" customHeight="1">
      <c r="A9" s="57" t="n"/>
      <c r="B9" s="57" t="n"/>
      <c r="C9" s="57" t="n"/>
      <c r="D9" s="57" t="n"/>
      <c r="E9" s="57" t="n"/>
      <c r="F9" s="62" t="n"/>
      <c r="G9" s="57" t="n"/>
      <c r="H9" s="57" t="n"/>
      <c r="I9" s="57" t="n"/>
      <c r="J9" s="57" t="n"/>
      <c r="K9" s="57" t="n"/>
      <c r="L9" s="63">
        <f>IF(OR(AND(I9="Y",J9="N"),AND(I9="N",J9="Y")),F9,0)</f>
        <v/>
      </c>
      <c r="M9" s="57" t="n"/>
    </row>
    <row r="10" ht="27" customHeight="1">
      <c r="A10" s="57" t="n"/>
      <c r="B10" s="57" t="n"/>
      <c r="C10" s="57" t="n"/>
      <c r="D10" s="57" t="n"/>
      <c r="E10" s="57" t="n"/>
      <c r="F10" s="62" t="n"/>
      <c r="G10" s="57" t="n"/>
      <c r="H10" s="57" t="n"/>
      <c r="I10" s="57" t="n"/>
      <c r="J10" s="57" t="n"/>
      <c r="K10" s="57" t="n"/>
      <c r="L10" s="63">
        <f>IF(OR(AND(I10="Y",J10="N"),AND(I10="N",J10="Y")),F10,0)</f>
        <v/>
      </c>
      <c r="M10" s="57" t="n"/>
    </row>
    <row r="11" ht="27" customHeight="1">
      <c r="A11" s="57" t="n"/>
      <c r="B11" s="57" t="n"/>
      <c r="C11" s="57" t="n"/>
      <c r="D11" s="57" t="n"/>
      <c r="E11" s="57" t="n"/>
      <c r="F11" s="62" t="n"/>
      <c r="G11" s="57" t="n"/>
      <c r="H11" s="57" t="n"/>
      <c r="I11" s="57" t="n"/>
      <c r="J11" s="57" t="n"/>
      <c r="K11" s="57" t="n"/>
      <c r="L11" s="63">
        <f>IF(OR(AND(I11="Y",J11="N"),AND(I11="N",J11="Y")),F11,0)</f>
        <v/>
      </c>
      <c r="M11" s="57" t="n"/>
    </row>
    <row r="12" ht="27" customHeight="1">
      <c r="A12" s="57" t="n"/>
      <c r="B12" s="57" t="n"/>
      <c r="C12" s="57" t="n"/>
      <c r="D12" s="57" t="n"/>
      <c r="E12" s="57" t="n"/>
      <c r="F12" s="62" t="n"/>
      <c r="G12" s="57" t="n"/>
      <c r="H12" s="57" t="n"/>
      <c r="I12" s="57" t="n"/>
      <c r="J12" s="57" t="n"/>
      <c r="K12" s="57" t="n"/>
      <c r="L12" s="63">
        <f>IF(OR(AND(I12="Y",J12="N"),AND(I12="N",J12="Y")),F12,0)</f>
        <v/>
      </c>
      <c r="M12" s="57" t="n"/>
    </row>
    <row r="13" ht="27" customHeight="1">
      <c r="A13" s="57" t="n"/>
      <c r="B13" s="57" t="n"/>
      <c r="C13" s="57" t="n"/>
      <c r="D13" s="57" t="n"/>
      <c r="E13" s="57" t="n"/>
      <c r="F13" s="62" t="n"/>
      <c r="G13" s="57" t="n"/>
      <c r="H13" s="57" t="n"/>
      <c r="I13" s="57" t="n"/>
      <c r="J13" s="57" t="n"/>
      <c r="K13" s="57" t="n"/>
      <c r="L13" s="63">
        <f>IF(OR(AND(I13="Y",J13="N"),AND(I13="N",J13="Y")),F13,0)</f>
        <v/>
      </c>
      <c r="M13" s="57" t="n"/>
    </row>
    <row r="14" ht="27" customHeight="1">
      <c r="A14" s="57" t="n"/>
      <c r="B14" s="57" t="n"/>
      <c r="C14" s="57" t="n"/>
      <c r="D14" s="57" t="n"/>
      <c r="E14" s="57" t="n"/>
      <c r="F14" s="62" t="n"/>
      <c r="G14" s="57" t="n"/>
      <c r="H14" s="57" t="n"/>
      <c r="I14" s="57" t="n"/>
      <c r="J14" s="57" t="n"/>
      <c r="K14" s="57" t="n"/>
      <c r="L14" s="63">
        <f>IF(OR(AND(I14="Y",J14="N"),AND(I14="N",J14="Y")),F14,0)</f>
        <v/>
      </c>
      <c r="M14" s="57" t="n"/>
    </row>
    <row r="15" ht="27" customHeight="1">
      <c r="A15" s="57" t="n"/>
      <c r="B15" s="57" t="n"/>
      <c r="C15" s="57" t="n"/>
      <c r="D15" s="57" t="n"/>
      <c r="E15" s="57" t="n"/>
      <c r="F15" s="62" t="n"/>
      <c r="G15" s="57" t="n"/>
      <c r="H15" s="57" t="n"/>
      <c r="I15" s="57" t="n"/>
      <c r="J15" s="57" t="n"/>
      <c r="K15" s="57" t="n"/>
      <c r="L15" s="63">
        <f>IF(OR(AND(I15="Y",J15="N"),AND(I15="N",J15="Y")),F15,0)</f>
        <v/>
      </c>
      <c r="M15" s="57" t="n"/>
    </row>
    <row r="16" ht="27" customHeight="1">
      <c r="A16" s="57" t="n"/>
      <c r="B16" s="57" t="n"/>
      <c r="C16" s="57" t="n"/>
      <c r="D16" s="57" t="n"/>
      <c r="E16" s="57" t="n"/>
      <c r="F16" s="62" t="n"/>
      <c r="G16" s="57" t="n"/>
      <c r="H16" s="57" t="n"/>
      <c r="I16" s="57" t="n"/>
      <c r="J16" s="57" t="n"/>
      <c r="K16" s="57" t="n"/>
      <c r="L16" s="63">
        <f>IF(OR(AND(I16="Y",J16="N"),AND(I16="N",J16="Y")),F16,0)</f>
        <v/>
      </c>
      <c r="M16" s="57" t="n"/>
    </row>
    <row r="17" ht="27" customHeight="1">
      <c r="A17" s="57" t="n"/>
      <c r="B17" s="57" t="n"/>
      <c r="C17" s="57" t="n"/>
      <c r="D17" s="57" t="n"/>
      <c r="E17" s="57" t="n"/>
      <c r="F17" s="62" t="n"/>
      <c r="G17" s="57" t="n"/>
      <c r="H17" s="57" t="n"/>
      <c r="I17" s="57" t="n"/>
      <c r="J17" s="57" t="n"/>
      <c r="K17" s="57" t="n"/>
      <c r="L17" s="63">
        <f>IF(OR(AND(I17="Y",J17="N"),AND(I17="N",J17="Y")),F17,0)</f>
        <v/>
      </c>
      <c r="M17" s="57" t="n"/>
    </row>
    <row r="18" ht="27" customHeight="1">
      <c r="A18" s="57" t="n"/>
      <c r="B18" s="57" t="n"/>
      <c r="C18" s="57" t="n"/>
      <c r="D18" s="57" t="n"/>
      <c r="E18" s="57" t="n"/>
      <c r="F18" s="62" t="n"/>
      <c r="G18" s="57" t="n"/>
      <c r="H18" s="57" t="n"/>
      <c r="I18" s="57" t="n"/>
      <c r="J18" s="57" t="n"/>
      <c r="K18" s="57" t="n"/>
      <c r="L18" s="63">
        <f>IF(OR(AND(I18="Y",J18="N"),AND(I18="N",J18="Y")),F18,0)</f>
        <v/>
      </c>
      <c r="M18" s="57" t="n"/>
    </row>
    <row r="19" ht="27" customHeight="1">
      <c r="A19" s="57" t="n"/>
      <c r="B19" s="57" t="n"/>
      <c r="C19" s="57" t="n"/>
      <c r="D19" s="57" t="n"/>
      <c r="E19" s="57" t="n"/>
      <c r="F19" s="62" t="n"/>
      <c r="G19" s="57" t="n"/>
      <c r="H19" s="57" t="n"/>
      <c r="I19" s="57" t="n"/>
      <c r="J19" s="57" t="n"/>
      <c r="K19" s="57" t="n"/>
      <c r="L19" s="63">
        <f>IF(OR(AND(I19="Y",J19="N"),AND(I19="N",J19="Y")),F19,0)</f>
        <v/>
      </c>
      <c r="M19" s="57" t="n"/>
    </row>
    <row r="20" ht="27" customHeight="1">
      <c r="A20" s="57" t="n"/>
      <c r="B20" s="57" t="n"/>
      <c r="C20" s="57" t="n"/>
      <c r="D20" s="57" t="n"/>
      <c r="E20" s="57" t="n"/>
      <c r="F20" s="62" t="n"/>
      <c r="G20" s="57" t="n"/>
      <c r="H20" s="57" t="n"/>
      <c r="I20" s="57" t="n"/>
      <c r="J20" s="57" t="n"/>
      <c r="K20" s="57" t="n"/>
      <c r="L20" s="63">
        <f>IF(OR(AND(I20="Y",J20="N"),AND(I20="N",J20="Y")),F20,0)</f>
        <v/>
      </c>
      <c r="M20" s="57" t="n"/>
    </row>
    <row r="21" ht="27" customHeight="1">
      <c r="A21" s="57" t="n"/>
      <c r="B21" s="57" t="n"/>
      <c r="C21" s="57" t="n"/>
      <c r="D21" s="57" t="n"/>
      <c r="E21" s="57" t="n"/>
      <c r="F21" s="62" t="n"/>
      <c r="G21" s="57" t="n"/>
      <c r="H21" s="57" t="n"/>
      <c r="I21" s="57" t="n"/>
      <c r="J21" s="57" t="n"/>
      <c r="K21" s="57" t="n"/>
      <c r="L21" s="63">
        <f>IF(OR(AND(I21="Y",J21="N"),AND(I21="N",J21="Y")),F21,0)</f>
        <v/>
      </c>
      <c r="M21" s="57" t="n"/>
    </row>
    <row r="22" ht="27" customHeight="1">
      <c r="A22" s="57" t="n"/>
      <c r="B22" s="57" t="n"/>
      <c r="C22" s="57" t="n"/>
      <c r="D22" s="57" t="n"/>
      <c r="E22" s="57" t="n"/>
      <c r="F22" s="62" t="n"/>
      <c r="G22" s="57" t="n"/>
      <c r="H22" s="57" t="n"/>
      <c r="I22" s="57" t="n"/>
      <c r="J22" s="57" t="n"/>
      <c r="K22" s="57" t="n"/>
      <c r="L22" s="63">
        <f>IF(OR(AND(I22="Y",J22="N"),AND(I22="N",J22="Y")),F22,0)</f>
        <v/>
      </c>
      <c r="M22" s="57" t="n"/>
    </row>
    <row r="23" ht="27" customHeight="1">
      <c r="A23" s="57" t="n"/>
      <c r="B23" s="57" t="n"/>
      <c r="C23" s="57" t="n"/>
      <c r="D23" s="57" t="n"/>
      <c r="E23" s="57" t="n"/>
      <c r="F23" s="62" t="n"/>
      <c r="G23" s="57" t="n"/>
      <c r="H23" s="57" t="n"/>
      <c r="I23" s="57" t="n"/>
      <c r="J23" s="57" t="n"/>
      <c r="K23" s="57" t="n"/>
      <c r="L23" s="63">
        <f>IF(OR(AND(I23="Y",J23="N"),AND(I23="N",J23="Y")),F23,0)</f>
        <v/>
      </c>
      <c r="M23" s="57" t="n"/>
    </row>
    <row r="24" ht="27" customHeight="1">
      <c r="A24" s="57" t="n"/>
      <c r="B24" s="57" t="n"/>
      <c r="C24" s="57" t="n"/>
      <c r="D24" s="57" t="n"/>
      <c r="E24" s="57" t="n"/>
      <c r="F24" s="62" t="n"/>
      <c r="G24" s="57" t="n"/>
      <c r="H24" s="57" t="n"/>
      <c r="I24" s="57" t="n"/>
      <c r="J24" s="57" t="n"/>
      <c r="K24" s="57" t="n"/>
      <c r="L24" s="63">
        <f>IF(OR(AND(I24="Y",J24="N"),AND(I24="N",J24="Y")),F24,0)</f>
        <v/>
      </c>
      <c r="M24" s="57" t="n"/>
    </row>
    <row r="25" ht="27" customHeight="1">
      <c r="A25" s="57" t="n"/>
      <c r="B25" s="57" t="n"/>
      <c r="C25" s="57" t="n"/>
      <c r="D25" s="57" t="n"/>
      <c r="E25" s="57" t="n"/>
      <c r="F25" s="62" t="n"/>
      <c r="G25" s="57" t="n"/>
      <c r="H25" s="57" t="n"/>
      <c r="I25" s="57" t="n"/>
      <c r="J25" s="57" t="n"/>
      <c r="K25" s="57" t="n"/>
      <c r="L25" s="63">
        <f>IF(OR(AND(I25="Y",J25="N"),AND(I25="N",J25="Y")),F25,0)</f>
        <v/>
      </c>
      <c r="M25" s="57" t="n"/>
    </row>
    <row r="26" ht="27" customHeight="1">
      <c r="A26" s="57" t="n"/>
      <c r="B26" s="57" t="n"/>
      <c r="C26" s="57" t="n"/>
      <c r="D26" s="57" t="n"/>
      <c r="E26" s="57" t="n"/>
      <c r="F26" s="62" t="n"/>
      <c r="G26" s="57" t="n"/>
      <c r="H26" s="57" t="n"/>
      <c r="I26" s="57" t="n"/>
      <c r="J26" s="57" t="n"/>
      <c r="K26" s="57" t="n"/>
      <c r="L26" s="63">
        <f>IF(OR(AND(I26="Y",J26="N"),AND(I26="N",J26="Y")),F26,0)</f>
        <v/>
      </c>
      <c r="M26" s="57" t="n"/>
    </row>
    <row r="27" ht="27" customHeight="1">
      <c r="A27" s="57" t="n"/>
      <c r="B27" s="57" t="n"/>
      <c r="C27" s="57" t="n"/>
      <c r="D27" s="57" t="n"/>
      <c r="E27" s="57" t="n"/>
      <c r="F27" s="62" t="n"/>
      <c r="G27" s="57" t="n"/>
      <c r="H27" s="57" t="n"/>
      <c r="I27" s="57" t="n"/>
      <c r="J27" s="57" t="n"/>
      <c r="K27" s="57" t="n"/>
      <c r="L27" s="63">
        <f>IF(OR(AND(I27="Y",J27="N"),AND(I27="N",J27="Y")),F27,0)</f>
        <v/>
      </c>
      <c r="M27" s="57" t="n"/>
    </row>
    <row r="28" ht="27" customHeight="1">
      <c r="A28" s="57" t="n"/>
      <c r="B28" s="57" t="n"/>
      <c r="C28" s="57" t="n"/>
      <c r="D28" s="57" t="n"/>
      <c r="E28" s="57" t="n"/>
      <c r="F28" s="62" t="n"/>
      <c r="G28" s="57" t="n"/>
      <c r="H28" s="57" t="n"/>
      <c r="I28" s="57" t="n"/>
      <c r="J28" s="57" t="n"/>
      <c r="K28" s="57" t="n"/>
      <c r="L28" s="63">
        <f>IF(OR(AND(I28="Y",J28="N"),AND(I28="N",J28="Y")),F28,0)</f>
        <v/>
      </c>
      <c r="M28" s="57" t="n"/>
    </row>
    <row r="29" ht="27" customHeight="1">
      <c r="A29" s="57" t="n"/>
      <c r="B29" s="57" t="n"/>
      <c r="C29" s="57" t="n"/>
      <c r="D29" s="57" t="n"/>
      <c r="E29" s="57" t="n"/>
      <c r="F29" s="62" t="n"/>
      <c r="G29" s="57" t="n"/>
      <c r="H29" s="57" t="n"/>
      <c r="I29" s="57" t="n"/>
      <c r="J29" s="57" t="n"/>
      <c r="K29" s="57" t="n"/>
      <c r="L29" s="63">
        <f>IF(OR(AND(I29="Y",J29="N"),AND(I29="N",J29="Y")),F29,0)</f>
        <v/>
      </c>
      <c r="M29" s="57" t="n"/>
    </row>
    <row r="30">
      <c r="A30" s="66" t="inlineStr">
        <is>
          <t>Total</t>
        </is>
      </c>
      <c r="B30" s="66" t="n"/>
      <c r="C30" s="66" t="n"/>
      <c r="D30" s="66" t="n"/>
      <c r="E30" s="66" t="n"/>
      <c r="F30" s="67">
        <f>SUM(F9:F29)</f>
        <v/>
      </c>
      <c r="G30" s="66" t="n"/>
      <c r="H30" s="66" t="n"/>
      <c r="I30" s="66" t="n"/>
      <c r="J30" s="66" t="n"/>
      <c r="K30" s="66" t="n"/>
      <c r="L30" s="67">
        <f>SUM(L9:L29)</f>
        <v/>
      </c>
      <c r="M30" s="66" t="n"/>
    </row>
    <row r="31">
      <c r="A31" s="38" t="n"/>
      <c r="B31" s="38" t="n"/>
      <c r="C31" s="38" t="n"/>
      <c r="D31" s="38" t="n"/>
      <c r="E31" s="38" t="n"/>
      <c r="F31" s="38" t="n"/>
      <c r="G31" s="38" t="n"/>
      <c r="H31" s="38" t="n"/>
      <c r="I31" s="38" t="n"/>
      <c r="J31" s="38" t="n"/>
      <c r="K31" s="38" t="n"/>
      <c r="L31" s="38" t="n"/>
      <c r="M31" s="38" t="n"/>
    </row>
    <row r="32">
      <c r="A32" s="40" t="inlineStr">
        <is>
          <t>Exception amount auto-flags a mismatch: an invoice that SHOULD be in year-end AP but is not (an unrecorded liability), or one that should NOT be but is. Also obtain the RNI / unmatched-receiving report to test completeness of accrued purchases.</t>
        </is>
      </c>
      <c r="B32" s="38" t="n"/>
      <c r="C32" s="38" t="n"/>
      <c r="D32" s="38" t="n"/>
      <c r="E32" s="38" t="n"/>
      <c r="F32" s="38" t="n"/>
      <c r="G32" s="38" t="n"/>
      <c r="H32" s="38" t="n"/>
      <c r="I32" s="38" t="n"/>
      <c r="J32" s="38" t="n"/>
      <c r="K32" s="38" t="n"/>
      <c r="L32" s="38" t="n"/>
      <c r="M32" s="38" t="n"/>
    </row>
    <row r="33">
      <c r="A33" s="38" t="n"/>
      <c r="B33" s="38" t="n"/>
      <c r="C33" s="38" t="n"/>
      <c r="D33" s="38" t="n"/>
      <c r="E33" s="38" t="n"/>
      <c r="F33" s="38" t="n"/>
      <c r="G33" s="38" t="n"/>
      <c r="H33" s="38" t="n"/>
      <c r="I33" s="38" t="n"/>
      <c r="J33" s="38" t="n"/>
      <c r="K33" s="38" t="n"/>
      <c r="L33" s="38" t="n"/>
      <c r="M33" s="38" t="n"/>
    </row>
    <row r="34">
      <c r="A34" s="54" t="inlineStr">
        <is>
          <t>TM Legends</t>
        </is>
      </c>
      <c r="B34" s="38" t="n"/>
      <c r="C34" s="38" t="n"/>
      <c r="D34" s="38" t="n"/>
      <c r="E34" s="38" t="n"/>
      <c r="F34" s="38" t="n"/>
      <c r="G34" s="38" t="n"/>
      <c r="H34" s="38" t="n"/>
      <c r="I34" s="38" t="n"/>
      <c r="J34" s="38" t="n"/>
      <c r="K34" s="38" t="n"/>
      <c r="L34" s="38" t="n"/>
      <c r="M34" s="38" t="n"/>
    </row>
    <row r="35">
      <c r="A35" s="58" t="inlineStr">
        <is>
          <t>TB</t>
        </is>
      </c>
      <c r="B35" s="44" t="inlineStr">
        <is>
          <t>Agreed to trial balance</t>
        </is>
      </c>
      <c r="C35" s="59" t="n"/>
      <c r="D35" s="60" t="n"/>
      <c r="E35" s="38" t="n"/>
      <c r="F35" s="38" t="n"/>
      <c r="G35" s="38" t="n"/>
      <c r="H35" s="38" t="n"/>
      <c r="I35" s="38" t="n"/>
      <c r="J35" s="38" t="n"/>
      <c r="K35" s="38" t="n"/>
      <c r="L35" s="38" t="n"/>
      <c r="M35" s="38" t="n"/>
    </row>
    <row r="36">
      <c r="A36" s="58" t="inlineStr">
        <is>
          <t>GL</t>
        </is>
      </c>
      <c r="B36" s="44" t="inlineStr">
        <is>
          <t>Agreed to general ledger</t>
        </is>
      </c>
      <c r="C36" s="59" t="n"/>
      <c r="D36" s="60" t="n"/>
      <c r="E36" s="38" t="n"/>
      <c r="F36" s="38" t="n"/>
      <c r="G36" s="38" t="n"/>
      <c r="H36" s="38" t="n"/>
      <c r="I36" s="38" t="n"/>
      <c r="J36" s="38" t="n"/>
      <c r="K36" s="38" t="n"/>
      <c r="L36" s="38" t="n"/>
      <c r="M36" s="38" t="n"/>
    </row>
    <row r="37">
      <c r="A37" s="58" t="inlineStr">
        <is>
          <t>CF</t>
        </is>
      </c>
      <c r="B37" s="44" t="inlineStr">
        <is>
          <t>Confirmed with third party</t>
        </is>
      </c>
      <c r="C37" s="59" t="n"/>
      <c r="D37" s="60" t="n"/>
      <c r="E37" s="38" t="n"/>
      <c r="F37" s="38" t="n"/>
      <c r="G37" s="38" t="n"/>
      <c r="H37" s="38" t="n"/>
      <c r="I37" s="38" t="n"/>
      <c r="J37" s="38" t="n"/>
      <c r="K37" s="38" t="n"/>
      <c r="L37" s="38" t="n"/>
      <c r="M37" s="38" t="n"/>
    </row>
    <row r="38" ht="25.5" customHeight="1">
      <c r="A38" s="58" t="inlineStr">
        <is>
          <t>V</t>
        </is>
      </c>
      <c r="B38" s="44" t="inlineStr">
        <is>
          <t>Vouched to source document</t>
        </is>
      </c>
      <c r="C38" s="59" t="n"/>
      <c r="D38" s="60" t="n"/>
      <c r="E38" s="38" t="n"/>
      <c r="F38" s="38" t="n"/>
      <c r="G38" s="38" t="n"/>
      <c r="H38" s="38" t="n"/>
      <c r="I38" s="38" t="n"/>
      <c r="J38" s="38" t="n"/>
      <c r="K38" s="38" t="n"/>
      <c r="L38" s="38" t="n"/>
      <c r="M38" s="38" t="n"/>
    </row>
    <row r="39">
      <c r="A39" s="58" t="inlineStr">
        <is>
          <t>SR</t>
        </is>
      </c>
      <c r="B39" s="44" t="inlineStr">
        <is>
          <t>Agreed to subsequent bank-cleared receipt</t>
        </is>
      </c>
      <c r="C39" s="59" t="n"/>
      <c r="D39" s="60" t="n"/>
      <c r="E39" s="38" t="n"/>
      <c r="F39" s="38" t="n"/>
      <c r="G39" s="38" t="n"/>
      <c r="H39" s="38" t="n"/>
      <c r="I39" s="38" t="n"/>
      <c r="J39" s="38" t="n"/>
      <c r="K39" s="38" t="n"/>
      <c r="L39" s="38" t="n"/>
      <c r="M39" s="38" t="n"/>
    </row>
    <row r="40">
      <c r="A40" s="58" t="inlineStr">
        <is>
          <t>R</t>
        </is>
      </c>
      <c r="B40" s="44" t="inlineStr">
        <is>
          <t>Recalculated independently</t>
        </is>
      </c>
      <c r="C40" s="59" t="n"/>
      <c r="D40" s="60" t="n"/>
      <c r="E40" s="38" t="n"/>
      <c r="F40" s="38" t="n"/>
      <c r="G40" s="38" t="n"/>
      <c r="H40" s="38" t="n"/>
      <c r="I40" s="38" t="n"/>
      <c r="J40" s="38" t="n"/>
      <c r="K40" s="38" t="n"/>
      <c r="L40" s="38" t="n"/>
      <c r="M40" s="38" t="n"/>
    </row>
    <row r="41">
      <c r="A41" s="58" t="inlineStr">
        <is>
          <t>F</t>
        </is>
      </c>
      <c r="B41" s="44" t="inlineStr">
        <is>
          <t>Footed / cross-cast</t>
        </is>
      </c>
      <c r="C41" s="59" t="n"/>
      <c r="D41" s="60" t="n"/>
      <c r="E41" s="38" t="n"/>
      <c r="F41" s="38" t="n"/>
      <c r="G41" s="38" t="n"/>
      <c r="H41" s="38" t="n"/>
      <c r="I41" s="38" t="n"/>
      <c r="J41" s="38" t="n"/>
      <c r="K41" s="38" t="n"/>
      <c r="L41" s="38" t="n"/>
      <c r="M41" s="38" t="n"/>
    </row>
    <row r="42">
      <c r="A42" s="58" t="inlineStr">
        <is>
          <t>T</t>
        </is>
      </c>
      <c r="B42" s="44" t="inlineStr">
        <is>
          <t>Traced to downstream record</t>
        </is>
      </c>
      <c r="C42" s="59" t="n"/>
      <c r="D42" s="60" t="n"/>
      <c r="E42" s="38" t="n"/>
      <c r="F42" s="38" t="n"/>
      <c r="G42" s="38" t="n"/>
      <c r="H42" s="38" t="n"/>
      <c r="I42" s="38" t="n"/>
      <c r="J42" s="38" t="n"/>
      <c r="K42" s="38" t="n"/>
      <c r="L42" s="38" t="n"/>
      <c r="M42" s="38" t="n"/>
    </row>
    <row r="43">
      <c r="A43" s="58" t="inlineStr">
        <is>
          <t>PBC</t>
        </is>
      </c>
      <c r="B43" s="44" t="inlineStr">
        <is>
          <t>Prepared by client</t>
        </is>
      </c>
      <c r="C43" s="59" t="n"/>
      <c r="D43" s="60" t="n"/>
      <c r="E43" s="38" t="n"/>
      <c r="F43" s="38" t="n"/>
      <c r="G43" s="38" t="n"/>
      <c r="H43" s="38" t="n"/>
      <c r="I43" s="38" t="n"/>
      <c r="J43" s="38" t="n"/>
      <c r="K43" s="38" t="n"/>
      <c r="L43" s="38" t="n"/>
      <c r="M43" s="38" t="n"/>
    </row>
    <row r="44">
      <c r="A44" s="38" t="n"/>
      <c r="B44" s="38" t="n"/>
      <c r="C44" s="38" t="n"/>
      <c r="D44" s="38" t="n"/>
      <c r="E44" s="38" t="n"/>
      <c r="F44" s="38" t="n"/>
      <c r="G44" s="38" t="n"/>
      <c r="H44" s="38" t="n"/>
      <c r="I44" s="38" t="n"/>
      <c r="J44" s="38" t="n"/>
      <c r="K44" s="38" t="n"/>
      <c r="L44" s="38" t="n"/>
      <c r="M44" s="38" t="n"/>
    </row>
    <row r="45">
      <c r="A45" s="40" t="inlineStr">
        <is>
          <t>Before sign-off complete Library Procedures 14-15 (open-invoice cutoff and RNI completeness).</t>
        </is>
      </c>
      <c r="B45" s="38" t="n"/>
      <c r="C45" s="38" t="n"/>
      <c r="D45" s="38" t="n"/>
      <c r="E45" s="38" t="n"/>
      <c r="F45" s="38" t="n"/>
      <c r="G45" s="38" t="n"/>
      <c r="H45" s="38" t="n"/>
      <c r="I45" s="38" t="n"/>
      <c r="J45" s="38" t="n"/>
      <c r="K45" s="38" t="n"/>
      <c r="L45" s="38" t="n"/>
      <c r="M45" s="38" t="n"/>
    </row>
  </sheetData>
  <autoFilter ref="A7:M29"/>
  <mergeCells count="14">
    <mergeCell ref="B6:M6"/>
    <mergeCell ref="B42:D42"/>
    <mergeCell ref="B36:D36"/>
    <mergeCell ref="A45:M45"/>
    <mergeCell ref="A32:M32"/>
    <mergeCell ref="B5:M5"/>
    <mergeCell ref="B41:D41"/>
    <mergeCell ref="B35:D35"/>
    <mergeCell ref="B4:M4"/>
    <mergeCell ref="B38:D38"/>
    <mergeCell ref="B37:D37"/>
    <mergeCell ref="B40:D40"/>
    <mergeCell ref="B43:D43"/>
    <mergeCell ref="B39:D39"/>
  </mergeCells>
  <printOptions horizontalCentered="0" verticalCentered="0"/>
  <pageMargins left="0.25" right="0.25" top="0.5" bottom="0.5" header="0.2" footer="0.2"/>
  <pageSetup orientation="landscape" paperSize="1" fitToHeight="0" fitToWidth="2" horizontalDpi="300" verticalDpi="30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autoPageBreaks="0" fitToPage="1"/>
  </sheetPr>
  <dimension ref="A1:H35"/>
  <sheetViews>
    <sheetView showGridLines="0" zoomScale="90" zoomScaleNormal="100" workbookViewId="0">
      <pane ySplit="7" topLeftCell="A8" activePane="bottomLeft" state="frozen"/>
      <selection pane="bottomLeft" activeCell="A1" sqref="A1:A1048576"/>
    </sheetView>
  </sheetViews>
  <sheetFormatPr baseColWidth="8" defaultColWidth="8.6328125" defaultRowHeight="14.5"/>
  <cols>
    <col width="42" customWidth="1" min="1" max="1"/>
    <col width="42" customWidth="1" min="2" max="3"/>
    <col width="42" customWidth="1" min="3" max="3"/>
    <col width="42" customWidth="1" min="4" max="4"/>
    <col width="42" customWidth="1" min="5" max="5"/>
    <col width="13" customWidth="1" min="6" max="6"/>
    <col width="13" customWidth="1" min="7" max="7"/>
    <col width="13" customWidth="1" min="8" max="8"/>
  </cols>
  <sheetData>
    <row r="1" ht="17.5" customHeight="1">
      <c r="A1" s="37" t="inlineStr">
        <is>
          <t>Ratios &amp; Disclosures</t>
        </is>
      </c>
      <c r="B1" s="38" t="n"/>
      <c r="C1" s="38" t="n"/>
      <c r="D1" s="38" t="n"/>
      <c r="E1" s="38" t="n"/>
      <c r="F1" s="38" t="n"/>
      <c r="G1" s="38" t="n"/>
      <c r="H1" s="38" t="n"/>
    </row>
    <row r="2">
      <c r="A2" s="49" t="inlineStr">
        <is>
          <t>Client / Entity</t>
        </is>
      </c>
      <c r="B2" s="39" t="inlineStr">
        <is>
          <t>Vaquite Industries, Inc.</t>
        </is>
      </c>
      <c r="C2" s="38" t="n"/>
      <c r="D2" s="49" t="inlineStr">
        <is>
          <t>Year-End</t>
        </is>
      </c>
      <c r="E2" s="50" t="n">
        <v>46022</v>
      </c>
      <c r="F2" s="38" t="n"/>
      <c r="G2" s="49" t="inlineStr">
        <is>
          <t>Currency</t>
        </is>
      </c>
      <c r="H2" s="51" t="inlineStr">
        <is>
          <t>USD</t>
        </is>
      </c>
    </row>
    <row r="3">
      <c r="A3" s="52" t="inlineStr">
        <is>
          <t>Performance Materiality</t>
        </is>
      </c>
      <c r="B3" s="53" t="n">
        <v>23100</v>
      </c>
      <c r="C3" s="38" t="n"/>
      <c r="D3" s="52" t="inlineStr">
        <is>
          <t>Tolerable misstatement / testing threshold</t>
        </is>
      </c>
      <c r="E3" s="53" t="n">
        <v>20800</v>
      </c>
      <c r="F3" s="38" t="n"/>
      <c r="G3" s="38" t="n"/>
      <c r="H3" s="38" t="n"/>
    </row>
    <row r="4" ht="15" customHeight="1">
      <c r="A4" s="54" t="inlineStr">
        <is>
          <t>Purpose:</t>
        </is>
      </c>
      <c r="B4" s="55" t="inlineStr">
        <is>
          <t>Compute AP analytics and evaluate presentation and disclosure matters.</t>
        </is>
      </c>
      <c r="C4" s="38" t="n"/>
      <c r="D4" s="38" t="n"/>
      <c r="E4" s="38" t="n"/>
      <c r="F4" s="38" t="n"/>
      <c r="G4" s="38" t="n"/>
      <c r="H4" s="38" t="n"/>
    </row>
    <row r="5" ht="15" customHeight="1">
      <c r="A5" s="54" t="inlineStr">
        <is>
          <t>Scope:</t>
        </is>
      </c>
      <c r="B5" s="55" t="inlineStr">
        <is>
          <t>Lead-sheet, reconciliation and SURL results; COGS / expenses and prior-year data for ratios.</t>
        </is>
      </c>
      <c r="C5" s="38" t="n"/>
      <c r="D5" s="38" t="n"/>
      <c r="E5" s="38" t="n"/>
      <c r="F5" s="38" t="n"/>
      <c r="G5" s="38" t="n"/>
      <c r="H5" s="38" t="n"/>
    </row>
    <row r="6" ht="15" customHeight="1">
      <c r="A6" s="54" t="inlineStr">
        <is>
          <t>Assertions:</t>
        </is>
      </c>
      <c r="B6" s="55" t="inlineStr">
        <is>
          <t>Presentation &amp; Disclosure; Classification</t>
        </is>
      </c>
      <c r="C6" s="38" t="n"/>
      <c r="D6" s="38" t="n"/>
      <c r="E6" s="38" t="n"/>
      <c r="F6" s="38" t="n"/>
      <c r="G6" s="38" t="n"/>
      <c r="H6" s="38" t="n"/>
    </row>
    <row r="7">
      <c r="A7" s="89" t="inlineStr">
        <is>
          <t>A. Analytics</t>
        </is>
      </c>
      <c r="B7" s="38" t="n"/>
      <c r="C7" s="38" t="n"/>
      <c r="D7" s="38" t="n"/>
      <c r="E7" s="38" t="n"/>
      <c r="F7" s="38" t="n"/>
      <c r="G7" s="38" t="n"/>
      <c r="H7" s="38" t="n"/>
    </row>
    <row r="8" ht="18" customHeight="1">
      <c r="A8" s="56" t="inlineStr">
        <is>
          <t>Metric</t>
        </is>
      </c>
      <c r="B8" s="56" t="inlineStr">
        <is>
          <t>CY</t>
        </is>
      </c>
      <c r="C8" s="56" t="inlineStr">
        <is>
          <t>PY / Comparator</t>
        </is>
      </c>
      <c r="D8" s="56" t="inlineStr">
        <is>
          <t>Change</t>
        </is>
      </c>
      <c r="E8" s="56" t="inlineStr">
        <is>
          <t>Note</t>
        </is>
      </c>
      <c r="F8" s="38" t="n"/>
      <c r="G8" s="38" t="n"/>
      <c r="H8" s="38" t="n"/>
    </row>
    <row r="9" ht="27" customHeight="1">
      <c r="A9" s="44" t="inlineStr">
        <is>
          <t>Days payable outstanding (DPO)</t>
        </is>
      </c>
      <c r="B9" s="90">
        <f>IF(ISNUMBER('&lt;.3&gt; DPO &amp; SURL Population'!B15),'&lt;.3&gt; DPO &amp; SURL Population'!B15,"N/A")</f>
        <v/>
      </c>
      <c r="C9" s="90">
        <f>IF(AND(ISNUMBER(C10),C10&lt;&gt;0),365/C10,"N/A")</f>
        <v/>
      </c>
      <c r="D9" s="44">
        <f>IF(AND(ISNUMBER(B9),ISNUMBER(C9)),B9-C9,"")</f>
        <v/>
      </c>
      <c r="E9" s="44" t="inlineStr">
        <is>
          <t>DPO = 365 / AP turnover; PY uses the same basis or N/A.</t>
        </is>
      </c>
      <c r="F9" s="38" t="n"/>
      <c r="G9" s="38" t="n"/>
      <c r="H9" s="38" t="n"/>
    </row>
    <row r="10" ht="67.5" customHeight="1">
      <c r="A10" s="57" t="inlineStr">
        <is>
          <t>AP turnover</t>
        </is>
      </c>
      <c r="B10" s="80">
        <f>IF(ISNUMBER('&lt;.3&gt; DPO &amp; SURL Population'!B14),'&lt;.3&gt; DPO &amp; SURL Population'!B14,"N/A")</f>
        <v/>
      </c>
      <c r="C10" s="80">
        <f>IF(AND(ISNUMBER(WP_AP_METRIC_PY_PURCHASES),ISNUMBER(WP_AP_METRIC_PY_AVERAGE_TRADE_AP),WP_AP_METRIC_PY_AVERAGE_TRADE_AP&lt;&gt;0),WP_AP_METRIC_PY_PURCHASES/WP_AP_METRIC_PY_AVERAGE_TRADE_AP,"N/A")</f>
        <v/>
      </c>
      <c r="D10" s="44">
        <f>IF(AND(ISNUMBER(B10),ISNUMBER(C10)),B10-C10,"")</f>
        <v/>
      </c>
      <c r="E10" s="44" t="inlineStr">
        <is>
          <t>Turnover uses purchases/relevant expense divided by average AP.</t>
        </is>
      </c>
      <c r="F10" s="38" t="n"/>
      <c r="G10" s="38" t="n"/>
      <c r="H10" s="38" t="n"/>
    </row>
    <row r="11" ht="67.5" customHeight="1">
      <c r="A11" s="44" t="inlineStr">
        <is>
          <t>AP as % of COGS / expenses</t>
        </is>
      </c>
      <c r="B11" s="91">
        <f>IF(AND(COUNT('&lt;.1&gt; AP Lead Sheet'!D9:D18)&gt;0,ISNUMBER(WP_AP_METRIC_CY_RELEVANT_EXPENSE),WP_AP_METRIC_CY_RELEVANT_EXPENSE&lt;&gt;0),'&lt;.1&gt; AP Lead Sheet'!D19/WP_AP_METRIC_CY_RELEVANT_EXPENSE,"N/A")</f>
        <v/>
      </c>
      <c r="C11" s="91">
        <f>IF(AND(COUNT('&lt;.1&gt; AP Lead Sheet'!E9:E18)&gt;0,ISNUMBER(WP_AP_METRIC_PY_RELEVANT_EXPENSE),WP_AP_METRIC_PY_RELEVANT_EXPENSE&lt;&gt;0),'&lt;.1&gt; AP Lead Sheet'!E19/WP_AP_METRIC_PY_RELEVANT_EXPENSE,"N/A")</f>
        <v/>
      </c>
      <c r="D11" s="44">
        <f>IF(AND(ISNUMBER(B11),ISNUMBER(C11)),B11-C11,"")</f>
        <v/>
      </c>
      <c r="E11" s="44" t="inlineStr">
        <is>
          <t>CY/PY relevant-expense denominators must use the same scope.</t>
        </is>
      </c>
      <c r="F11" s="38" t="n"/>
      <c r="G11" s="38" t="n"/>
      <c r="H11" s="38" t="n"/>
    </row>
    <row r="12" ht="27" customHeight="1">
      <c r="A12" s="57" t="inlineStr">
        <is>
          <t>Trade AP balance</t>
        </is>
      </c>
      <c r="B12" s="92">
        <f>IF(COUNT('&lt;.1&gt; AP Lead Sheet'!D9:D18)&gt;0,'&lt;.1&gt; AP Lead Sheet'!D19,"N/A")</f>
        <v/>
      </c>
      <c r="C12" s="92">
        <f>IF(COUNT('&lt;.1&gt; AP Lead Sheet'!E9:E18)&gt;0,'&lt;.1&gt; AP Lead Sheet'!E19,"N/A")</f>
        <v/>
      </c>
      <c r="D12" s="44">
        <f>IF(AND(ISNUMBER(B12),ISNUMBER(C12)),B12-C12,"")</f>
        <v/>
      </c>
      <c r="E12" s="44" t="inlineStr">
        <is>
          <t>Trade AP only; unavailable PY evidence is N/A, not zero.</t>
        </is>
      </c>
      <c r="F12" s="38" t="n"/>
      <c r="G12" s="38" t="n"/>
      <c r="H12" s="38" t="n"/>
    </row>
    <row r="13" ht="40.5" customHeight="1">
      <c r="A13" s="44" t="inlineStr">
        <is>
          <t>AP days vs supplier terms</t>
        </is>
      </c>
      <c r="B13" s="93">
        <f>B9</f>
        <v/>
      </c>
      <c r="C13" s="90">
        <f>IF(ISNUMBER(WP_AP_METRIC_WEIGHTED_SUPPLIER_TERMS),WP_AP_METRIC_WEIGHTED_SUPPLIER_TERMS,"N/A")</f>
        <v/>
      </c>
      <c r="D13" s="44">
        <f>IF(AND(ISNUMBER(B13),ISNUMBER(C13)),B13-C13,"")</f>
        <v/>
      </c>
      <c r="E13" s="44" t="inlineStr">
        <is>
          <t>Column C is the amount-weighted contractual supplier-term comparator, not PY and not actual payment lag.</t>
        </is>
      </c>
      <c r="F13" s="38" t="n"/>
      <c r="G13" s="38" t="n"/>
      <c r="H13" s="38" t="n"/>
    </row>
    <row r="14">
      <c r="A14" s="38" t="n"/>
      <c r="B14" s="38" t="n"/>
      <c r="C14" s="38" t="n"/>
      <c r="D14" s="38" t="n"/>
      <c r="E14" s="38" t="n"/>
      <c r="F14" s="38" t="n"/>
      <c r="G14" s="38" t="n"/>
      <c r="H14" s="38" t="n"/>
    </row>
    <row r="15">
      <c r="A15" s="68" t="inlineStr">
        <is>
          <t>B. Disclosure matters</t>
        </is>
      </c>
      <c r="B15" s="38" t="n"/>
      <c r="C15" s="38" t="n"/>
      <c r="D15" s="38" t="n"/>
      <c r="E15" s="38" t="n"/>
      <c r="F15" s="38" t="n"/>
      <c r="G15" s="38" t="n"/>
      <c r="H15" s="38" t="n"/>
    </row>
    <row r="16" ht="18" customHeight="1">
      <c r="A16" s="56" t="inlineStr">
        <is>
          <t>Area</t>
        </is>
      </c>
      <c r="B16" s="56" t="inlineStr">
        <is>
          <t>Relevant? (Y/N)</t>
        </is>
      </c>
      <c r="C16" s="56" t="inlineStr">
        <is>
          <t>Support / source</t>
        </is>
      </c>
      <c r="D16" s="56" t="inlineStr">
        <is>
          <t>Conclusion</t>
        </is>
      </c>
      <c r="E16" s="56" t="inlineStr">
        <is>
          <t>Comments</t>
        </is>
      </c>
      <c r="F16" s="38" t="n"/>
      <c r="G16" s="38" t="n"/>
      <c r="H16" s="38" t="n"/>
    </row>
    <row r="17">
      <c r="A17" s="44" t="inlineStr">
        <is>
          <t>Related-party / affiliate payables</t>
        </is>
      </c>
      <c r="B17" s="57" t="n"/>
      <c r="C17" s="57" t="n"/>
      <c r="D17" s="57" t="n"/>
      <c r="E17" s="57" t="n"/>
      <c r="F17" s="38" t="n"/>
      <c r="G17" s="38" t="n"/>
      <c r="H17" s="38" t="n"/>
    </row>
    <row r="18">
      <c r="A18" s="44" t="inlineStr">
        <is>
          <t>Current vs noncurrent classification</t>
        </is>
      </c>
      <c r="B18" s="57" t="n"/>
      <c r="C18" s="57" t="n"/>
      <c r="D18" s="57" t="n"/>
      <c r="E18" s="57" t="n"/>
      <c r="F18" s="38" t="n"/>
      <c r="G18" s="38" t="n"/>
      <c r="H18" s="38" t="n"/>
    </row>
    <row r="19">
      <c r="A19" s="44" t="inlineStr">
        <is>
          <t>Debit balances in AP reclassified to assets</t>
        </is>
      </c>
      <c r="B19" s="57" t="n"/>
      <c r="C19" s="57" t="n"/>
      <c r="D19" s="57" t="n"/>
      <c r="E19" s="57" t="n"/>
      <c r="F19" s="38" t="n"/>
      <c r="G19" s="38" t="n"/>
      <c r="H19" s="38" t="n"/>
    </row>
    <row r="20" ht="27" customHeight="1">
      <c r="A20" s="44" t="inlineStr">
        <is>
          <t>Customer deposits / contract liabilities classification</t>
        </is>
      </c>
      <c r="B20" s="57" t="n"/>
      <c r="C20" s="57" t="n"/>
      <c r="D20" s="57" t="n"/>
      <c r="E20" s="57" t="n"/>
      <c r="F20" s="38" t="n"/>
      <c r="G20" s="38" t="n"/>
      <c r="H20" s="38" t="n"/>
    </row>
    <row r="21">
      <c r="A21" s="44" t="inlineStr">
        <is>
          <t>Concentration of payables</t>
        </is>
      </c>
      <c r="B21" s="57" t="n"/>
      <c r="C21" s="57" t="n"/>
      <c r="D21" s="57" t="n"/>
      <c r="E21" s="57" t="n"/>
      <c r="F21" s="38" t="n"/>
      <c r="G21" s="38" t="n"/>
      <c r="H21" s="38" t="n"/>
    </row>
    <row r="22">
      <c r="A22" s="44" t="inlineStr">
        <is>
          <t>Commitments / purchase obligations</t>
        </is>
      </c>
      <c r="B22" s="57" t="n"/>
      <c r="C22" s="57" t="n"/>
      <c r="D22" s="57" t="n"/>
      <c r="E22" s="57" t="n"/>
      <c r="F22" s="38" t="n"/>
      <c r="G22" s="38" t="n"/>
      <c r="H22" s="38" t="n"/>
    </row>
    <row r="23">
      <c r="A23" s="38" t="n"/>
      <c r="B23" s="38" t="n"/>
      <c r="C23" s="38" t="n"/>
      <c r="D23" s="38" t="n"/>
      <c r="E23" s="38" t="n"/>
      <c r="F23" s="38" t="n"/>
      <c r="G23" s="38" t="n"/>
      <c r="H23" s="38" t="n"/>
    </row>
    <row r="24">
      <c r="A24" s="54" t="inlineStr">
        <is>
          <t>TM Legends</t>
        </is>
      </c>
      <c r="B24" s="38" t="n"/>
      <c r="C24" s="38" t="n"/>
      <c r="D24" s="38" t="n"/>
      <c r="E24" s="38" t="n"/>
      <c r="F24" s="38" t="n"/>
      <c r="G24" s="38" t="n"/>
      <c r="H24" s="38" t="n"/>
    </row>
    <row r="25">
      <c r="A25" s="58" t="inlineStr">
        <is>
          <t>TB</t>
        </is>
      </c>
      <c r="B25" s="44" t="inlineStr">
        <is>
          <t>Agreed to trial balance</t>
        </is>
      </c>
      <c r="C25" s="59" t="n"/>
      <c r="D25" s="60" t="n"/>
      <c r="E25" s="38" t="n"/>
      <c r="F25" s="38" t="n"/>
      <c r="G25" s="38" t="n"/>
      <c r="H25" s="38" t="n"/>
    </row>
    <row r="26">
      <c r="A26" s="58" t="inlineStr">
        <is>
          <t>GL</t>
        </is>
      </c>
      <c r="B26" s="44" t="inlineStr">
        <is>
          <t>Agreed to general ledger</t>
        </is>
      </c>
      <c r="C26" s="59" t="n"/>
      <c r="D26" s="60" t="n"/>
      <c r="E26" s="38" t="n"/>
      <c r="F26" s="38" t="n"/>
      <c r="G26" s="38" t="n"/>
      <c r="H26" s="38" t="n"/>
    </row>
    <row r="27">
      <c r="A27" s="58" t="inlineStr">
        <is>
          <t>CF</t>
        </is>
      </c>
      <c r="B27" s="44" t="inlineStr">
        <is>
          <t>Confirmed with third party</t>
        </is>
      </c>
      <c r="C27" s="59" t="n"/>
      <c r="D27" s="60" t="n"/>
      <c r="E27" s="38" t="n"/>
      <c r="F27" s="38" t="n"/>
      <c r="G27" s="38" t="n"/>
      <c r="H27" s="38" t="n"/>
    </row>
    <row r="28">
      <c r="A28" s="58" t="inlineStr">
        <is>
          <t>V</t>
        </is>
      </c>
      <c r="B28" s="44" t="inlineStr">
        <is>
          <t>Vouched to source document</t>
        </is>
      </c>
      <c r="C28" s="59" t="n"/>
      <c r="D28" s="60" t="n"/>
      <c r="E28" s="38" t="n"/>
      <c r="F28" s="38" t="n"/>
      <c r="G28" s="38" t="n"/>
      <c r="H28" s="38" t="n"/>
    </row>
    <row r="29">
      <c r="A29" s="58" t="inlineStr">
        <is>
          <t>SR</t>
        </is>
      </c>
      <c r="B29" s="44" t="inlineStr">
        <is>
          <t>Agreed to subsequent bank-cleared receipt</t>
        </is>
      </c>
      <c r="C29" s="59" t="n"/>
      <c r="D29" s="60" t="n"/>
      <c r="E29" s="38" t="n"/>
      <c r="F29" s="38" t="n"/>
      <c r="G29" s="38" t="n"/>
      <c r="H29" s="38" t="n"/>
    </row>
    <row r="30">
      <c r="A30" s="58" t="inlineStr">
        <is>
          <t>R</t>
        </is>
      </c>
      <c r="B30" s="44" t="inlineStr">
        <is>
          <t>Recalculated independently</t>
        </is>
      </c>
      <c r="C30" s="59" t="n"/>
      <c r="D30" s="60" t="n"/>
      <c r="E30" s="38" t="n"/>
      <c r="F30" s="38" t="n"/>
      <c r="G30" s="38" t="n"/>
      <c r="H30" s="38" t="n"/>
    </row>
    <row r="31">
      <c r="A31" s="58" t="inlineStr">
        <is>
          <t>F</t>
        </is>
      </c>
      <c r="B31" s="44" t="inlineStr">
        <is>
          <t>Footed / cross-cast</t>
        </is>
      </c>
      <c r="C31" s="59" t="n"/>
      <c r="D31" s="60" t="n"/>
      <c r="E31" s="38" t="n"/>
      <c r="F31" s="38" t="n"/>
      <c r="G31" s="38" t="n"/>
      <c r="H31" s="38" t="n"/>
    </row>
    <row r="32">
      <c r="A32" s="58" t="inlineStr">
        <is>
          <t>T</t>
        </is>
      </c>
      <c r="B32" s="44" t="inlineStr">
        <is>
          <t>Traced to downstream record</t>
        </is>
      </c>
      <c r="C32" s="59" t="n"/>
      <c r="D32" s="60" t="n"/>
      <c r="E32" s="38" t="n"/>
      <c r="F32" s="38" t="n"/>
      <c r="G32" s="38" t="n"/>
      <c r="H32" s="38" t="n"/>
    </row>
    <row r="33">
      <c r="A33" s="58" t="inlineStr">
        <is>
          <t>PBC</t>
        </is>
      </c>
      <c r="B33" s="44" t="inlineStr">
        <is>
          <t>Prepared by client</t>
        </is>
      </c>
      <c r="C33" s="59" t="n"/>
      <c r="D33" s="60" t="n"/>
      <c r="E33" s="38" t="n"/>
      <c r="F33" s="38" t="n"/>
      <c r="G33" s="38" t="n"/>
      <c r="H33" s="38" t="n"/>
    </row>
    <row r="34">
      <c r="A34" s="38" t="n"/>
      <c r="B34" s="38" t="n"/>
      <c r="C34" s="38" t="n"/>
      <c r="D34" s="38" t="n"/>
      <c r="E34" s="38" t="n"/>
      <c r="F34" s="38" t="n"/>
      <c r="G34" s="38" t="n"/>
      <c r="H34" s="38" t="n"/>
    </row>
    <row r="35" ht="25.5" customHeight="1">
      <c r="A35" s="40" t="inlineStr">
        <is>
          <t>Before sign-off complete Library Procedures 16-18 (analytics, presentation &amp; disclosure, commitments/unrecorded obligations).</t>
        </is>
      </c>
      <c r="B35" s="38" t="n"/>
      <c r="C35" s="38" t="n"/>
      <c r="D35" s="38" t="n"/>
      <c r="E35" s="38" t="n"/>
      <c r="F35" s="38" t="n"/>
      <c r="G35" s="38" t="n"/>
      <c r="H35" s="38" t="n"/>
    </row>
  </sheetData>
  <mergeCells count="13">
    <mergeCell ref="B33:D33"/>
    <mergeCell ref="B28:D28"/>
    <mergeCell ref="A35:E35"/>
    <mergeCell ref="B4:E4"/>
    <mergeCell ref="B31:D31"/>
    <mergeCell ref="B32:D32"/>
    <mergeCell ref="B6:E6"/>
    <mergeCell ref="B26:D26"/>
    <mergeCell ref="B27:D27"/>
    <mergeCell ref="B30:D30"/>
    <mergeCell ref="B5:E5"/>
    <mergeCell ref="B29:D29"/>
    <mergeCell ref="B25:D25"/>
  </mergeCells>
  <printOptions horizontalCentered="0" verticalCentered="0"/>
  <pageMargins left="0.25" right="0.25" top="0.5" bottom="0.5" header="0.2" footer="0.2"/>
  <pageSetup orientation="portrait" paperSize="1" fitToHeight="0" fitToWidth="1" horizontalDpi="300" verticalDpi="300"/>
</worksheet>
</file>

<file path=xl/worksheets/sheet11.xml><?xml version="1.0" encoding="utf-8"?>
<worksheet xmlns="http://schemas.openxmlformats.org/spreadsheetml/2006/main">
  <sheetPr>
    <outlinePr summaryBelow="1" summaryRight="1"/>
    <pageSetUpPr autoPageBreaks="0" fitToPage="1"/>
  </sheetPr>
  <dimension ref="A1:B21"/>
  <sheetViews>
    <sheetView showGridLines="0" zoomScale="90" zoomScaleNormal="100" workbookViewId="0">
      <pane ySplit="7" topLeftCell="A8" activePane="bottomLeft" state="frozen"/>
      <selection pane="bottomLeft" activeCell="A1" sqref="A1"/>
    </sheetView>
  </sheetViews>
  <sheetFormatPr baseColWidth="8" defaultRowHeight="15"/>
  <cols>
    <col width="36" customWidth="1" min="1" max="1"/>
    <col width="90" customWidth="1" min="2" max="2"/>
  </cols>
  <sheetData>
    <row r="1">
      <c r="A1" s="94" t="inlineStr">
        <is>
          <t>AUTHORITATIVE PLANNING CONTEXT</t>
        </is>
      </c>
      <c r="B1" s="38" t="n"/>
    </row>
    <row r="2">
      <c r="A2" s="38" t="inlineStr">
        <is>
          <t>Field</t>
        </is>
      </c>
      <c r="B2" s="38" t="inlineStr">
        <is>
          <t>Value</t>
        </is>
      </c>
    </row>
    <row r="3">
      <c r="A3" s="38" t="inlineStr">
        <is>
          <t>Entity Name</t>
        </is>
      </c>
      <c r="B3" s="94" t="inlineStr">
        <is>
          <t>Vaquite Industries, Inc.</t>
        </is>
      </c>
    </row>
    <row r="4">
      <c r="A4" s="94" t="inlineStr">
        <is>
          <t>Financial Statement Date</t>
        </is>
      </c>
      <c r="B4" s="95" t="n">
        <v>46022</v>
      </c>
    </row>
    <row r="5">
      <c r="A5" s="94" t="inlineStr">
        <is>
          <t>Reporting Currency</t>
        </is>
      </c>
      <c r="B5" s="38" t="inlineStr">
        <is>
          <t>USD</t>
        </is>
      </c>
    </row>
    <row r="6">
      <c r="A6" s="94" t="inlineStr">
        <is>
          <t>Overall Materiality</t>
        </is>
      </c>
      <c r="B6" s="96" t="n">
        <v>30700</v>
      </c>
    </row>
    <row r="7">
      <c r="A7" s="94" t="inlineStr">
        <is>
          <t>Performance Materiality</t>
        </is>
      </c>
      <c r="B7" s="96" t="n">
        <v>23100</v>
      </c>
    </row>
    <row r="8">
      <c r="A8" s="94" t="inlineStr">
        <is>
          <t>Tolerable Misstatement</t>
        </is>
      </c>
      <c r="B8" s="96" t="n">
        <v>20800</v>
      </c>
    </row>
    <row r="9">
      <c r="A9" s="94" t="inlineStr">
        <is>
          <t>Individually Significant Threshold</t>
        </is>
      </c>
      <c r="B9" s="96" t="n">
        <v>11600</v>
      </c>
    </row>
    <row r="10">
      <c r="A10" s="38" t="inlineStr">
        <is>
          <t>Posting Threshold</t>
        </is>
      </c>
      <c r="B10" s="96" t="n">
        <v>1000</v>
      </c>
    </row>
    <row r="11">
      <c r="A11" s="94" t="inlineStr">
        <is>
          <t>Clearly Trivial Threshold</t>
        </is>
      </c>
      <c r="B11" s="96" t="n">
        <v>1000</v>
      </c>
    </row>
    <row r="12">
      <c r="A12" s="94" t="inlineStr">
        <is>
          <t>Analytical Precision</t>
        </is>
      </c>
      <c r="B12" s="96" t="n">
        <v>20800</v>
      </c>
    </row>
    <row r="13">
      <c r="A13" s="38" t="n"/>
      <c r="B13" s="38" t="n"/>
    </row>
    <row r="14">
      <c r="A14" s="94" t="inlineStr">
        <is>
          <t>Bound planning records</t>
        </is>
      </c>
      <c r="B14" s="38" t="inlineStr">
        <is>
          <t>Canonical IDs</t>
        </is>
      </c>
    </row>
    <row r="15">
      <c r="A15" s="38" t="inlineStr">
        <is>
          <t>Sampling plan ID</t>
        </is>
      </c>
      <c r="B15" s="94" t="inlineStr">
        <is>
          <t>SAMPLE-AP-AND-ACCRUALS</t>
        </is>
      </c>
    </row>
    <row r="16" ht="120" customHeight="1">
      <c r="A16" s="38" t="inlineStr">
        <is>
          <t>Selection IDs</t>
        </is>
      </c>
      <c r="B16" s="94" t="inlineStr">
        <is>
          <t>PROC-AP-VOUCHING:PREPAID-Invoice reference Ppd 001; PROC-AP-VOUCHING:Vendor reference Invoice Stk 0033; PROC-AP-VOUCHING:Vendor reference Invoice Stk 0039; PROC-AP-VOUCHING:Vendor reference Invoice Stk 0027; PROC-AP-VOUCHING:Vendor reference Invoice Stk 0021; PROC-AP-VOUCHING:Vendor reference Invoice Stk 0015; PROC-AP-VOUCHING:Vendor reference Invoice Stk 0009; PROC-AP-VOUCHING:Vendor reference Invoice Stk 0003; PROC-AP-VOUCHING:Vendor reference Invoice Stk 0054; PROC-AP-VOUCHING:Vendor reference Invoice Stk 0062; PROC-AP-VOUCHING:Vendor reference Invoice Stk 0030; PROC-AP-VOUCHING:Vendor reference Invoice Stk 0007; PROC-AP-VOUCHING:Vendor reference Invoice Stk 0024; PROC-AP-VOUCHING:Vendor reference Invoice Stk 0001; PROC-AP-VOUCHING:Vendor reference Invoice Stk 0065; PROC-AP-VOUCHING:Vendor reference Invoice Stk 0053; PROC-AP-VOUCHING:Vendor reference Invoice Stk 0058; PROC-AP-VOUCHING:Vendor reference Invoice Stk 0055; PROC-AP-VOUCHING:Vendor reference Invoice Stk 0004; PROC-AP-VOUCHING:Vendor reference Invoice Stk 0008; PROC-AP-VOUCHING:Vendor reference Invoice Stk 0056; PROC-ACCRUALS-DETAIL:Accrual reference RNI 01</t>
        </is>
      </c>
    </row>
    <row r="17">
      <c r="A17" s="94" t="inlineStr">
        <is>
          <t>Selection requirements</t>
        </is>
      </c>
      <c r="B17" s="94" t="inlineStr">
        <is>
          <t>qualitative mandatory items; individually significant items</t>
        </is>
      </c>
    </row>
    <row r="18">
      <c r="A18" s="38" t="inlineStr">
        <is>
          <t>Procedure IDs</t>
        </is>
      </c>
      <c r="B18" s="94" t="inlineStr">
        <is>
          <t>PROC-AP-AND-ACCRUALS</t>
        </is>
      </c>
    </row>
    <row r="19">
      <c r="A19" s="94" t="inlineStr">
        <is>
          <t>Procedure window IDs</t>
        </is>
      </c>
      <c r="B19" s="38" t="inlineStr">
        <is>
          <t>WIN-AP-SURL</t>
        </is>
      </c>
    </row>
    <row r="20">
      <c r="A20" s="94" t="inlineStr">
        <is>
          <t>Significant-risk response IDs</t>
        </is>
      </c>
      <c r="B20" s="38" t="inlineStr"/>
    </row>
    <row r="21">
      <c r="A21" s="94" t="inlineStr">
        <is>
          <t>Audit team assignments</t>
        </is>
      </c>
      <c r="B21" s="94" t="inlineStr">
        <is>
          <t>preparer: Audit Senior 80A0; reviewer: Audit Manager 403F</t>
        </is>
      </c>
    </row>
  </sheetData>
  <printOptions horizontalCentered="0" verticalCentered="0"/>
  <pageMargins left="0.25" right="0.25" top="0.5" bottom="0.5" header="0.2" footer="0.2"/>
  <pageSetup orientation="portrait" paperSize="1" fitToHeight="0" fitToWidth="1"/>
</worksheet>
</file>

<file path=xl/worksheets/sheet12.xml><?xml version="1.0" encoding="utf-8"?>
<worksheet xmlns="http://schemas.openxmlformats.org/spreadsheetml/2006/main">
  <sheetPr>
    <outlinePr summaryBelow="1" summaryRight="1"/>
    <pageSetUpPr autoPageBreaks="0" fitToPage="1"/>
  </sheetPr>
  <dimension ref="A1:L59"/>
  <sheetViews>
    <sheetView showGridLines="0" zoomScale="90" zoomScaleNormal="100" workbookViewId="0">
      <pane xSplit="1" ySplit="7" topLeftCell="B8" activePane="bottomRight" state="frozen"/>
      <selection pane="topRight"/>
      <selection pane="bottomLeft"/>
      <selection pane="bottomRight" activeCell="A1" sqref="A1"/>
    </sheetView>
  </sheetViews>
  <sheetFormatPr baseColWidth="8" defaultRowHeight="15"/>
  <cols>
    <col width="31.75" customWidth="1" min="1" max="1"/>
    <col width="42" customWidth="1" min="2" max="2"/>
    <col width="42" customWidth="1" min="3" max="3"/>
    <col width="42" customWidth="1" min="4" max="4"/>
    <col width="41.95" customWidth="1" min="5" max="5"/>
    <col width="42" customWidth="1" min="6" max="6"/>
    <col width="42" customWidth="1" min="7" max="7"/>
    <col width="38.55" customWidth="1" min="8" max="8"/>
    <col width="42" customWidth="1" min="9" max="9"/>
    <col width="42" customWidth="1" min="10" max="10"/>
    <col width="37.7" customWidth="1" min="11" max="11"/>
    <col width="42" customWidth="1" min="12" max="12"/>
  </cols>
  <sheetData>
    <row r="1">
      <c r="A1" s="97" t="inlineStr">
        <is>
          <t>ACCOUNTS PAYABLE — FSM EXECUTION CONTROLS</t>
        </is>
      </c>
      <c r="B1" s="94" t="n"/>
      <c r="C1" s="94" t="n"/>
      <c r="D1" s="94" t="n"/>
      <c r="E1" s="94" t="n"/>
      <c r="F1" s="94" t="n"/>
      <c r="G1" s="94" t="n"/>
      <c r="H1" s="94" t="n"/>
      <c r="I1" s="94" t="n"/>
      <c r="J1" s="94" t="n"/>
      <c r="K1" s="94" t="n"/>
      <c r="L1" s="94" t="n"/>
    </row>
    <row r="2">
      <c r="A2" s="94" t="inlineStr">
        <is>
          <t>These controls do not replace audit work. They prevent registered selections, mandatory vendor-statement scope, AP-direction testing, and typed metric/window requirements from being silently discarded.</t>
        </is>
      </c>
      <c r="B2" s="94" t="n"/>
      <c r="C2" s="94" t="n"/>
      <c r="D2" s="94" t="n"/>
      <c r="E2" s="94" t="n"/>
      <c r="F2" s="94" t="n"/>
      <c r="G2" s="94" t="n"/>
      <c r="H2" s="94" t="n"/>
      <c r="I2" s="94" t="n"/>
      <c r="J2" s="94" t="n"/>
      <c r="K2" s="94" t="n"/>
      <c r="L2" s="94" t="n"/>
    </row>
    <row r="3">
      <c r="A3" s="94" t="n"/>
      <c r="B3" s="94" t="n"/>
      <c r="C3" s="94" t="n"/>
      <c r="D3" s="94" t="n"/>
      <c r="E3" s="94" t="n"/>
      <c r="F3" s="94" t="n"/>
      <c r="G3" s="94" t="n"/>
      <c r="H3" s="94" t="n"/>
      <c r="I3" s="94" t="n"/>
      <c r="J3" s="94" t="n"/>
      <c r="K3" s="94" t="n"/>
      <c r="L3" s="94" t="n"/>
    </row>
    <row r="4">
      <c r="A4" s="98" t="inlineStr">
        <is>
          <t>A. REGISTERED SELECTION EXECUTION RECONCILIATION</t>
        </is>
      </c>
      <c r="B4" s="94" t="n"/>
      <c r="C4" s="94" t="n"/>
      <c r="D4" s="94" t="n"/>
      <c r="E4" s="94" t="n"/>
      <c r="F4" s="94" t="n"/>
      <c r="G4" s="94" t="n"/>
      <c r="H4" s="94" t="n"/>
      <c r="I4" s="94" t="n"/>
      <c r="J4" s="94" t="n"/>
      <c r="K4" s="94" t="n"/>
      <c r="L4" s="94" t="n"/>
    </row>
    <row r="5" ht="27" customHeight="1">
      <c r="A5" s="94" t="inlineStr">
        <is>
          <t>Procedure ID</t>
        </is>
      </c>
      <c r="B5" s="94" t="inlineStr">
        <is>
          <t>PROC-AP-VOUCHING</t>
        </is>
      </c>
      <c r="C5" s="94" t="inlineStr">
        <is>
          <t>Sampling plan ID</t>
        </is>
      </c>
      <c r="D5" s="94" t="inlineStr">
        <is>
          <t>SAMPLE-AP-AND-ACCRUALS</t>
        </is>
      </c>
      <c r="E5" s="94" t="inlineStr">
        <is>
          <t>Population hash</t>
        </is>
      </c>
      <c r="F5" s="94" t="inlineStr">
        <is>
          <t>618808e7b991d654ab10742177ae785836cb86e3027c450cff5fd80aab2d73b6</t>
        </is>
      </c>
      <c r="G5" s="94" t="n"/>
      <c r="H5" s="94" t="n"/>
      <c r="I5" s="94" t="n"/>
      <c r="J5" s="94" t="n"/>
      <c r="K5" s="94" t="n"/>
      <c r="L5" s="94" t="n"/>
    </row>
    <row r="6">
      <c r="A6" s="94" t="inlineStr">
        <is>
          <t>Registered selections</t>
        </is>
      </c>
      <c r="B6" s="94" t="n">
        <v>21</v>
      </c>
      <c r="C6" s="94" t="inlineStr">
        <is>
          <t>Targeted / key</t>
        </is>
      </c>
      <c r="D6" s="94" t="n">
        <v>8</v>
      </c>
      <c r="E6" s="94" t="inlineStr">
        <is>
          <t>Seeded residual</t>
        </is>
      </c>
      <c r="F6" s="94" t="n">
        <v>13</v>
      </c>
      <c r="G6" s="94" t="n"/>
      <c r="H6" s="94" t="n"/>
      <c r="I6" s="94" t="n"/>
      <c r="J6" s="94" t="n"/>
      <c r="K6" s="94" t="n"/>
      <c r="L6" s="94" t="n"/>
    </row>
    <row r="7" ht="67.5" customHeight="1">
      <c r="A7" s="94" t="inlineStr">
        <is>
          <t>Invariant</t>
        </is>
      </c>
      <c r="B7" s="94" t="inlineStr">
        <is>
          <t>Each registered ID must resolve to one exact result row, or to an approved equivalent deviation that identifies approval, rationale, replacement IDs, and equivalent-or-greater objective coverage.</t>
        </is>
      </c>
      <c r="C7" s="94" t="n"/>
      <c r="D7" s="94" t="n"/>
      <c r="E7" s="94" t="n"/>
      <c r="F7" s="94" t="n"/>
      <c r="G7" s="94" t="n"/>
      <c r="H7" s="94" t="n"/>
      <c r="I7" s="94" t="n"/>
      <c r="J7" s="94" t="n"/>
      <c r="K7" s="94" t="n"/>
      <c r="L7" s="94" t="n"/>
    </row>
    <row r="8">
      <c r="A8" s="99" t="inlineStr">
        <is>
          <t>Registered Selection ID</t>
        </is>
      </c>
      <c r="B8" s="99" t="inlineStr">
        <is>
          <t>Selection Reason</t>
        </is>
      </c>
      <c r="C8" s="99" t="inlineStr">
        <is>
          <t>Planned Amount</t>
        </is>
      </c>
      <c r="D8" s="99" t="inlineStr">
        <is>
          <t>Secondary Reasons</t>
        </is>
      </c>
      <c r="E8" s="99" t="inlineStr">
        <is>
          <t>Execution Disposition</t>
        </is>
      </c>
      <c r="F8" s="99" t="inlineStr">
        <is>
          <t>Exact Workpaper Result Ref</t>
        </is>
      </c>
      <c r="G8" s="99" t="inlineStr">
        <is>
          <t>Approved Deviation ID</t>
        </is>
      </c>
      <c r="H8" s="99" t="inlineStr">
        <is>
          <t>Deviation Rationale</t>
        </is>
      </c>
      <c r="I8" s="99" t="inlineStr">
        <is>
          <t>Equivalent Selection IDs / Coverage</t>
        </is>
      </c>
      <c r="J8" s="99" t="inlineStr">
        <is>
          <t>Reconciliation Status</t>
        </is>
      </c>
      <c r="K8" s="94" t="n"/>
      <c r="L8" s="94" t="n"/>
    </row>
    <row r="9" ht="94.5" customHeight="1">
      <c r="A9" s="94" t="inlineStr">
        <is>
          <t>PREPAID-Invoice reference Ppd 001</t>
        </is>
      </c>
      <c r="B9" s="94" t="inlineStr">
        <is>
          <t>procedure_specific_key_item</t>
        </is>
      </c>
      <c r="C9" s="100" t="n">
        <v>26000</v>
      </c>
      <c r="D9" s="94" t="inlineStr"/>
      <c r="E9" s="77" t="inlineStr">
        <is>
          <t>[Select tested or approved deviation]</t>
        </is>
      </c>
      <c r="F9" s="77" t="inlineStr">
        <is>
          <t>[Enter exact result row / reference]</t>
        </is>
      </c>
      <c r="G9" s="77" t="inlineStr">
        <is>
          <t>[Enter approved deviation ID or N/A]</t>
        </is>
      </c>
      <c r="H9" s="77" t="inlineStr">
        <is>
          <t>[Enter deviation rationale or N/A]</t>
        </is>
      </c>
      <c r="I9" s="77" t="inlineStr">
        <is>
          <t>[Enter equivalent selection IDs and coverage or N/A]</t>
        </is>
      </c>
      <c r="J9" s="94">
        <f>IF(OR(AND(E9="Tested as registered",AND(F9&lt;&gt;"",LEFT(F9,1)&lt;&gt;"[")),AND(E9="Approved equivalent deviation",AND(F9&lt;&gt;"",LEFT(F9,1)&lt;&gt;"["),AND(G9&lt;&gt;"",LEFT(G9,1)&lt;&gt;"["),G9&lt;&gt;"N/A",AND(H9&lt;&gt;"",LEFT(H9,1)&lt;&gt;"["),H9&lt;&gt;"N/A",AND(I9&lt;&gt;"",LEFT(I9,1)&lt;&gt;"["),I9&lt;&gt;"N/A")),"Reconciled","Open")</f>
        <v/>
      </c>
      <c r="K9" s="94" t="n"/>
      <c r="L9" s="94" t="n"/>
    </row>
    <row r="10" ht="94.5" customHeight="1">
      <c r="A10" s="94" t="inlineStr">
        <is>
          <t>Vendor reference Invoice Stk 0033</t>
        </is>
      </c>
      <c r="B10" s="94" t="inlineStr">
        <is>
          <t>procedure_specific_key_item</t>
        </is>
      </c>
      <c r="C10" s="100" t="n">
        <v>24759.57</v>
      </c>
      <c r="D10" s="94" t="inlineStr"/>
      <c r="E10" s="77" t="inlineStr">
        <is>
          <t>[Select tested or approved deviation]</t>
        </is>
      </c>
      <c r="F10" s="77" t="inlineStr">
        <is>
          <t>[Enter exact result row / reference]</t>
        </is>
      </c>
      <c r="G10" s="77" t="inlineStr">
        <is>
          <t>[Enter approved deviation ID or N/A]</t>
        </is>
      </c>
      <c r="H10" s="77" t="inlineStr">
        <is>
          <t>[Enter deviation rationale or N/A]</t>
        </is>
      </c>
      <c r="I10" s="77" t="inlineStr">
        <is>
          <t>[Enter equivalent selection IDs and coverage or N/A]</t>
        </is>
      </c>
      <c r="J10" s="94">
        <f>IF(OR(AND(E10="Tested as registered",AND(F10&lt;&gt;"",LEFT(F10,1)&lt;&gt;"[")),AND(E10="Approved equivalent deviation",AND(F10&lt;&gt;"",LEFT(F10,1)&lt;&gt;"["),AND(G10&lt;&gt;"",LEFT(G10,1)&lt;&gt;"["),G10&lt;&gt;"N/A",AND(H10&lt;&gt;"",LEFT(H10,1)&lt;&gt;"["),H10&lt;&gt;"N/A",AND(I10&lt;&gt;"",LEFT(I10,1)&lt;&gt;"["),I10&lt;&gt;"N/A")),"Reconciled","Open")</f>
        <v/>
      </c>
      <c r="K10" s="94" t="n"/>
      <c r="L10" s="94" t="n"/>
    </row>
    <row r="11" ht="94.5" customHeight="1">
      <c r="A11" s="94" t="inlineStr">
        <is>
          <t>Vendor reference Invoice Stk 0039</t>
        </is>
      </c>
      <c r="B11" s="94" t="inlineStr">
        <is>
          <t>procedure_specific_key_item</t>
        </is>
      </c>
      <c r="C11" s="100" t="n">
        <v>24759.57</v>
      </c>
      <c r="D11" s="94" t="inlineStr"/>
      <c r="E11" s="77" t="inlineStr">
        <is>
          <t>[Select tested or approved deviation]</t>
        </is>
      </c>
      <c r="F11" s="77" t="inlineStr">
        <is>
          <t>[Enter exact result row / reference]</t>
        </is>
      </c>
      <c r="G11" s="77" t="inlineStr">
        <is>
          <t>[Enter approved deviation ID or N/A]</t>
        </is>
      </c>
      <c r="H11" s="77" t="inlineStr">
        <is>
          <t>[Enter deviation rationale or N/A]</t>
        </is>
      </c>
      <c r="I11" s="77" t="inlineStr">
        <is>
          <t>[Enter equivalent selection IDs and coverage or N/A]</t>
        </is>
      </c>
      <c r="J11" s="94">
        <f>IF(OR(AND(E11="Tested as registered",AND(F11&lt;&gt;"",LEFT(F11,1)&lt;&gt;"[")),AND(E11="Approved equivalent deviation",AND(F11&lt;&gt;"",LEFT(F11,1)&lt;&gt;"["),AND(G11&lt;&gt;"",LEFT(G11,1)&lt;&gt;"["),G11&lt;&gt;"N/A",AND(H11&lt;&gt;"",LEFT(H11,1)&lt;&gt;"["),H11&lt;&gt;"N/A",AND(I11&lt;&gt;"",LEFT(I11,1)&lt;&gt;"["),I11&lt;&gt;"N/A")),"Reconciled","Open")</f>
        <v/>
      </c>
      <c r="K11" s="94" t="n"/>
      <c r="L11" s="94" t="n"/>
    </row>
    <row r="12" ht="94.5" customHeight="1">
      <c r="A12" s="94" t="inlineStr">
        <is>
          <t>Vendor reference Invoice Stk 0027</t>
        </is>
      </c>
      <c r="B12" s="94" t="inlineStr">
        <is>
          <t>procedure_specific_key_item</t>
        </is>
      </c>
      <c r="C12" s="100" t="n">
        <v>24514.43</v>
      </c>
      <c r="D12" s="94" t="inlineStr"/>
      <c r="E12" s="77" t="inlineStr">
        <is>
          <t>[Select tested or approved deviation]</t>
        </is>
      </c>
      <c r="F12" s="77" t="inlineStr">
        <is>
          <t>[Enter exact result row / reference]</t>
        </is>
      </c>
      <c r="G12" s="77" t="inlineStr">
        <is>
          <t>[Enter approved deviation ID or N/A]</t>
        </is>
      </c>
      <c r="H12" s="77" t="inlineStr">
        <is>
          <t>[Enter deviation rationale or N/A]</t>
        </is>
      </c>
      <c r="I12" s="77" t="inlineStr">
        <is>
          <t>[Enter equivalent selection IDs and coverage or N/A]</t>
        </is>
      </c>
      <c r="J12" s="94">
        <f>IF(OR(AND(E12="Tested as registered",AND(F12&lt;&gt;"",LEFT(F12,1)&lt;&gt;"[")),AND(E12="Approved equivalent deviation",AND(F12&lt;&gt;"",LEFT(F12,1)&lt;&gt;"["),AND(G12&lt;&gt;"",LEFT(G12,1)&lt;&gt;"["),G12&lt;&gt;"N/A",AND(H12&lt;&gt;"",LEFT(H12,1)&lt;&gt;"["),H12&lt;&gt;"N/A",AND(I12&lt;&gt;"",LEFT(I12,1)&lt;&gt;"["),I12&lt;&gt;"N/A")),"Reconciled","Open")</f>
        <v/>
      </c>
      <c r="K12" s="94" t="n"/>
      <c r="L12" s="94" t="n"/>
    </row>
    <row r="13" ht="94.5" customHeight="1">
      <c r="A13" s="94" t="inlineStr">
        <is>
          <t>Vendor reference Invoice Stk 0021</t>
        </is>
      </c>
      <c r="B13" s="94" t="inlineStr">
        <is>
          <t>procedure_specific_key_item</t>
        </is>
      </c>
      <c r="C13" s="100" t="n">
        <v>24269.29</v>
      </c>
      <c r="D13" s="94" t="inlineStr"/>
      <c r="E13" s="77" t="inlineStr">
        <is>
          <t>[Select tested or approved deviation]</t>
        </is>
      </c>
      <c r="F13" s="77" t="inlineStr">
        <is>
          <t>[Enter exact result row / reference]</t>
        </is>
      </c>
      <c r="G13" s="77" t="inlineStr">
        <is>
          <t>[Enter approved deviation ID or N/A]</t>
        </is>
      </c>
      <c r="H13" s="77" t="inlineStr">
        <is>
          <t>[Enter deviation rationale or N/A]</t>
        </is>
      </c>
      <c r="I13" s="77" t="inlineStr">
        <is>
          <t>[Enter equivalent selection IDs and coverage or N/A]</t>
        </is>
      </c>
      <c r="J13" s="94">
        <f>IF(OR(AND(E13="Tested as registered",AND(F13&lt;&gt;"",LEFT(F13,1)&lt;&gt;"[")),AND(E13="Approved equivalent deviation",AND(F13&lt;&gt;"",LEFT(F13,1)&lt;&gt;"["),AND(G13&lt;&gt;"",LEFT(G13,1)&lt;&gt;"["),G13&lt;&gt;"N/A",AND(H13&lt;&gt;"",LEFT(H13,1)&lt;&gt;"["),H13&lt;&gt;"N/A",AND(I13&lt;&gt;"",LEFT(I13,1)&lt;&gt;"["),I13&lt;&gt;"N/A")),"Reconciled","Open")</f>
        <v/>
      </c>
      <c r="K13" s="94" t="n"/>
      <c r="L13" s="94" t="n"/>
    </row>
    <row r="14" ht="94.5" customHeight="1">
      <c r="A14" s="94" t="inlineStr">
        <is>
          <t>Vendor reference Invoice Stk 0015</t>
        </is>
      </c>
      <c r="B14" s="94" t="inlineStr">
        <is>
          <t>procedure_specific_key_item</t>
        </is>
      </c>
      <c r="C14" s="100" t="n">
        <v>24024.14</v>
      </c>
      <c r="D14" s="94" t="inlineStr"/>
      <c r="E14" s="77" t="inlineStr">
        <is>
          <t>[Select tested or approved deviation]</t>
        </is>
      </c>
      <c r="F14" s="77" t="inlineStr">
        <is>
          <t>[Enter exact result row / reference]</t>
        </is>
      </c>
      <c r="G14" s="77" t="inlineStr">
        <is>
          <t>[Enter approved deviation ID or N/A]</t>
        </is>
      </c>
      <c r="H14" s="77" t="inlineStr">
        <is>
          <t>[Enter deviation rationale or N/A]</t>
        </is>
      </c>
      <c r="I14" s="77" t="inlineStr">
        <is>
          <t>[Enter equivalent selection IDs and coverage or N/A]</t>
        </is>
      </c>
      <c r="J14" s="94">
        <f>IF(OR(AND(E14="Tested as registered",AND(F14&lt;&gt;"",LEFT(F14,1)&lt;&gt;"[")),AND(E14="Approved equivalent deviation",AND(F14&lt;&gt;"",LEFT(F14,1)&lt;&gt;"["),AND(G14&lt;&gt;"",LEFT(G14,1)&lt;&gt;"["),G14&lt;&gt;"N/A",AND(H14&lt;&gt;"",LEFT(H14,1)&lt;&gt;"["),H14&lt;&gt;"N/A",AND(I14&lt;&gt;"",LEFT(I14,1)&lt;&gt;"["),I14&lt;&gt;"N/A")),"Reconciled","Open")</f>
        <v/>
      </c>
      <c r="K14" s="94" t="n"/>
      <c r="L14" s="94" t="n"/>
    </row>
    <row r="15" ht="94.5" customHeight="1">
      <c r="A15" s="94" t="inlineStr">
        <is>
          <t>Vendor reference Invoice Stk 0009</t>
        </is>
      </c>
      <c r="B15" s="94" t="inlineStr">
        <is>
          <t>procedure_specific_key_item</t>
        </is>
      </c>
      <c r="C15" s="100" t="n">
        <v>23779</v>
      </c>
      <c r="D15" s="94" t="inlineStr"/>
      <c r="E15" s="77" t="inlineStr">
        <is>
          <t>[Select tested or approved deviation]</t>
        </is>
      </c>
      <c r="F15" s="77" t="inlineStr">
        <is>
          <t>[Enter exact result row / reference]</t>
        </is>
      </c>
      <c r="G15" s="77" t="inlineStr">
        <is>
          <t>[Enter approved deviation ID or N/A]</t>
        </is>
      </c>
      <c r="H15" s="77" t="inlineStr">
        <is>
          <t>[Enter deviation rationale or N/A]</t>
        </is>
      </c>
      <c r="I15" s="77" t="inlineStr">
        <is>
          <t>[Enter equivalent selection IDs and coverage or N/A]</t>
        </is>
      </c>
      <c r="J15" s="94">
        <f>IF(OR(AND(E15="Tested as registered",AND(F15&lt;&gt;"",LEFT(F15,1)&lt;&gt;"[")),AND(E15="Approved equivalent deviation",AND(F15&lt;&gt;"",LEFT(F15,1)&lt;&gt;"["),AND(G15&lt;&gt;"",LEFT(G15,1)&lt;&gt;"["),G15&lt;&gt;"N/A",AND(H15&lt;&gt;"",LEFT(H15,1)&lt;&gt;"["),H15&lt;&gt;"N/A",AND(I15&lt;&gt;"",LEFT(I15,1)&lt;&gt;"["),I15&lt;&gt;"N/A")),"Reconciled","Open")</f>
        <v/>
      </c>
      <c r="K15" s="94" t="n"/>
      <c r="L15" s="94" t="n"/>
    </row>
    <row r="16" ht="94.5" customHeight="1">
      <c r="A16" s="94" t="inlineStr">
        <is>
          <t>Vendor reference Invoice Stk 0003</t>
        </is>
      </c>
      <c r="B16" s="94" t="inlineStr">
        <is>
          <t>procedure_specific_key_item</t>
        </is>
      </c>
      <c r="C16" s="100" t="n">
        <v>23533.85</v>
      </c>
      <c r="D16" s="94" t="inlineStr"/>
      <c r="E16" s="77" t="inlineStr">
        <is>
          <t>[Select tested or approved deviation]</t>
        </is>
      </c>
      <c r="F16" s="77" t="inlineStr">
        <is>
          <t>[Enter exact result row / reference]</t>
        </is>
      </c>
      <c r="G16" s="77" t="inlineStr">
        <is>
          <t>[Enter approved deviation ID or N/A]</t>
        </is>
      </c>
      <c r="H16" s="77" t="inlineStr">
        <is>
          <t>[Enter deviation rationale or N/A]</t>
        </is>
      </c>
      <c r="I16" s="77" t="inlineStr">
        <is>
          <t>[Enter equivalent selection IDs and coverage or N/A]</t>
        </is>
      </c>
      <c r="J16" s="94">
        <f>IF(OR(AND(E16="Tested as registered",AND(F16&lt;&gt;"",LEFT(F16,1)&lt;&gt;"[")),AND(E16="Approved equivalent deviation",AND(F16&lt;&gt;"",LEFT(F16,1)&lt;&gt;"["),AND(G16&lt;&gt;"",LEFT(G16,1)&lt;&gt;"["),G16&lt;&gt;"N/A",AND(H16&lt;&gt;"",LEFT(H16,1)&lt;&gt;"["),H16&lt;&gt;"N/A",AND(I16&lt;&gt;"",LEFT(I16,1)&lt;&gt;"["),I16&lt;&gt;"N/A")),"Reconciled","Open")</f>
        <v/>
      </c>
      <c r="K16" s="94" t="n"/>
      <c r="L16" s="94" t="n"/>
    </row>
    <row r="17" ht="94.5" customHeight="1">
      <c r="A17" s="94" t="inlineStr">
        <is>
          <t>Vendor reference Invoice Stk 0054</t>
        </is>
      </c>
      <c r="B17" s="94" t="inlineStr">
        <is>
          <t>seeded_residual</t>
        </is>
      </c>
      <c r="C17" s="100" t="n">
        <v>13696.07</v>
      </c>
      <c r="D17" s="94" t="inlineStr"/>
      <c r="E17" s="77" t="inlineStr">
        <is>
          <t>[Select tested or approved deviation]</t>
        </is>
      </c>
      <c r="F17" s="77" t="inlineStr">
        <is>
          <t>[Enter exact result row / reference]</t>
        </is>
      </c>
      <c r="G17" s="77" t="inlineStr">
        <is>
          <t>[Enter approved deviation ID or N/A]</t>
        </is>
      </c>
      <c r="H17" s="77" t="inlineStr">
        <is>
          <t>[Enter deviation rationale or N/A]</t>
        </is>
      </c>
      <c r="I17" s="77" t="inlineStr">
        <is>
          <t>[Enter equivalent selection IDs and coverage or N/A]</t>
        </is>
      </c>
      <c r="J17" s="94">
        <f>IF(OR(AND(E17="Tested as registered",AND(F17&lt;&gt;"",LEFT(F17,1)&lt;&gt;"[")),AND(E17="Approved equivalent deviation",AND(F17&lt;&gt;"",LEFT(F17,1)&lt;&gt;"["),AND(G17&lt;&gt;"",LEFT(G17,1)&lt;&gt;"["),G17&lt;&gt;"N/A",AND(H17&lt;&gt;"",LEFT(H17,1)&lt;&gt;"["),H17&lt;&gt;"N/A",AND(I17&lt;&gt;"",LEFT(I17,1)&lt;&gt;"["),I17&lt;&gt;"N/A")),"Reconciled","Open")</f>
        <v/>
      </c>
      <c r="K17" s="94" t="n"/>
      <c r="L17" s="94" t="n"/>
    </row>
    <row r="18" ht="94.5" customHeight="1">
      <c r="A18" s="94" t="inlineStr">
        <is>
          <t>Vendor reference Invoice Stk 0062</t>
        </is>
      </c>
      <c r="B18" s="94" t="inlineStr">
        <is>
          <t>seeded_residual</t>
        </is>
      </c>
      <c r="C18" s="100" t="n">
        <v>11980.55</v>
      </c>
      <c r="D18" s="94" t="inlineStr"/>
      <c r="E18" s="77" t="inlineStr">
        <is>
          <t>[Select tested or approved deviation]</t>
        </is>
      </c>
      <c r="F18" s="77" t="inlineStr">
        <is>
          <t>[Enter exact result row / reference]</t>
        </is>
      </c>
      <c r="G18" s="77" t="inlineStr">
        <is>
          <t>[Enter approved deviation ID or N/A]</t>
        </is>
      </c>
      <c r="H18" s="77" t="inlineStr">
        <is>
          <t>[Enter deviation rationale or N/A]</t>
        </is>
      </c>
      <c r="I18" s="77" t="inlineStr">
        <is>
          <t>[Enter equivalent selection IDs and coverage or N/A]</t>
        </is>
      </c>
      <c r="J18" s="94">
        <f>IF(OR(AND(E18="Tested as registered",AND(F18&lt;&gt;"",LEFT(F18,1)&lt;&gt;"[")),AND(E18="Approved equivalent deviation",AND(F18&lt;&gt;"",LEFT(F18,1)&lt;&gt;"["),AND(G18&lt;&gt;"",LEFT(G18,1)&lt;&gt;"["),G18&lt;&gt;"N/A",AND(H18&lt;&gt;"",LEFT(H18,1)&lt;&gt;"["),H18&lt;&gt;"N/A",AND(I18&lt;&gt;"",LEFT(I18,1)&lt;&gt;"["),I18&lt;&gt;"N/A")),"Reconciled","Open")</f>
        <v/>
      </c>
      <c r="K18" s="94" t="n"/>
      <c r="L18" s="94" t="n"/>
    </row>
    <row r="19" ht="94.5" customHeight="1">
      <c r="A19" s="94" t="inlineStr">
        <is>
          <t>Vendor reference Invoice Stk 0030</t>
        </is>
      </c>
      <c r="B19" s="94" t="inlineStr">
        <is>
          <t>seeded_residual</t>
        </is>
      </c>
      <c r="C19" s="100" t="n">
        <v>12348.88</v>
      </c>
      <c r="D19" s="94" t="inlineStr"/>
      <c r="E19" s="77" t="inlineStr">
        <is>
          <t>[Select tested or approved deviation]</t>
        </is>
      </c>
      <c r="F19" s="77" t="inlineStr">
        <is>
          <t>[Enter exact result row / reference]</t>
        </is>
      </c>
      <c r="G19" s="77" t="inlineStr">
        <is>
          <t>[Enter approved deviation ID or N/A]</t>
        </is>
      </c>
      <c r="H19" s="77" t="inlineStr">
        <is>
          <t>[Enter deviation rationale or N/A]</t>
        </is>
      </c>
      <c r="I19" s="77" t="inlineStr">
        <is>
          <t>[Enter equivalent selection IDs and coverage or N/A]</t>
        </is>
      </c>
      <c r="J19" s="94">
        <f>IF(OR(AND(E19="Tested as registered",AND(F19&lt;&gt;"",LEFT(F19,1)&lt;&gt;"[")),AND(E19="Approved equivalent deviation",AND(F19&lt;&gt;"",LEFT(F19,1)&lt;&gt;"["),AND(G19&lt;&gt;"",LEFT(G19,1)&lt;&gt;"["),G19&lt;&gt;"N/A",AND(H19&lt;&gt;"",LEFT(H19,1)&lt;&gt;"["),H19&lt;&gt;"N/A",AND(I19&lt;&gt;"",LEFT(I19,1)&lt;&gt;"["),I19&lt;&gt;"N/A")),"Reconciled","Open")</f>
        <v/>
      </c>
      <c r="K19" s="94" t="n"/>
      <c r="L19" s="94" t="n"/>
    </row>
    <row r="20" ht="94.5" customHeight="1">
      <c r="A20" s="94" t="inlineStr">
        <is>
          <t>Vendor reference Invoice Stk 0007</t>
        </is>
      </c>
      <c r="B20" s="94" t="inlineStr">
        <is>
          <t>seeded_residual</t>
        </is>
      </c>
      <c r="C20" s="100" t="n">
        <v>14470.2</v>
      </c>
      <c r="D20" s="94" t="inlineStr"/>
      <c r="E20" s="77" t="inlineStr">
        <is>
          <t>[Select tested or approved deviation]</t>
        </is>
      </c>
      <c r="F20" s="77" t="inlineStr">
        <is>
          <t>[Enter exact result row / reference]</t>
        </is>
      </c>
      <c r="G20" s="77" t="inlineStr">
        <is>
          <t>[Enter approved deviation ID or N/A]</t>
        </is>
      </c>
      <c r="H20" s="77" t="inlineStr">
        <is>
          <t>[Enter deviation rationale or N/A]</t>
        </is>
      </c>
      <c r="I20" s="77" t="inlineStr">
        <is>
          <t>[Enter equivalent selection IDs and coverage or N/A]</t>
        </is>
      </c>
      <c r="J20" s="94">
        <f>IF(OR(AND(E20="Tested as registered",AND(F20&lt;&gt;"",LEFT(F20,1)&lt;&gt;"[")),AND(E20="Approved equivalent deviation",AND(F20&lt;&gt;"",LEFT(F20,1)&lt;&gt;"["),AND(G20&lt;&gt;"",LEFT(G20,1)&lt;&gt;"["),G20&lt;&gt;"N/A",AND(H20&lt;&gt;"",LEFT(H20,1)&lt;&gt;"["),H20&lt;&gt;"N/A",AND(I20&lt;&gt;"",LEFT(I20,1)&lt;&gt;"["),I20&lt;&gt;"N/A")),"Reconciled","Open")</f>
        <v/>
      </c>
      <c r="K20" s="94" t="n"/>
      <c r="L20" s="94" t="n"/>
    </row>
    <row r="21" ht="94.5" customHeight="1">
      <c r="A21" s="94" t="inlineStr">
        <is>
          <t>Vendor reference Invoice Stk 0024</t>
        </is>
      </c>
      <c r="B21" s="94" t="inlineStr">
        <is>
          <t>seeded_residual</t>
        </is>
      </c>
      <c r="C21" s="100" t="n">
        <v>12222.87</v>
      </c>
      <c r="D21" s="94" t="inlineStr"/>
      <c r="E21" s="77" t="inlineStr">
        <is>
          <t>[Select tested or approved deviation]</t>
        </is>
      </c>
      <c r="F21" s="77" t="inlineStr">
        <is>
          <t>[Enter exact result row / reference]</t>
        </is>
      </c>
      <c r="G21" s="77" t="inlineStr">
        <is>
          <t>[Enter approved deviation ID or N/A]</t>
        </is>
      </c>
      <c r="H21" s="77" t="inlineStr">
        <is>
          <t>[Enter deviation rationale or N/A]</t>
        </is>
      </c>
      <c r="I21" s="77" t="inlineStr">
        <is>
          <t>[Enter equivalent selection IDs and coverage or N/A]</t>
        </is>
      </c>
      <c r="J21" s="94">
        <f>IF(OR(AND(E21="Tested as registered",AND(F21&lt;&gt;"",LEFT(F21,1)&lt;&gt;"[")),AND(E21="Approved equivalent deviation",AND(F21&lt;&gt;"",LEFT(F21,1)&lt;&gt;"["),AND(G21&lt;&gt;"",LEFT(G21,1)&lt;&gt;"["),G21&lt;&gt;"N/A",AND(H21&lt;&gt;"",LEFT(H21,1)&lt;&gt;"["),H21&lt;&gt;"N/A",AND(I21&lt;&gt;"",LEFT(I21,1)&lt;&gt;"["),I21&lt;&gt;"N/A")),"Reconciled","Open")</f>
        <v/>
      </c>
      <c r="K21" s="94" t="n"/>
      <c r="L21" s="94" t="n"/>
    </row>
    <row r="22" ht="94.5" customHeight="1">
      <c r="A22" s="94" t="inlineStr">
        <is>
          <t>Vendor reference Invoice Stk 0001</t>
        </is>
      </c>
      <c r="B22" s="94" t="inlineStr">
        <is>
          <t>seeded_residual</t>
        </is>
      </c>
      <c r="C22" s="100" t="n">
        <v>14317.88</v>
      </c>
      <c r="D22" s="94" t="inlineStr"/>
      <c r="E22" s="77" t="inlineStr">
        <is>
          <t>[Select tested or approved deviation]</t>
        </is>
      </c>
      <c r="F22" s="77" t="inlineStr">
        <is>
          <t>[Enter exact result row / reference]</t>
        </is>
      </c>
      <c r="G22" s="77" t="inlineStr">
        <is>
          <t>[Enter approved deviation ID or N/A]</t>
        </is>
      </c>
      <c r="H22" s="77" t="inlineStr">
        <is>
          <t>[Enter deviation rationale or N/A]</t>
        </is>
      </c>
      <c r="I22" s="77" t="inlineStr">
        <is>
          <t>[Enter equivalent selection IDs and coverage or N/A]</t>
        </is>
      </c>
      <c r="J22" s="94">
        <f>IF(OR(AND(E22="Tested as registered",AND(F22&lt;&gt;"",LEFT(F22,1)&lt;&gt;"[")),AND(E22="Approved equivalent deviation",AND(F22&lt;&gt;"",LEFT(F22,1)&lt;&gt;"["),AND(G22&lt;&gt;"",LEFT(G22,1)&lt;&gt;"["),G22&lt;&gt;"N/A",AND(H22&lt;&gt;"",LEFT(H22,1)&lt;&gt;"["),H22&lt;&gt;"N/A",AND(I22&lt;&gt;"",LEFT(I22,1)&lt;&gt;"["),I22&lt;&gt;"N/A")),"Reconciled","Open")</f>
        <v/>
      </c>
      <c r="K22" s="94" t="n"/>
      <c r="L22" s="94" t="n"/>
    </row>
    <row r="23" ht="94.5" customHeight="1">
      <c r="A23" s="94" t="inlineStr">
        <is>
          <t>Vendor reference Invoice Stk 0065</t>
        </is>
      </c>
      <c r="B23" s="94" t="inlineStr">
        <is>
          <t>seeded_residual</t>
        </is>
      </c>
      <c r="C23" s="100" t="n">
        <v>10936.69</v>
      </c>
      <c r="D23" s="94" t="inlineStr"/>
      <c r="E23" s="77" t="inlineStr">
        <is>
          <t>[Select tested or approved deviation]</t>
        </is>
      </c>
      <c r="F23" s="77" t="inlineStr">
        <is>
          <t>[Enter exact result row / reference]</t>
        </is>
      </c>
      <c r="G23" s="77" t="inlineStr">
        <is>
          <t>[Enter approved deviation ID or N/A]</t>
        </is>
      </c>
      <c r="H23" s="77" t="inlineStr">
        <is>
          <t>[Enter deviation rationale or N/A]</t>
        </is>
      </c>
      <c r="I23" s="77" t="inlineStr">
        <is>
          <t>[Enter equivalent selection IDs and coverage or N/A]</t>
        </is>
      </c>
      <c r="J23" s="94">
        <f>IF(OR(AND(E23="Tested as registered",AND(F23&lt;&gt;"",LEFT(F23,1)&lt;&gt;"[")),AND(E23="Approved equivalent deviation",AND(F23&lt;&gt;"",LEFT(F23,1)&lt;&gt;"["),AND(G23&lt;&gt;"",LEFT(G23,1)&lt;&gt;"["),G23&lt;&gt;"N/A",AND(H23&lt;&gt;"",LEFT(H23,1)&lt;&gt;"["),H23&lt;&gt;"N/A",AND(I23&lt;&gt;"",LEFT(I23,1)&lt;&gt;"["),I23&lt;&gt;"N/A")),"Reconciled","Open")</f>
        <v/>
      </c>
      <c r="K23" s="94" t="n"/>
      <c r="L23" s="94" t="n"/>
    </row>
    <row r="24" ht="94.5" customHeight="1">
      <c r="A24" s="94" t="inlineStr">
        <is>
          <t>Vendor reference Invoice Stk 0053</t>
        </is>
      </c>
      <c r="B24" s="94" t="inlineStr">
        <is>
          <t>seeded_residual</t>
        </is>
      </c>
      <c r="C24" s="100" t="n">
        <v>13316.94</v>
      </c>
      <c r="D24" s="94" t="inlineStr"/>
      <c r="E24" s="77" t="inlineStr">
        <is>
          <t>[Select tested or approved deviation]</t>
        </is>
      </c>
      <c r="F24" s="77" t="inlineStr">
        <is>
          <t>[Enter exact result row / reference]</t>
        </is>
      </c>
      <c r="G24" s="77" t="inlineStr">
        <is>
          <t>[Enter approved deviation ID or N/A]</t>
        </is>
      </c>
      <c r="H24" s="77" t="inlineStr">
        <is>
          <t>[Enter deviation rationale or N/A]</t>
        </is>
      </c>
      <c r="I24" s="77" t="inlineStr">
        <is>
          <t>[Enter equivalent selection IDs and coverage or N/A]</t>
        </is>
      </c>
      <c r="J24" s="94">
        <f>IF(OR(AND(E24="Tested as registered",AND(F24&lt;&gt;"",LEFT(F24,1)&lt;&gt;"[")),AND(E24="Approved equivalent deviation",AND(F24&lt;&gt;"",LEFT(F24,1)&lt;&gt;"["),AND(G24&lt;&gt;"",LEFT(G24,1)&lt;&gt;"["),G24&lt;&gt;"N/A",AND(H24&lt;&gt;"",LEFT(H24,1)&lt;&gt;"["),H24&lt;&gt;"N/A",AND(I24&lt;&gt;"",LEFT(I24,1)&lt;&gt;"["),I24&lt;&gt;"N/A")),"Reconciled","Open")</f>
        <v/>
      </c>
      <c r="K24" s="94" t="n"/>
      <c r="L24" s="94" t="n"/>
    </row>
    <row r="25" ht="94.5" customHeight="1">
      <c r="A25" s="94" t="inlineStr">
        <is>
          <t>Vendor reference Invoice Stk 0058</t>
        </is>
      </c>
      <c r="B25" s="94" t="inlineStr">
        <is>
          <t>seeded_residual</t>
        </is>
      </c>
      <c r="C25" s="100" t="n">
        <v>13447.49</v>
      </c>
      <c r="D25" s="94" t="inlineStr"/>
      <c r="E25" s="77" t="inlineStr">
        <is>
          <t>[Select tested or approved deviation]</t>
        </is>
      </c>
      <c r="F25" s="77" t="inlineStr">
        <is>
          <t>[Enter exact result row / reference]</t>
        </is>
      </c>
      <c r="G25" s="77" t="inlineStr">
        <is>
          <t>[Enter approved deviation ID or N/A]</t>
        </is>
      </c>
      <c r="H25" s="77" t="inlineStr">
        <is>
          <t>[Enter deviation rationale or N/A]</t>
        </is>
      </c>
      <c r="I25" s="77" t="inlineStr">
        <is>
          <t>[Enter equivalent selection IDs and coverage or N/A]</t>
        </is>
      </c>
      <c r="J25" s="94">
        <f>IF(OR(AND(E25="Tested as registered",AND(F25&lt;&gt;"",LEFT(F25,1)&lt;&gt;"[")),AND(E25="Approved equivalent deviation",AND(F25&lt;&gt;"",LEFT(F25,1)&lt;&gt;"["),AND(G25&lt;&gt;"",LEFT(G25,1)&lt;&gt;"["),G25&lt;&gt;"N/A",AND(H25&lt;&gt;"",LEFT(H25,1)&lt;&gt;"["),H25&lt;&gt;"N/A",AND(I25&lt;&gt;"",LEFT(I25,1)&lt;&gt;"["),I25&lt;&gt;"N/A")),"Reconciled","Open")</f>
        <v/>
      </c>
      <c r="K25" s="94" t="n"/>
      <c r="L25" s="94" t="n"/>
    </row>
    <row r="26" ht="94.5" customHeight="1">
      <c r="A26" s="94" t="inlineStr">
        <is>
          <t>Vendor reference Invoice Stk 0055</t>
        </is>
      </c>
      <c r="B26" s="94" t="inlineStr">
        <is>
          <t>seeded_residual</t>
        </is>
      </c>
      <c r="C26" s="100" t="n">
        <v>10732.27</v>
      </c>
      <c r="D26" s="94" t="inlineStr"/>
      <c r="E26" s="77" t="inlineStr">
        <is>
          <t>[Select tested or approved deviation]</t>
        </is>
      </c>
      <c r="F26" s="77" t="inlineStr">
        <is>
          <t>[Enter exact result row / reference]</t>
        </is>
      </c>
      <c r="G26" s="77" t="inlineStr">
        <is>
          <t>[Enter approved deviation ID or N/A]</t>
        </is>
      </c>
      <c r="H26" s="77" t="inlineStr">
        <is>
          <t>[Enter deviation rationale or N/A]</t>
        </is>
      </c>
      <c r="I26" s="77" t="inlineStr">
        <is>
          <t>[Enter equivalent selection IDs and coverage or N/A]</t>
        </is>
      </c>
      <c r="J26" s="94">
        <f>IF(OR(AND(E26="Tested as registered",AND(F26&lt;&gt;"",LEFT(F26,1)&lt;&gt;"[")),AND(E26="Approved equivalent deviation",AND(F26&lt;&gt;"",LEFT(F26,1)&lt;&gt;"["),AND(G26&lt;&gt;"",LEFT(G26,1)&lt;&gt;"["),G26&lt;&gt;"N/A",AND(H26&lt;&gt;"",LEFT(H26,1)&lt;&gt;"["),H26&lt;&gt;"N/A",AND(I26&lt;&gt;"",LEFT(I26,1)&lt;&gt;"["),I26&lt;&gt;"N/A")),"Reconciled","Open")</f>
        <v/>
      </c>
      <c r="K26" s="94" t="n"/>
      <c r="L26" s="94" t="n"/>
    </row>
    <row r="27" ht="94.5" customHeight="1">
      <c r="A27" s="94" t="inlineStr">
        <is>
          <t>Vendor reference Invoice Stk 0004</t>
        </is>
      </c>
      <c r="B27" s="94" t="inlineStr">
        <is>
          <t>seeded_residual</t>
        </is>
      </c>
      <c r="C27" s="100" t="n">
        <v>19829.15</v>
      </c>
      <c r="D27" s="94" t="inlineStr"/>
      <c r="E27" s="77" t="inlineStr">
        <is>
          <t>[Select tested or approved deviation]</t>
        </is>
      </c>
      <c r="F27" s="77" t="inlineStr">
        <is>
          <t>[Enter exact result row / reference]</t>
        </is>
      </c>
      <c r="G27" s="77" t="inlineStr">
        <is>
          <t>[Enter approved deviation ID or N/A]</t>
        </is>
      </c>
      <c r="H27" s="77" t="inlineStr">
        <is>
          <t>[Enter deviation rationale or N/A]</t>
        </is>
      </c>
      <c r="I27" s="77" t="inlineStr">
        <is>
          <t>[Enter equivalent selection IDs and coverage or N/A]</t>
        </is>
      </c>
      <c r="J27" s="94">
        <f>IF(OR(AND(E27="Tested as registered",AND(F27&lt;&gt;"",LEFT(F27,1)&lt;&gt;"[")),AND(E27="Approved equivalent deviation",AND(F27&lt;&gt;"",LEFT(F27,1)&lt;&gt;"["),AND(G27&lt;&gt;"",LEFT(G27,1)&lt;&gt;"["),G27&lt;&gt;"N/A",AND(H27&lt;&gt;"",LEFT(H27,1)&lt;&gt;"["),H27&lt;&gt;"N/A",AND(I27&lt;&gt;"",LEFT(I27,1)&lt;&gt;"["),I27&lt;&gt;"N/A")),"Reconciled","Open")</f>
        <v/>
      </c>
      <c r="K27" s="94" t="n"/>
      <c r="L27" s="94" t="n"/>
    </row>
    <row r="28" ht="94.5" customHeight="1">
      <c r="A28" s="94" t="inlineStr">
        <is>
          <t>Vendor reference Invoice Stk 0008</t>
        </is>
      </c>
      <c r="B28" s="94" t="inlineStr">
        <is>
          <t>seeded_residual</t>
        </is>
      </c>
      <c r="C28" s="100" t="n">
        <v>12765.27</v>
      </c>
      <c r="D28" s="94" t="inlineStr"/>
      <c r="E28" s="77" t="inlineStr">
        <is>
          <t>[Select tested or approved deviation]</t>
        </is>
      </c>
      <c r="F28" s="77" t="inlineStr">
        <is>
          <t>[Enter exact result row / reference]</t>
        </is>
      </c>
      <c r="G28" s="77" t="inlineStr">
        <is>
          <t>[Enter approved deviation ID or N/A]</t>
        </is>
      </c>
      <c r="H28" s="77" t="inlineStr">
        <is>
          <t>[Enter deviation rationale or N/A]</t>
        </is>
      </c>
      <c r="I28" s="77" t="inlineStr">
        <is>
          <t>[Enter equivalent selection IDs and coverage or N/A]</t>
        </is>
      </c>
      <c r="J28" s="94">
        <f>IF(OR(AND(E28="Tested as registered",AND(F28&lt;&gt;"",LEFT(F28,1)&lt;&gt;"[")),AND(E28="Approved equivalent deviation",AND(F28&lt;&gt;"",LEFT(F28,1)&lt;&gt;"["),AND(G28&lt;&gt;"",LEFT(G28,1)&lt;&gt;"["),G28&lt;&gt;"N/A",AND(H28&lt;&gt;"",LEFT(H28,1)&lt;&gt;"["),H28&lt;&gt;"N/A",AND(I28&lt;&gt;"",LEFT(I28,1)&lt;&gt;"["),I28&lt;&gt;"N/A")),"Reconciled","Open")</f>
        <v/>
      </c>
      <c r="K28" s="94" t="n"/>
      <c r="L28" s="94" t="n"/>
    </row>
    <row r="29" ht="94.5" customHeight="1">
      <c r="A29" s="94" t="inlineStr">
        <is>
          <t>Vendor reference Invoice Stk 0056</t>
        </is>
      </c>
      <c r="B29" s="94" t="inlineStr">
        <is>
          <t>seeded_residual</t>
        </is>
      </c>
      <c r="C29" s="100" t="n">
        <v>10399.41</v>
      </c>
      <c r="D29" s="94" t="inlineStr"/>
      <c r="E29" s="77" t="inlineStr">
        <is>
          <t>[Select tested or approved deviation]</t>
        </is>
      </c>
      <c r="F29" s="77" t="inlineStr">
        <is>
          <t>[Enter exact result row / reference]</t>
        </is>
      </c>
      <c r="G29" s="77" t="inlineStr">
        <is>
          <t>[Enter approved deviation ID or N/A]</t>
        </is>
      </c>
      <c r="H29" s="77" t="inlineStr">
        <is>
          <t>[Enter deviation rationale or N/A]</t>
        </is>
      </c>
      <c r="I29" s="77" t="inlineStr">
        <is>
          <t>[Enter equivalent selection IDs and coverage or N/A]</t>
        </is>
      </c>
      <c r="J29" s="94">
        <f>IF(OR(AND(E29="Tested as registered",AND(F29&lt;&gt;"",LEFT(F29,1)&lt;&gt;"[")),AND(E29="Approved equivalent deviation",AND(F29&lt;&gt;"",LEFT(F29,1)&lt;&gt;"["),AND(G29&lt;&gt;"",LEFT(G29,1)&lt;&gt;"["),G29&lt;&gt;"N/A",AND(H29&lt;&gt;"",LEFT(H29,1)&lt;&gt;"["),H29&lt;&gt;"N/A",AND(I29&lt;&gt;"",LEFT(I29,1)&lt;&gt;"["),I29&lt;&gt;"N/A")),"Reconciled","Open")</f>
        <v/>
      </c>
      <c r="K29" s="94" t="n"/>
      <c r="L29" s="94" t="n"/>
    </row>
    <row r="30">
      <c r="A30" s="101" t="inlineStr">
        <is>
          <t>Selection reconciliation control</t>
        </is>
      </c>
      <c r="B30" s="101" t="n">
        <v>21</v>
      </c>
      <c r="C30" s="101">
        <f>COUNTIF(J9:J29,"Reconciled")</f>
        <v/>
      </c>
      <c r="D30" s="101">
        <f>COUNTIF(J9:J29,"Open")</f>
        <v/>
      </c>
      <c r="E30" s="101">
        <f>IF(AND(B30=C30,D30=0),"Complete","Open")</f>
        <v/>
      </c>
      <c r="F30" s="94" t="n"/>
      <c r="G30" s="94" t="n"/>
      <c r="H30" s="94" t="n"/>
      <c r="I30" s="94" t="n"/>
      <c r="J30" s="94" t="n"/>
      <c r="K30" s="94" t="n"/>
      <c r="L30" s="94" t="n"/>
    </row>
    <row r="31">
      <c r="A31" s="94" t="n"/>
      <c r="B31" s="94" t="n"/>
      <c r="C31" s="94" t="n"/>
      <c r="D31" s="94" t="n"/>
      <c r="E31" s="94" t="n"/>
      <c r="F31" s="94" t="n"/>
      <c r="G31" s="94" t="n"/>
      <c r="H31" s="94" t="n"/>
      <c r="I31" s="94" t="n"/>
      <c r="J31" s="94" t="n"/>
      <c r="K31" s="94" t="n"/>
      <c r="L31" s="94" t="n"/>
    </row>
    <row r="32">
      <c r="A32" s="98" t="inlineStr">
        <is>
          <t>B. Vendor reference Statement SCOPE AND ALTERNATIVE AUTHORIZATION</t>
        </is>
      </c>
      <c r="B32" s="94" t="n"/>
      <c r="C32" s="94" t="n"/>
      <c r="D32" s="94" t="n"/>
      <c r="E32" s="94" t="n"/>
      <c r="F32" s="94" t="n"/>
      <c r="G32" s="94" t="n"/>
      <c r="H32" s="94" t="n"/>
      <c r="I32" s="94" t="n"/>
      <c r="J32" s="94" t="n"/>
      <c r="K32" s="94" t="n"/>
      <c r="L32" s="94" t="n"/>
    </row>
    <row r="33" ht="54" customHeight="1">
      <c r="A33" s="94" t="inlineStr">
        <is>
          <t>Authorization fact</t>
        </is>
      </c>
      <c r="B33" s="94" t="inlineStr">
        <is>
          <t>No alternative is presumed authorized. Missing statements remain Open unless an approved methodology ID and complete in-scope alternative evidence are entered below.</t>
        </is>
      </c>
      <c r="C33" s="94" t="n"/>
      <c r="D33" s="94" t="n"/>
      <c r="E33" s="94" t="n"/>
      <c r="F33" s="94" t="n"/>
      <c r="G33" s="94" t="n"/>
      <c r="H33" s="94" t="n"/>
      <c r="I33" s="94" t="n"/>
      <c r="J33" s="94" t="n"/>
      <c r="K33" s="94" t="n"/>
      <c r="L33" s="94" t="n"/>
    </row>
    <row r="34" ht="54" customHeight="1">
      <c r="A34" s="94" t="inlineStr">
        <is>
          <t>Fact-driven N/A rule</t>
        </is>
      </c>
      <c r="B34" s="94" t="inlineStr">
        <is>
          <t>N/A is eligible only when the complete AP population proves there are no major or qualitatively scoped vendors. Evidence unavailable or not requested is not N/A.</t>
        </is>
      </c>
      <c r="C34" s="94" t="n"/>
      <c r="D34" s="94" t="n"/>
      <c r="E34" s="94" t="n"/>
      <c r="F34" s="94" t="n"/>
      <c r="G34" s="94" t="n"/>
      <c r="H34" s="94" t="n"/>
      <c r="I34" s="94" t="n"/>
      <c r="J34" s="94" t="n"/>
      <c r="K34" s="94" t="n"/>
      <c r="L34" s="94" t="n"/>
    </row>
    <row r="35">
      <c r="A35" s="99" t="inlineStr">
        <is>
          <t>Scope ID</t>
        </is>
      </c>
      <c r="B35" s="99" t="inlineStr">
        <is>
          <t>Major / Scoped Vendor</t>
        </is>
      </c>
      <c r="C35" s="99" t="inlineStr">
        <is>
          <t>Year-End Open AP</t>
        </is>
      </c>
      <c r="D35" s="99" t="inlineStr">
        <is>
          <t>Scope Reason</t>
        </is>
      </c>
      <c r="E35" s="99" t="inlineStr">
        <is>
          <t>Statement Date(s)</t>
        </is>
      </c>
      <c r="F35" s="99" t="inlineStr">
        <is>
          <t>Statement Received?</t>
        </is>
      </c>
      <c r="G35" s="99" t="inlineStr">
        <is>
          <t>Procedure Disposition</t>
        </is>
      </c>
      <c r="H35" s="99" t="inlineStr">
        <is>
          <t>Exact Evidence / Result Ref</t>
        </is>
      </c>
      <c r="I35" s="99" t="inlineStr">
        <is>
          <t>Approved Methodology ID</t>
        </is>
      </c>
      <c r="J35" s="99" t="inlineStr">
        <is>
          <t>Alternative Population and Date Scope</t>
        </is>
      </c>
      <c r="K35" s="99" t="inlineStr">
        <is>
          <t>Difference / Exception Disposition</t>
        </is>
      </c>
      <c r="L35" s="99" t="inlineStr">
        <is>
          <t>Scope Status</t>
        </is>
      </c>
    </row>
    <row r="36" ht="108" customHeight="1">
      <c r="A36" s="94" t="inlineStr">
        <is>
          <t>AP-Vendor reference Scope 001</t>
        </is>
      </c>
      <c r="B36" s="94" t="inlineStr">
        <is>
          <t>Quilmaven Quaxvote Holdings, Inc.</t>
        </is>
      </c>
      <c r="C36" s="100" t="n">
        <v>13962.02</v>
      </c>
      <c r="D36" s="94" t="inlineStr">
        <is>
          <t>year-end AP at/above individually significant threshold</t>
        </is>
      </c>
      <c r="E36" s="94" t="inlineStr"/>
      <c r="F36" s="94" t="inlineStr">
        <is>
          <t>No</t>
        </is>
      </c>
      <c r="G36" s="77" t="inlineStr">
        <is>
          <t>[Select statement, approved alternative, or open]</t>
        </is>
      </c>
      <c r="H36" s="77" t="inlineStr">
        <is>
          <t>[Enter exact evidence and result reference]</t>
        </is>
      </c>
      <c r="I36" s="77" t="inlineStr">
        <is>
          <t>[Enter approved methodology ID or N/A]</t>
        </is>
      </c>
      <c r="J36" s="77" t="inlineStr">
        <is>
          <t>[Enter alternative population and dates or N/A]</t>
        </is>
      </c>
      <c r="K36" s="77" t="inlineStr">
        <is>
          <t>[Enter difference / exception disposition]</t>
        </is>
      </c>
      <c r="L36" s="94">
        <f>IF(OR(AND(F36="Yes",G36="Statement reconciled",AND(H36&lt;&gt;"",LEFT(H36,1)&lt;&gt;"["),AND(K36&lt;&gt;"",LEFT(K36,1)&lt;&gt;"[")),AND(G36="Approved alternative completed",AND(H36&lt;&gt;"",LEFT(H36,1)&lt;&gt;"["),AND(I36&lt;&gt;"",LEFT(I36,1)&lt;&gt;"["),I36&lt;&gt;"N/A",AND(J36&lt;&gt;"",LEFT(J36,1)&lt;&gt;"["),J36&lt;&gt;"N/A",AND(K36&lt;&gt;"",LEFT(K36,1)&lt;&gt;"["))),"Passed","Open")</f>
        <v/>
      </c>
    </row>
    <row r="37" ht="108" customHeight="1">
      <c r="A37" s="94" t="inlineStr">
        <is>
          <t>AP-Vendor reference Scope 002</t>
        </is>
      </c>
      <c r="B37" s="94" t="inlineStr">
        <is>
          <t>Quaxinov Quovane Services, LLC</t>
        </is>
      </c>
      <c r="C37" s="100" t="n">
        <v>13578.05</v>
      </c>
      <c r="D37" s="94" t="inlineStr">
        <is>
          <t>year-end AP at/above individually significant threshold</t>
        </is>
      </c>
      <c r="E37" s="94" t="inlineStr"/>
      <c r="F37" s="94" t="inlineStr">
        <is>
          <t>No</t>
        </is>
      </c>
      <c r="G37" s="77" t="inlineStr">
        <is>
          <t>[Select statement, approved alternative, or open]</t>
        </is>
      </c>
      <c r="H37" s="77" t="inlineStr">
        <is>
          <t>[Enter exact evidence and result reference]</t>
        </is>
      </c>
      <c r="I37" s="77" t="inlineStr">
        <is>
          <t>[Enter approved methodology ID or N/A]</t>
        </is>
      </c>
      <c r="J37" s="77" t="inlineStr">
        <is>
          <t>[Enter alternative population and dates or N/A]</t>
        </is>
      </c>
      <c r="K37" s="77" t="inlineStr">
        <is>
          <t>[Enter difference / exception disposition]</t>
        </is>
      </c>
      <c r="L37" s="94">
        <f>IF(OR(AND(F37="Yes",G37="Statement reconciled",AND(H37&lt;&gt;"",LEFT(H37,1)&lt;&gt;"["),AND(K37&lt;&gt;"",LEFT(K37,1)&lt;&gt;"[")),AND(G37="Approved alternative completed",AND(H37&lt;&gt;"",LEFT(H37,1)&lt;&gt;"["),AND(I37&lt;&gt;"",LEFT(I37,1)&lt;&gt;"["),I37&lt;&gt;"N/A",AND(J37&lt;&gt;"",LEFT(J37,1)&lt;&gt;"["),J37&lt;&gt;"N/A",AND(K37&lt;&gt;"",LEFT(K37,1)&lt;&gt;"["))),"Passed","Open")</f>
        <v/>
      </c>
    </row>
    <row r="38" ht="108" customHeight="1">
      <c r="A38" s="94" t="inlineStr">
        <is>
          <t>AP-Vendor reference Scope 003</t>
        </is>
      </c>
      <c r="B38" s="94" t="inlineStr">
        <is>
          <t>Voxintel Quizlame Solutions, Inc.</t>
        </is>
      </c>
      <c r="C38" s="100" t="n">
        <v>12096.86</v>
      </c>
      <c r="D38" s="94" t="inlineStr">
        <is>
          <t>year-end AP at/above individually significant threshold</t>
        </is>
      </c>
      <c r="E38" s="94" t="inlineStr"/>
      <c r="F38" s="94" t="inlineStr">
        <is>
          <t>No</t>
        </is>
      </c>
      <c r="G38" s="77" t="inlineStr">
        <is>
          <t>[Select statement, approved alternative, or open]</t>
        </is>
      </c>
      <c r="H38" s="77" t="inlineStr">
        <is>
          <t>[Enter exact evidence and result reference]</t>
        </is>
      </c>
      <c r="I38" s="77" t="inlineStr">
        <is>
          <t>[Enter approved methodology ID or N/A]</t>
        </is>
      </c>
      <c r="J38" s="77" t="inlineStr">
        <is>
          <t>[Enter alternative population and dates or N/A]</t>
        </is>
      </c>
      <c r="K38" s="77" t="inlineStr">
        <is>
          <t>[Enter difference / exception disposition]</t>
        </is>
      </c>
      <c r="L38" s="94">
        <f>IF(OR(AND(F38="Yes",G38="Statement reconciled",AND(H38&lt;&gt;"",LEFT(H38,1)&lt;&gt;"["),AND(K38&lt;&gt;"",LEFT(K38,1)&lt;&gt;"[")),AND(G38="Approved alternative completed",AND(H38&lt;&gt;"",LEFT(H38,1)&lt;&gt;"["),AND(I38&lt;&gt;"",LEFT(I38,1)&lt;&gt;"["),I38&lt;&gt;"N/A",AND(J38&lt;&gt;"",LEFT(J38,1)&lt;&gt;"["),J38&lt;&gt;"N/A",AND(K38&lt;&gt;"",LEFT(K38,1)&lt;&gt;"["))),"Passed","Open")</f>
        <v/>
      </c>
    </row>
    <row r="39" ht="27" customHeight="1">
      <c r="A39" s="101" t="inlineStr">
        <is>
          <t>Vendor-statement procedure control</t>
        </is>
      </c>
      <c r="B39" s="101" t="n">
        <v>3</v>
      </c>
      <c r="C39" s="101">
        <f>COUNTIF(L36:L38,"Passed")</f>
        <v/>
      </c>
      <c r="D39" s="101">
        <f>COUNTIF(L36:L38,"Open")</f>
        <v/>
      </c>
      <c r="E39" s="101">
        <f>IF(AND(B39=C39,D39=0),"Complete","Open")</f>
        <v/>
      </c>
      <c r="F39" s="94" t="n"/>
      <c r="G39" s="94" t="n"/>
      <c r="H39" s="94" t="n"/>
      <c r="I39" s="94" t="n"/>
      <c r="J39" s="94" t="n"/>
      <c r="K39" s="94" t="n"/>
      <c r="L39" s="94" t="n"/>
    </row>
    <row r="40">
      <c r="A40" s="94" t="n"/>
      <c r="B40" s="94" t="n"/>
      <c r="C40" s="94" t="n"/>
      <c r="D40" s="94" t="n"/>
      <c r="E40" s="94" t="n"/>
      <c r="F40" s="94" t="n"/>
      <c r="G40" s="94" t="n"/>
      <c r="H40" s="94" t="n"/>
      <c r="I40" s="94" t="n"/>
      <c r="J40" s="94" t="n"/>
      <c r="K40" s="94" t="n"/>
      <c r="L40" s="94" t="n"/>
    </row>
    <row r="41">
      <c r="A41" s="98" t="inlineStr">
        <is>
          <t>C. TYPED AP METRIC AND SURL SEMANTICS</t>
        </is>
      </c>
      <c r="B41" s="94" t="n"/>
      <c r="C41" s="94" t="n"/>
      <c r="D41" s="94" t="n"/>
      <c r="E41" s="94" t="n"/>
      <c r="F41" s="94" t="n"/>
      <c r="G41" s="94" t="n"/>
      <c r="H41" s="94" t="n"/>
      <c r="I41" s="94" t="n"/>
      <c r="J41" s="94" t="n"/>
      <c r="K41" s="94" t="n"/>
      <c r="L41" s="94" t="n"/>
    </row>
    <row r="42">
      <c r="A42" s="99" t="inlineStr">
        <is>
          <t>Metric ID</t>
        </is>
      </c>
      <c r="B42" s="99" t="inlineStr">
        <is>
          <t>Period / Comparator</t>
        </is>
      </c>
      <c r="C42" s="99" t="inlineStr">
        <is>
          <t>Basis</t>
        </is>
      </c>
      <c r="D42" s="99" t="inlineStr">
        <is>
          <t>Numerator</t>
        </is>
      </c>
      <c r="E42" s="99" t="inlineStr">
        <is>
          <t>Denominator</t>
        </is>
      </c>
      <c r="F42" s="99" t="inlineStr">
        <is>
          <t>Unit</t>
        </is>
      </c>
      <c r="G42" s="99" t="inlineStr">
        <is>
          <t>Null / Distinction Rule</t>
        </is>
      </c>
      <c r="H42" s="94" t="n"/>
      <c r="I42" s="94" t="n"/>
      <c r="J42" s="94" t="n"/>
      <c r="K42" s="94" t="n"/>
      <c r="L42" s="94" t="n"/>
    </row>
    <row r="43" ht="27" customHeight="1">
      <c r="A43" s="94" t="inlineStr">
        <is>
          <t>AP.DPO</t>
        </is>
      </c>
      <c r="B43" s="94" t="inlineStr">
        <is>
          <t>Current fiscal year / average AP</t>
        </is>
      </c>
      <c r="C43" s="94" t="inlineStr">
        <is>
          <t>365 divided by AP turnover</t>
        </is>
      </c>
      <c r="D43" s="94" t="inlineStr">
        <is>
          <t>365 days</t>
        </is>
      </c>
      <c r="E43" s="94" t="inlineStr">
        <is>
          <t>AP turnover</t>
        </is>
      </c>
      <c r="F43" s="94" t="inlineStr">
        <is>
          <t>days</t>
        </is>
      </c>
      <c r="G43" s="94" t="inlineStr">
        <is>
          <t>Numeric zero only from complete numeric inputs.</t>
        </is>
      </c>
      <c r="H43" s="94" t="n"/>
      <c r="I43" s="94" t="n"/>
      <c r="J43" s="94" t="n"/>
      <c r="K43" s="94" t="n"/>
      <c r="L43" s="94" t="n"/>
    </row>
    <row r="44" ht="27" customHeight="1">
      <c r="A44" s="94" t="inlineStr">
        <is>
          <t>AP.TURNOVER</t>
        </is>
      </c>
      <c r="B44" s="94" t="inlineStr">
        <is>
          <t>Current fiscal year</t>
        </is>
      </c>
      <c r="C44" s="94" t="inlineStr">
        <is>
          <t>Relevant vendor purchases or disbursement expense divided by average AP</t>
        </is>
      </c>
      <c r="D44" s="94" t="inlineStr">
        <is>
          <t>Purchases / relevant expense</t>
        </is>
      </c>
      <c r="E44" s="94" t="inlineStr">
        <is>
          <t>Average trade AP</t>
        </is>
      </c>
      <c r="F44" s="94" t="inlineStr">
        <is>
          <t>ratio</t>
        </is>
      </c>
      <c r="G44" s="94" t="inlineStr">
        <is>
          <t>Label the exact numerator population; do not swap closing AP for average AP.</t>
        </is>
      </c>
      <c r="H44" s="94" t="n"/>
      <c r="I44" s="94" t="n"/>
      <c r="J44" s="94" t="n"/>
      <c r="K44" s="94" t="n"/>
      <c r="L44" s="94" t="n"/>
    </row>
    <row r="45" ht="27" customHeight="1">
      <c r="A45" s="94" t="inlineStr">
        <is>
          <t>AP.SURL.WINDOW</t>
        </is>
      </c>
      <c r="B45" s="94" t="inlineStr">
        <is>
          <t>After year end</t>
        </is>
      </c>
      <c r="C45" s="94" t="inlineStr">
        <is>
          <t>Later of rounded-up DPO horizon and registered procedure window</t>
        </is>
      </c>
      <c r="D45" s="94" t="inlineStr">
        <is>
          <t>Period-end + 1 day</t>
        </is>
      </c>
      <c r="E45" s="94" t="inlineStr">
        <is>
          <t>Required evidence-through date</t>
        </is>
      </c>
      <c r="F45" s="94" t="inlineStr">
        <is>
          <t>date</t>
        </is>
      </c>
      <c r="G45" s="94" t="inlineStr">
        <is>
          <t>Missing future evidence is Open, never N/A.</t>
        </is>
      </c>
      <c r="H45" s="94" t="n"/>
      <c r="I45" s="94" t="n"/>
      <c r="J45" s="94" t="n"/>
      <c r="K45" s="94" t="n"/>
      <c r="L45" s="94" t="n"/>
    </row>
    <row r="46" ht="27" customHeight="1">
      <c r="A46" s="94" t="inlineStr">
        <is>
          <t>AP.SUPPLIER_TERMS</t>
        </is>
      </c>
      <c r="B46" s="94" t="inlineStr">
        <is>
          <t>Current AP invoice population</t>
        </is>
      </c>
      <c r="C46" s="94" t="inlineStr">
        <is>
          <t>Invoice-amount-weighted contractual terms</t>
        </is>
      </c>
      <c r="D46" s="94" t="inlineStr">
        <is>
          <t>Sum(invoice amount × contractual days)</t>
        </is>
      </c>
      <c r="E46" s="94" t="inlineStr">
        <is>
          <t>Complete parsed invoice amount</t>
        </is>
      </c>
      <c r="F46" s="94" t="inlineStr">
        <is>
          <t>days</t>
        </is>
      </c>
      <c r="G46" s="94" t="inlineStr">
        <is>
          <t>Contractual terms are not actual observed payment lag.</t>
        </is>
      </c>
      <c r="H46" s="94" t="n"/>
      <c r="I46" s="94" t="n"/>
      <c r="J46" s="94" t="n"/>
      <c r="K46" s="94" t="n"/>
      <c r="L46" s="94" t="n"/>
    </row>
    <row r="47" ht="27" customHeight="1">
      <c r="A47" s="94" t="inlineStr">
        <is>
          <t>AP.PRIOR_YEAR</t>
        </is>
      </c>
      <c r="B47" s="94" t="inlineStr">
        <is>
          <t>Prior fiscal year</t>
        </is>
      </c>
      <c r="C47" s="94" t="inlineStr">
        <is>
          <t>Same basis as current year</t>
        </is>
      </c>
      <c r="D47" s="94" t="inlineStr">
        <is>
          <t>Authoritative PY population</t>
        </is>
      </c>
      <c r="E47" s="94" t="inlineStr">
        <is>
          <t>Authoritative PY average AP</t>
        </is>
      </c>
      <c r="F47" s="94" t="inlineStr">
        <is>
          <t>typed by metric</t>
        </is>
      </c>
      <c r="G47" s="94" t="inlineStr">
        <is>
          <t>Unavailable is N/A with evidence; unavailable is not zero.</t>
        </is>
      </c>
      <c r="H47" s="94" t="n"/>
      <c r="I47" s="94" t="n"/>
      <c r="J47" s="94" t="n"/>
      <c r="K47" s="94" t="n"/>
      <c r="L47" s="94" t="n"/>
    </row>
    <row r="48">
      <c r="A48" s="94" t="n"/>
      <c r="B48" s="94" t="n"/>
      <c r="C48" s="94" t="n"/>
      <c r="D48" s="94" t="n"/>
      <c r="E48" s="94" t="n"/>
      <c r="F48" s="94" t="n"/>
      <c r="G48" s="94" t="n"/>
      <c r="H48" s="94" t="n"/>
      <c r="I48" s="94" t="n"/>
      <c r="J48" s="94" t="n"/>
      <c r="K48" s="94" t="n"/>
      <c r="L48" s="94" t="n"/>
    </row>
    <row r="49">
      <c r="A49" s="99" t="inlineStr">
        <is>
          <t>Required Input</t>
        </is>
      </c>
      <c r="B49" s="99" t="inlineStr">
        <is>
          <t>Typed Value</t>
        </is>
      </c>
      <c r="C49" s="99" t="inlineStr">
        <is>
          <t>Unit</t>
        </is>
      </c>
      <c r="D49" s="99" t="inlineStr">
        <is>
          <t>Required Evidence Role / Basis</t>
        </is>
      </c>
      <c r="E49" s="99" t="inlineStr">
        <is>
          <t>Exact Evidence Reference</t>
        </is>
      </c>
      <c r="F49" s="99" t="inlineStr">
        <is>
          <t>Null Rule</t>
        </is>
      </c>
      <c r="G49" s="94" t="n"/>
      <c r="H49" s="94" t="n"/>
      <c r="I49" s="94" t="n"/>
      <c r="J49" s="94" t="n"/>
      <c r="K49" s="94" t="n"/>
      <c r="L49" s="94" t="n"/>
    </row>
    <row r="50">
      <c r="A50" s="94" t="inlineStr">
        <is>
          <t>CY COGS / relevant expenses</t>
        </is>
      </c>
      <c r="B50" s="102" t="inlineStr">
        <is>
          <t>[Enter CY relevant expense amount]</t>
        </is>
      </c>
      <c r="C50" s="94" t="inlineStr">
        <is>
          <t>currency</t>
        </is>
      </c>
      <c r="D50" s="94" t="inlineStr">
        <is>
          <t>Current TB/GL; exact denominator population</t>
        </is>
      </c>
      <c r="E50" s="77" t="inlineStr">
        <is>
          <t>[Cite CY expense source and range]</t>
        </is>
      </c>
      <c r="F50" s="94" t="inlineStr">
        <is>
          <t>Required numeric input</t>
        </is>
      </c>
      <c r="G50" s="94" t="n"/>
      <c r="H50" s="94" t="n"/>
      <c r="I50" s="94" t="n"/>
      <c r="J50" s="94" t="n"/>
      <c r="K50" s="94" t="n"/>
      <c r="L50" s="94" t="n"/>
    </row>
    <row r="51" ht="27" customHeight="1">
      <c r="A51" s="94" t="inlineStr">
        <is>
          <t>PY COGS / relevant expenses</t>
        </is>
      </c>
      <c r="B51" s="102" t="inlineStr">
        <is>
          <t>[Enter PY relevant expense amount or N/A]</t>
        </is>
      </c>
      <c r="C51" s="94" t="inlineStr">
        <is>
          <t>currency</t>
        </is>
      </c>
      <c r="D51" s="94" t="inlineStr">
        <is>
          <t>Prior-year authoritative TB/GL</t>
        </is>
      </c>
      <c r="E51" s="77" t="inlineStr">
        <is>
          <t>[Cite PY expense source or N/A fact]</t>
        </is>
      </c>
      <c r="F51" s="94" t="inlineStr">
        <is>
          <t>N/A only when authoritative PY evidence is unavailable</t>
        </is>
      </c>
      <c r="G51" s="94" t="n"/>
      <c r="H51" s="94" t="n"/>
      <c r="I51" s="94" t="n"/>
      <c r="J51" s="94" t="n"/>
      <c r="K51" s="94" t="n"/>
      <c r="L51" s="94" t="n"/>
    </row>
    <row r="52">
      <c r="A52" s="94" t="inlineStr">
        <is>
          <t>PY vendor purchases</t>
        </is>
      </c>
      <c r="B52" s="102" t="inlineStr">
        <is>
          <t>[Enter PY vendor purchases amount or N/A]</t>
        </is>
      </c>
      <c r="C52" s="94" t="inlineStr">
        <is>
          <t>currency</t>
        </is>
      </c>
      <c r="D52" s="94" t="inlineStr">
        <is>
          <t>Prior-year purchase/disbursement population</t>
        </is>
      </c>
      <c r="E52" s="77" t="inlineStr">
        <is>
          <t>[Cite PY purchases source or N/A fact]</t>
        </is>
      </c>
      <c r="F52" s="94" t="inlineStr">
        <is>
          <t>N/A is not numeric zero</t>
        </is>
      </c>
      <c r="G52" s="94" t="n"/>
      <c r="H52" s="94" t="n"/>
      <c r="I52" s="94" t="n"/>
      <c r="J52" s="94" t="n"/>
      <c r="K52" s="94" t="n"/>
      <c r="L52" s="94" t="n"/>
    </row>
    <row r="53" ht="27" customHeight="1">
      <c r="A53" s="94" t="inlineStr">
        <is>
          <t>PY average trade AP</t>
        </is>
      </c>
      <c r="B53" s="102" t="inlineStr">
        <is>
          <t>[Enter PY average trade AP amount or N/A]</t>
        </is>
      </c>
      <c r="C53" s="94" t="inlineStr">
        <is>
          <t>currency</t>
        </is>
      </c>
      <c r="D53" s="94" t="inlineStr">
        <is>
          <t>PY opening and ending trade AP on the same basis</t>
        </is>
      </c>
      <c r="E53" s="77" t="inlineStr">
        <is>
          <t>[Cite PY average AP inputs or N/A fact]</t>
        </is>
      </c>
      <c r="F53" s="94" t="inlineStr">
        <is>
          <t>Do not substitute PY closing AP</t>
        </is>
      </c>
      <c r="G53" s="94" t="n"/>
      <c r="H53" s="94" t="n"/>
      <c r="I53" s="94" t="n"/>
      <c r="J53" s="94" t="n"/>
      <c r="K53" s="94" t="n"/>
      <c r="L53" s="94" t="n"/>
    </row>
    <row r="54" ht="27" customHeight="1">
      <c r="A54" s="94" t="inlineStr">
        <is>
          <t>Weighted contractual supplier terms</t>
        </is>
      </c>
      <c r="B54" s="77" t="inlineStr">
        <is>
          <t>[Enter weighted supplier terms days]</t>
        </is>
      </c>
      <c r="C54" s="94" t="inlineStr">
        <is>
          <t>days</t>
        </is>
      </c>
      <c r="D54" s="94" t="inlineStr">
        <is>
          <t>Complete AP-03 invoice population, amount weighted</t>
        </is>
      </c>
      <c r="E54" s="77" t="inlineStr">
        <is>
          <t>[Cite supplier-term population and calculation]</t>
        </is>
      </c>
      <c r="F54" s="94" t="inlineStr">
        <is>
          <t>Do not substitute actual payment lag</t>
        </is>
      </c>
      <c r="G54" s="94" t="n"/>
      <c r="H54" s="94" t="n"/>
      <c r="I54" s="94" t="n"/>
      <c r="J54" s="94" t="n"/>
      <c r="K54" s="94" t="n"/>
      <c r="L54" s="94" t="n"/>
    </row>
    <row r="55" ht="27" customHeight="1">
      <c r="A55" s="94" t="inlineStr">
        <is>
          <t>AP-04 evidence available through</t>
        </is>
      </c>
      <c r="B55" s="103" t="inlineStr">
        <is>
          <t>[Enter AP-04 evidence-through date]</t>
        </is>
      </c>
      <c r="C55" s="94" t="inlineStr">
        <is>
          <t>date</t>
        </is>
      </c>
      <c r="D55" s="94" t="inlineStr">
        <is>
          <t>Latest complete bank/disbursement source period</t>
        </is>
      </c>
      <c r="E55" s="77" t="inlineStr">
        <is>
          <t>[Cite last complete bank/disbursement source]</t>
        </is>
      </c>
      <c r="F55" s="94" t="inlineStr">
        <is>
          <t>Missing or future-unavailable evidence remains Open</t>
        </is>
      </c>
      <c r="G55" s="94" t="n"/>
      <c r="H55" s="94" t="n"/>
      <c r="I55" s="94" t="n"/>
      <c r="J55" s="94" t="n"/>
      <c r="K55" s="94" t="n"/>
      <c r="L55" s="94" t="n"/>
    </row>
    <row r="56">
      <c r="A56" s="94" t="inlineStr">
        <is>
          <t>Registered AP SURL window end</t>
        </is>
      </c>
      <c r="B56" s="104" t="n">
        <v>46082</v>
      </c>
      <c r="C56" s="94" t="inlineStr">
        <is>
          <t>date</t>
        </is>
      </c>
      <c r="D56" s="94" t="inlineStr">
        <is>
          <t>Authoritative planning window WIN-AP-SURL</t>
        </is>
      </c>
      <c r="E56" s="94" t="inlineStr">
        <is>
          <t>Planning Context / Procedure Window Register</t>
        </is>
      </c>
      <c r="F56" s="94" t="inlineStr">
        <is>
          <t>A missing registered window is Open</t>
        </is>
      </c>
      <c r="G56" s="94" t="n"/>
      <c r="H56" s="94" t="n"/>
      <c r="I56" s="94" t="n"/>
      <c r="J56" s="94" t="n"/>
      <c r="K56" s="94" t="n"/>
      <c r="L56" s="94" t="n"/>
    </row>
    <row r="57">
      <c r="A57" s="94" t="inlineStr">
        <is>
          <t>Calculated DPO horizon end</t>
        </is>
      </c>
      <c r="B57" s="104">
        <f>'&lt;.3&gt; DPO &amp; SURL Population'!B17</f>
        <v/>
      </c>
      <c r="C57" s="94" t="inlineStr">
        <is>
          <t>date</t>
        </is>
      </c>
      <c r="D57" s="94" t="inlineStr">
        <is>
          <t>Day after year end plus rounded-up DPO</t>
        </is>
      </c>
      <c r="E57" s="94" t="inlineStr">
        <is>
          <t>AP &lt;.3&gt;</t>
        </is>
      </c>
      <c r="F57" s="94" t="inlineStr">
        <is>
          <t>Open until DPO inputs are complete</t>
        </is>
      </c>
      <c r="G57" s="94" t="n"/>
      <c r="H57" s="94" t="n"/>
      <c r="I57" s="94" t="n"/>
      <c r="J57" s="94" t="n"/>
      <c r="K57" s="94" t="n"/>
      <c r="L57" s="94" t="n"/>
    </row>
    <row r="58" ht="40.5" customHeight="1">
      <c r="A58" s="94" t="inlineStr">
        <is>
          <t>Required evidence through</t>
        </is>
      </c>
      <c r="B58" s="104">
        <f>IF(AND(ISNUMBER(B56),ISNUMBER(B57)),MAX(B56,B57),IF(ISNUMBER(B56),B56,IF(ISNUMBER(B57),B57,"")))</f>
        <v/>
      </c>
      <c r="C58" s="94" t="inlineStr">
        <is>
          <t>date</t>
        </is>
      </c>
      <c r="D58" s="94" t="inlineStr">
        <is>
          <t>Later of registered window and calculated DPO horizon</t>
        </is>
      </c>
      <c r="E58" s="94" t="inlineStr">
        <is>
          <t>Planning and AP &lt;.3&gt;</t>
        </is>
      </c>
      <c r="F58" s="94" t="inlineStr">
        <is>
          <t>No silent shortening of either requirement</t>
        </is>
      </c>
      <c r="G58" s="94" t="n"/>
      <c r="H58" s="94" t="n"/>
      <c r="I58" s="94" t="n"/>
      <c r="J58" s="94" t="n"/>
      <c r="K58" s="94" t="n"/>
      <c r="L58" s="94" t="n"/>
    </row>
    <row r="59" ht="54" customHeight="1">
      <c r="A59" s="94" t="inlineStr">
        <is>
          <t>SURL coverage state</t>
        </is>
      </c>
      <c r="B59" s="94">
        <f>IF(NOT(ISNUMBER(B55)),"Open - evidence date missing",IF(NOT(ISNUMBER(B58)),"Open - required date unresolved",IF(B55&gt;=B58,"Complete","Open - required window incomplete")))</f>
        <v/>
      </c>
      <c r="C59" s="94" t="inlineStr">
        <is>
          <t>state</t>
        </is>
      </c>
      <c r="D59" s="94" t="inlineStr">
        <is>
          <t>Available-through date must meet or exceed required-through date</t>
        </is>
      </c>
      <c r="E59" s="94" t="inlineStr">
        <is>
          <t>AP-04 and bank source index</t>
        </is>
      </c>
      <c r="F59" s="94" t="inlineStr">
        <is>
          <t>Unavailable evidence is Open</t>
        </is>
      </c>
      <c r="G59" s="94" t="n"/>
      <c r="H59" s="94" t="n"/>
      <c r="I59" s="94" t="n"/>
      <c r="J59" s="94" t="n"/>
      <c r="K59" s="94" t="n"/>
      <c r="L59" s="94" t="n"/>
    </row>
  </sheetData>
  <autoFilter ref="A1:L59"/>
  <mergeCells count="5">
    <mergeCell ref="A2:L2"/>
    <mergeCell ref="A41:L41"/>
    <mergeCell ref="A1:L1"/>
    <mergeCell ref="A32:L32"/>
    <mergeCell ref="A4:L4"/>
  </mergeCells>
  <dataValidations count="2">
    <dataValidation sqref="E9:E29" showDropDown="0" showInputMessage="0" showErrorMessage="0" allowBlank="0" type="list">
      <formula1>"Tested as registered,Approved equivalent deviation"</formula1>
    </dataValidation>
    <dataValidation sqref="G36:G38" showDropDown="0" showInputMessage="0" showErrorMessage="0" allowBlank="0" type="list">
      <formula1>"Statement reconciled,Approved alternative completed,Open - evidence missing"</formula1>
    </dataValidation>
  </dataValidations>
  <printOptions horizontalCentered="0" verticalCentered="0"/>
  <pageMargins left="0.25" right="0.25" top="0.5" bottom="0.5" header="0.2" footer="0.2"/>
  <pageSetup orientation="landscape" paperSize="1" fitToHeight="0" fitToWidth="2"/>
  <tableParts count="2">
    <tablePart xmlns:r="http://schemas.openxmlformats.org/officeDocument/2006/relationships" r:id="rId1"/>
    <tablePart xmlns:r="http://schemas.openxmlformats.org/officeDocument/2006/relationships" r:id="rId2"/>
  </tableParts>
</worksheet>
</file>

<file path=xl/worksheets/sheet13.xml><?xml version="1.0" encoding="utf-8"?>
<worksheet xmlns="http://schemas.openxmlformats.org/spreadsheetml/2006/main">
  <sheetPr>
    <outlinePr summaryBelow="1" summaryRight="1"/>
    <pageSetUpPr autoPageBreaks="0" fitToPage="1"/>
  </sheetPr>
  <dimension ref="A1:F12"/>
  <sheetViews>
    <sheetView showGridLines="0" zoomScale="90" zoomScaleNormal="100" workbookViewId="0">
      <pane ySplit="2" topLeftCell="A3" activePane="bottomLeft" state="frozen"/>
      <selection pane="bottomLeft" activeCell="A1" sqref="A1"/>
    </sheetView>
  </sheetViews>
  <sheetFormatPr baseColWidth="8" defaultRowHeight="15"/>
  <cols>
    <col width="28" customWidth="1" min="1" max="1"/>
    <col width="34" customWidth="1" min="2" max="2"/>
    <col width="8.5" customWidth="1" min="3" max="3"/>
    <col width="25" customWidth="1" min="4" max="4"/>
    <col width="34" customWidth="1" min="5" max="5"/>
    <col width="8.5" customWidth="1" min="6" max="6"/>
  </cols>
  <sheetData>
    <row r="1" ht="24" customHeight="1">
      <c r="A1" s="105" t="inlineStr">
        <is>
          <t>WORKPAPER COMPLETION AND SIGN-OFF</t>
        </is>
      </c>
      <c r="B1" s="38" t="n"/>
      <c r="C1" s="38" t="n"/>
      <c r="D1" s="38" t="n"/>
      <c r="E1" s="38" t="n"/>
      <c r="F1" s="38" t="n"/>
    </row>
    <row r="2">
      <c r="A2" s="38" t="n"/>
      <c r="B2" s="38" t="n"/>
      <c r="C2" s="38" t="n"/>
      <c r="D2" s="38" t="n"/>
      <c r="E2" s="38" t="n"/>
      <c r="F2" s="38" t="n"/>
    </row>
    <row r="3">
      <c r="A3" s="38" t="inlineStr">
        <is>
          <t>Workpaper</t>
        </is>
      </c>
      <c r="B3" s="94" t="inlineStr">
        <is>
          <t>ap_and_accruals/ap_workpaper.xlsx</t>
        </is>
      </c>
      <c r="C3" s="38" t="n"/>
      <c r="D3" s="38" t="n"/>
      <c r="E3" s="38" t="n"/>
      <c r="F3" s="38" t="n"/>
    </row>
    <row r="4">
      <c r="A4" s="94" t="inlineStr">
        <is>
          <t>Required completion stage</t>
        </is>
      </c>
      <c r="B4" s="38" t="inlineStr">
        <is>
          <t>prepared</t>
        </is>
      </c>
      <c r="C4" s="38" t="n"/>
      <c r="D4" s="38" t="inlineStr">
        <is>
          <t>Contract version</t>
        </is>
      </c>
      <c r="E4" s="94" t="inlineStr">
        <is>
          <t>workpaper-signoff-v2.1.0</t>
        </is>
      </c>
      <c r="F4" s="38" t="n"/>
    </row>
    <row r="5">
      <c r="A5" s="38" t="n"/>
      <c r="B5" s="38" t="n"/>
      <c r="C5" s="38" t="n"/>
      <c r="D5" s="38" t="n"/>
      <c r="E5" s="38" t="n"/>
      <c r="F5" s="38" t="n"/>
    </row>
    <row r="6">
      <c r="A6" s="106" t="inlineStr">
        <is>
          <t>Assigned preparer</t>
        </is>
      </c>
      <c r="B6" s="107" t="inlineStr">
        <is>
          <t>Audit Senior 80A0</t>
        </is>
      </c>
      <c r="C6" s="38" t="n"/>
      <c r="D6" s="106" t="inlineStr">
        <is>
          <t>Assigned reviewer</t>
        </is>
      </c>
      <c r="E6" s="108" t="inlineStr">
        <is>
          <t>Audit Manager 403F</t>
        </is>
      </c>
      <c r="F6" s="38" t="n"/>
    </row>
    <row r="7">
      <c r="A7" s="106" t="inlineStr">
        <is>
          <t>Preparation state</t>
        </is>
      </c>
      <c r="B7" s="107" t="inlineStr">
        <is>
          <t>Unsigned</t>
        </is>
      </c>
      <c r="C7" s="38" t="n"/>
      <c r="D7" s="106" t="inlineStr">
        <is>
          <t>Review state</t>
        </is>
      </c>
      <c r="E7" s="107" t="inlineStr">
        <is>
          <t>Unsigned</t>
        </is>
      </c>
      <c r="F7" s="38" t="n"/>
    </row>
    <row r="8">
      <c r="A8" s="106" t="inlineStr">
        <is>
          <t>Prepared by</t>
        </is>
      </c>
      <c r="B8" s="107" t="n"/>
      <c r="C8" s="38" t="n"/>
      <c r="D8" s="106" t="inlineStr">
        <is>
          <t>Reviewed by</t>
        </is>
      </c>
      <c r="E8" s="107" t="n"/>
      <c r="F8" s="38" t="n"/>
    </row>
    <row r="9">
      <c r="A9" s="106" t="inlineStr">
        <is>
          <t>Preparation date</t>
        </is>
      </c>
      <c r="B9" s="109" t="n"/>
      <c r="C9" s="38" t="n"/>
      <c r="D9" s="106" t="inlineStr">
        <is>
          <t>Review date</t>
        </is>
      </c>
      <c r="E9" s="109" t="n"/>
      <c r="F9" s="38" t="n"/>
    </row>
    <row r="10">
      <c r="A10" s="38" t="n"/>
      <c r="B10" s="38" t="n"/>
      <c r="C10" s="38" t="n"/>
      <c r="D10" s="38" t="n"/>
      <c r="E10" s="38" t="n"/>
      <c r="F10" s="38" t="n"/>
    </row>
    <row r="11">
      <c r="A11" s="38" t="n"/>
      <c r="B11" s="38" t="n"/>
      <c r="C11" s="38" t="n"/>
      <c r="D11" s="38" t="n"/>
      <c r="E11" s="38" t="n"/>
      <c r="F11" s="38" t="n"/>
    </row>
    <row r="12" ht="54" customHeight="1">
      <c r="A12" s="110" t="inlineStr">
        <is>
          <t>Assignment identifies responsibility but is not sign-off. The assigned preparer records Prepared, their exact assigned identity, and the date only after all applicable procedures and exceptions are dispositioned. Leave review Unsigned unless the task expressly requires a separate review stage. Preparation and review bind to the external content/dependency digest; any substantive workbook or dependency change supersedes both records.</t>
        </is>
      </c>
      <c r="B12" s="38" t="n"/>
      <c r="C12" s="38" t="n"/>
      <c r="D12" s="38" t="n"/>
      <c r="E12" s="38" t="n"/>
      <c r="F12" s="38" t="n"/>
    </row>
  </sheetData>
  <mergeCells count="2">
    <mergeCell ref="A1:F1"/>
    <mergeCell ref="A12:F12"/>
  </mergeCells>
  <dataValidations count="2">
    <dataValidation sqref="B7" showDropDown="0" showInputMessage="0" showErrorMessage="0" allowBlank="0" type="list">
      <formula1>"Unsigned,Prepared,Superseded"</formula1>
    </dataValidation>
    <dataValidation sqref="E7" showDropDown="0" showInputMessage="0" showErrorMessage="0" allowBlank="0" type="list">
      <formula1>"Unsigned,Reviewed,Superseded"</formula1>
    </dataValidation>
  </dataValidations>
  <printOptions horizontalCentered="0" verticalCentered="0"/>
  <pageMargins left="0.25" right="0.25" top="0.5" bottom="0.5" header="0.2" footer="0.2"/>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2026-06-30T16:13:14Z</dcterms:created>
  <dcterms:modified xmlns:dcterms="http://purl.org/dc/terms/" xmlns:xsi="http://www.w3.org/2001/XMLSchema-instance" xsi:type="dcterms:W3CDTF">2026-06-30T16:16:31Z</dcterms:modified>
  <cp:lastModifiedBy>jerry.huang@modusaudit.com</cp:lastModifiedBy>
  <cp:revision>0</cp:revision>
</cp:coreProperties>
</file>