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Clearance'!$A$10:$AG$25</definedName>
    <definedName name="WP_TABLE_AR_CONFIRMATIONS_TOTAL">'&lt;.6&gt; Confirmation &amp; Clearance'!$A$26:$AG$26</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Clearance'!$A$8:$AG$25</definedName>
    <definedName name="_xlnm.Print_Titles" localSheetId="7">'&lt;.6&gt; Confirmation &amp; Clearance'!$1:$7</definedName>
    <definedName name="_xlnm.Print_Area" localSheetId="7">'&lt;.6&gt; Confirmation &amp; Clearance'!$A$1:$AG$41</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5" headerRowCount="1">
  <autoFilter ref="A8:AG25"/>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c r="A2" s="32" t="inlineStr">
        <is>
          <t>Client / Entity: Vaquite Industries, Inc.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80A0 (assigned)      Reviewed by: Audit Manager 403F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Vaquite Industries, Inc.</t>
        </is>
      </c>
      <c r="C2" s="31" t="n"/>
      <c r="D2" s="42" t="inlineStr">
        <is>
          <t>Year-End</t>
        </is>
      </c>
      <c r="E2" s="43" t="n">
        <v>46022</v>
      </c>
      <c r="F2" s="31" t="n"/>
      <c r="G2" s="42" t="inlineStr">
        <is>
          <t>Currency</t>
        </is>
      </c>
      <c r="H2" s="44" t="inlineStr">
        <is>
          <t>USD</t>
        </is>
      </c>
    </row>
    <row r="3" ht="27" customHeight="1">
      <c r="A3" s="45" t="inlineStr">
        <is>
          <t>Performance Materiality</t>
        </is>
      </c>
      <c r="B3" s="46" t="n">
        <v>23100</v>
      </c>
      <c r="C3" s="31" t="n"/>
      <c r="D3" s="45" t="inlineStr">
        <is>
          <t>Tolerable misstatement / testing threshold</t>
        </is>
      </c>
      <c r="E3" s="46" t="n">
        <v>20800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22.4"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23100</v>
      </c>
      <c r="C3" s="31" t="n"/>
      <c r="D3" s="45" t="inlineStr">
        <is>
          <t>Tolerable misstatement / testing threshold</t>
        </is>
      </c>
      <c r="E3" s="46" t="n">
        <v>20800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22.4"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23100</v>
      </c>
      <c r="C3" s="31" t="n"/>
      <c r="D3" s="45" t="inlineStr">
        <is>
          <t>Tolerable misstatement / testing threshold</t>
        </is>
      </c>
      <c r="E3" s="46" t="n">
        <v>20800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24"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c r="A2" s="42" t="inlineStr">
        <is>
          <t>Client / Entity</t>
        </is>
      </c>
      <c r="B2" s="32" t="inlineStr">
        <is>
          <t>Vaquite Industries, Inc.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23100</v>
      </c>
      <c r="C3" s="31" t="n"/>
      <c r="D3" s="45" t="inlineStr">
        <is>
          <t>Tolerable misstatement / testing threshold</t>
        </is>
      </c>
      <c r="E3" s="46" t="n">
        <v>20800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22.4"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row>
    <row r="3" ht="27" customHeight="1">
      <c r="A3" s="45" t="inlineStr">
        <is>
          <t>Performance Materiality</t>
        </is>
      </c>
      <c r="B3" s="46" t="n">
        <v>23100</v>
      </c>
      <c r="C3" s="31" t="n"/>
      <c r="D3" s="45" t="inlineStr">
        <is>
          <t>Tolerable misstatement / testing threshold</t>
        </is>
      </c>
      <c r="E3" s="46" t="n">
        <v>20800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22.4"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23100</v>
      </c>
      <c r="C3" s="31" t="n"/>
      <c r="D3" s="45" t="inlineStr">
        <is>
          <t>Tolerable misstatement / testing threshold</t>
        </is>
      </c>
      <c r="E3" s="46" t="n">
        <v>20800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41"/>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22.4"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23100</v>
      </c>
      <c r="C3" s="31" t="n"/>
      <c r="D3" s="45" t="inlineStr">
        <is>
          <t>Tolerable misstatement / testing threshold</t>
        </is>
      </c>
      <c r="E3" s="46" t="n">
        <v>20800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ht="27" customHeight="1">
      <c r="A24" s="50" t="n"/>
      <c r="B24" s="50" t="n"/>
      <c r="C24" s="50" t="n"/>
      <c r="D24" s="50" t="n"/>
      <c r="E24" s="50" t="n"/>
      <c r="F24" s="50" t="n"/>
      <c r="G24" s="50" t="n"/>
      <c r="H24" s="50" t="n"/>
      <c r="I24" s="55" t="n"/>
      <c r="J24" s="50" t="n"/>
      <c r="K24" s="50" t="n"/>
      <c r="L24" s="50" t="n"/>
      <c r="M24" s="50" t="n"/>
      <c r="N24" s="50" t="n"/>
      <c r="O24" s="50" t="n"/>
      <c r="P24" s="50" t="n"/>
      <c r="Q24" s="55" t="n"/>
      <c r="R24" s="56">
        <f>IF(OR(I24="",Q24=""),"",I24-Q24)</f>
        <v/>
      </c>
      <c r="S24" s="50" t="n"/>
      <c r="T24" s="55" t="n"/>
      <c r="U24" s="55" t="n"/>
      <c r="V24" s="55" t="n"/>
      <c r="W24" s="50" t="n"/>
      <c r="X24" s="50" t="n"/>
      <c r="Y24" s="50" t="n"/>
      <c r="Z24" s="50" t="n"/>
      <c r="AA24" s="50" t="n"/>
      <c r="AB24" s="50" t="n"/>
      <c r="AC24" s="50" t="n"/>
      <c r="AD24" s="50" t="n"/>
      <c r="AE24" s="50" t="n"/>
      <c r="AF24" s="50" t="n"/>
      <c r="AG24" s="50" t="n"/>
    </row>
    <row r="25" ht="27" customHeight="1">
      <c r="A25" s="50" t="n"/>
      <c r="B25" s="50" t="n"/>
      <c r="C25" s="50" t="n"/>
      <c r="D25" s="50" t="n"/>
      <c r="E25" s="50" t="n"/>
      <c r="F25" s="50" t="n"/>
      <c r="G25" s="50" t="n"/>
      <c r="H25" s="50" t="n"/>
      <c r="I25" s="55" t="n"/>
      <c r="J25" s="50" t="n"/>
      <c r="K25" s="50" t="n"/>
      <c r="L25" s="50" t="n"/>
      <c r="M25" s="50" t="n"/>
      <c r="N25" s="50" t="n"/>
      <c r="O25" s="50" t="n"/>
      <c r="P25" s="50" t="n"/>
      <c r="Q25" s="55" t="n"/>
      <c r="R25" s="56">
        <f>IF(OR(I25="",Q25=""),"",I25-Q25)</f>
        <v/>
      </c>
      <c r="S25" s="50" t="n"/>
      <c r="T25" s="55" t="n"/>
      <c r="U25" s="55" t="n"/>
      <c r="V25" s="55" t="n"/>
      <c r="W25" s="50" t="n"/>
      <c r="X25" s="50" t="n"/>
      <c r="Y25" s="50" t="n"/>
      <c r="Z25" s="50" t="n"/>
      <c r="AA25" s="50" t="n"/>
      <c r="AB25" s="50" t="n"/>
      <c r="AC25" s="50" t="n"/>
      <c r="AD25" s="50" t="n"/>
      <c r="AE25" s="50" t="n"/>
      <c r="AF25" s="50" t="n"/>
      <c r="AG25" s="50" t="n"/>
    </row>
    <row r="26" ht="25.5" customHeight="1">
      <c r="A26" s="58" t="inlineStr">
        <is>
          <t>Totals / response rate</t>
        </is>
      </c>
      <c r="B26" s="59" t="n"/>
      <c r="C26" s="59" t="n"/>
      <c r="D26" s="59" t="n"/>
      <c r="E26" s="59" t="n"/>
      <c r="F26" s="59" t="n"/>
      <c r="G26" s="59" t="n"/>
      <c r="H26" s="59" t="n"/>
      <c r="I26" s="60" t="n"/>
      <c r="J26" s="59" t="n"/>
      <c r="K26" s="59" t="n"/>
      <c r="L26" s="59" t="n"/>
      <c r="M26" s="59" t="n"/>
      <c r="N26" s="59" t="n"/>
      <c r="O26" s="59" t="n"/>
      <c r="P26" s="59" t="n"/>
      <c r="Q26" s="60" t="n"/>
      <c r="R26" s="59" t="n"/>
      <c r="S26" s="59" t="n"/>
      <c r="T26" s="59" t="n"/>
      <c r="U26" s="59" t="n"/>
      <c r="V26" s="59" t="n"/>
      <c r="W26" s="59" t="n"/>
      <c r="X26" s="59" t="n"/>
      <c r="Y26" s="59" t="n"/>
      <c r="Z26" s="59" t="n"/>
      <c r="AA26" s="59" t="n"/>
      <c r="AB26" s="59" t="n"/>
      <c r="AC26" s="59" t="n"/>
      <c r="AD26" s="59" t="n"/>
      <c r="AE26" s="59" t="n"/>
      <c r="AF26" s="59" t="n"/>
      <c r="AG26" s="59"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31" t="n"/>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47" t="inlineStr">
        <is>
          <t>TM Legends</t>
        </is>
      </c>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TB</t>
        </is>
      </c>
      <c r="B31" s="37" t="inlineStr">
        <is>
          <t>Agreed to trial balance</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GL</t>
        </is>
      </c>
      <c r="B32" s="37" t="inlineStr">
        <is>
          <t>Agreed to general ledger</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CF</t>
        </is>
      </c>
      <c r="B33" s="37" t="inlineStr">
        <is>
          <t>Confirmed with third party</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V</t>
        </is>
      </c>
      <c r="B34" s="37" t="inlineStr">
        <is>
          <t>Vouched to source document</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SR</t>
        </is>
      </c>
      <c r="B35" s="37" t="inlineStr">
        <is>
          <t>Agreed to subsequent bank-cleared receipt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R</t>
        </is>
      </c>
      <c r="B36" s="37" t="inlineStr">
        <is>
          <t>Recalculated independently</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F</t>
        </is>
      </c>
      <c r="B37" s="37" t="inlineStr">
        <is>
          <t>Footed / cross-cast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51" t="inlineStr">
        <is>
          <t>T</t>
        </is>
      </c>
      <c r="B38" s="37" t="inlineStr">
        <is>
          <t>Traced to downstream record</t>
        </is>
      </c>
      <c r="C38" s="52" t="n"/>
      <c r="D38" s="53"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51" t="inlineStr">
        <is>
          <t>PBC</t>
        </is>
      </c>
      <c r="B39" s="37" t="inlineStr">
        <is>
          <t>Prepared by client</t>
        </is>
      </c>
      <c r="C39" s="52" t="n"/>
      <c r="D39" s="53"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row r="40">
      <c r="A40" s="31"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c r="V40" s="31" t="n"/>
      <c r="W40" s="31" t="n"/>
      <c r="X40" s="31" t="n"/>
      <c r="Y40" s="31" t="n"/>
      <c r="Z40" s="31" t="n"/>
      <c r="AA40" s="31" t="n"/>
      <c r="AB40" s="31" t="n"/>
      <c r="AC40" s="31" t="n"/>
      <c r="AD40" s="31" t="n"/>
      <c r="AE40" s="31" t="n"/>
      <c r="AF40" s="31" t="n"/>
      <c r="AG40" s="31" t="n"/>
    </row>
    <row r="41">
      <c r="A41" s="33" t="inlineStr">
        <is>
          <t>Before sign-off complete Library Procedures 17-22 (confirmation control, reliability/AVT, exceptions, subsequent receipt to bank, invoice/PO/BOL support, statement reconciliation).</t>
        </is>
      </c>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c r="AD41" s="31" t="n"/>
      <c r="AE41" s="31" t="n"/>
      <c r="AF41" s="31" t="n"/>
      <c r="AG41" s="31" t="n"/>
    </row>
  </sheetData>
  <autoFilter ref="A8:AG25"/>
  <mergeCells count="18">
    <mergeCell ref="B33:D33"/>
    <mergeCell ref="B36:D36"/>
    <mergeCell ref="B5:AG5"/>
    <mergeCell ref="B35:D35"/>
    <mergeCell ref="B32:D32"/>
    <mergeCell ref="B4:AG4"/>
    <mergeCell ref="Z7:AF7"/>
    <mergeCell ref="A41:AG41"/>
    <mergeCell ref="S7:Y7"/>
    <mergeCell ref="A28:AG28"/>
    <mergeCell ref="B38:D38"/>
    <mergeCell ref="B34:D34"/>
    <mergeCell ref="B37:D37"/>
    <mergeCell ref="B31:D31"/>
    <mergeCell ref="A7:K7"/>
    <mergeCell ref="L7:R7"/>
    <mergeCell ref="B39:D39"/>
    <mergeCell ref="B6:AG6"/>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22.4"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Vaquite Industries, Inc.</t>
        </is>
      </c>
      <c r="C2" s="31" t="n"/>
      <c r="D2" s="42" t="inlineStr">
        <is>
          <t>Year-End</t>
        </is>
      </c>
      <c r="E2" s="43" t="n">
        <v>46022</v>
      </c>
      <c r="F2" s="31" t="n"/>
      <c r="G2" s="42" t="inlineStr">
        <is>
          <t>Currency</t>
        </is>
      </c>
      <c r="H2" s="44" t="inlineStr">
        <is>
          <t>USD</t>
        </is>
      </c>
    </row>
    <row r="3" ht="27" customHeight="1">
      <c r="A3" s="45" t="inlineStr">
        <is>
          <t>Performance Materiality</t>
        </is>
      </c>
      <c r="B3" s="46" t="n">
        <v>23100</v>
      </c>
      <c r="C3" s="31" t="n"/>
      <c r="D3" s="45" t="inlineStr">
        <is>
          <t>Tolerable misstatement / testing threshold</t>
        </is>
      </c>
      <c r="E3" s="46" t="n">
        <v>20800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Vaquite Industries, Inc.</t>
        </is>
      </c>
    </row>
    <row r="4">
      <c r="A4" s="71" t="inlineStr">
        <is>
          <t>Financial Statement Date</t>
        </is>
      </c>
      <c r="B4" s="72" t="n">
        <v>46022</v>
      </c>
    </row>
    <row r="5">
      <c r="A5" s="71" t="inlineStr">
        <is>
          <t>Reporting Currency</t>
        </is>
      </c>
      <c r="B5" s="31" t="inlineStr">
        <is>
          <t>USD</t>
        </is>
      </c>
    </row>
    <row r="6">
      <c r="A6" s="71" t="inlineStr">
        <is>
          <t>Overall Materiality</t>
        </is>
      </c>
      <c r="B6" s="73" t="n">
        <v>30700</v>
      </c>
    </row>
    <row r="7">
      <c r="A7" s="71" t="inlineStr">
        <is>
          <t>Performance Materiality</t>
        </is>
      </c>
      <c r="B7" s="73" t="n">
        <v>23100</v>
      </c>
    </row>
    <row r="8">
      <c r="A8" s="71" t="inlineStr">
        <is>
          <t>Tolerable Misstatement</t>
        </is>
      </c>
      <c r="B8" s="73" t="n">
        <v>20800</v>
      </c>
    </row>
    <row r="9">
      <c r="A9" s="71" t="inlineStr">
        <is>
          <t>Individually Significant Threshold</t>
        </is>
      </c>
      <c r="B9" s="73" t="n">
        <v>11600</v>
      </c>
    </row>
    <row r="10">
      <c r="A10" s="31" t="inlineStr">
        <is>
          <t>Posting Threshold</t>
        </is>
      </c>
      <c r="B10" s="73" t="n">
        <v>1000</v>
      </c>
    </row>
    <row r="11">
      <c r="A11" s="71" t="inlineStr">
        <is>
          <t>Clearly Trivial Threshold</t>
        </is>
      </c>
      <c r="B11" s="73" t="n">
        <v>1000</v>
      </c>
    </row>
    <row r="12">
      <c r="A12" s="71" t="inlineStr">
        <is>
          <t>Analytical Precision</t>
        </is>
      </c>
      <c r="B12" s="73" t="n">
        <v>20800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108" customHeight="1">
      <c r="A16" s="31" t="inlineStr">
        <is>
          <t>Selection IDs</t>
        </is>
      </c>
      <c r="B16" s="71" t="inlineStr">
        <is>
          <t>PROC-Confirmation reference Confirm:INV-58270; PROC-Confirmation reference Confirm:INV-58417; PROC-Confirmation reference Confirm:INV-58403; PROC-Confirmation reference Confirm:INV-58241; PROC-Confirmation reference Confirm:INV-58344; PROC-Confirmation reference Confirm:INV-58352; PROC-Confirmation reference Confirm:INV-58385; PROC-Confirmation reference Confirm:INV-58378; PROC-Confirmation reference Confirm:INV-58286; PROC-Confirmation reference Confirm:INV-58253; PROC-Confirmation reference Confirm:INV-58398; PROC-Confirmation reference Confirm:INV-58368; PROC-Confirmation reference Confirm:INV-58280; PROC-Confirmation reference Confirm:INV-58351; PROC-Confirmation reference Confirm:INV-58258; PROC-Confirmation reference Confirm:INV-57841</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80A0; reviewer: Audit Manager 403F</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80A0</t>
        </is>
      </c>
      <c r="C6" s="31" t="n"/>
      <c r="D6" s="75" t="inlineStr">
        <is>
          <t>Assigned reviewer</t>
        </is>
      </c>
      <c r="E6" s="77" t="inlineStr">
        <is>
          <t>Audit Manager 403F</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