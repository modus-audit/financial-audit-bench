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Revenue Lead Sheet" sheetId="3" state="visible" r:id="rId3"/>
    <sheet xmlns:r="http://schemas.openxmlformats.org/officeDocument/2006/relationships" name="&lt;.2&gt; Revenue Reconciliation" sheetId="4" state="visible" r:id="rId4"/>
    <sheet xmlns:r="http://schemas.openxmlformats.org/officeDocument/2006/relationships" name="&lt;.3&gt; Detail Testing" sheetId="5" state="visible" r:id="rId5"/>
    <sheet xmlns:r="http://schemas.openxmlformats.org/officeDocument/2006/relationships" name="&lt;.4&gt; Cutoff (Two-Directional)" sheetId="6" state="visible" r:id="rId6"/>
    <sheet xmlns:r="http://schemas.openxmlformats.org/officeDocument/2006/relationships" name="&lt;.5&gt; Variable Consideration" sheetId="7" state="visible" r:id="rId7"/>
    <sheet xmlns:r="http://schemas.openxmlformats.org/officeDocument/2006/relationships" name="&lt;.6&gt; Contract Liab Rollforward" sheetId="8" state="visible" r:id="rId8"/>
    <sheet xmlns:r="http://schemas.openxmlformats.org/officeDocument/2006/relationships" name="&lt;.7&gt; Recognition Framework" sheetId="9" state="visible" r:id="rId9"/>
    <sheet xmlns:r="http://schemas.openxmlformats.org/officeDocument/2006/relationships" name="&lt;.8&gt; Analytics &amp; Disclosures" sheetId="10" state="visible" r:id="rId10"/>
    <sheet xmlns:r="http://schemas.openxmlformats.org/officeDocument/2006/relationships" name="Planning Context" sheetId="11" state="visible" r:id="rId11"/>
    <sheet xmlns:r="http://schemas.openxmlformats.org/officeDocument/2006/relationships" name="Workpaper Sign-off" sheetId="12" state="visible" r:id="rId12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REVENUE_LEAD_SHEET_ENTITY_NAME">'&lt;.1&gt; Revenue Lead Sheet'!$B$2</definedName>
    <definedName name="WP_PLAN_S003_1_REVENUE_LEAD_SHEET_FINANCIAL_STATEMENT_DATE">'&lt;.1&gt; Revenue Lead Sheet'!$E$2</definedName>
    <definedName name="WP_PLAN_S003_1_REVENUE_LEAD_SHEET_REPORTING_CURRENCY">'&lt;.1&gt; Revenue Lead Sheet'!$H$2</definedName>
    <definedName name="WP_PLAN_S003_1_REVENUE_LEAD_SHEET_PERFORMANCE_MATERIALITY">'&lt;.1&gt; Revenue Lead Sheet'!$B$3</definedName>
    <definedName name="WP_PLAN_S003_1_REVENUE_LEAD_SHEET_TOLERABLE_MISSTATEMENT">'&lt;.1&gt; Revenue Lead Sheet'!$E$3</definedName>
    <definedName name="WP_PLAN_S004_2_REVENUE_RECONCILIATION_ENTITY_NAME">'&lt;.2&gt; Revenue Reconciliation'!$B$2</definedName>
    <definedName name="WP_PLAN_S004_2_REVENUE_RECONCILIATION_FINANCIAL_STATEMENT_DATE">'&lt;.2&gt; Revenue Reconciliation'!$E$2</definedName>
    <definedName name="WP_PLAN_S004_2_REVENUE_RECONCILIATION_REPORTING_CURRENCY">'&lt;.2&gt; Revenue Reconciliation'!$H$2</definedName>
    <definedName name="WP_PLAN_S004_2_REVENUE_RECONCILIATION_PERFORMANCE_MATERIALITY">'&lt;.2&gt; Revenue Reconciliation'!$B$3</definedName>
    <definedName name="WP_PLAN_S004_2_REVENUE_RECONCILIATION_TOLERABLE_MISSTATEMENT">'&lt;.2&gt; Revenue Reconciliation'!$E$3</definedName>
    <definedName name="WP_PLAN_S005_3_DETAIL_TESTING_ENTITY_NAME">'&lt;.3&gt; Detail Testing'!$B$2</definedName>
    <definedName name="WP_PLAN_S005_3_DETAIL_TESTING_FINANCIAL_STATEMENT_DATE">'&lt;.3&gt; Detail Testing'!$E$2</definedName>
    <definedName name="WP_PLAN_S005_3_DETAIL_TESTING_REPORTING_CURRENCY">'&lt;.3&gt; Detail Testing'!$H$2</definedName>
    <definedName name="WP_PLAN_S005_3_DETAIL_TESTING_PERFORMANCE_MATERIALITY">'&lt;.3&gt; Detail Testing'!$B$3</definedName>
    <definedName name="WP_PLAN_S005_3_DETAIL_TESTING_TOLERABLE_MISSTATEMENT">'&lt;.3&gt; Detail Testing'!$E$3</definedName>
    <definedName name="WP_PLAN_S006_4_CUTOFF_TWO_DIRECTIONAL_ENTITY_NAME">'&lt;.4&gt; Cutoff (Two-Directional)'!$B$2</definedName>
    <definedName name="WP_PLAN_S006_4_CUTOFF_TWO_DIRECTIONAL_FINANCIAL_STATEMENT_DATE">'&lt;.4&gt; Cutoff (Two-Directional)'!$E$2</definedName>
    <definedName name="WP_PLAN_S006_4_CUTOFF_TWO_DIRECTIONAL_REPORTING_CURRENCY">'&lt;.4&gt; Cutoff (Two-Directional)'!$H$2</definedName>
    <definedName name="WP_PLAN_S006_4_CUTOFF_TWO_DIRECTIONAL_PERFORMANCE_MATERIALITY">'&lt;.4&gt; Cutoff (Two-Directional)'!$B$3</definedName>
    <definedName name="WP_PLAN_S006_4_CUTOFF_TWO_DIRECTIONAL_TOLERABLE_MISSTATEMENT">'&lt;.4&gt; Cutoff (Two-Directional)'!$E$3</definedName>
    <definedName name="WP_PLAN_S007_5_VARIABLE_CONSIDERATION_ENTITY_NAME">'&lt;.5&gt; Variable Consideration'!$B$2</definedName>
    <definedName name="WP_PLAN_S007_5_VARIABLE_CONSIDERATION_FINANCIAL_STATEMENT_DATE">'&lt;.5&gt; Variable Consideration'!$E$2</definedName>
    <definedName name="WP_PLAN_S007_5_VARIABLE_CONSIDERATION_REPORTING_CURRENCY">'&lt;.5&gt; Variable Consideration'!$H$2</definedName>
    <definedName name="WP_PLAN_S007_5_VARIABLE_CONSIDERATION_PERFORMANCE_MATERIALITY">'&lt;.5&gt; Variable Consideration'!$B$3</definedName>
    <definedName name="WP_PLAN_S007_5_VARIABLE_CONSIDERATION_TOLERABLE_MISSTATEMENT">'&lt;.5&gt; Variable Consideration'!$E$3</definedName>
    <definedName name="WP_PLAN_S008_6_CONTRACT_LIAB_ROLLFORWARD_ENTITY_NAME">'&lt;.6&gt; Contract Liab Rollforward'!$B$2</definedName>
    <definedName name="WP_PLAN_S008_6_CONTRACT_LIAB_ROLLFORWARD_FINANCIAL_STATEMENT_DATE">'&lt;.6&gt; Contract Liab Rollforward'!$E$2</definedName>
    <definedName name="WP_PLAN_S008_6_CONTRACT_LIAB_ROLLFORWARD_REPORTING_CURRENCY">'&lt;.6&gt; Contract Liab Rollforward'!$H$2</definedName>
    <definedName name="WP_PLAN_S008_6_CONTRACT_LIAB_ROLLFORWARD_PERFORMANCE_MATERIALITY">'&lt;.6&gt; Contract Liab Rollforward'!$B$3</definedName>
    <definedName name="WP_PLAN_S008_6_CONTRACT_LIAB_ROLLFORWARD_TOLERABLE_MISSTATEMENT">'&lt;.6&gt; Contract Liab Rollforward'!$E$3</definedName>
    <definedName name="WP_PLAN_S009_7_RECOGNITION_FRAMEWORK_ENTITY_NAME">'&lt;.7&gt; Recognition Framework'!$B$2</definedName>
    <definedName name="WP_PLAN_S009_7_RECOGNITION_FRAMEWORK_FINANCIAL_STATEMENT_DATE">'&lt;.7&gt; Recognition Framework'!$E$2</definedName>
    <definedName name="WP_PLAN_S009_7_RECOGNITION_FRAMEWORK_REPORTING_CURRENCY">'&lt;.7&gt; Recognition Framework'!$H$2</definedName>
    <definedName name="WP_PLAN_S009_7_RECOGNITION_FRAMEWORK_PERFORMANCE_MATERIALITY">'&lt;.7&gt; Recognition Framework'!$B$3</definedName>
    <definedName name="WP_PLAN_S009_7_RECOGNITION_FRAMEWORK_TOLERABLE_MISSTATEMENT">'&lt;.7&gt; Recognition Framework'!$E$3</definedName>
    <definedName name="WP_PLAN_S010_8_ANALYTICS_DISCLOSURES_ENTITY_NAME">'&lt;.8&gt; Analytics &amp; Disclosures'!$B$2</definedName>
    <definedName name="WP_PLAN_S010_8_ANALYTICS_DISCLOSURES_FINANCIAL_STATEMENT_DATE">'&lt;.8&gt; Analytics &amp; Disclosures'!$E$2</definedName>
    <definedName name="WP_PLAN_S010_8_ANALYTICS_DISCLOSURES_REPORTING_CURRENCY">'&lt;.8&gt; Analytics &amp; Disclosures'!$H$2</definedName>
    <definedName name="WP_PLAN_S010_8_ANALYTICS_DISCLOSURES_PERFORMANCE_MATERIALITY">'&lt;.8&gt; Analytics &amp; Disclosures'!$B$3</definedName>
    <definedName name="WP_PLAN_S010_8_ANALYTICS_DISCLOSURES_TOLERABLE_MISSTATEMENT">'&lt;.8&gt; Analytics &amp; Disclosures'!$E$3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Procedures'!$A$13</definedName>
    <definedName name="WP_PROC_004_REQUIREMENT">'Library Procedures'!$B$13</definedName>
    <definedName name="WP_PROC_004_EXECUTION_STATE">'Library Procedures'!$C$13</definedName>
    <definedName name="WP_PROC_004_EVIDENCE_STATE">'Library Procedures'!$D$13</definedName>
    <definedName name="WP_PROC_004_RESULT_STATE">'Library Procedures'!$E$13</definedName>
    <definedName name="WP_PROC_004_ISSUE_STATE">'Library Procedures'!$F$13</definedName>
    <definedName name="WP_PROC_004_SIGNOFF_STATE">'Library Procedures'!$G$13</definedName>
    <definedName name="WP_PROC_004_DERIVED_OUTCOME">'Library Procedures'!$H$13</definedName>
    <definedName name="WP_PROC_004_PROCEDURE">'Library Procedures'!$I$13</definedName>
    <definedName name="WP_PROC_004_ASSERTION_S">'Library Procedures'!$J$13</definedName>
    <definedName name="WP_PROC_004_W_P_REF">'Library Procedures'!$K$13</definedName>
    <definedName name="WP_PROC_004_PERFORMED_BY">'Library Procedures'!$L$13</definedName>
    <definedName name="WP_PROC_004_DATE">'Library Procedures'!$M$13</definedName>
    <definedName name="WP_PROC_004_REASON_CODE">'Library Procedures'!$N$13</definedName>
    <definedName name="WP_PROC_004_SOURCE_FACT_EVIDENCE">'Library Procedures'!$O$13</definedName>
    <definedName name="WP_PROC_004_ISSUE_DEPENDENCY_IDS">'Library Procedures'!$P$13</definedName>
    <definedName name="WP_PROC_004_COMMENT_WORK_PERFORMED">'Library Procedures'!$Q$13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Procedures'!$A$16</definedName>
    <definedName name="WP_PROC_006_REQUIREMENT">'Library Procedures'!$B$16</definedName>
    <definedName name="WP_PROC_006_EXECUTION_STATE">'Library Procedures'!$C$16</definedName>
    <definedName name="WP_PROC_006_EVIDENCE_STATE">'Library Procedures'!$D$16</definedName>
    <definedName name="WP_PROC_006_RESULT_STATE">'Library Procedures'!$E$16</definedName>
    <definedName name="WP_PROC_006_ISSUE_STATE">'Library Procedures'!$F$16</definedName>
    <definedName name="WP_PROC_006_SIGNOFF_STATE">'Library Procedures'!$G$16</definedName>
    <definedName name="WP_PROC_006_DERIVED_OUTCOME">'Library Procedures'!$H$16</definedName>
    <definedName name="WP_PROC_006_PROCEDURE">'Library Procedures'!$I$16</definedName>
    <definedName name="WP_PROC_006_ASSERTION_S">'Library Procedures'!$J$16</definedName>
    <definedName name="WP_PROC_006_W_P_REF">'Library Procedures'!$K$16</definedName>
    <definedName name="WP_PROC_006_PERFORMED_BY">'Library Procedures'!$L$16</definedName>
    <definedName name="WP_PROC_006_DATE">'Library Procedures'!$M$16</definedName>
    <definedName name="WP_PROC_006_REASON_CODE">'Library Procedures'!$N$16</definedName>
    <definedName name="WP_PROC_006_SOURCE_FACT_EVIDENCE">'Library Procedures'!$O$16</definedName>
    <definedName name="WP_PROC_006_ISSUE_DEPENDENCY_IDS">'Library Procedures'!$P$16</definedName>
    <definedName name="WP_PROC_006_COMMENT_WORK_PERFORMED">'Library Procedures'!$Q$16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Procedures'!$A$20</definedName>
    <definedName name="WP_PROC_009_REQUIREMENT">'Library Procedures'!$B$20</definedName>
    <definedName name="WP_PROC_009_EXECUTION_STATE">'Library Procedures'!$C$20</definedName>
    <definedName name="WP_PROC_009_EVIDENCE_STATE">'Library Procedures'!$D$20</definedName>
    <definedName name="WP_PROC_009_RESULT_STATE">'Library Procedures'!$E$20</definedName>
    <definedName name="WP_PROC_009_ISSUE_STATE">'Library Procedures'!$F$20</definedName>
    <definedName name="WP_PROC_009_SIGNOFF_STATE">'Library Procedures'!$G$20</definedName>
    <definedName name="WP_PROC_009_DERIVED_OUTCOME">'Library Procedures'!$H$20</definedName>
    <definedName name="WP_PROC_009_PROCEDURE">'Library Procedures'!$I$20</definedName>
    <definedName name="WP_PROC_009_ASSERTION_S">'Library Procedures'!$J$20</definedName>
    <definedName name="WP_PROC_009_W_P_REF">'Library Procedures'!$K$20</definedName>
    <definedName name="WP_PROC_009_PERFORMED_BY">'Library Procedures'!$L$20</definedName>
    <definedName name="WP_PROC_009_DATE">'Library Procedures'!$M$20</definedName>
    <definedName name="WP_PROC_009_REASON_CODE">'Library Procedures'!$N$20</definedName>
    <definedName name="WP_PROC_009_SOURCE_FACT_EVIDENCE">'Library Procedures'!$O$20</definedName>
    <definedName name="WP_PROC_009_ISSUE_DEPENDENCY_IDS">'Library Procedures'!$P$20</definedName>
    <definedName name="WP_PROC_009_COMMENT_WORK_PERFORMED">'Library Procedures'!$Q$20</definedName>
    <definedName name="WP_PROC_010_APPLICABILITY">'Library Procedures'!$A$21</definedName>
    <definedName name="WP_PROC_010_REQUIREMENT">'Library Procedures'!$B$21</definedName>
    <definedName name="WP_PROC_010_EXECUTION_STATE">'Library Procedures'!$C$21</definedName>
    <definedName name="WP_PROC_010_EVIDENCE_STATE">'Library Procedures'!$D$21</definedName>
    <definedName name="WP_PROC_010_RESULT_STATE">'Library Procedures'!$E$21</definedName>
    <definedName name="WP_PROC_010_ISSUE_STATE">'Library Procedures'!$F$21</definedName>
    <definedName name="WP_PROC_010_SIGNOFF_STATE">'Library Procedures'!$G$21</definedName>
    <definedName name="WP_PROC_010_DERIVED_OUTCOME">'Library Procedures'!$H$21</definedName>
    <definedName name="WP_PROC_010_PROCEDURE">'Library Procedures'!$I$21</definedName>
    <definedName name="WP_PROC_010_ASSERTION_S">'Library Procedures'!$J$21</definedName>
    <definedName name="WP_PROC_010_W_P_REF">'Library Procedures'!$K$21</definedName>
    <definedName name="WP_PROC_010_PERFORMED_BY">'Library Procedures'!$L$21</definedName>
    <definedName name="WP_PROC_010_DATE">'Library Procedures'!$M$21</definedName>
    <definedName name="WP_PROC_010_REASON_CODE">'Library Procedures'!$N$21</definedName>
    <definedName name="WP_PROC_010_SOURCE_FACT_EVIDENCE">'Library Procedures'!$O$21</definedName>
    <definedName name="WP_PROC_010_ISSUE_DEPENDENCY_IDS">'Library Procedures'!$P$21</definedName>
    <definedName name="WP_PROC_010_COMMENT_WORK_PERFORMED">'Library Procedures'!$Q$21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PROC_012_APPLICABILITY">'Library Procedures'!$A$24</definedName>
    <definedName name="WP_PROC_012_REQUIREMENT">'Library Procedures'!$B$24</definedName>
    <definedName name="WP_PROC_012_EXECUTION_STATE">'Library Procedures'!$C$24</definedName>
    <definedName name="WP_PROC_012_EVIDENCE_STATE">'Library Procedures'!$D$24</definedName>
    <definedName name="WP_PROC_012_RESULT_STATE">'Library Procedures'!$E$24</definedName>
    <definedName name="WP_PROC_012_ISSUE_STATE">'Library Procedures'!$F$24</definedName>
    <definedName name="WP_PROC_012_SIGNOFF_STATE">'Library Procedures'!$G$24</definedName>
    <definedName name="WP_PROC_012_DERIVED_OUTCOME">'Library Procedures'!$H$24</definedName>
    <definedName name="WP_PROC_012_PROCEDURE">'Library Procedures'!$I$24</definedName>
    <definedName name="WP_PROC_012_ASSERTION_S">'Library Procedures'!$J$24</definedName>
    <definedName name="WP_PROC_012_W_P_REF">'Library Procedures'!$K$24</definedName>
    <definedName name="WP_PROC_012_PERFORMED_BY">'Library Procedures'!$L$24</definedName>
    <definedName name="WP_PROC_012_DATE">'Library Procedures'!$M$24</definedName>
    <definedName name="WP_PROC_012_REASON_CODE">'Library Procedures'!$N$24</definedName>
    <definedName name="WP_PROC_012_SOURCE_FACT_EVIDENCE">'Library Procedures'!$O$24</definedName>
    <definedName name="WP_PROC_012_ISSUE_DEPENDENCY_IDS">'Library Procedures'!$P$24</definedName>
    <definedName name="WP_PROC_012_COMMENT_WORK_PERFORMED">'Library Procedures'!$Q$24</definedName>
    <definedName name="WP_PROC_013_APPLICABILITY">'Library Procedures'!$A$25</definedName>
    <definedName name="WP_PROC_013_REQUIREMENT">'Library Procedures'!$B$25</definedName>
    <definedName name="WP_PROC_013_EXECUTION_STATE">'Library Procedures'!$C$25</definedName>
    <definedName name="WP_PROC_013_EVIDENCE_STATE">'Library Procedures'!$D$25</definedName>
    <definedName name="WP_PROC_013_RESULT_STATE">'Library Procedures'!$E$25</definedName>
    <definedName name="WP_PROC_013_ISSUE_STATE">'Library Procedures'!$F$25</definedName>
    <definedName name="WP_PROC_013_SIGNOFF_STATE">'Library Procedures'!$G$25</definedName>
    <definedName name="WP_PROC_013_DERIVED_OUTCOME">'Library Procedures'!$H$25</definedName>
    <definedName name="WP_PROC_013_PROCEDURE">'Library Procedures'!$I$25</definedName>
    <definedName name="WP_PROC_013_ASSERTION_S">'Library Procedures'!$J$25</definedName>
    <definedName name="WP_PROC_013_W_P_REF">'Library Procedures'!$K$25</definedName>
    <definedName name="WP_PROC_013_PERFORMED_BY">'Library Procedures'!$L$25</definedName>
    <definedName name="WP_PROC_013_DATE">'Library Procedures'!$M$25</definedName>
    <definedName name="WP_PROC_013_REASON_CODE">'Library Procedures'!$N$25</definedName>
    <definedName name="WP_PROC_013_SOURCE_FACT_EVIDENCE">'Library Procedures'!$O$25</definedName>
    <definedName name="WP_PROC_013_ISSUE_DEPENDENCY_IDS">'Library Procedures'!$P$25</definedName>
    <definedName name="WP_PROC_013_COMMENT_WORK_PERFORMED">'Library Procedures'!$Q$25</definedName>
    <definedName name="WP_PROC_014_APPLICABILITY">'Library Procedures'!$A$27</definedName>
    <definedName name="WP_PROC_014_REQUIREMENT">'Library Procedures'!$B$27</definedName>
    <definedName name="WP_PROC_014_EXECUTION_STATE">'Library Procedures'!$C$27</definedName>
    <definedName name="WP_PROC_014_EVIDENCE_STATE">'Library Procedures'!$D$27</definedName>
    <definedName name="WP_PROC_014_RESULT_STATE">'Library Procedures'!$E$27</definedName>
    <definedName name="WP_PROC_014_ISSUE_STATE">'Library Procedures'!$F$27</definedName>
    <definedName name="WP_PROC_014_SIGNOFF_STATE">'Library Procedures'!$G$27</definedName>
    <definedName name="WP_PROC_014_DERIVED_OUTCOME">'Library Procedures'!$H$27</definedName>
    <definedName name="WP_PROC_014_PROCEDURE">'Library Procedures'!$I$27</definedName>
    <definedName name="WP_PROC_014_ASSERTION_S">'Library Procedures'!$J$27</definedName>
    <definedName name="WP_PROC_014_W_P_REF">'Library Procedures'!$K$27</definedName>
    <definedName name="WP_PROC_014_PERFORMED_BY">'Library Procedures'!$L$27</definedName>
    <definedName name="WP_PROC_014_DATE">'Library Procedures'!$M$27</definedName>
    <definedName name="WP_PROC_014_REASON_CODE">'Library Procedures'!$N$27</definedName>
    <definedName name="WP_PROC_014_SOURCE_FACT_EVIDENCE">'Library Procedures'!$O$27</definedName>
    <definedName name="WP_PROC_014_ISSUE_DEPENDENCY_IDS">'Library Procedures'!$P$27</definedName>
    <definedName name="WP_PROC_014_COMMENT_WORK_PERFORMED">'Library Procedures'!$Q$27</definedName>
    <definedName name="WP_PROC_015_APPLICABILITY">'Library Procedures'!$A$29</definedName>
    <definedName name="WP_PROC_015_REQUIREMENT">'Library Procedures'!$B$29</definedName>
    <definedName name="WP_PROC_015_EXECUTION_STATE">'Library Procedures'!$C$29</definedName>
    <definedName name="WP_PROC_015_EVIDENCE_STATE">'Library Procedures'!$D$29</definedName>
    <definedName name="WP_PROC_015_RESULT_STATE">'Library Procedures'!$E$29</definedName>
    <definedName name="WP_PROC_015_ISSUE_STATE">'Library Procedures'!$F$29</definedName>
    <definedName name="WP_PROC_015_SIGNOFF_STATE">'Library Procedures'!$G$29</definedName>
    <definedName name="WP_PROC_015_DERIVED_OUTCOME">'Library Procedures'!$H$29</definedName>
    <definedName name="WP_PROC_015_PROCEDURE">'Library Procedures'!$I$29</definedName>
    <definedName name="WP_PROC_015_ASSERTION_S">'Library Procedures'!$J$29</definedName>
    <definedName name="WP_PROC_015_W_P_REF">'Library Procedures'!$K$29</definedName>
    <definedName name="WP_PROC_015_PERFORMED_BY">'Library Procedures'!$L$29</definedName>
    <definedName name="WP_PROC_015_DATE">'Library Procedures'!$M$29</definedName>
    <definedName name="WP_PROC_015_REASON_CODE">'Library Procedures'!$N$29</definedName>
    <definedName name="WP_PROC_015_SOURCE_FACT_EVIDENCE">'Library Procedures'!$O$29</definedName>
    <definedName name="WP_PROC_015_ISSUE_DEPENDENCY_IDS">'Library Procedures'!$P$29</definedName>
    <definedName name="WP_PROC_015_COMMENT_WORK_PERFORMED">'Library Procedures'!$Q$29</definedName>
    <definedName name="WP_PROC_016_APPLICABILITY">'Library Procedures'!$A$30</definedName>
    <definedName name="WP_PROC_016_REQUIREMENT">'Library Procedures'!$B$30</definedName>
    <definedName name="WP_PROC_016_EXECUTION_STATE">'Library Procedures'!$C$30</definedName>
    <definedName name="WP_PROC_016_EVIDENCE_STATE">'Library Procedures'!$D$30</definedName>
    <definedName name="WP_PROC_016_RESULT_STATE">'Library Procedures'!$E$30</definedName>
    <definedName name="WP_PROC_016_ISSUE_STATE">'Library Procedures'!$F$30</definedName>
    <definedName name="WP_PROC_016_SIGNOFF_STATE">'Library Procedures'!$G$30</definedName>
    <definedName name="WP_PROC_016_DERIVED_OUTCOME">'Library Procedures'!$H$30</definedName>
    <definedName name="WP_PROC_016_PROCEDURE">'Library Procedures'!$I$30</definedName>
    <definedName name="WP_PROC_016_ASSERTION_S">'Library Procedures'!$J$30</definedName>
    <definedName name="WP_PROC_016_W_P_REF">'Library Procedures'!$K$30</definedName>
    <definedName name="WP_PROC_016_PERFORMED_BY">'Library Procedures'!$L$30</definedName>
    <definedName name="WP_PROC_016_DATE">'Library Procedures'!$M$30</definedName>
    <definedName name="WP_PROC_016_REASON_CODE">'Library Procedures'!$N$30</definedName>
    <definedName name="WP_PROC_016_SOURCE_FACT_EVIDENCE">'Library Procedures'!$O$30</definedName>
    <definedName name="WP_PROC_016_ISSUE_DEPENDENCY_IDS">'Library Procedures'!$P$30</definedName>
    <definedName name="WP_PROC_016_COMMENT_WORK_PERFORMED">'Library Procedures'!$Q$30</definedName>
    <definedName name="WP_PROC_017_APPLICABILITY">'Library Procedures'!$A$31</definedName>
    <definedName name="WP_PROC_017_REQUIREMENT">'Library Procedures'!$B$31</definedName>
    <definedName name="WP_PROC_017_EXECUTION_STATE">'Library Procedures'!$C$31</definedName>
    <definedName name="WP_PROC_017_EVIDENCE_STATE">'Library Procedures'!$D$31</definedName>
    <definedName name="WP_PROC_017_RESULT_STATE">'Library Procedures'!$E$31</definedName>
    <definedName name="WP_PROC_017_ISSUE_STATE">'Library Procedures'!$F$31</definedName>
    <definedName name="WP_PROC_017_SIGNOFF_STATE">'Library Procedures'!$G$31</definedName>
    <definedName name="WP_PROC_017_DERIVED_OUTCOME">'Library Procedures'!$H$31</definedName>
    <definedName name="WP_PROC_017_PROCEDURE">'Library Procedures'!$I$31</definedName>
    <definedName name="WP_PROC_017_ASSERTION_S">'Library Procedures'!$J$31</definedName>
    <definedName name="WP_PROC_017_W_P_REF">'Library Procedures'!$K$31</definedName>
    <definedName name="WP_PROC_017_PERFORMED_BY">'Library Procedures'!$L$31</definedName>
    <definedName name="WP_PROC_017_DATE">'Library Procedures'!$M$31</definedName>
    <definedName name="WP_PROC_017_REASON_CODE">'Library Procedures'!$N$31</definedName>
    <definedName name="WP_PROC_017_SOURCE_FACT_EVIDENCE">'Library Procedures'!$O$31</definedName>
    <definedName name="WP_PROC_017_ISSUE_DEPENDENCY_IDS">'Library Procedures'!$P$31</definedName>
    <definedName name="WP_PROC_017_COMMENT_WORK_PERFORMED">'Library Procedures'!$Q$31</definedName>
    <definedName name="WP_PROC_018_APPLICABILITY">'Library Procedures'!$A$32</definedName>
    <definedName name="WP_PROC_018_REQUIREMENT">'Library Procedures'!$B$32</definedName>
    <definedName name="WP_PROC_018_EXECUTION_STATE">'Library Procedures'!$C$32</definedName>
    <definedName name="WP_PROC_018_EVIDENCE_STATE">'Library Procedures'!$D$32</definedName>
    <definedName name="WP_PROC_018_RESULT_STATE">'Library Procedures'!$E$32</definedName>
    <definedName name="WP_PROC_018_ISSUE_STATE">'Library Procedures'!$F$32</definedName>
    <definedName name="WP_PROC_018_SIGNOFF_STATE">'Library Procedures'!$G$32</definedName>
    <definedName name="WP_PROC_018_DERIVED_OUTCOME">'Library Procedures'!$H$32</definedName>
    <definedName name="WP_PROC_018_PROCEDURE">'Library Procedures'!$I$32</definedName>
    <definedName name="WP_PROC_018_ASSERTION_S">'Library Procedures'!$J$32</definedName>
    <definedName name="WP_PROC_018_W_P_REF">'Library Procedures'!$K$32</definedName>
    <definedName name="WP_PROC_018_PERFORMED_BY">'Library Procedures'!$L$32</definedName>
    <definedName name="WP_PROC_018_DATE">'Library Procedures'!$M$32</definedName>
    <definedName name="WP_PROC_018_REASON_CODE">'Library Procedures'!$N$32</definedName>
    <definedName name="WP_PROC_018_SOURCE_FACT_EVIDENCE">'Library Procedures'!$O$32</definedName>
    <definedName name="WP_PROC_018_ISSUE_DEPENDENCY_IDS">'Library Procedures'!$P$32</definedName>
    <definedName name="WP_PROC_018_COMMENT_WORK_PERFORMED">'Library Procedures'!$Q$32</definedName>
    <definedName name="WP_PROC_019_APPLICABILITY">'Library Procedures'!$A$34</definedName>
    <definedName name="WP_PROC_019_REQUIREMENT">'Library Procedures'!$B$34</definedName>
    <definedName name="WP_PROC_019_EXECUTION_STATE">'Library Procedures'!$C$34</definedName>
    <definedName name="WP_PROC_019_EVIDENCE_STATE">'Library Procedures'!$D$34</definedName>
    <definedName name="WP_PROC_019_RESULT_STATE">'Library Procedures'!$E$34</definedName>
    <definedName name="WP_PROC_019_ISSUE_STATE">'Library Procedures'!$F$34</definedName>
    <definedName name="WP_PROC_019_SIGNOFF_STATE">'Library Procedures'!$G$34</definedName>
    <definedName name="WP_PROC_019_DERIVED_OUTCOME">'Library Procedures'!$H$34</definedName>
    <definedName name="WP_PROC_019_PROCEDURE">'Library Procedures'!$I$34</definedName>
    <definedName name="WP_PROC_019_ASSERTION_S">'Library Procedures'!$J$34</definedName>
    <definedName name="WP_PROC_019_W_P_REF">'Library Procedures'!$K$34</definedName>
    <definedName name="WP_PROC_019_PERFORMED_BY">'Library Procedures'!$L$34</definedName>
    <definedName name="WP_PROC_019_DATE">'Library Procedures'!$M$34</definedName>
    <definedName name="WP_PROC_019_REASON_CODE">'Library Procedures'!$N$34</definedName>
    <definedName name="WP_PROC_019_SOURCE_FACT_EVIDENCE">'Library Procedures'!$O$34</definedName>
    <definedName name="WP_PROC_019_ISSUE_DEPENDENCY_IDS">'Library Procedures'!$P$34</definedName>
    <definedName name="WP_PROC_019_COMMENT_WORK_PERFORMED">'Library Procedures'!$Q$34</definedName>
    <definedName name="WP_PROC_020_APPLICABILITY">'Library Procedures'!$A$35</definedName>
    <definedName name="WP_PROC_020_REQUIREMENT">'Library Procedures'!$B$35</definedName>
    <definedName name="WP_PROC_020_EXECUTION_STATE">'Library Procedures'!$C$35</definedName>
    <definedName name="WP_PROC_020_EVIDENCE_STATE">'Library Procedures'!$D$35</definedName>
    <definedName name="WP_PROC_020_RESULT_STATE">'Library Procedures'!$E$35</definedName>
    <definedName name="WP_PROC_020_ISSUE_STATE">'Library Procedures'!$F$35</definedName>
    <definedName name="WP_PROC_020_SIGNOFF_STATE">'Library Procedures'!$G$35</definedName>
    <definedName name="WP_PROC_020_DERIVED_OUTCOME">'Library Procedures'!$H$35</definedName>
    <definedName name="WP_PROC_020_PROCEDURE">'Library Procedures'!$I$35</definedName>
    <definedName name="WP_PROC_020_ASSERTION_S">'Library Procedures'!$J$35</definedName>
    <definedName name="WP_PROC_020_W_P_REF">'Library Procedures'!$K$35</definedName>
    <definedName name="WP_PROC_020_PERFORMED_BY">'Library Procedures'!$L$35</definedName>
    <definedName name="WP_PROC_020_DATE">'Library Procedures'!$M$35</definedName>
    <definedName name="WP_PROC_020_REASON_CODE">'Library Procedures'!$N$35</definedName>
    <definedName name="WP_PROC_020_SOURCE_FACT_EVIDENCE">'Library Procedures'!$O$35</definedName>
    <definedName name="WP_PROC_020_ISSUE_DEPENDENCY_IDS">'Library Procedures'!$P$35</definedName>
    <definedName name="WP_PROC_020_COMMENT_WORK_PERFORMED">'Library Procedures'!$Q$35</definedName>
    <definedName name="WP_PROC_021_APPLICABILITY">'Library Procedures'!$A$37</definedName>
    <definedName name="WP_PROC_021_REQUIREMENT">'Library Procedures'!$B$37</definedName>
    <definedName name="WP_PROC_021_EXECUTION_STATE">'Library Procedures'!$C$37</definedName>
    <definedName name="WP_PROC_021_EVIDENCE_STATE">'Library Procedures'!$D$37</definedName>
    <definedName name="WP_PROC_021_RESULT_STATE">'Library Procedures'!$E$37</definedName>
    <definedName name="WP_PROC_021_ISSUE_STATE">'Library Procedures'!$F$37</definedName>
    <definedName name="WP_PROC_021_SIGNOFF_STATE">'Library Procedures'!$G$37</definedName>
    <definedName name="WP_PROC_021_DERIVED_OUTCOME">'Library Procedures'!$H$37</definedName>
    <definedName name="WP_PROC_021_PROCEDURE">'Library Procedures'!$I$37</definedName>
    <definedName name="WP_PROC_021_ASSERTION_S">'Library Procedures'!$J$37</definedName>
    <definedName name="WP_PROC_021_W_P_REF">'Library Procedures'!$K$37</definedName>
    <definedName name="WP_PROC_021_PERFORMED_BY">'Library Procedures'!$L$37</definedName>
    <definedName name="WP_PROC_021_DATE">'Library Procedures'!$M$37</definedName>
    <definedName name="WP_PROC_021_REASON_CODE">'Library Procedures'!$N$37</definedName>
    <definedName name="WP_PROC_021_SOURCE_FACT_EVIDENCE">'Library Procedures'!$O$37</definedName>
    <definedName name="WP_PROC_021_ISSUE_DEPENDENCY_IDS">'Library Procedures'!$P$37</definedName>
    <definedName name="WP_PROC_021_COMMENT_WORK_PERFORMED">'Library Procedures'!$Q$37</definedName>
    <definedName name="WP_PROC_022_APPLICABILITY">'Library Procedures'!$A$38</definedName>
    <definedName name="WP_PROC_022_REQUIREMENT">'Library Procedures'!$B$38</definedName>
    <definedName name="WP_PROC_022_EXECUTION_STATE">'Library Procedures'!$C$38</definedName>
    <definedName name="WP_PROC_022_EVIDENCE_STATE">'Library Procedures'!$D$38</definedName>
    <definedName name="WP_PROC_022_RESULT_STATE">'Library Procedures'!$E$38</definedName>
    <definedName name="WP_PROC_022_ISSUE_STATE">'Library Procedures'!$F$38</definedName>
    <definedName name="WP_PROC_022_SIGNOFF_STATE">'Library Procedures'!$G$38</definedName>
    <definedName name="WP_PROC_022_DERIVED_OUTCOME">'Library Procedures'!$H$38</definedName>
    <definedName name="WP_PROC_022_PROCEDURE">'Library Procedures'!$I$38</definedName>
    <definedName name="WP_PROC_022_ASSERTION_S">'Library Procedures'!$J$38</definedName>
    <definedName name="WP_PROC_022_W_P_REF">'Library Procedures'!$K$38</definedName>
    <definedName name="WP_PROC_022_PERFORMED_BY">'Library Procedures'!$L$38</definedName>
    <definedName name="WP_PROC_022_DATE">'Library Procedures'!$M$38</definedName>
    <definedName name="WP_PROC_022_REASON_CODE">'Library Procedures'!$N$38</definedName>
    <definedName name="WP_PROC_022_SOURCE_FACT_EVIDENCE">'Library Procedures'!$O$38</definedName>
    <definedName name="WP_PROC_022_ISSUE_DEPENDENCY_IDS">'Library Procedures'!$P$38</definedName>
    <definedName name="WP_PROC_022_COMMENT_WORK_PERFORMED">'Library Procedures'!$Q$38</definedName>
    <definedName name="WP_PROC_023_APPLICABILITY">'Library Procedures'!$A$40</definedName>
    <definedName name="WP_PROC_023_REQUIREMENT">'Library Procedures'!$B$40</definedName>
    <definedName name="WP_PROC_023_EXECUTION_STATE">'Library Procedures'!$C$40</definedName>
    <definedName name="WP_PROC_023_EVIDENCE_STATE">'Library Procedures'!$D$40</definedName>
    <definedName name="WP_PROC_023_RESULT_STATE">'Library Procedures'!$E$40</definedName>
    <definedName name="WP_PROC_023_ISSUE_STATE">'Library Procedures'!$F$40</definedName>
    <definedName name="WP_PROC_023_SIGNOFF_STATE">'Library Procedures'!$G$40</definedName>
    <definedName name="WP_PROC_023_DERIVED_OUTCOME">'Library Procedures'!$H$40</definedName>
    <definedName name="WP_PROC_023_PROCEDURE">'Library Procedures'!$I$40</definedName>
    <definedName name="WP_PROC_023_ASSERTION_S">'Library Procedures'!$J$40</definedName>
    <definedName name="WP_PROC_023_W_P_REF">'Library Procedures'!$K$40</definedName>
    <definedName name="WP_PROC_023_PERFORMED_BY">'Library Procedures'!$L$40</definedName>
    <definedName name="WP_PROC_023_DATE">'Library Procedures'!$M$40</definedName>
    <definedName name="WP_PROC_023_REASON_CODE">'Library Procedures'!$N$40</definedName>
    <definedName name="WP_PROC_023_SOURCE_FACT_EVIDENCE">'Library Procedures'!$O$40</definedName>
    <definedName name="WP_PROC_023_ISSUE_DEPENDENCY_IDS">'Library Procedures'!$P$40</definedName>
    <definedName name="WP_PROC_023_COMMENT_WORK_PERFORMED">'Library Procedures'!$Q$40</definedName>
    <definedName name="WP_TABLE_REVENUE_DETAIL_DATA">'&lt;.3&gt; Detail Testing'!$A$9:$Y$44</definedName>
    <definedName name="WP_TABLE_REVENUE_DETAIL_TOTAL">'&lt;.3&gt; Detail Testing'!$A$45:$Y$45</definedName>
    <definedName name="WP_ANALYTIC_REVENUE_NET_ANCHOR">'&lt;.8&gt; Analytics &amp; Disclosures'!$A$9</definedName>
    <definedName name="WP_ANALYTIC_REVENUE_NET_CURRENT_VALUE">'&lt;.8&gt; Analytics &amp; Disclosures'!$B$9</definedName>
    <definedName name="WP_ANALYTIC_REVENUE_NET_COMPARATOR_VALUE">'&lt;.8&gt; Analytics &amp; Disclosures'!$C$9</definedName>
    <definedName name="WP_ANALYTIC_REVENUE_NET_CHANGE">'&lt;.8&gt; Analytics &amp; Disclosures'!$D$9</definedName>
    <definedName name="WP_ANALYTIC_REVENUE_NET_EXPLANATION">'&lt;.8&gt; Analytics &amp; Disclosures'!$E$9</definedName>
    <definedName name="WP_ANALYTIC_REVENUE_GROSS_MARGIN_ANCHOR">'&lt;.8&gt; Analytics &amp; Disclosures'!$A$10</definedName>
    <definedName name="WP_ANALYTIC_REVENUE_GROSS_MARGIN_CURRENT_VALUE">'&lt;.8&gt; Analytics &amp; Disclosures'!$B$10</definedName>
    <definedName name="WP_ANALYTIC_REVENUE_GROSS_MARGIN_COMPARATOR_VALUE">'&lt;.8&gt; Analytics &amp; Disclosures'!$C$10</definedName>
    <definedName name="WP_ANALYTIC_REVENUE_GROSS_MARGIN_CHANGE">'&lt;.8&gt; Analytics &amp; Disclosures'!$D$10</definedName>
    <definedName name="WP_ANALYTIC_REVENUE_GROSS_MARGIN_EXPLANATION">'&lt;.8&gt; Analytics &amp; Disclosures'!$E$10</definedName>
    <definedName name="WP_ANALYTIC_REVENUE_MONTHLY_AVERAGE_ANCHOR">'&lt;.8&gt; Analytics &amp; Disclosures'!$A$11</definedName>
    <definedName name="WP_ANALYTIC_REVENUE_MONTHLY_AVERAGE_CURRENT_VALUE">'&lt;.8&gt; Analytics &amp; Disclosures'!$B$11</definedName>
    <definedName name="WP_ANALYTIC_REVENUE_MONTHLY_AVERAGE_COMPARATOR_VALUE">'&lt;.8&gt; Analytics &amp; Disclosures'!$C$11</definedName>
    <definedName name="WP_ANALYTIC_REVENUE_MONTHLY_AVERAGE_CHANGE">'&lt;.8&gt; Analytics &amp; Disclosures'!$D$11</definedName>
    <definedName name="WP_ANALYTIC_REVENUE_MONTHLY_AVERAGE_EXPLANATION">'&lt;.8&gt; Analytics &amp; Disclosures'!$E$11</definedName>
    <definedName name="WP_ANALYTIC_REVENUE_CONTRA_PCT_ANCHOR">'&lt;.8&gt; Analytics &amp; Disclosures'!$A$12</definedName>
    <definedName name="WP_ANALYTIC_REVENUE_CONTRA_PCT_CURRENT_VALUE">'&lt;.8&gt; Analytics &amp; Disclosures'!$B$12</definedName>
    <definedName name="WP_ANALYTIC_REVENUE_CONTRA_PCT_COMPARATOR_VALUE">'&lt;.8&gt; Analytics &amp; Disclosures'!$C$12</definedName>
    <definedName name="WP_ANALYTIC_REVENUE_CONTRA_PCT_CHANGE">'&lt;.8&gt; Analytics &amp; Disclosures'!$D$12</definedName>
    <definedName name="WP_ANALYTIC_REVENUE_CONTRA_PCT_EXPLANATION">'&lt;.8&gt; Analytics &amp; Disclosures'!$E$12</definedName>
    <definedName name="WP_ANALYTIC_REVENUE_TOP_FIVE_CONCENTRATION_ANCHOR">'&lt;.8&gt; Analytics &amp; Disclosures'!$A$13</definedName>
    <definedName name="WP_ANALYTIC_REVENUE_TOP_FIVE_CONCENTRATION_CURRENT_VALUE">'&lt;.8&gt; Analytics &amp; Disclosures'!$B$13</definedName>
    <definedName name="WP_ANALYTIC_REVENUE_TOP_FIVE_CONCENTRATION_COMPARATOR_VALUE">'&lt;.8&gt; Analytics &amp; Disclosures'!$C$13</definedName>
    <definedName name="WP_ANALYTIC_REVENUE_TOP_FIVE_CONCENTRATION_CHANGE">'&lt;.8&gt; Analytics &amp; Disclosures'!$D$13</definedName>
    <definedName name="WP_ANALYTIC_REVENUE_TOP_FIVE_CONCENTRATION_EXPLANATION">'&lt;.8&gt; Analytics &amp; Disclosures'!$E$13</definedName>
    <definedName name="WP_ANALYTIC_REVENUE_DSO_ANCHOR">'&lt;.8&gt; Analytics &amp; Disclosures'!$A$14</definedName>
    <definedName name="WP_ANALYTIC_REVENUE_DSO_CURRENT_VALUE">'&lt;.8&gt; Analytics &amp; Disclosures'!$B$14</definedName>
    <definedName name="WP_ANALYTIC_REVENUE_DSO_COMPARATOR_VALUE">'&lt;.8&gt; Analytics &amp; Disclosures'!$C$14</definedName>
    <definedName name="WP_ANALYTIC_REVENUE_DSO_CHANGE">'&lt;.8&gt; Analytics &amp; Disclosures'!$D$14</definedName>
    <definedName name="WP_ANALYTIC_REVENUE_DSO_EXPLANATION">'&lt;.8&gt; Analytics &amp; Disclosures'!$E$14</definedName>
    <definedName name="WP_DISCLOSURE_REVENUE_DISAGGREGATION_ANCHOR">'&lt;.8&gt; Analytics &amp; Disclosures'!$A$18</definedName>
    <definedName name="WP_DISCLOSURE_REVENUE_DISAGGREGATION_RELEVANT">'&lt;.8&gt; Analytics &amp; Disclosures'!$B$18</definedName>
    <definedName name="WP_DISCLOSURE_REVENUE_DISAGGREGATION_SOURCE_REFERENCE">'&lt;.8&gt; Analytics &amp; Disclosures'!$C$18</definedName>
    <definedName name="WP_DISCLOSURE_REVENUE_DISAGGREGATION_CONCLUSION">'&lt;.8&gt; Analytics &amp; Disclosures'!$D$18</definedName>
    <definedName name="WP_DISCLOSURE_REVENUE_DISAGGREGATION_COMMENTS">'&lt;.8&gt; Analytics &amp; Disclosures'!$E$18</definedName>
    <definedName name="WP_DISCLOSURE_REVENUE_CONTRACT_BALANCES_ANCHOR">'&lt;.8&gt; Analytics &amp; Disclosures'!$A$19</definedName>
    <definedName name="WP_DISCLOSURE_REVENUE_CONTRACT_BALANCES_RELEVANT">'&lt;.8&gt; Analytics &amp; Disclosures'!$B$19</definedName>
    <definedName name="WP_DISCLOSURE_REVENUE_CONTRACT_BALANCES_SOURCE_REFERENCE">'&lt;.8&gt; Analytics &amp; Disclosures'!$C$19</definedName>
    <definedName name="WP_DISCLOSURE_REVENUE_CONTRACT_BALANCES_CONCLUSION">'&lt;.8&gt; Analytics &amp; Disclosures'!$D$19</definedName>
    <definedName name="WP_DISCLOSURE_REVENUE_CONTRACT_BALANCES_COMMENTS">'&lt;.8&gt; Analytics &amp; Disclosures'!$E$19</definedName>
    <definedName name="WP_DISCLOSURE_REVENUE_REMAINING_OBLIGATIONS_ANCHOR">'&lt;.8&gt; Analytics &amp; Disclosures'!$A$20</definedName>
    <definedName name="WP_DISCLOSURE_REVENUE_REMAINING_OBLIGATIONS_RELEVANT">'&lt;.8&gt; Analytics &amp; Disclosures'!$B$20</definedName>
    <definedName name="WP_DISCLOSURE_REVENUE_REMAINING_OBLIGATIONS_SOURCE_REFERENCE">'&lt;.8&gt; Analytics &amp; Disclosures'!$C$20</definedName>
    <definedName name="WP_DISCLOSURE_REVENUE_REMAINING_OBLIGATIONS_CONCLUSION">'&lt;.8&gt; Analytics &amp; Disclosures'!$D$20</definedName>
    <definedName name="WP_DISCLOSURE_REVENUE_REMAINING_OBLIGATIONS_COMMENTS">'&lt;.8&gt; Analytics &amp; Disclosures'!$E$20</definedName>
    <definedName name="WP_DISCLOSURE_REVENUE_JUDGMENTS_ANCHOR">'&lt;.8&gt; Analytics &amp; Disclosures'!$A$21</definedName>
    <definedName name="WP_DISCLOSURE_REVENUE_JUDGMENTS_RELEVANT">'&lt;.8&gt; Analytics &amp; Disclosures'!$B$21</definedName>
    <definedName name="WP_DISCLOSURE_REVENUE_JUDGMENTS_SOURCE_REFERENCE">'&lt;.8&gt; Analytics &amp; Disclosures'!$C$21</definedName>
    <definedName name="WP_DISCLOSURE_REVENUE_JUDGMENTS_CONCLUSION">'&lt;.8&gt; Analytics &amp; Disclosures'!$D$21</definedName>
    <definedName name="WP_DISCLOSURE_REVENUE_JUDGMENTS_COMMENTS">'&lt;.8&gt; Analytics &amp; Disclosures'!$E$21</definedName>
    <definedName name="WP_DISCLOSURE_REVENUE_POLICY_ANCHOR">'&lt;.8&gt; Analytics &amp; Disclosures'!$A$22</definedName>
    <definedName name="WP_DISCLOSURE_REVENUE_POLICY_RELEVANT">'&lt;.8&gt; Analytics &amp; Disclosures'!$B$22</definedName>
    <definedName name="WP_DISCLOSURE_REVENUE_POLICY_SOURCE_REFERENCE">'&lt;.8&gt; Analytics &amp; Disclosures'!$C$22</definedName>
    <definedName name="WP_DISCLOSURE_REVENUE_POLICY_CONCLUSION">'&lt;.8&gt; Analytics &amp; Disclosures'!$D$22</definedName>
    <definedName name="WP_DISCLOSURE_REVENUE_POLICY_COMMENTS">'&lt;.8&gt; Analytics &amp; Disclosures'!$E$22</definedName>
    <definedName name="WP_DISCLOSURE_REVENUE_PRINCIPAL_AGENT_ANCHOR">'&lt;.8&gt; Analytics &amp; Disclosures'!$A$23</definedName>
    <definedName name="WP_DISCLOSURE_REVENUE_PRINCIPAL_AGENT_RELEVANT">'&lt;.8&gt; Analytics &amp; Disclosures'!$B$23</definedName>
    <definedName name="WP_DISCLOSURE_REVENUE_PRINCIPAL_AGENT_SOURCE_REFERENCE">'&lt;.8&gt; Analytics &amp; Disclosures'!$C$23</definedName>
    <definedName name="WP_DISCLOSURE_REVENUE_PRINCIPAL_AGENT_CONCLUSION">'&lt;.8&gt; Analytics &amp; Disclosures'!$D$23</definedName>
    <definedName name="WP_DISCLOSURE_REVENUE_PRINCIPAL_AGENT_COMMENTS">'&lt;.8&gt; Analytics &amp; Disclosures'!$E$23</definedName>
    <definedName name="WP_DISCLOSURE_REVENUE_CONCENTRATION_ANCHOR">'&lt;.8&gt; Analytics &amp; Disclosures'!$A$24</definedName>
    <definedName name="WP_DISCLOSURE_REVENUE_CONCENTRATION_RELEVANT">'&lt;.8&gt; Analytics &amp; Disclosures'!$B$24</definedName>
    <definedName name="WP_DISCLOSURE_REVENUE_CONCENTRATION_SOURCE_REFERENCE">'&lt;.8&gt; Analytics &amp; Disclosures'!$C$24</definedName>
    <definedName name="WP_DISCLOSURE_REVENUE_CONCENTRATION_CONCLUSION">'&lt;.8&gt; Analytics &amp; Disclosures'!$D$24</definedName>
    <definedName name="WP_DISCLOSURE_REVENUE_CONCENTRATION_COMMENTS">'&lt;.8&gt; Analytics &amp; Disclosures'!$E$24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Procedures'!$A$6:$Q$40</definedName>
    <definedName name="_xlnm.Print_Titles" localSheetId="0">'Library Procedures'!$1:$6</definedName>
    <definedName name="_xlnm.Print_Area" localSheetId="0">'Library Procedures'!$A$1:$Q$40</definedName>
    <definedName name="_xlnm.Print_Area" localSheetId="1">'&lt;.0&gt; Source Index'!$A$1:$H$32</definedName>
    <definedName name="_xlnm.Print_Area" localSheetId="2">'&lt;.1&gt; Revenue Lead Sheet'!$A$1:$I$35</definedName>
    <definedName name="_xlnm.Print_Area" localSheetId="3">'&lt;.2&gt; Revenue Reconciliation'!$A$1:$I$32</definedName>
    <definedName name="_xlnm._FilterDatabase" localSheetId="4" hidden="1">'&lt;.3&gt; Detail Testing'!$A$7:$Y$44</definedName>
    <definedName name="_xlnm.Print_Titles" localSheetId="4">'&lt;.3&gt; Detail Testing'!$1:$7</definedName>
    <definedName name="_xlnm.Print_Area" localSheetId="4">'&lt;.3&gt; Detail Testing'!$A$1:$Y$60</definedName>
    <definedName name="_xlnm.Print_Titles" localSheetId="5">'&lt;.4&gt; Cutoff (Two-Directional)'!$1:$7</definedName>
    <definedName name="_xlnm.Print_Area" localSheetId="5">'&lt;.4&gt; Cutoff (Two-Directional)'!$A$1:$J$46</definedName>
    <definedName name="_xlnm.Print_Titles" localSheetId="6">'&lt;.5&gt; Variable Consideration'!$1:$7</definedName>
    <definedName name="_xlnm.Print_Area" localSheetId="6">'&lt;.5&gt; Variable Consideration'!$A$1:$H$47</definedName>
    <definedName name="_xlnm.Print_Titles" localSheetId="7">'&lt;.6&gt; Contract Liab Rollforward'!$1:$7</definedName>
    <definedName name="_xlnm.Print_Area" localSheetId="7">'&lt;.6&gt; Contract Liab Rollforward'!$A$1:$H$41</definedName>
    <definedName name="_xlnm.Print_Titles" localSheetId="8">'&lt;.7&gt; Recognition Framework'!$1:$7</definedName>
    <definedName name="_xlnm.Print_Area" localSheetId="8">'&lt;.7&gt; Recognition Framework'!$A$1:$H$53</definedName>
    <definedName name="_xlnm.Print_Area" localSheetId="9">'&lt;.8&gt; Analytics &amp; Disclosures'!$A$1:$H$37</definedName>
    <definedName name="_xlnm.Print_Area" localSheetId="10">'Planning Context'!$A$1:$B$21</definedName>
    <definedName name="_xlnm.Print_Area" localSheetId="11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1" fillId="2" borderId="1" pivotButton="0" quotePrefix="0" xfId="0"/>
    <xf numFmtId="0" fontId="2" fillId="3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2" fillId="0" borderId="1" pivotButton="0" quotePrefix="0" xfId="0"/>
    <xf numFmtId="4" fontId="2" fillId="3" borderId="1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10" fillId="0" borderId="0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0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wrapText="1"/>
    </xf>
    <xf numFmtId="0" fontId="3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5" pivotButton="0" quotePrefix="0" xfId="0"/>
    <xf numFmtId="0" fontId="20" fillId="0" borderId="6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9" pivotButton="0" quotePrefix="0" xfId="0"/>
    <xf numFmtId="0" fontId="20" fillId="0" borderId="10" pivotButton="0" quotePrefix="0" xfId="0"/>
    <xf numFmtId="0" fontId="25" fillId="0" borderId="0" applyAlignment="1" pivotButton="0" quotePrefix="0" xfId="0">
      <alignment horizontal="center" vertical="center"/>
    </xf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10" fontId="17" fillId="0" borderId="1" applyAlignment="1" pivotButton="0" quotePrefix="0" xfId="0">
      <alignment vertical="top" wrapText="1"/>
    </xf>
    <xf numFmtId="0" fontId="26" fillId="3" borderId="1" pivotButton="0" quotePrefix="0" xfId="0"/>
    <xf numFmtId="4" fontId="26" fillId="3" borderId="1" pivotButton="0" quotePrefix="0" xfId="0"/>
    <xf numFmtId="0" fontId="21" fillId="0" borderId="1" applyAlignment="1" pivotButton="0" quotePrefix="0" xfId="0">
      <alignment vertical="top" wrapText="1"/>
    </xf>
    <xf numFmtId="4" fontId="21" fillId="3" borderId="1" pivotButton="0" quotePrefix="0" xfId="0"/>
    <xf numFmtId="0" fontId="17" fillId="0" borderId="2" applyAlignment="1" pivotButton="0" quotePrefix="0" xfId="0">
      <alignment vertical="center" wrapText="1"/>
    </xf>
    <xf numFmtId="0" fontId="17" fillId="0" borderId="1" applyAlignment="1" pivotButton="0" quotePrefix="0" xfId="0">
      <alignment horizontal="center" vertical="center"/>
    </xf>
    <xf numFmtId="3" fontId="17" fillId="0" borderId="1" pivotButton="0" quotePrefix="0" xfId="0"/>
    <xf numFmtId="0" fontId="18" fillId="0" borderId="0" pivotButton="0" quotePrefix="0" xfId="0"/>
    <xf numFmtId="0" fontId="17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vertical="top" wrapText="1"/>
    </xf>
    <xf numFmtId="0" fontId="21" fillId="3" borderId="1" pivotButton="0" quotePrefix="0" xfId="0"/>
    <xf numFmtId="10" fontId="17" fillId="0" borderId="1" pivotButton="0" quotePrefix="0" xfId="0"/>
    <xf numFmtId="4" fontId="21" fillId="3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left" vertical="center" wrapText="1"/>
    </xf>
    <xf numFmtId="0" fontId="27" fillId="0" borderId="0" pivotButton="0" quotePrefix="0" xfId="0"/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3" pivotButton="0" quotePrefix="0" xfId="0"/>
    <xf numFmtId="0" fontId="30" fillId="0" borderId="13" pivotButton="0" quotePrefix="0" xfId="0"/>
    <xf numFmtId="0" fontId="30" fillId="0" borderId="13" applyAlignment="1" pivotButton="0" quotePrefix="0" xfId="0">
      <alignment vertical="top" wrapText="1"/>
    </xf>
    <xf numFmtId="165" fontId="30" fillId="0" borderId="13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WP_REVENUE_DETAIL" displayName="WP_REVENUE_DETAIL" ref="A7:Y44" headerRowCount="1">
  <autoFilter ref="A7:Y44"/>
  <tableColumns count="25">
    <tableColumn id="1" name="Sel #"/>
    <tableColumn id="2" name="Invoice #"/>
    <tableColumn id="3" name="Rev-rec date"/>
    <tableColumn id="4" name="Customer"/>
    <tableColumn id="5" name="Stream"/>
    <tableColumn id="6" name="Contract / PO ref"/>
    <tableColumn id="7" name="Contract / PO approved (Y/N)"/>
    <tableColumn id="8" name="Unit price per contract / PO"/>
    <tableColumn id="9" name="Unit price per invoice"/>
    <tableColumn id="10" name="Price diff"/>
    <tableColumn id="11" name="Qty ordered"/>
    <tableColumn id="12" name="Qty delivered (BOL / POD)"/>
    <tableColumn id="13" name="Qty invoiced"/>
    <tableColumn id="14" name="Qty diff (invoiced − delivered)"/>
    <tableColumn id="15" name="Shipping terms / control point"/>
    <tableColumn id="16" name="Control-transfer date"/>
    <tableColumn id="17" name="Proper period (Y/N)"/>
    <tableColumn id="18" name="Revenue recorded"/>
    <tableColumn id="19" name="Recomputed (= inv price × qty invoiced)"/>
    <tableColumn id="20" name="Difference"/>
    <tableColumn id="21" name="Cash receipt ref"/>
    <tableColumn id="22" name="Amount received (applied)"/>
    <tableColumn id="23" name="Receipt diff"/>
    <tableColumn id="24" name="Principal / Agent"/>
    <tableColumn id="25" name="Comment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0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A4" sqref="A4:F4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36.8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17.5" customHeight="1">
      <c r="A1" s="42" t="inlineStr">
        <is>
          <t>Revenue — Library of Audit Procedures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</row>
    <row r="2">
      <c r="A2" s="44" t="inlineStr">
        <is>
          <t>Client / Entity: Vaquite Industries, Inc.</t>
        </is>
      </c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</row>
    <row r="3" ht="40.5" customHeight="1">
      <c r="A3" s="44" t="inlineStr">
        <is>
          <t>Prepared by: Audit Senior 80A0 (assigned)      Reviewed by: Audit Manager 403F (assigned)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</row>
    <row r="4" ht="25.5" customHeight="1">
      <c r="A4" s="45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</row>
    <row r="5">
      <c r="A5" s="43" t="n"/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</row>
    <row r="6" ht="19.5" customHeight="1">
      <c r="A6" s="46" t="inlineStr">
        <is>
          <t>Applicability</t>
        </is>
      </c>
      <c r="B6" s="46" t="inlineStr">
        <is>
          <t>Requirement</t>
        </is>
      </c>
      <c r="C6" s="46" t="inlineStr">
        <is>
          <t>Execution state</t>
        </is>
      </c>
      <c r="D6" s="46" t="inlineStr">
        <is>
          <t>Evidence state</t>
        </is>
      </c>
      <c r="E6" s="46" t="inlineStr">
        <is>
          <t>Result state</t>
        </is>
      </c>
      <c r="F6" s="46" t="inlineStr">
        <is>
          <t>Issue state</t>
        </is>
      </c>
      <c r="G6" s="46" t="inlineStr">
        <is>
          <t>Signoff state</t>
        </is>
      </c>
      <c r="H6" s="46" t="inlineStr">
        <is>
          <t>Derived outcome</t>
        </is>
      </c>
      <c r="I6" s="46" t="inlineStr">
        <is>
          <t>Procedure</t>
        </is>
      </c>
      <c r="J6" s="46" t="inlineStr">
        <is>
          <t>Assertion(s)</t>
        </is>
      </c>
      <c r="K6" s="46" t="inlineStr">
        <is>
          <t>W/P Ref</t>
        </is>
      </c>
      <c r="L6" s="46" t="inlineStr">
        <is>
          <t>Performed by</t>
        </is>
      </c>
      <c r="M6" s="46" t="inlineStr">
        <is>
          <t>Date</t>
        </is>
      </c>
      <c r="N6" s="46" t="inlineStr">
        <is>
          <t>Reason code</t>
        </is>
      </c>
      <c r="O6" s="46" t="inlineStr">
        <is>
          <t>Source fact / evidence</t>
        </is>
      </c>
      <c r="P6" s="46" t="inlineStr">
        <is>
          <t>Issue / dependency IDs</t>
        </is>
      </c>
      <c r="Q6" s="46" t="inlineStr">
        <is>
          <t>Comment / Work performed</t>
        </is>
      </c>
    </row>
    <row r="7">
      <c r="A7" s="47" t="n"/>
      <c r="B7" s="43" t="n"/>
      <c r="C7" s="43" t="n"/>
      <c r="D7" s="43" t="n"/>
      <c r="E7" s="43" t="n"/>
      <c r="F7" s="43" t="n"/>
      <c r="G7" s="43" t="n"/>
      <c r="H7" s="43" t="n"/>
      <c r="I7" s="48" t="inlineStr">
        <is>
          <t>&lt;.0&gt; Source Index</t>
        </is>
      </c>
      <c r="J7" s="43" t="n"/>
      <c r="K7" s="43" t="n"/>
      <c r="L7" s="43" t="n"/>
      <c r="M7" s="43" t="n"/>
      <c r="N7" s="43" t="n"/>
      <c r="O7" s="43" t="n"/>
      <c r="P7" s="43" t="n"/>
      <c r="Q7" s="43" t="n"/>
    </row>
    <row r="8" ht="120" customHeight="1">
      <c r="A8" s="49" t="inlineStr">
        <is>
          <t>Applicable</t>
        </is>
      </c>
      <c r="B8" s="49" t="inlineStr">
        <is>
          <t>Required</t>
        </is>
      </c>
      <c r="C8" s="49" t="inlineStr">
        <is>
          <t>Not Started</t>
        </is>
      </c>
      <c r="D8" s="49" t="inlineStr">
        <is>
          <t>Missing</t>
        </is>
      </c>
      <c r="E8" s="49" t="inlineStr">
        <is>
          <t>Unable to Conclude</t>
        </is>
      </c>
      <c r="F8" s="49" t="inlineStr">
        <is>
          <t>None</t>
        </is>
      </c>
      <c r="G8" s="50" t="inlineStr">
        <is>
          <t>Unsigned</t>
        </is>
      </c>
      <c r="H8" s="50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50" t="inlineStr">
        <is>
          <t>1. Obtain and index all revenue PBC sources (register / sales journal, GL detail, invoices, contracts / POs, shipping documents, price lists, cash-receipts ledger, rebate agreements, post-YE credit-memo log, first post-YE sales journal &amp; shipping log, deferred-revenue schedule); document limitations.</t>
        </is>
      </c>
      <c r="J8" s="50" t="inlineStr">
        <is>
          <t>Completeness</t>
        </is>
      </c>
      <c r="K8" s="50" t="inlineStr">
        <is>
          <t>&lt;.0&gt;</t>
        </is>
      </c>
      <c r="L8" s="50" t="n"/>
      <c r="M8" s="51" t="n"/>
      <c r="N8" s="50" t="n"/>
      <c r="O8" s="50" t="n"/>
      <c r="P8" s="50" t="inlineStr">
        <is>
          <t>PROC:PROC-REVENUE; PROC:Resp Revenue reference 001; PROC:Resp Revenue Unpredictable reference 001</t>
        </is>
      </c>
      <c r="Q8" s="50" t="n"/>
    </row>
    <row r="9">
      <c r="A9" s="47" t="n"/>
      <c r="B9" s="43" t="n"/>
      <c r="C9" s="43" t="n"/>
      <c r="D9" s="43" t="n"/>
      <c r="E9" s="43" t="n"/>
      <c r="F9" s="43" t="n"/>
      <c r="G9" s="43" t="n"/>
      <c r="H9" s="43" t="n"/>
      <c r="I9" s="52" t="inlineStr">
        <is>
          <t>&lt;.1&gt; Revenue Lead Sheet</t>
        </is>
      </c>
      <c r="J9" s="43" t="n"/>
      <c r="K9" s="43" t="n"/>
      <c r="L9" s="43" t="n"/>
      <c r="M9" s="43" t="n"/>
      <c r="N9" s="43" t="n"/>
      <c r="O9" s="43" t="n"/>
      <c r="P9" s="43" t="n"/>
      <c r="Q9" s="43" t="n"/>
    </row>
    <row r="10" ht="120" customHeight="1">
      <c r="A10" s="49" t="inlineStr">
        <is>
          <t>Applicable</t>
        </is>
      </c>
      <c r="B10" s="49" t="inlineStr">
        <is>
          <t>Required</t>
        </is>
      </c>
      <c r="C10" s="49" t="inlineStr">
        <is>
          <t>Not Started</t>
        </is>
      </c>
      <c r="D10" s="49" t="inlineStr">
        <is>
          <t>Missing</t>
        </is>
      </c>
      <c r="E10" s="49" t="inlineStr">
        <is>
          <t>Unable to Conclude</t>
        </is>
      </c>
      <c r="F10" s="49" t="inlineStr">
        <is>
          <t>None</t>
        </is>
      </c>
      <c r="G10" s="50" t="inlineStr">
        <is>
          <t>Unsigned</t>
        </is>
      </c>
      <c r="H10" s="50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50" t="inlineStr">
        <is>
          <t>2. Agree revenue by stream to the trial balance / GL, foot the lead, and flag each stream's recognition pattern (point-in-time / over-time) to route it to the &lt;.7&gt; framework.</t>
        </is>
      </c>
      <c r="J10" s="50" t="inlineStr">
        <is>
          <t>Occurrence; Completeness; Classification</t>
        </is>
      </c>
      <c r="K10" s="50" t="inlineStr">
        <is>
          <t>&lt;.1&gt;</t>
        </is>
      </c>
      <c r="L10" s="50" t="n"/>
      <c r="M10" s="51" t="n"/>
      <c r="N10" s="50" t="n"/>
      <c r="O10" s="50" t="n"/>
      <c r="P10" s="50" t="inlineStr">
        <is>
          <t>PROC:PROC-REVENUE; PROC:Resp Revenue reference 001; PROC:Resp Revenue Unpredictable reference 001</t>
        </is>
      </c>
      <c r="Q10" s="50" t="n"/>
    </row>
    <row r="11" ht="120" customHeight="1">
      <c r="A11" s="49" t="inlineStr">
        <is>
          <t>Applicable</t>
        </is>
      </c>
      <c r="B11" s="49" t="inlineStr">
        <is>
          <t>Required</t>
        </is>
      </c>
      <c r="C11" s="49" t="inlineStr">
        <is>
          <t>Not Started</t>
        </is>
      </c>
      <c r="D11" s="49" t="inlineStr">
        <is>
          <t>Missing</t>
        </is>
      </c>
      <c r="E11" s="49" t="inlineStr">
        <is>
          <t>Unable to Conclude</t>
        </is>
      </c>
      <c r="F11" s="49" t="inlineStr">
        <is>
          <t>None</t>
        </is>
      </c>
      <c r="G11" s="50" t="inlineStr">
        <is>
          <t>Unsigned</t>
        </is>
      </c>
      <c r="H11" s="50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50" t="inlineStr">
        <is>
          <t>3. Evaluate gross vs contra presentation — returns, discounts and rebates net against gross revenue — and confirm net revenue ties to the TB.</t>
        </is>
      </c>
      <c r="J11" s="50" t="inlineStr">
        <is>
          <t>Classification; Accuracy</t>
        </is>
      </c>
      <c r="K11" s="50" t="inlineStr">
        <is>
          <t>&lt;.1&gt;</t>
        </is>
      </c>
      <c r="L11" s="50" t="n"/>
      <c r="M11" s="51" t="n"/>
      <c r="N11" s="50" t="n"/>
      <c r="O11" s="50" t="n"/>
      <c r="P11" s="50" t="inlineStr">
        <is>
          <t>PROC:PROC-REVENUE; PROC:Resp Revenue reference 001; PROC:Resp Revenue Unpredictable reference 001</t>
        </is>
      </c>
      <c r="Q11" s="50" t="n"/>
    </row>
    <row r="12">
      <c r="A12" s="47" t="n"/>
      <c r="B12" s="43" t="n"/>
      <c r="C12" s="43" t="n"/>
      <c r="D12" s="43" t="n"/>
      <c r="E12" s="43" t="n"/>
      <c r="F12" s="43" t="n"/>
      <c r="G12" s="43" t="n"/>
      <c r="H12" s="43" t="n"/>
      <c r="I12" s="52" t="inlineStr">
        <is>
          <t>&lt;.2&gt; Revenue Reconciliation</t>
        </is>
      </c>
      <c r="J12" s="43" t="n"/>
      <c r="K12" s="43" t="n"/>
      <c r="L12" s="43" t="n"/>
      <c r="M12" s="43" t="n"/>
      <c r="N12" s="43" t="n"/>
      <c r="O12" s="43" t="n"/>
      <c r="P12" s="43" t="n"/>
      <c r="Q12" s="43" t="n"/>
    </row>
    <row r="13" ht="120" customHeight="1">
      <c r="A13" s="49" t="inlineStr">
        <is>
          <t>Applicable</t>
        </is>
      </c>
      <c r="B13" s="49" t="inlineStr">
        <is>
          <t>Required</t>
        </is>
      </c>
      <c r="C13" s="49" t="inlineStr">
        <is>
          <t>Not Started</t>
        </is>
      </c>
      <c r="D13" s="49" t="inlineStr">
        <is>
          <t>Missing</t>
        </is>
      </c>
      <c r="E13" s="49" t="inlineStr">
        <is>
          <t>Unable to Conclude</t>
        </is>
      </c>
      <c r="F13" s="49" t="inlineStr">
        <is>
          <t>None</t>
        </is>
      </c>
      <c r="G13" s="50" t="inlineStr">
        <is>
          <t>Unsigned</t>
        </is>
      </c>
      <c r="H13" s="50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50" t="inlineStr">
        <is>
          <t>4. Reconcile the revenue register / sub-ledger to the GL by stream, isolating reconciling items (e.g., rebate accruals) and quantifying unidentified differences against the threshold.</t>
        </is>
      </c>
      <c r="J13" s="50" t="inlineStr">
        <is>
          <t>Completeness; Accuracy</t>
        </is>
      </c>
      <c r="K13" s="50" t="inlineStr">
        <is>
          <t>&lt;.2&gt;</t>
        </is>
      </c>
      <c r="L13" s="50" t="n"/>
      <c r="M13" s="51" t="n"/>
      <c r="N13" s="50" t="n"/>
      <c r="O13" s="50" t="n"/>
      <c r="P13" s="50" t="inlineStr">
        <is>
          <t>PROC:PROC-REVENUE; PROC:Resp Revenue reference 001; PROC:Resp Revenue Unpredictable reference 001</t>
        </is>
      </c>
      <c r="Q13" s="50" t="n"/>
    </row>
    <row r="14" ht="120" customHeight="1">
      <c r="A14" s="49" t="inlineStr">
        <is>
          <t>Applicable</t>
        </is>
      </c>
      <c r="B14" s="49" t="inlineStr">
        <is>
          <t>Required</t>
        </is>
      </c>
      <c r="C14" s="49" t="inlineStr">
        <is>
          <t>Not Started</t>
        </is>
      </c>
      <c r="D14" s="49" t="inlineStr">
        <is>
          <t>Missing</t>
        </is>
      </c>
      <c r="E14" s="49" t="inlineStr">
        <is>
          <t>Unable to Conclude</t>
        </is>
      </c>
      <c r="F14" s="49" t="inlineStr">
        <is>
          <t>None</t>
        </is>
      </c>
      <c r="G14" s="50" t="inlineStr">
        <is>
          <t>Unsigned</t>
        </is>
      </c>
      <c r="H14" s="50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50" t="inlineStr">
        <is>
          <t>5. Map every stream to its testing approach (detail testing, cutoff, variable consideration, analytics) and evaluate any untested amounts.</t>
        </is>
      </c>
      <c r="J14" s="50" t="inlineStr">
        <is>
          <t>Completeness</t>
        </is>
      </c>
      <c r="K14" s="50" t="inlineStr">
        <is>
          <t>&lt;.2&gt;</t>
        </is>
      </c>
      <c r="L14" s="50" t="n"/>
      <c r="M14" s="51" t="n"/>
      <c r="N14" s="50" t="n"/>
      <c r="O14" s="50" t="n"/>
      <c r="P14" s="50" t="inlineStr">
        <is>
          <t>PROC:PROC-REVENUE; PROC:Resp Revenue reference 001; PROC:Resp Revenue Unpredictable reference 001; WINDOW:WIN-REVENUE-CUTOFF</t>
        </is>
      </c>
      <c r="Q14" s="50" t="n"/>
    </row>
    <row r="15">
      <c r="A15" s="47" t="n"/>
      <c r="B15" s="43" t="n"/>
      <c r="C15" s="43" t="n"/>
      <c r="D15" s="43" t="n"/>
      <c r="E15" s="43" t="n"/>
      <c r="F15" s="43" t="n"/>
      <c r="G15" s="43" t="n"/>
      <c r="H15" s="43" t="n"/>
      <c r="I15" s="52" t="inlineStr">
        <is>
          <t>&lt;.3&gt; Detail Testing</t>
        </is>
      </c>
      <c r="J15" s="43" t="n"/>
      <c r="K15" s="43" t="n"/>
      <c r="L15" s="43" t="n"/>
      <c r="M15" s="43" t="n"/>
      <c r="N15" s="43" t="n"/>
      <c r="O15" s="43" t="n"/>
      <c r="P15" s="43" t="n"/>
      <c r="Q15" s="43" t="n"/>
    </row>
    <row r="16" ht="120" customHeight="1">
      <c r="A16" s="49" t="inlineStr">
        <is>
          <t>Applicable</t>
        </is>
      </c>
      <c r="B16" s="49" t="inlineStr">
        <is>
          <t>Required</t>
        </is>
      </c>
      <c r="C16" s="49" t="inlineStr">
        <is>
          <t>Not Started</t>
        </is>
      </c>
      <c r="D16" s="49" t="inlineStr">
        <is>
          <t>Missing</t>
        </is>
      </c>
      <c r="E16" s="49" t="inlineStr">
        <is>
          <t>Unable to Conclude</t>
        </is>
      </c>
      <c r="F16" s="49" t="inlineStr">
        <is>
          <t>None</t>
        </is>
      </c>
      <c r="G16" s="50" t="inlineStr">
        <is>
          <t>Unsigned</t>
        </is>
      </c>
      <c r="H16" s="50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50" t="inlineStr">
        <is>
          <t>6. Detail-test selected transactions through the five-step model — contract / PO existence and approval, unit price agreed to the contract / PO, quantities agreed order → delivery (BOL / POD) → invoice, control-transfer date per shipping terms, and period propriety.</t>
        </is>
      </c>
      <c r="J16" s="50" t="inlineStr">
        <is>
          <t>Occurrence; Accuracy; Cutoff</t>
        </is>
      </c>
      <c r="K16" s="50" t="inlineStr">
        <is>
          <t>&lt;.3&gt;</t>
        </is>
      </c>
      <c r="L16" s="50" t="n"/>
      <c r="M16" s="51" t="n"/>
      <c r="N16" s="50" t="n"/>
      <c r="O16" s="50" t="n"/>
      <c r="P16" s="50" t="inlineStr">
        <is>
          <t>PROC:PROC-REVENUE; PROC:Resp Revenue reference 001; PROC:Resp Revenue Unpredictable reference 001</t>
        </is>
      </c>
      <c r="Q16" s="50" t="n"/>
    </row>
    <row r="17" ht="120" customHeight="1">
      <c r="A17" s="49" t="inlineStr">
        <is>
          <t>Applicable</t>
        </is>
      </c>
      <c r="B17" s="49" t="inlineStr">
        <is>
          <t>Required</t>
        </is>
      </c>
      <c r="C17" s="49" t="inlineStr">
        <is>
          <t>Not Started</t>
        </is>
      </c>
      <c r="D17" s="49" t="inlineStr">
        <is>
          <t>Missing</t>
        </is>
      </c>
      <c r="E17" s="49" t="inlineStr">
        <is>
          <t>Unable to Conclude</t>
        </is>
      </c>
      <c r="F17" s="49" t="inlineStr">
        <is>
          <t>None</t>
        </is>
      </c>
      <c r="G17" s="50" t="inlineStr">
        <is>
          <t>Unsigned</t>
        </is>
      </c>
      <c r="H17" s="50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50" t="inlineStr">
        <is>
          <t>7. Corroborate occurrence by agreeing the applied cash receipt to the invoice (payment support), explaining discounts, taxes and other deductions.</t>
        </is>
      </c>
      <c r="J17" s="50" t="inlineStr">
        <is>
          <t>Occurrence; Accuracy</t>
        </is>
      </c>
      <c r="K17" s="50" t="inlineStr">
        <is>
          <t>&lt;.3&gt;</t>
        </is>
      </c>
      <c r="L17" s="50" t="n"/>
      <c r="M17" s="51" t="n"/>
      <c r="N17" s="50" t="n"/>
      <c r="O17" s="50" t="n"/>
      <c r="P17" s="50" t="inlineStr">
        <is>
          <t>PROC:PROC-REVENUE; PROC:Resp Revenue reference 001; PROC:Resp Revenue Unpredictable reference 001</t>
        </is>
      </c>
      <c r="Q17" s="50" t="n"/>
    </row>
    <row r="18" ht="120" customHeight="1">
      <c r="A18" s="49" t="inlineStr">
        <is>
          <t>Applicable</t>
        </is>
      </c>
      <c r="B18" s="49" t="inlineStr">
        <is>
          <t>Required</t>
        </is>
      </c>
      <c r="C18" s="49" t="inlineStr">
        <is>
          <t>Not Started</t>
        </is>
      </c>
      <c r="D18" s="49" t="inlineStr">
        <is>
          <t>Missing</t>
        </is>
      </c>
      <c r="E18" s="49" t="inlineStr">
        <is>
          <t>Unable to Conclude</t>
        </is>
      </c>
      <c r="F18" s="49" t="inlineStr">
        <is>
          <t>None</t>
        </is>
      </c>
      <c r="G18" s="50" t="inlineStr">
        <is>
          <t>Unsigned</t>
        </is>
      </c>
      <c r="H18" s="50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50" t="inlineStr">
        <is>
          <t>8. Recompute revenue (invoice price × invoiced quantity), compare to the recorded amount, and investigate differences.</t>
        </is>
      </c>
      <c r="J18" s="50" t="inlineStr">
        <is>
          <t>Accuracy</t>
        </is>
      </c>
      <c r="K18" s="50" t="inlineStr">
        <is>
          <t>&lt;.3&gt;</t>
        </is>
      </c>
      <c r="L18" s="50" t="n"/>
      <c r="M18" s="51" t="n"/>
      <c r="N18" s="50" t="n"/>
      <c r="O18" s="50" t="n"/>
      <c r="P18" s="50" t="inlineStr">
        <is>
          <t>PROC:PROC-REVENUE; PROC:Resp Revenue reference 001; PROC:Resp Revenue Unpredictable reference 001</t>
        </is>
      </c>
      <c r="Q18" s="50" t="n"/>
    </row>
    <row r="19">
      <c r="A19" s="47" t="n"/>
      <c r="B19" s="43" t="n"/>
      <c r="C19" s="43" t="n"/>
      <c r="D19" s="43" t="n"/>
      <c r="E19" s="43" t="n"/>
      <c r="F19" s="43" t="n"/>
      <c r="G19" s="43" t="n"/>
      <c r="H19" s="43" t="n"/>
      <c r="I19" s="52" t="inlineStr">
        <is>
          <t>&lt;.4&gt; Cutoff — Two-Directional</t>
        </is>
      </c>
      <c r="J19" s="43" t="n"/>
      <c r="K19" s="43" t="n"/>
      <c r="L19" s="43" t="n"/>
      <c r="M19" s="43" t="n"/>
      <c r="N19" s="43" t="n"/>
      <c r="O19" s="43" t="n"/>
      <c r="P19" s="43" t="n"/>
      <c r="Q19" s="43" t="n"/>
    </row>
    <row r="20" ht="120" customHeight="1">
      <c r="A20" s="49" t="inlineStr">
        <is>
          <t>Applicable</t>
        </is>
      </c>
      <c r="B20" s="49" t="inlineStr">
        <is>
          <t>Required</t>
        </is>
      </c>
      <c r="C20" s="49" t="inlineStr">
        <is>
          <t>Not Started</t>
        </is>
      </c>
      <c r="D20" s="49" t="inlineStr">
        <is>
          <t>Missing</t>
        </is>
      </c>
      <c r="E20" s="49" t="inlineStr">
        <is>
          <t>Unable to Conclude</t>
        </is>
      </c>
      <c r="F20" s="49" t="inlineStr">
        <is>
          <t>None</t>
        </is>
      </c>
      <c r="G20" s="50" t="inlineStr">
        <is>
          <t>Unsigned</t>
        </is>
      </c>
      <c r="H20" s="50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50" t="inlineStr">
        <is>
          <t>9. Test BEFORE-period cutoff — the last shipments / invoices before year-end — confirming control transferred before YE for every sale recorded in the year.</t>
        </is>
      </c>
      <c r="J20" s="50" t="inlineStr">
        <is>
          <t>Cutoff; Occurrence</t>
        </is>
      </c>
      <c r="K20" s="50" t="inlineStr">
        <is>
          <t>&lt;.4&gt;</t>
        </is>
      </c>
      <c r="L20" s="50" t="n"/>
      <c r="M20" s="51" t="n"/>
      <c r="N20" s="50" t="n"/>
      <c r="O20" s="50" t="n"/>
      <c r="P20" s="50" t="inlineStr">
        <is>
          <t>PROC:PROC-REVENUE; PROC:Resp Revenue reference 001; PROC:Resp Revenue Unpredictable reference 001; WINDOW:WIN-REVENUE-CUTOFF</t>
        </is>
      </c>
      <c r="Q20" s="50" t="n"/>
    </row>
    <row r="21" ht="120" customHeight="1">
      <c r="A21" s="49" t="inlineStr">
        <is>
          <t>Applicable</t>
        </is>
      </c>
      <c r="B21" s="49" t="inlineStr">
        <is>
          <t>Required</t>
        </is>
      </c>
      <c r="C21" s="49" t="inlineStr">
        <is>
          <t>Not Started</t>
        </is>
      </c>
      <c r="D21" s="49" t="inlineStr">
        <is>
          <t>Missing</t>
        </is>
      </c>
      <c r="E21" s="49" t="inlineStr">
        <is>
          <t>Unable to Conclude</t>
        </is>
      </c>
      <c r="F21" s="49" t="inlineStr">
        <is>
          <t>None</t>
        </is>
      </c>
      <c r="G21" s="50" t="inlineStr">
        <is>
          <t>Unsigned</t>
        </is>
      </c>
      <c r="H21" s="50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50" t="inlineStr">
        <is>
          <t>10. Test AFTER-period cutoff — the first shipments / invoices after year-end (first post-YE sales journal and shipping log) — confirming January activity was not recorded in the current year.</t>
        </is>
      </c>
      <c r="J21" s="50" t="inlineStr">
        <is>
          <t>Cutoff; Completeness</t>
        </is>
      </c>
      <c r="K21" s="50" t="inlineStr">
        <is>
          <t>&lt;.4&gt;</t>
        </is>
      </c>
      <c r="L21" s="50" t="n"/>
      <c r="M21" s="51" t="n"/>
      <c r="N21" s="50" t="n"/>
      <c r="O21" s="50" t="n"/>
      <c r="P21" s="50" t="inlineStr">
        <is>
          <t>PROC:PROC-REVENUE; PROC:Resp Revenue reference 001; PROC:Resp Revenue Unpredictable reference 001; WINDOW:WIN-REVENUE-CUTOFF</t>
        </is>
      </c>
      <c r="Q21" s="50" t="n"/>
    </row>
    <row r="22" ht="120" customHeight="1">
      <c r="A22" s="49" t="inlineStr">
        <is>
          <t>Applicable</t>
        </is>
      </c>
      <c r="B22" s="49" t="inlineStr">
        <is>
          <t>Required</t>
        </is>
      </c>
      <c r="C22" s="49" t="inlineStr">
        <is>
          <t>Not Started</t>
        </is>
      </c>
      <c r="D22" s="49" t="inlineStr">
        <is>
          <t>Missing</t>
        </is>
      </c>
      <c r="E22" s="49" t="inlineStr">
        <is>
          <t>Unable to Conclude</t>
        </is>
      </c>
      <c r="F22" s="49" t="inlineStr">
        <is>
          <t>None</t>
        </is>
      </c>
      <c r="G22" s="50" t="inlineStr">
        <is>
          <t>Unsigned</t>
        </is>
      </c>
      <c r="H22" s="50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50" t="inlineStr">
        <is>
          <t>11. Review post-year-end credit memos and returns for items relating to pre-YE sales and evaluate whether current-year revenue requires adjustment.</t>
        </is>
      </c>
      <c r="J22" s="50" t="inlineStr">
        <is>
          <t>Cutoff; Accuracy</t>
        </is>
      </c>
      <c r="K22" s="50" t="inlineStr">
        <is>
          <t>&lt;.4&gt;</t>
        </is>
      </c>
      <c r="L22" s="50" t="n"/>
      <c r="M22" s="51" t="n"/>
      <c r="N22" s="50" t="n"/>
      <c r="O22" s="50" t="n"/>
      <c r="P22" s="50" t="inlineStr">
        <is>
          <t>PROC:PROC-REVENUE; PROC:Resp Revenue reference 001; PROC:Resp Revenue Unpredictable reference 001</t>
        </is>
      </c>
      <c r="Q22" s="50" t="n"/>
    </row>
    <row r="23">
      <c r="A23" s="47" t="n"/>
      <c r="B23" s="43" t="n"/>
      <c r="C23" s="43" t="n"/>
      <c r="D23" s="43" t="n"/>
      <c r="E23" s="43" t="n"/>
      <c r="F23" s="43" t="n"/>
      <c r="G23" s="43" t="n"/>
      <c r="H23" s="43" t="n"/>
      <c r="I23" s="52" t="inlineStr">
        <is>
          <t>&lt;.5&gt; Variable Consideration</t>
        </is>
      </c>
      <c r="J23" s="43" t="n"/>
      <c r="K23" s="43" t="n"/>
      <c r="L23" s="43" t="n"/>
      <c r="M23" s="43" t="n"/>
      <c r="N23" s="43" t="n"/>
      <c r="O23" s="43" t="n"/>
      <c r="P23" s="43" t="n"/>
      <c r="Q23" s="43" t="n"/>
    </row>
    <row r="24" ht="120" customHeight="1">
      <c r="A24" s="49" t="inlineStr">
        <is>
          <t>Applicable</t>
        </is>
      </c>
      <c r="B24" s="49" t="inlineStr">
        <is>
          <t>Required</t>
        </is>
      </c>
      <c r="C24" s="49" t="inlineStr">
        <is>
          <t>Not Started</t>
        </is>
      </c>
      <c r="D24" s="49" t="inlineStr">
        <is>
          <t>Missing</t>
        </is>
      </c>
      <c r="E24" s="49" t="inlineStr">
        <is>
          <t>Unable to Conclude</t>
        </is>
      </c>
      <c r="F24" s="49" t="inlineStr">
        <is>
          <t>None</t>
        </is>
      </c>
      <c r="G24" s="50" t="inlineStr">
        <is>
          <t>Unsigned</t>
        </is>
      </c>
      <c r="H24" s="50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50" t="inlineStr">
        <is>
          <t>12. Identify all variable-consideration programs (rebates, volume discounts, returns, allowances, price protection), obtain program terms, and recompute the accrual under the entity's method (expected value / most-likely amount) with the constraint considered (ASC 606-10-32-5 to 32-13).</t>
        </is>
      </c>
      <c r="J24" s="50" t="inlineStr">
        <is>
          <t>Accuracy; Valuation; Completeness</t>
        </is>
      </c>
      <c r="K24" s="50" t="inlineStr">
        <is>
          <t>&lt;.5&gt;</t>
        </is>
      </c>
      <c r="L24" s="50" t="n"/>
      <c r="M24" s="51" t="n"/>
      <c r="N24" s="50" t="n"/>
      <c r="O24" s="50" t="n"/>
      <c r="P24" s="50" t="inlineStr">
        <is>
          <t>PROC:PROC-REVENUE; PROC:Resp Revenue reference 001; PROC:Resp Revenue Unpredictable reference 001</t>
        </is>
      </c>
      <c r="Q24" s="50" t="n"/>
    </row>
    <row r="25" ht="120" customHeight="1">
      <c r="A25" s="49" t="inlineStr">
        <is>
          <t>Applicable</t>
        </is>
      </c>
      <c r="B25" s="49" t="inlineStr">
        <is>
          <t>Required</t>
        </is>
      </c>
      <c r="C25" s="49" t="inlineStr">
        <is>
          <t>Not Started</t>
        </is>
      </c>
      <c r="D25" s="49" t="inlineStr">
        <is>
          <t>Missing</t>
        </is>
      </c>
      <c r="E25" s="49" t="inlineStr">
        <is>
          <t>Unable to Conclude</t>
        </is>
      </c>
      <c r="F25" s="49" t="inlineStr">
        <is>
          <t>None</t>
        </is>
      </c>
      <c r="G25" s="50" t="inlineStr">
        <is>
          <t>Unsigned</t>
        </is>
      </c>
      <c r="H25" s="50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50" t="inlineStr">
        <is>
          <t>13. Test the returns reserve — recompute from historical return rates and benchmark against actual post-year-end returns.</t>
        </is>
      </c>
      <c r="J25" s="50" t="inlineStr">
        <is>
          <t>Valuation; Accuracy</t>
        </is>
      </c>
      <c r="K25" s="50" t="inlineStr">
        <is>
          <t>&lt;.5&gt;/&lt;.4&gt;</t>
        </is>
      </c>
      <c r="L25" s="50" t="n"/>
      <c r="M25" s="51" t="n"/>
      <c r="N25" s="50" t="n"/>
      <c r="O25" s="50" t="n"/>
      <c r="P25" s="50" t="inlineStr">
        <is>
          <t>PROC:PROC-REVENUE; PROC:Resp Revenue reference 001; PROC:Resp Revenue Unpredictable reference 001</t>
        </is>
      </c>
      <c r="Q25" s="50" t="n"/>
    </row>
    <row r="26">
      <c r="A26" s="47" t="n"/>
      <c r="B26" s="43" t="n"/>
      <c r="C26" s="43" t="n"/>
      <c r="D26" s="43" t="n"/>
      <c r="E26" s="43" t="n"/>
      <c r="F26" s="43" t="n"/>
      <c r="G26" s="43" t="n"/>
      <c r="H26" s="43" t="n"/>
      <c r="I26" s="52" t="inlineStr">
        <is>
          <t>&lt;.6&gt; Contract Liability Rollforward</t>
        </is>
      </c>
      <c r="J26" s="43" t="n"/>
      <c r="K26" s="43" t="n"/>
      <c r="L26" s="43" t="n"/>
      <c r="M26" s="43" t="n"/>
      <c r="N26" s="43" t="n"/>
      <c r="O26" s="43" t="n"/>
      <c r="P26" s="43" t="n"/>
      <c r="Q26" s="43" t="n"/>
    </row>
    <row r="27" ht="120" customHeight="1">
      <c r="A27" s="49" t="inlineStr">
        <is>
          <t>Applicable</t>
        </is>
      </c>
      <c r="B27" s="49" t="inlineStr">
        <is>
          <t>Required</t>
        </is>
      </c>
      <c r="C27" s="49" t="inlineStr">
        <is>
          <t>Not Started</t>
        </is>
      </c>
      <c r="D27" s="49" t="inlineStr">
        <is>
          <t>Missing</t>
        </is>
      </c>
      <c r="E27" s="49" t="inlineStr">
        <is>
          <t>Unable to Conclude</t>
        </is>
      </c>
      <c r="F27" s="49" t="inlineStr">
        <is>
          <t>None</t>
        </is>
      </c>
      <c r="G27" s="50" t="inlineStr">
        <is>
          <t>Unsigned</t>
        </is>
      </c>
      <c r="H27" s="50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50" t="inlineStr">
        <is>
          <t>14. Roll contract liabilities forward (opening + advance billings / receipts − releases = closing), tie to the TB and PY, and test releases for satisfaction of the performance obligation (premature release = overstated revenue).</t>
        </is>
      </c>
      <c r="J27" s="50" t="inlineStr">
        <is>
          <t>Completeness; Cutoff; Occurrence</t>
        </is>
      </c>
      <c r="K27" s="50" t="inlineStr">
        <is>
          <t>&lt;.6&gt;</t>
        </is>
      </c>
      <c r="L27" s="50" t="n"/>
      <c r="M27" s="51" t="n"/>
      <c r="N27" s="50" t="n"/>
      <c r="O27" s="50" t="n"/>
      <c r="P27" s="50" t="inlineStr">
        <is>
          <t>PROC:PROC-REVENUE; PROC:Resp Revenue reference 001; PROC:Resp Revenue Unpredictable reference 001</t>
        </is>
      </c>
      <c r="Q27" s="50" t="n"/>
    </row>
    <row r="28">
      <c r="A28" s="47" t="n"/>
      <c r="B28" s="43" t="n"/>
      <c r="C28" s="43" t="n"/>
      <c r="D28" s="43" t="n"/>
      <c r="E28" s="43" t="n"/>
      <c r="F28" s="43" t="n"/>
      <c r="G28" s="43" t="n"/>
      <c r="H28" s="43" t="n"/>
      <c r="I28" s="52" t="inlineStr">
        <is>
          <t>&lt;.7&gt; Recognition Framework</t>
        </is>
      </c>
      <c r="J28" s="43" t="n"/>
      <c r="K28" s="43" t="n"/>
      <c r="L28" s="43" t="n"/>
      <c r="M28" s="43" t="n"/>
      <c r="N28" s="43" t="n"/>
      <c r="O28" s="43" t="n"/>
      <c r="P28" s="43" t="n"/>
      <c r="Q28" s="43" t="n"/>
    </row>
    <row r="29" ht="120" customHeight="1">
      <c r="A29" s="49" t="inlineStr">
        <is>
          <t>Applicable</t>
        </is>
      </c>
      <c r="B29" s="49" t="inlineStr">
        <is>
          <t>Required</t>
        </is>
      </c>
      <c r="C29" s="49" t="inlineStr">
        <is>
          <t>Not Started</t>
        </is>
      </c>
      <c r="D29" s="49" t="inlineStr">
        <is>
          <t>Missing</t>
        </is>
      </c>
      <c r="E29" s="49" t="inlineStr">
        <is>
          <t>Unable to Conclude</t>
        </is>
      </c>
      <c r="F29" s="49" t="inlineStr">
        <is>
          <t>None</t>
        </is>
      </c>
      <c r="G29" s="50" t="inlineStr">
        <is>
          <t>Unsigned</t>
        </is>
      </c>
      <c r="H29" s="50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50" t="inlineStr">
        <is>
          <t>15. Conclude the ASC 606 five-step model per stream — contract, performance obligations, transaction price, allocation, and timing.</t>
        </is>
      </c>
      <c r="J29" s="50" t="inlineStr">
        <is>
          <t>Occurrence; Accuracy</t>
        </is>
      </c>
      <c r="K29" s="50" t="inlineStr">
        <is>
          <t>&lt;.7&gt;</t>
        </is>
      </c>
      <c r="L29" s="50" t="n"/>
      <c r="M29" s="51" t="n"/>
      <c r="N29" s="50" t="n"/>
      <c r="O29" s="50" t="n"/>
      <c r="P29" s="50" t="inlineStr">
        <is>
          <t>PROC:PROC-REVENUE; PROC:Resp Revenue reference 001; PROC:Resp Revenue Unpredictable reference 001</t>
        </is>
      </c>
      <c r="Q29" s="50" t="n"/>
    </row>
    <row r="30" ht="120" customHeight="1">
      <c r="A30" s="49" t="inlineStr">
        <is>
          <t>Applicable</t>
        </is>
      </c>
      <c r="B30" s="49" t="inlineStr">
        <is>
          <t>Required</t>
        </is>
      </c>
      <c r="C30" s="49" t="inlineStr">
        <is>
          <t>Not Started</t>
        </is>
      </c>
      <c r="D30" s="49" t="inlineStr">
        <is>
          <t>Missing</t>
        </is>
      </c>
      <c r="E30" s="49" t="inlineStr">
        <is>
          <t>Unable to Conclude</t>
        </is>
      </c>
      <c r="F30" s="49" t="inlineStr">
        <is>
          <t>None</t>
        </is>
      </c>
      <c r="G30" s="50" t="inlineStr">
        <is>
          <t>Unsigned</t>
        </is>
      </c>
      <c r="H30" s="50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50" t="inlineStr">
        <is>
          <t>16. For POINT-IN-TIME streams, evaluate the control-transfer indicators (ASC 606-10-25-30: right to payment, legal title, physical possession, risks &amp; rewards, acceptance) and conclude the recognition point against shipping terms.</t>
        </is>
      </c>
      <c r="J30" s="50" t="inlineStr">
        <is>
          <t>Occurrence; Cutoff</t>
        </is>
      </c>
      <c r="K30" s="50" t="inlineStr">
        <is>
          <t>&lt;.7&gt;</t>
        </is>
      </c>
      <c r="L30" s="50" t="n"/>
      <c r="M30" s="51" t="n"/>
      <c r="N30" s="50" t="n"/>
      <c r="O30" s="50" t="n"/>
      <c r="P30" s="50" t="inlineStr">
        <is>
          <t>PROC:PROC-REVENUE; PROC:Resp Revenue reference 001; PROC:Resp Revenue Unpredictable reference 001</t>
        </is>
      </c>
      <c r="Q30" s="50" t="n"/>
    </row>
    <row r="31" ht="120" customHeight="1">
      <c r="A31" s="49" t="inlineStr">
        <is>
          <t>Applicable</t>
        </is>
      </c>
      <c r="B31" s="49" t="inlineStr">
        <is>
          <t>Required</t>
        </is>
      </c>
      <c r="C31" s="49" t="inlineStr">
        <is>
          <t>Not Started</t>
        </is>
      </c>
      <c r="D31" s="49" t="inlineStr">
        <is>
          <t>Missing</t>
        </is>
      </c>
      <c r="E31" s="49" t="inlineStr">
        <is>
          <t>Unable to Conclude</t>
        </is>
      </c>
      <c r="F31" s="49" t="inlineStr">
        <is>
          <t>None</t>
        </is>
      </c>
      <c r="G31" s="50" t="inlineStr">
        <is>
          <t>Unsigned</t>
        </is>
      </c>
      <c r="H31" s="50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50" t="inlineStr">
        <is>
          <t>17. For OVER-TIME streams (e.g., custom job orders), evaluate the ASC 606-10-25-27 criteria — simultaneous consumption, customer-controlled asset, or no alternative use PLUS an enforceable right to payment — and test the measure of progress (input / output) where over-time applies.</t>
        </is>
      </c>
      <c r="J31" s="50" t="inlineStr">
        <is>
          <t>Accuracy; Occurrence</t>
        </is>
      </c>
      <c r="K31" s="50" t="inlineStr">
        <is>
          <t>&lt;.7&gt;</t>
        </is>
      </c>
      <c r="L31" s="50" t="n"/>
      <c r="M31" s="51" t="n"/>
      <c r="N31" s="50" t="n"/>
      <c r="O31" s="50" t="n"/>
      <c r="P31" s="50" t="inlineStr">
        <is>
          <t>PROC:PROC-REVENUE; PROC:Resp Revenue reference 001; PROC:Resp Revenue Unpredictable reference 001</t>
        </is>
      </c>
      <c r="Q31" s="50" t="n"/>
    </row>
    <row r="32" ht="120" customHeight="1">
      <c r="A32" s="49" t="inlineStr">
        <is>
          <t>Applicable</t>
        </is>
      </c>
      <c r="B32" s="49" t="inlineStr">
        <is>
          <t>Required</t>
        </is>
      </c>
      <c r="C32" s="49" t="inlineStr">
        <is>
          <t>Not Started</t>
        </is>
      </c>
      <c r="D32" s="49" t="inlineStr">
        <is>
          <t>Missing</t>
        </is>
      </c>
      <c r="E32" s="49" t="inlineStr">
        <is>
          <t>Unable to Conclude</t>
        </is>
      </c>
      <c r="F32" s="49" t="inlineStr">
        <is>
          <t>None</t>
        </is>
      </c>
      <c r="G32" s="50" t="inlineStr">
        <is>
          <t>Unsigned</t>
        </is>
      </c>
      <c r="H32" s="50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50" t="inlineStr">
        <is>
          <t>18. Resolve principal vs agent for pass-through / wholesale streams (ASC 606-10-55-36 to 55-40: control before transfer, inventory risk, pricing discretion, fulfilment responsibility) and confirm gross vs net presentation.</t>
        </is>
      </c>
      <c r="J32" s="50" t="inlineStr">
        <is>
          <t>Presentation &amp; Disclosure; Classification</t>
        </is>
      </c>
      <c r="K32" s="50" t="inlineStr">
        <is>
          <t>&lt;.7&gt;</t>
        </is>
      </c>
      <c r="L32" s="50" t="n"/>
      <c r="M32" s="51" t="n"/>
      <c r="N32" s="50" t="n"/>
      <c r="O32" s="50" t="n"/>
      <c r="P32" s="50" t="inlineStr">
        <is>
          <t>PROC:PROC-REVENUE; PROC:Resp Revenue reference 001; PROC:Resp Revenue Unpredictable reference 001</t>
        </is>
      </c>
      <c r="Q32" s="50" t="n"/>
    </row>
    <row r="33">
      <c r="A33" s="47" t="n"/>
      <c r="B33" s="43" t="n"/>
      <c r="C33" s="43" t="n"/>
      <c r="D33" s="43" t="n"/>
      <c r="E33" s="43" t="n"/>
      <c r="F33" s="43" t="n"/>
      <c r="G33" s="43" t="n"/>
      <c r="H33" s="43" t="n"/>
      <c r="I33" s="52" t="inlineStr">
        <is>
          <t>&lt;.8&gt; Analytics &amp; Disclosures</t>
        </is>
      </c>
      <c r="J33" s="43" t="n"/>
      <c r="K33" s="43" t="n"/>
      <c r="L33" s="43" t="n"/>
      <c r="M33" s="43" t="n"/>
      <c r="N33" s="43" t="n"/>
      <c r="O33" s="43" t="n"/>
      <c r="P33" s="43" t="n"/>
      <c r="Q33" s="43" t="n"/>
    </row>
    <row r="34" ht="120" customHeight="1">
      <c r="A34" s="49" t="inlineStr">
        <is>
          <t>Applicable</t>
        </is>
      </c>
      <c r="B34" s="49" t="inlineStr">
        <is>
          <t>Required</t>
        </is>
      </c>
      <c r="C34" s="49" t="inlineStr">
        <is>
          <t>Not Started</t>
        </is>
      </c>
      <c r="D34" s="49" t="inlineStr">
        <is>
          <t>Missing</t>
        </is>
      </c>
      <c r="E34" s="49" t="inlineStr">
        <is>
          <t>Unable to Conclude</t>
        </is>
      </c>
      <c r="F34" s="49" t="inlineStr">
        <is>
          <t>None</t>
        </is>
      </c>
      <c r="G34" s="50" t="inlineStr">
        <is>
          <t>Unsigned</t>
        </is>
      </c>
      <c r="H34" s="50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50" t="inlineStr">
        <is>
          <t>19. Perform revenue analytics — by stream, current-vs-prior, margin, monthly trend / spike review, contra-revenue ratio, customer concentration — and investigate unusual movements.</t>
        </is>
      </c>
      <c r="J34" s="50" t="inlineStr">
        <is>
          <t>Completeness; Accuracy</t>
        </is>
      </c>
      <c r="K34" s="50" t="inlineStr">
        <is>
          <t>&lt;.8&gt;</t>
        </is>
      </c>
      <c r="L34" s="50" t="n"/>
      <c r="M34" s="51" t="n"/>
      <c r="N34" s="50" t="n"/>
      <c r="O34" s="50" t="n"/>
      <c r="P34" s="50" t="inlineStr">
        <is>
          <t>PROC:PROC-REVENUE; PROC:Resp Revenue reference 001; PROC:Resp Revenue Unpredictable reference 001</t>
        </is>
      </c>
      <c r="Q34" s="50" t="n"/>
    </row>
    <row r="35" ht="120" customHeight="1">
      <c r="A35" s="49" t="inlineStr">
        <is>
          <t>Applicable</t>
        </is>
      </c>
      <c r="B35" s="49" t="inlineStr">
        <is>
          <t>Required</t>
        </is>
      </c>
      <c r="C35" s="49" t="inlineStr">
        <is>
          <t>Not Started</t>
        </is>
      </c>
      <c r="D35" s="49" t="inlineStr">
        <is>
          <t>Missing</t>
        </is>
      </c>
      <c r="E35" s="49" t="inlineStr">
        <is>
          <t>Unable to Conclude</t>
        </is>
      </c>
      <c r="F35" s="49" t="inlineStr">
        <is>
          <t>None</t>
        </is>
      </c>
      <c r="G35" s="50" t="inlineStr">
        <is>
          <t>Unsigned</t>
        </is>
      </c>
      <c r="H35" s="50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50" t="inlineStr">
        <is>
          <t>20. Evaluate presentation and disclosure — disaggregation (50-5), contract balances incl. revenue from the opening liability (50-8), remaining performance obligations (50-13), significant judgments (50-17), policy, and gross/net presentation.</t>
        </is>
      </c>
      <c r="J35" s="50" t="inlineStr">
        <is>
          <t>Presentation &amp; Disclosure</t>
        </is>
      </c>
      <c r="K35" s="50" t="inlineStr">
        <is>
          <t>&lt;.8&gt;</t>
        </is>
      </c>
      <c r="L35" s="50" t="n"/>
      <c r="M35" s="51" t="n"/>
      <c r="N35" s="50" t="n"/>
      <c r="O35" s="50" t="n"/>
      <c r="P35" s="50" t="inlineStr">
        <is>
          <t>PROC:PROC-REVENUE; PROC:Resp Revenue reference 001; PROC:Resp Revenue Unpredictable reference 001</t>
        </is>
      </c>
      <c r="Q35" s="50" t="n"/>
    </row>
    <row r="36">
      <c r="A36" s="47" t="n"/>
      <c r="B36" s="43" t="n"/>
      <c r="C36" s="43" t="n"/>
      <c r="D36" s="43" t="n"/>
      <c r="E36" s="43" t="n"/>
      <c r="F36" s="43" t="n"/>
      <c r="G36" s="43" t="n"/>
      <c r="H36" s="43" t="n"/>
      <c r="I36" s="52" t="inlineStr">
        <is>
          <t>Documentation &amp; Review</t>
        </is>
      </c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 ht="120" customHeight="1">
      <c r="A37" s="49" t="inlineStr">
        <is>
          <t>Applicable</t>
        </is>
      </c>
      <c r="B37" s="49" t="inlineStr">
        <is>
          <t>Required</t>
        </is>
      </c>
      <c r="C37" s="49" t="inlineStr">
        <is>
          <t>Not Started</t>
        </is>
      </c>
      <c r="D37" s="49" t="inlineStr">
        <is>
          <t>Missing</t>
        </is>
      </c>
      <c r="E37" s="49" t="inlineStr">
        <is>
          <t>Unable to Conclude</t>
        </is>
      </c>
      <c r="F37" s="49" t="inlineStr">
        <is>
          <t>None</t>
        </is>
      </c>
      <c r="G37" s="50" t="inlineStr">
        <is>
          <t>Unsigned</t>
        </is>
      </c>
      <c r="H37" s="50">
        <f>IF(A37="Not Applicable - Fact Driven",IF(AND(C37="Not Performed",D37="Not Required",OR(F37="None",F37="Resolved",F37="Passed"),OR(G37="Prepared",G37="Reviewed"),LEFT(O37,6)="FACT:/",Q37&lt;&gt;""),"Valid N/A","Blocked"),IF(AND(B37="Recommended",C37="Not Performed",D37="Not Required",OR(F37="None",F37="Resolved",F37="Passed")),"Recommended - Not Performed",IF(C37&lt;&gt;"Performed","Open - "&amp;C37,IF(D37&lt;&gt;"Sufficient","Open - "&amp;D37&amp;" Evidence",IF(E37="Unable to Conclude","Open - Unable to Conclude",IF(AND(E37="Exception Identified",ISERROR(SEARCH("ISSUE:",P37))),"Open - Missing Issue ID",IF(AND(F37="Open",ISERROR(SEARCH("ISSUE:",P37))),"Open - Missing Issue ID",IF(OR(F37="Open",F37="Superseded"),"Open - "&amp;F37&amp;" Issue",IF(AND(E37="Exception Identified",NOT(OR(F37="Adjusted",F37="Passed",F37="Resolved"))),"Open - Undispositioned Exception",IF(OR(G37="Prepared",G37="Reviewed"),"Passed","Open - Unsigned"))))))))))</f>
        <v/>
      </c>
      <c r="I37" s="50" t="inlineStr">
        <is>
          <t>21. Cross-reference each procedure to its workpaper tab and link it to the relevant assertion(s).</t>
        </is>
      </c>
      <c r="J37" s="50" t="inlineStr">
        <is>
          <t>Overall</t>
        </is>
      </c>
      <c r="K37" s="50" t="inlineStr">
        <is>
          <t>&lt;.0&gt;-&lt;.8&gt;</t>
        </is>
      </c>
      <c r="L37" s="50" t="n"/>
      <c r="M37" s="51" t="n"/>
      <c r="N37" s="50" t="n"/>
      <c r="O37" s="50" t="n"/>
      <c r="P37" s="50" t="inlineStr">
        <is>
          <t>PROC:PROC-REVENUE; PROC:Resp Revenue reference 001; PROC:Resp Revenue Unpredictable reference 001</t>
        </is>
      </c>
      <c r="Q37" s="50" t="n"/>
    </row>
    <row r="38" ht="120" customHeight="1">
      <c r="A38" s="49" t="inlineStr">
        <is>
          <t>Applicable</t>
        </is>
      </c>
      <c r="B38" s="49" t="inlineStr">
        <is>
          <t>Required</t>
        </is>
      </c>
      <c r="C38" s="49" t="inlineStr">
        <is>
          <t>Not Started</t>
        </is>
      </c>
      <c r="D38" s="49" t="inlineStr">
        <is>
          <t>Missing</t>
        </is>
      </c>
      <c r="E38" s="49" t="inlineStr">
        <is>
          <t>Unable to Conclude</t>
        </is>
      </c>
      <c r="F38" s="49" t="inlineStr">
        <is>
          <t>None</t>
        </is>
      </c>
      <c r="G38" s="50" t="inlineStr">
        <is>
          <t>Unsigned</t>
        </is>
      </c>
      <c r="H38" s="50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50" t="inlineStr">
        <is>
          <t>22. Verify lead, reconciliation, detail, rollforward and recompute formulas foot correctly and the workbook source trail is complete.</t>
        </is>
      </c>
      <c r="J38" s="50" t="inlineStr">
        <is>
          <t>Accuracy; Completeness</t>
        </is>
      </c>
      <c r="K38" s="50" t="inlineStr">
        <is>
          <t>&lt;.1&gt;-&lt;.6&gt;</t>
        </is>
      </c>
      <c r="L38" s="50" t="n"/>
      <c r="M38" s="51" t="n"/>
      <c r="N38" s="50" t="n"/>
      <c r="O38" s="50" t="n"/>
      <c r="P38" s="50" t="inlineStr">
        <is>
          <t>PROC:PROC-REVENUE; PROC:Resp Revenue reference 001; PROC:Resp Revenue Unpredictable reference 001; WINDOW:WIN-REVENUE-CUTOFF</t>
        </is>
      </c>
      <c r="Q38" s="50" t="n"/>
    </row>
    <row r="39">
      <c r="A39" s="47" t="n"/>
      <c r="B39" s="43" t="n"/>
      <c r="C39" s="43" t="n"/>
      <c r="D39" s="43" t="n"/>
      <c r="E39" s="43" t="n"/>
      <c r="F39" s="43" t="n"/>
      <c r="G39" s="43" t="n"/>
      <c r="H39" s="43" t="n"/>
      <c r="I39" s="48" t="inlineStr">
        <is>
          <t>Conclusion</t>
        </is>
      </c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 ht="120" customHeight="1">
      <c r="A40" s="49" t="inlineStr">
        <is>
          <t>Applicable</t>
        </is>
      </c>
      <c r="B40" s="49" t="inlineStr">
        <is>
          <t>Required</t>
        </is>
      </c>
      <c r="C40" s="49" t="inlineStr">
        <is>
          <t>Not Started</t>
        </is>
      </c>
      <c r="D40" s="49" t="inlineStr">
        <is>
          <t>Missing</t>
        </is>
      </c>
      <c r="E40" s="49" t="inlineStr">
        <is>
          <t>Unable to Conclude</t>
        </is>
      </c>
      <c r="F40" s="49" t="inlineStr">
        <is>
          <t>None</t>
        </is>
      </c>
      <c r="G40" s="50" t="inlineStr">
        <is>
          <t>Unsigned</t>
        </is>
      </c>
      <c r="H40" s="50">
        <f>IF(A40="Not Applicable - Fact Driven",IF(AND(C40="Not Performed",D40="Not Required",OR(F40="None",F40="Resolved",F40="Passed"),OR(G40="Prepared",G40="Reviewed"),LEFT(O40,6)="FACT:/",Q40&lt;&gt;""),"Valid N/A","Blocked"),IF(AND(B40="Recommended",C40="Not Performed",D40="Not Required",OR(F40="None",F40="Resolved",F40="Passed")),"Recommended - Not Performed",IF(C40&lt;&gt;"Performed","Open - "&amp;C40,IF(D40&lt;&gt;"Sufficient","Open - "&amp;D40&amp;" Evidence",IF(E40="Unable to Conclude","Open - Unable to Conclude",IF(AND(E40="Exception Identified",ISERROR(SEARCH("ISSUE:",P40))),"Open - Missing Issue ID",IF(AND(F40="Open",ISERROR(SEARCH("ISSUE:",P40))),"Open - Missing Issue ID",IF(OR(F40="Open",F40="Superseded"),"Open - "&amp;F40&amp;" Issue",IF(AND(E40="Exception Identified",NOT(OR(F40="Adjusted",F40="Passed",F40="Resolved"))),"Open - Undispositioned Exception",IF(OR(G40="Prepared",G40="Reviewed"),"Passed","Open - Unsigned"))))))))))</f>
        <v/>
      </c>
      <c r="I40" s="50" t="inlineStr">
        <is>
          <t>23. All planned revenue audit procedures above were performed; results support the occurrence, accuracy, cutoff and presentation of recorded revenue and contract balances, subject to documented open items.</t>
        </is>
      </c>
      <c r="J40" s="50" t="inlineStr">
        <is>
          <t>Overall</t>
        </is>
      </c>
      <c r="K40" s="50" t="inlineStr">
        <is>
          <t>&lt;.0&gt;-&lt;.8&gt;</t>
        </is>
      </c>
      <c r="L40" s="50" t="n"/>
      <c r="M40" s="51" t="n"/>
      <c r="N40" s="50" t="n"/>
      <c r="O40" s="50" t="n"/>
      <c r="P40" s="50" t="inlineStr">
        <is>
          <t>PROC:PROC-REVENUE; PROC:Resp Revenue reference 001; PROC:Resp Revenue Unpredictable reference 001; WINDOW:WIN-REVENUE-CUTOFF</t>
        </is>
      </c>
      <c r="Q40" s="50" t="n"/>
    </row>
  </sheetData>
  <autoFilter ref="A6:Q40"/>
  <mergeCells count="12">
    <mergeCell ref="I15:Q15"/>
    <mergeCell ref="I7:Q7"/>
    <mergeCell ref="I19:Q19"/>
    <mergeCell ref="I33:Q33"/>
    <mergeCell ref="A4:Q4"/>
    <mergeCell ref="I23:Q23"/>
    <mergeCell ref="I36:Q36"/>
    <mergeCell ref="I28:Q28"/>
    <mergeCell ref="I26:Q26"/>
    <mergeCell ref="I9:Q9"/>
    <mergeCell ref="I39:Q39"/>
    <mergeCell ref="I12:Q12"/>
  </mergeCells>
  <conditionalFormatting sqref="A8:Q40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3 A14 A16 A17 A18 A20 A21 A22 A24 A25 A27 A29 A30 A31 A32 A34 A35 A37 A38 A40" showDropDown="0" showInputMessage="0" showErrorMessage="0" allowBlank="0" type="list">
      <formula1>"Applicable,Not Applicable - Fact Driven"</formula1>
    </dataValidation>
    <dataValidation sqref="B8 B10 B11 B13 B14 B16 B17 B18 B20 B21 B22 B24 B25 B27 B29 B30 B31 B32 B34 B35 B37 B38 B40" showDropDown="0" showInputMessage="0" showErrorMessage="0" allowBlank="0" type="list">
      <formula1>"Required,Recommended"</formula1>
    </dataValidation>
    <dataValidation sqref="C8 C10 C11 C13 C14 C16 C17 C18 C20 C21 C22 C24 C25 C27 C29 C30 C31 C32 C34 C35 C37 C38 C40" showDropDown="0" showInputMessage="0" showErrorMessage="0" allowBlank="0" type="list">
      <formula1>"Not Started,In Progress,Performed,Not Performed"</formula1>
    </dataValidation>
    <dataValidation sqref="D8 D10 D11 D13 D14 D16 D17 D18 D20 D21 D22 D24 D25 D27 D29 D30 D31 D32 D34 D35 D37 D38 D40" showDropDown="0" showInputMessage="0" showErrorMessage="0" allowBlank="0" type="list">
      <formula1>"Sufficient,Missing,Unreadable,Unreliable,Contradictory,Not Required"</formula1>
    </dataValidation>
    <dataValidation sqref="E8 E10 E11 E13 E14 E16 E17 E18 E20 E21 E22 E24 E25 E27 E29 E30 E31 E32 E34 E35 E37 E38 E40" showDropDown="0" showInputMessage="0" showErrorMessage="0" allowBlank="0" type="list">
      <formula1>"No Exception,Exception Identified,Unable to Conclude"</formula1>
    </dataValidation>
    <dataValidation sqref="F8 F10 F11 F13 F14 F16 F17 F18 F20 F21 F22 F24 F25 F27 F29 F30 F31 F32 F34 F35 F37 F38 F40" showDropDown="0" showInputMessage="0" showErrorMessage="0" allowBlank="0" type="list">
      <formula1>"None,Open,Adjusted,Passed,Resolved,Superseded"</formula1>
    </dataValidation>
    <dataValidation sqref="G8 G10 G11 G13 G14 G16 G17 G18 G20 G21 G22 G24 G25 G27 G29 G30 G31 G32 G34 G35 G37 G38 G40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:G6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53" t="inlineStr">
        <is>
          <t>Source Index</t>
        </is>
      </c>
      <c r="B1" s="43" t="n"/>
      <c r="C1" s="43" t="n"/>
      <c r="D1" s="43" t="n"/>
      <c r="E1" s="43" t="n"/>
      <c r="F1" s="43" t="n"/>
      <c r="G1" s="43" t="n"/>
      <c r="H1" s="43" t="n"/>
    </row>
    <row r="2">
      <c r="A2" s="54" t="inlineStr">
        <is>
          <t>Client / Entity</t>
        </is>
      </c>
      <c r="B2" s="44" t="inlineStr">
        <is>
          <t>Vaquite Industries, Inc.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</row>
    <row r="3" ht="27" customHeight="1">
      <c r="A3" s="57" t="inlineStr">
        <is>
          <t>Performance Materiality</t>
        </is>
      </c>
      <c r="B3" s="58" t="n">
        <v>23100</v>
      </c>
      <c r="C3" s="43" t="n"/>
      <c r="D3" s="57" t="inlineStr">
        <is>
          <t>Tolerable misstatement / testing threshold</t>
        </is>
      </c>
      <c r="E3" s="58" t="n">
        <v>17400</v>
      </c>
      <c r="F3" s="43" t="n"/>
      <c r="G3" s="43" t="n"/>
      <c r="H3" s="43" t="n"/>
    </row>
    <row r="4" ht="27.75" customHeight="1">
      <c r="A4" s="59" t="inlineStr">
        <is>
          <t>Purpose:</t>
        </is>
      </c>
      <c r="B4" s="60" t="inlineStr">
        <is>
          <t>Map every revenue PBC source and its limitations so the evidence trail is complete and traceable.</t>
        </is>
      </c>
      <c r="C4" s="61" t="n"/>
      <c r="D4" s="61" t="n"/>
      <c r="E4" s="61" t="n"/>
      <c r="F4" s="61" t="n"/>
      <c r="G4" s="62" t="n"/>
      <c r="H4" s="43" t="n"/>
    </row>
    <row r="5" ht="55.5" customHeight="1">
      <c r="A5" s="59" t="inlineStr">
        <is>
          <t>Scope:</t>
        </is>
      </c>
      <c r="B5" s="60" t="inlineStr">
        <is>
          <t>Revenue register / sales journal, GL detail, invoices, executed contracts / POs / master terms, shipping documents (BOL / POD), price lists, cash-receipts ledger, rebate program agreements, post-YE credit-memo &amp; returns log, first post-YE sales journal &amp; shipping log, deferred-revenue schedule.</t>
        </is>
      </c>
      <c r="C5" s="61" t="n"/>
      <c r="D5" s="61" t="n"/>
      <c r="E5" s="61" t="n"/>
      <c r="F5" s="61" t="n"/>
      <c r="G5" s="62" t="n"/>
      <c r="H5" s="43" t="n"/>
    </row>
    <row r="6" ht="15" customHeight="1">
      <c r="A6" s="59" t="inlineStr">
        <is>
          <t>Assertions:</t>
        </is>
      </c>
      <c r="B6" s="60" t="inlineStr">
        <is>
          <t>Completeness</t>
        </is>
      </c>
      <c r="C6" s="61" t="n"/>
      <c r="D6" s="61" t="n"/>
      <c r="E6" s="61" t="n"/>
      <c r="F6" s="61" t="n"/>
      <c r="G6" s="62" t="n"/>
      <c r="H6" s="43" t="n"/>
    </row>
    <row r="7" ht="30" customHeight="1">
      <c r="A7" s="63" t="inlineStr">
        <is>
          <t>Ref</t>
        </is>
      </c>
      <c r="B7" s="63" t="inlineStr">
        <is>
          <t>Source document / PBC</t>
        </is>
      </c>
      <c r="C7" s="63" t="inlineStr">
        <is>
          <t>Provided by</t>
        </is>
      </c>
      <c r="D7" s="63" t="inlineStr">
        <is>
          <t>Date received</t>
        </is>
      </c>
      <c r="E7" s="63" t="inlineStr">
        <is>
          <t>Format</t>
        </is>
      </c>
      <c r="F7" s="63" t="inlineStr">
        <is>
          <t>Used in tab(s)</t>
        </is>
      </c>
      <c r="G7" s="63" t="inlineStr">
        <is>
          <t>Limitations / notes</t>
        </is>
      </c>
      <c r="H7" s="43" t="n"/>
    </row>
    <row r="8">
      <c r="A8" s="64" t="n"/>
      <c r="B8" s="64" t="n"/>
      <c r="C8" s="64" t="n"/>
      <c r="D8" s="64" t="n"/>
      <c r="E8" s="64" t="n"/>
      <c r="F8" s="64" t="n"/>
      <c r="G8" s="64" t="n"/>
      <c r="H8" s="43" t="n"/>
    </row>
    <row r="9">
      <c r="A9" s="64" t="n"/>
      <c r="B9" s="64" t="n"/>
      <c r="C9" s="64" t="n"/>
      <c r="D9" s="64" t="n"/>
      <c r="E9" s="64" t="n"/>
      <c r="F9" s="64" t="n"/>
      <c r="G9" s="64" t="n"/>
      <c r="H9" s="43" t="n"/>
    </row>
    <row r="10">
      <c r="A10" s="64" t="n"/>
      <c r="B10" s="64" t="n"/>
      <c r="C10" s="64" t="n"/>
      <c r="D10" s="64" t="n"/>
      <c r="E10" s="64" t="n"/>
      <c r="F10" s="64" t="n"/>
      <c r="G10" s="64" t="n"/>
      <c r="H10" s="43" t="n"/>
    </row>
    <row r="11">
      <c r="A11" s="64" t="n"/>
      <c r="B11" s="64" t="n"/>
      <c r="C11" s="64" t="n"/>
      <c r="D11" s="64" t="n"/>
      <c r="E11" s="64" t="n"/>
      <c r="F11" s="64" t="n"/>
      <c r="G11" s="64" t="n"/>
      <c r="H11" s="43" t="n"/>
    </row>
    <row r="12">
      <c r="A12" s="64" t="n"/>
      <c r="B12" s="64" t="n"/>
      <c r="C12" s="64" t="n"/>
      <c r="D12" s="64" t="n"/>
      <c r="E12" s="64" t="n"/>
      <c r="F12" s="64" t="n"/>
      <c r="G12" s="64" t="n"/>
      <c r="H12" s="43" t="n"/>
    </row>
    <row r="13">
      <c r="A13" s="64" t="n"/>
      <c r="B13" s="64" t="n"/>
      <c r="C13" s="64" t="n"/>
      <c r="D13" s="64" t="n"/>
      <c r="E13" s="64" t="n"/>
      <c r="F13" s="64" t="n"/>
      <c r="G13" s="64" t="n"/>
      <c r="H13" s="43" t="n"/>
    </row>
    <row r="14">
      <c r="A14" s="64" t="n"/>
      <c r="B14" s="64" t="n"/>
      <c r="C14" s="64" t="n"/>
      <c r="D14" s="64" t="n"/>
      <c r="E14" s="64" t="n"/>
      <c r="F14" s="64" t="n"/>
      <c r="G14" s="64" t="n"/>
      <c r="H14" s="43" t="n"/>
    </row>
    <row r="15">
      <c r="A15" s="64" t="n"/>
      <c r="B15" s="64" t="n"/>
      <c r="C15" s="64" t="n"/>
      <c r="D15" s="64" t="n"/>
      <c r="E15" s="64" t="n"/>
      <c r="F15" s="64" t="n"/>
      <c r="G15" s="64" t="n"/>
      <c r="H15" s="43" t="n"/>
    </row>
    <row r="16">
      <c r="A16" s="64" t="n"/>
      <c r="B16" s="64" t="n"/>
      <c r="C16" s="64" t="n"/>
      <c r="D16" s="64" t="n"/>
      <c r="E16" s="64" t="n"/>
      <c r="F16" s="64" t="n"/>
      <c r="G16" s="64" t="n"/>
      <c r="H16" s="43" t="n"/>
    </row>
    <row r="17">
      <c r="A17" s="64" t="n"/>
      <c r="B17" s="64" t="n"/>
      <c r="C17" s="64" t="n"/>
      <c r="D17" s="64" t="n"/>
      <c r="E17" s="64" t="n"/>
      <c r="F17" s="64" t="n"/>
      <c r="G17" s="64" t="n"/>
      <c r="H17" s="43" t="n"/>
    </row>
    <row r="18">
      <c r="A18" s="64" t="n"/>
      <c r="B18" s="64" t="n"/>
      <c r="C18" s="64" t="n"/>
      <c r="D18" s="64" t="n"/>
      <c r="E18" s="64" t="n"/>
      <c r="F18" s="64" t="n"/>
      <c r="G18" s="64" t="n"/>
      <c r="H18" s="43" t="n"/>
    </row>
    <row r="19">
      <c r="A19" s="64" t="n"/>
      <c r="B19" s="64" t="n"/>
      <c r="C19" s="64" t="n"/>
      <c r="D19" s="64" t="n"/>
      <c r="E19" s="64" t="n"/>
      <c r="F19" s="64" t="n"/>
      <c r="G19" s="64" t="n"/>
      <c r="H19" s="43" t="n"/>
    </row>
    <row r="20">
      <c r="A20" s="43" t="n"/>
      <c r="B20" s="43" t="n"/>
      <c r="C20" s="43" t="n"/>
      <c r="D20" s="43" t="n"/>
      <c r="E20" s="43" t="n"/>
      <c r="F20" s="43" t="n"/>
      <c r="G20" s="43" t="n"/>
      <c r="H20" s="43" t="n"/>
    </row>
    <row r="21">
      <c r="A21" s="65" t="inlineStr">
        <is>
          <t>TM Legends</t>
        </is>
      </c>
      <c r="B21" s="43" t="n"/>
      <c r="C21" s="43" t="n"/>
      <c r="D21" s="43" t="n"/>
      <c r="E21" s="43" t="n"/>
      <c r="F21" s="43" t="n"/>
      <c r="G21" s="43" t="n"/>
      <c r="H21" s="43" t="n"/>
    </row>
    <row r="22">
      <c r="A22" s="66" t="inlineStr">
        <is>
          <t>TB</t>
        </is>
      </c>
      <c r="B22" s="49" t="inlineStr">
        <is>
          <t>Agreed to trial balance</t>
        </is>
      </c>
      <c r="C22" s="67" t="n"/>
      <c r="D22" s="68" t="n"/>
      <c r="E22" s="43" t="n"/>
      <c r="F22" s="43" t="n"/>
      <c r="G22" s="43" t="n"/>
      <c r="H22" s="43" t="n"/>
    </row>
    <row r="23">
      <c r="A23" s="66" t="inlineStr">
        <is>
          <t>GL</t>
        </is>
      </c>
      <c r="B23" s="49" t="inlineStr">
        <is>
          <t>Agreed to general ledger</t>
        </is>
      </c>
      <c r="C23" s="67" t="n"/>
      <c r="D23" s="68" t="n"/>
      <c r="E23" s="43" t="n"/>
      <c r="F23" s="43" t="n"/>
      <c r="G23" s="43" t="n"/>
      <c r="H23" s="43" t="n"/>
    </row>
    <row r="24">
      <c r="A24" s="66" t="inlineStr">
        <is>
          <t>CF</t>
        </is>
      </c>
      <c r="B24" s="49" t="inlineStr">
        <is>
          <t>Confirmed with third party</t>
        </is>
      </c>
      <c r="C24" s="67" t="n"/>
      <c r="D24" s="68" t="n"/>
      <c r="E24" s="43" t="n"/>
      <c r="F24" s="43" t="n"/>
      <c r="G24" s="43" t="n"/>
      <c r="H24" s="43" t="n"/>
    </row>
    <row r="25">
      <c r="A25" s="66" t="inlineStr">
        <is>
          <t>V</t>
        </is>
      </c>
      <c r="B25" s="49" t="inlineStr">
        <is>
          <t>Vouched to source document</t>
        </is>
      </c>
      <c r="C25" s="67" t="n"/>
      <c r="D25" s="68" t="n"/>
      <c r="E25" s="43" t="n"/>
      <c r="F25" s="43" t="n"/>
      <c r="G25" s="43" t="n"/>
      <c r="H25" s="43" t="n"/>
    </row>
    <row r="26">
      <c r="A26" s="66" t="inlineStr">
        <is>
          <t>SR</t>
        </is>
      </c>
      <c r="B26" s="49" t="inlineStr">
        <is>
          <t>Agreed to subsequent bank-cleared receipt</t>
        </is>
      </c>
      <c r="C26" s="67" t="n"/>
      <c r="D26" s="68" t="n"/>
      <c r="E26" s="43" t="n"/>
      <c r="F26" s="43" t="n"/>
      <c r="G26" s="43" t="n"/>
      <c r="H26" s="43" t="n"/>
    </row>
    <row r="27">
      <c r="A27" s="66" t="inlineStr">
        <is>
          <t>R</t>
        </is>
      </c>
      <c r="B27" s="49" t="inlineStr">
        <is>
          <t>Recalculated independently</t>
        </is>
      </c>
      <c r="C27" s="67" t="n"/>
      <c r="D27" s="68" t="n"/>
      <c r="E27" s="43" t="n"/>
      <c r="F27" s="43" t="n"/>
      <c r="G27" s="43" t="n"/>
      <c r="H27" s="43" t="n"/>
    </row>
    <row r="28">
      <c r="A28" s="66" t="inlineStr">
        <is>
          <t>F</t>
        </is>
      </c>
      <c r="B28" s="49" t="inlineStr">
        <is>
          <t>Footed / cross-cast</t>
        </is>
      </c>
      <c r="C28" s="67" t="n"/>
      <c r="D28" s="68" t="n"/>
      <c r="E28" s="43" t="n"/>
      <c r="F28" s="43" t="n"/>
      <c r="G28" s="43" t="n"/>
      <c r="H28" s="43" t="n"/>
    </row>
    <row r="29">
      <c r="A29" s="66" t="inlineStr">
        <is>
          <t>T</t>
        </is>
      </c>
      <c r="B29" s="49" t="inlineStr">
        <is>
          <t>Traced to downstream record</t>
        </is>
      </c>
      <c r="C29" s="67" t="n"/>
      <c r="D29" s="68" t="n"/>
      <c r="E29" s="43" t="n"/>
      <c r="F29" s="43" t="n"/>
      <c r="G29" s="43" t="n"/>
      <c r="H29" s="43" t="n"/>
    </row>
    <row r="30">
      <c r="A30" s="66" t="inlineStr">
        <is>
          <t>PBC</t>
        </is>
      </c>
      <c r="B30" s="49" t="inlineStr">
        <is>
          <t>Prepared by client</t>
        </is>
      </c>
      <c r="C30" s="67" t="n"/>
      <c r="D30" s="68" t="n"/>
      <c r="E30" s="43" t="n"/>
      <c r="F30" s="43" t="n"/>
      <c r="G30" s="43" t="n"/>
      <c r="H30" s="43" t="n"/>
    </row>
    <row r="31">
      <c r="A31" s="43" t="n"/>
      <c r="B31" s="43" t="n"/>
      <c r="C31" s="43" t="n"/>
      <c r="D31" s="43" t="n"/>
      <c r="E31" s="43" t="n"/>
      <c r="F31" s="43" t="n"/>
      <c r="G31" s="43" t="n"/>
      <c r="H31" s="43" t="n"/>
    </row>
    <row r="32" ht="27.75" customHeight="1">
      <c r="A32" s="45" t="inlineStr">
        <is>
          <t>Before sign-off complete Library Procedure 1 (source completeness &amp; limitations).</t>
        </is>
      </c>
      <c r="B32" s="43" t="n"/>
      <c r="C32" s="43" t="n"/>
      <c r="D32" s="43" t="n"/>
      <c r="E32" s="43" t="n"/>
      <c r="F32" s="43" t="n"/>
      <c r="G32" s="43" t="n"/>
      <c r="H32" s="43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I3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:I6"/>
    </sheetView>
  </sheetViews>
  <sheetFormatPr baseColWidth="8" defaultColWidth="8.6328125" defaultRowHeight="14.5"/>
  <cols>
    <col width="26.65" customWidth="1" min="1" max="1"/>
    <col width="22.4" customWidth="1" min="2" max="2"/>
    <col width="35.15" customWidth="1" min="3" max="3"/>
    <col width="37.7" customWidth="1" min="4" max="4"/>
    <col width="15" customWidth="1" min="5" max="6"/>
    <col width="13" customWidth="1" min="6" max="6"/>
    <col width="30.9" customWidth="1" min="7" max="7"/>
    <col width="34.3" customWidth="1" min="8" max="8"/>
    <col width="28" customWidth="1" min="9" max="9"/>
  </cols>
  <sheetData>
    <row r="1" ht="17.5" customHeight="1">
      <c r="A1" s="42" t="inlineStr">
        <is>
          <t>Revenue Lead Sheet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</row>
    <row r="2" ht="27" customHeight="1">
      <c r="A2" s="54" t="inlineStr">
        <is>
          <t>Client / Entity</t>
        </is>
      </c>
      <c r="B2" s="44" t="inlineStr">
        <is>
          <t>Vaquite Industries, Inc.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  <c r="I2" s="43" t="n"/>
    </row>
    <row r="3" ht="27" customHeight="1">
      <c r="A3" s="57" t="inlineStr">
        <is>
          <t>Performance Materiality</t>
        </is>
      </c>
      <c r="B3" s="58" t="n">
        <v>23100</v>
      </c>
      <c r="C3" s="43" t="n"/>
      <c r="D3" s="57" t="inlineStr">
        <is>
          <t>Tolerable misstatement / testing threshold</t>
        </is>
      </c>
      <c r="E3" s="58" t="n">
        <v>17400</v>
      </c>
      <c r="F3" s="43" t="n"/>
      <c r="G3" s="43" t="n"/>
      <c r="H3" s="43" t="n"/>
      <c r="I3" s="43" t="n"/>
    </row>
    <row r="4" ht="27.75" customHeight="1">
      <c r="A4" s="59" t="inlineStr">
        <is>
          <t>Purpose:</t>
        </is>
      </c>
      <c r="B4" s="60" t="inlineStr">
        <is>
          <t>Summarize revenue by stream, flag the recognition pattern (point-in-time / over-time) and presentation (gross / contra), and tie net revenue to the trial balance.</t>
        </is>
      </c>
      <c r="C4" s="61" t="n"/>
      <c r="D4" s="61" t="n"/>
      <c r="E4" s="61" t="n"/>
      <c r="F4" s="61" t="n"/>
      <c r="G4" s="61" t="n"/>
      <c r="H4" s="61" t="n"/>
      <c r="I4" s="62" t="n"/>
    </row>
    <row r="5" ht="27.75" customHeight="1">
      <c r="A5" s="59" t="inlineStr">
        <is>
          <t>Scope:</t>
        </is>
      </c>
      <c r="B5" s="60" t="inlineStr">
        <is>
          <t>All revenue streams (product, service, freight, other) and contra-revenue (returns, discounts &amp; rebates), by GL account.</t>
        </is>
      </c>
      <c r="C5" s="61" t="n"/>
      <c r="D5" s="61" t="n"/>
      <c r="E5" s="61" t="n"/>
      <c r="F5" s="61" t="n"/>
      <c r="G5" s="61" t="n"/>
      <c r="H5" s="61" t="n"/>
      <c r="I5" s="62" t="n"/>
    </row>
    <row r="6" ht="15" customHeight="1">
      <c r="A6" s="59" t="inlineStr">
        <is>
          <t>Assertions:</t>
        </is>
      </c>
      <c r="B6" s="60" t="inlineStr">
        <is>
          <t>Occurrence; Completeness; Accuracy; Classification</t>
        </is>
      </c>
      <c r="C6" s="61" t="n"/>
      <c r="D6" s="61" t="n"/>
      <c r="E6" s="61" t="n"/>
      <c r="F6" s="61" t="n"/>
      <c r="G6" s="61" t="n"/>
      <c r="H6" s="61" t="n"/>
      <c r="I6" s="62" t="n"/>
    </row>
    <row r="7" ht="30" customHeight="1">
      <c r="A7" s="63" t="inlineStr">
        <is>
          <t>Stream</t>
        </is>
      </c>
      <c r="B7" s="63" t="inlineStr">
        <is>
          <t>GL Account</t>
        </is>
      </c>
      <c r="C7" s="63" t="inlineStr">
        <is>
          <t>Recognition (Point-in-time / Over-time)</t>
        </is>
      </c>
      <c r="D7" s="63" t="inlineStr">
        <is>
          <t>Presentation (Gross / Contra)</t>
        </is>
      </c>
      <c r="E7" s="63" t="inlineStr">
        <is>
          <t>CY</t>
        </is>
      </c>
      <c r="F7" s="63" t="inlineStr">
        <is>
          <t>PY</t>
        </is>
      </c>
      <c r="G7" s="63" t="inlineStr">
        <is>
          <t>Difference</t>
        </is>
      </c>
      <c r="H7" s="63" t="inlineStr">
        <is>
          <t>% Change</t>
        </is>
      </c>
      <c r="I7" s="63" t="inlineStr">
        <is>
          <t>Source / Comments</t>
        </is>
      </c>
    </row>
    <row r="8">
      <c r="A8" s="43" t="n"/>
      <c r="B8" s="43" t="n"/>
      <c r="C8" s="43" t="n"/>
      <c r="D8" s="43" t="n"/>
      <c r="E8" s="69" t="inlineStr">
        <is>
          <t>TB</t>
        </is>
      </c>
      <c r="F8" s="69" t="inlineStr">
        <is>
          <t>PY</t>
        </is>
      </c>
      <c r="G8" s="69" t="inlineStr">
        <is>
          <t>R</t>
        </is>
      </c>
      <c r="H8" s="43" t="n"/>
      <c r="I8" s="43" t="n"/>
    </row>
    <row r="9">
      <c r="A9" s="64" t="n"/>
      <c r="B9" s="64" t="n"/>
      <c r="C9" s="64" t="n"/>
      <c r="D9" s="64" t="n"/>
      <c r="E9" s="70" t="n"/>
      <c r="F9" s="70" t="n"/>
      <c r="G9" s="71">
        <f>IF(AND(E9="",F9=""),"",E9-F9)</f>
        <v/>
      </c>
      <c r="H9" s="72">
        <f>IF(OR(F9="",F9=0),"",(E9-F9)/F9)</f>
        <v/>
      </c>
      <c r="I9" s="64" t="n"/>
    </row>
    <row r="10" ht="27" customHeight="1">
      <c r="A10" s="64" t="n"/>
      <c r="B10" s="64" t="n"/>
      <c r="C10" s="64" t="n"/>
      <c r="D10" s="64" t="n"/>
      <c r="E10" s="70" t="n"/>
      <c r="F10" s="70" t="n"/>
      <c r="G10" s="71">
        <f>IF(AND(E10="",F10=""),"",E10-F10)</f>
        <v/>
      </c>
      <c r="H10" s="72">
        <f>IF(OR(F10="",F10=0),"",(E10-F10)/F10)</f>
        <v/>
      </c>
      <c r="I10" s="64" t="n"/>
    </row>
    <row r="11" ht="27" customHeight="1">
      <c r="A11" s="64" t="n"/>
      <c r="B11" s="64" t="n"/>
      <c r="C11" s="64" t="n"/>
      <c r="D11" s="64" t="n"/>
      <c r="E11" s="70" t="n"/>
      <c r="F11" s="70" t="n"/>
      <c r="G11" s="71">
        <f>IF(AND(E11="",F11=""),"",E11-F11)</f>
        <v/>
      </c>
      <c r="H11" s="72">
        <f>IF(OR(F11="",F11=0),"",(E11-F11)/F11)</f>
        <v/>
      </c>
      <c r="I11" s="64" t="n"/>
    </row>
    <row r="12" ht="27" customHeight="1">
      <c r="A12" s="64" t="n"/>
      <c r="B12" s="64" t="n"/>
      <c r="C12" s="64" t="n"/>
      <c r="D12" s="64" t="n"/>
      <c r="E12" s="70" t="n"/>
      <c r="F12" s="70" t="n"/>
      <c r="G12" s="71">
        <f>IF(AND(E12="",F12=""),"",E12-F12)</f>
        <v/>
      </c>
      <c r="H12" s="72">
        <f>IF(OR(F12="",F12=0),"",(E12-F12)/F12)</f>
        <v/>
      </c>
      <c r="I12" s="64" t="n"/>
    </row>
    <row r="13" ht="27" customHeight="1">
      <c r="A13" s="64" t="n"/>
      <c r="B13" s="64" t="n"/>
      <c r="C13" s="64" t="n"/>
      <c r="D13" s="64" t="n"/>
      <c r="E13" s="70" t="n"/>
      <c r="F13" s="70" t="n"/>
      <c r="G13" s="71">
        <f>IF(AND(E13="",F13=""),"",E13-F13)</f>
        <v/>
      </c>
      <c r="H13" s="72">
        <f>IF(OR(F13="",F13=0),"",(E13-F13)/F13)</f>
        <v/>
      </c>
      <c r="I13" s="64" t="n"/>
    </row>
    <row r="14" ht="27" customHeight="1">
      <c r="A14" s="64" t="n"/>
      <c r="B14" s="64" t="n"/>
      <c r="C14" s="64" t="n"/>
      <c r="D14" s="64" t="n"/>
      <c r="E14" s="70" t="n"/>
      <c r="F14" s="70" t="n"/>
      <c r="G14" s="71">
        <f>IF(AND(E14="",F14=""),"",E14-F14)</f>
        <v/>
      </c>
      <c r="H14" s="72">
        <f>IF(OR(F14="",F14=0),"",(E14-F14)/F14)</f>
        <v/>
      </c>
      <c r="I14" s="64" t="n"/>
    </row>
    <row r="15" ht="27" customHeight="1">
      <c r="A15" s="64" t="n"/>
      <c r="B15" s="64" t="n"/>
      <c r="C15" s="64" t="n"/>
      <c r="D15" s="64" t="n"/>
      <c r="E15" s="70" t="n"/>
      <c r="F15" s="70" t="n"/>
      <c r="G15" s="71">
        <f>IF(AND(E15="",F15=""),"",E15-F15)</f>
        <v/>
      </c>
      <c r="H15" s="72">
        <f>IF(OR(F15="",F15=0),"",(E15-F15)/F15)</f>
        <v/>
      </c>
      <c r="I15" s="64" t="n"/>
    </row>
    <row r="16" ht="27" customHeight="1">
      <c r="A16" s="64" t="n"/>
      <c r="B16" s="64" t="n"/>
      <c r="C16" s="64" t="n"/>
      <c r="D16" s="64" t="n"/>
      <c r="E16" s="70" t="n"/>
      <c r="F16" s="70" t="n"/>
      <c r="G16" s="71">
        <f>IF(AND(E16="",F16=""),"",E16-F16)</f>
        <v/>
      </c>
      <c r="H16" s="72">
        <f>IF(OR(F16="",F16=0),"",(E16-F16)/F16)</f>
        <v/>
      </c>
      <c r="I16" s="64" t="n"/>
    </row>
    <row r="17" ht="27" customHeight="1">
      <c r="A17" s="64" t="n"/>
      <c r="B17" s="64" t="n"/>
      <c r="C17" s="64" t="n"/>
      <c r="D17" s="64" t="n"/>
      <c r="E17" s="70" t="n"/>
      <c r="F17" s="70" t="n"/>
      <c r="G17" s="71">
        <f>IF(AND(E17="",F17=""),"",E17-F17)</f>
        <v/>
      </c>
      <c r="H17" s="72">
        <f>IF(OR(F17="",F17=0),"",(E17-F17)/F17)</f>
        <v/>
      </c>
      <c r="I17" s="64" t="n"/>
    </row>
    <row r="18">
      <c r="A18" s="73" t="inlineStr">
        <is>
          <t>Net revenue</t>
        </is>
      </c>
      <c r="B18" s="73" t="n"/>
      <c r="C18" s="73" t="n"/>
      <c r="D18" s="73" t="n"/>
      <c r="E18" s="74">
        <f>SUM(E9:E17)</f>
        <v/>
      </c>
      <c r="F18" s="74">
        <f>SUM(F9:F17)</f>
        <v/>
      </c>
      <c r="G18" s="74">
        <f>SUM(G9:G17)</f>
        <v/>
      </c>
      <c r="H18" s="73" t="n"/>
      <c r="I18" s="73" t="n"/>
    </row>
    <row r="19" ht="27" customHeight="1">
      <c r="A19" s="49" t="inlineStr">
        <is>
          <t>Net revenue per trial balance</t>
        </is>
      </c>
      <c r="B19" s="64" t="n"/>
      <c r="C19" s="64" t="n"/>
      <c r="D19" s="64" t="n"/>
      <c r="E19" s="70" t="n"/>
      <c r="F19" s="64" t="n"/>
      <c r="G19" s="64" t="n"/>
      <c r="H19" s="64" t="n"/>
      <c r="I19" s="64" t="n"/>
    </row>
    <row r="20">
      <c r="A20" s="75" t="inlineStr">
        <is>
          <t>Difference (should be 0)</t>
        </is>
      </c>
      <c r="B20" s="64" t="n"/>
      <c r="C20" s="64" t="n"/>
      <c r="D20" s="64" t="n"/>
      <c r="E20" s="76">
        <f>E18-E19</f>
        <v/>
      </c>
      <c r="F20" s="64" t="n"/>
      <c r="G20" s="64" t="n"/>
      <c r="H20" s="64" t="n"/>
      <c r="I20" s="64" t="n"/>
    </row>
    <row r="21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</row>
    <row r="22" ht="27.75" customHeight="1">
      <c r="A22" s="45" t="inlineStr">
        <is>
          <t>Contra streams (returns, discounts &amp; rebates) carry debit balances and net against gross revenue. The recognition flag routes each stream to the &lt;.7&gt; framework: point-in-time streams to the control-transfer evaluation; over-time streams (e.g., custom job orders) to the ASC 606-10-25-27 criteria and measure of progress.</t>
        </is>
      </c>
      <c r="B22" s="43" t="n"/>
      <c r="C22" s="43" t="n"/>
      <c r="D22" s="43" t="n"/>
      <c r="E22" s="43" t="n"/>
      <c r="F22" s="43" t="n"/>
      <c r="G22" s="43" t="n"/>
      <c r="H22" s="43" t="n"/>
      <c r="I22" s="43" t="n"/>
    </row>
    <row r="23">
      <c r="A23" s="43" t="n"/>
      <c r="B23" s="43" t="n"/>
      <c r="C23" s="43" t="n"/>
      <c r="D23" s="43" t="n"/>
      <c r="E23" s="43" t="n"/>
      <c r="F23" s="43" t="n"/>
      <c r="G23" s="43" t="n"/>
      <c r="H23" s="43" t="n"/>
      <c r="I23" s="43" t="n"/>
    </row>
    <row r="24">
      <c r="A24" s="65" t="inlineStr">
        <is>
          <t>TM Legends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</row>
    <row r="25">
      <c r="A25" s="66" t="inlineStr">
        <is>
          <t>TB</t>
        </is>
      </c>
      <c r="B25" s="49" t="inlineStr">
        <is>
          <t>Agreed to trial balance</t>
        </is>
      </c>
      <c r="C25" s="67" t="n"/>
      <c r="D25" s="68" t="n"/>
      <c r="E25" s="43" t="n"/>
      <c r="F25" s="43" t="n"/>
      <c r="G25" s="43" t="n"/>
      <c r="H25" s="43" t="n"/>
      <c r="I25" s="43" t="n"/>
    </row>
    <row r="26">
      <c r="A26" s="66" t="inlineStr">
        <is>
          <t>GL</t>
        </is>
      </c>
      <c r="B26" s="49" t="inlineStr">
        <is>
          <t>Agreed to general ledger</t>
        </is>
      </c>
      <c r="C26" s="67" t="n"/>
      <c r="D26" s="68" t="n"/>
      <c r="E26" s="43" t="n"/>
      <c r="F26" s="43" t="n"/>
      <c r="G26" s="43" t="n"/>
      <c r="H26" s="43" t="n"/>
      <c r="I26" s="43" t="n"/>
    </row>
    <row r="27">
      <c r="A27" s="66" t="inlineStr">
        <is>
          <t>CF</t>
        </is>
      </c>
      <c r="B27" s="49" t="inlineStr">
        <is>
          <t>Confirmed with third party</t>
        </is>
      </c>
      <c r="C27" s="67" t="n"/>
      <c r="D27" s="68" t="n"/>
      <c r="E27" s="43" t="n"/>
      <c r="F27" s="43" t="n"/>
      <c r="G27" s="43" t="n"/>
      <c r="H27" s="43" t="n"/>
      <c r="I27" s="43" t="n"/>
    </row>
    <row r="28">
      <c r="A28" s="66" t="inlineStr">
        <is>
          <t>V</t>
        </is>
      </c>
      <c r="B28" s="49" t="inlineStr">
        <is>
          <t>Vouched to source document</t>
        </is>
      </c>
      <c r="C28" s="67" t="n"/>
      <c r="D28" s="68" t="n"/>
      <c r="E28" s="43" t="n"/>
      <c r="F28" s="43" t="n"/>
      <c r="G28" s="43" t="n"/>
      <c r="H28" s="43" t="n"/>
      <c r="I28" s="43" t="n"/>
    </row>
    <row r="29">
      <c r="A29" s="66" t="inlineStr">
        <is>
          <t>SR</t>
        </is>
      </c>
      <c r="B29" s="49" t="inlineStr">
        <is>
          <t>Agreed to subsequent bank-cleared receipt</t>
        </is>
      </c>
      <c r="C29" s="67" t="n"/>
      <c r="D29" s="68" t="n"/>
      <c r="E29" s="43" t="n"/>
      <c r="F29" s="43" t="n"/>
      <c r="G29" s="43" t="n"/>
      <c r="H29" s="43" t="n"/>
      <c r="I29" s="43" t="n"/>
    </row>
    <row r="30">
      <c r="A30" s="66" t="inlineStr">
        <is>
          <t>R</t>
        </is>
      </c>
      <c r="B30" s="49" t="inlineStr">
        <is>
          <t>Recalculated independently</t>
        </is>
      </c>
      <c r="C30" s="67" t="n"/>
      <c r="D30" s="68" t="n"/>
      <c r="E30" s="43" t="n"/>
      <c r="F30" s="43" t="n"/>
      <c r="G30" s="43" t="n"/>
      <c r="H30" s="43" t="n"/>
      <c r="I30" s="43" t="n"/>
    </row>
    <row r="31">
      <c r="A31" s="66" t="inlineStr">
        <is>
          <t>F</t>
        </is>
      </c>
      <c r="B31" s="49" t="inlineStr">
        <is>
          <t>Footed / cross-cast</t>
        </is>
      </c>
      <c r="C31" s="67" t="n"/>
      <c r="D31" s="68" t="n"/>
      <c r="E31" s="43" t="n"/>
      <c r="F31" s="43" t="n"/>
      <c r="G31" s="43" t="n"/>
      <c r="H31" s="43" t="n"/>
      <c r="I31" s="43" t="n"/>
    </row>
    <row r="32">
      <c r="A32" s="66" t="inlineStr">
        <is>
          <t>T</t>
        </is>
      </c>
      <c r="B32" s="49" t="inlineStr">
        <is>
          <t>Traced to downstream record</t>
        </is>
      </c>
      <c r="C32" s="67" t="n"/>
      <c r="D32" s="68" t="n"/>
      <c r="E32" s="43" t="n"/>
      <c r="F32" s="43" t="n"/>
      <c r="G32" s="43" t="n"/>
      <c r="H32" s="43" t="n"/>
      <c r="I32" s="43" t="n"/>
    </row>
    <row r="33">
      <c r="A33" s="66" t="inlineStr">
        <is>
          <t>PBC</t>
        </is>
      </c>
      <c r="B33" s="49" t="inlineStr">
        <is>
          <t>Prepared by client</t>
        </is>
      </c>
      <c r="C33" s="67" t="n"/>
      <c r="D33" s="68" t="n"/>
      <c r="E33" s="43" t="n"/>
      <c r="F33" s="43" t="n"/>
      <c r="G33" s="43" t="n"/>
      <c r="H33" s="43" t="n"/>
      <c r="I33" s="43" t="n"/>
    </row>
    <row r="34">
      <c r="A34" s="43" t="n"/>
      <c r="B34" s="43" t="n"/>
      <c r="C34" s="43" t="n"/>
      <c r="D34" s="43" t="n"/>
      <c r="E34" s="43" t="n"/>
      <c r="F34" s="43" t="n"/>
      <c r="G34" s="43" t="n"/>
      <c r="H34" s="43" t="n"/>
      <c r="I34" s="43" t="n"/>
    </row>
    <row r="35" ht="27.75" customHeight="1">
      <c r="A35" s="45" t="inlineStr">
        <is>
          <t>Before sign-off complete Library Procedures 2-3 (lead tie-out &amp; recognition flags; gross vs contra presentation).</t>
        </is>
      </c>
      <c r="B35" s="43" t="n"/>
      <c r="C35" s="43" t="n"/>
      <c r="D35" s="43" t="n"/>
      <c r="E35" s="43" t="n"/>
      <c r="F35" s="43" t="n"/>
      <c r="G35" s="43" t="n"/>
      <c r="H35" s="43" t="n"/>
      <c r="I35" s="43" t="n"/>
    </row>
  </sheetData>
  <mergeCells count="14">
    <mergeCell ref="B33:D33"/>
    <mergeCell ref="B28:D28"/>
    <mergeCell ref="B31:D31"/>
    <mergeCell ref="B6:I6"/>
    <mergeCell ref="B32:D32"/>
    <mergeCell ref="B26:D26"/>
    <mergeCell ref="B27:D27"/>
    <mergeCell ref="B5:I5"/>
    <mergeCell ref="B30:D30"/>
    <mergeCell ref="A22:I22"/>
    <mergeCell ref="B29:D29"/>
    <mergeCell ref="A35:I35"/>
    <mergeCell ref="B25:D25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I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:I6"/>
    </sheetView>
  </sheetViews>
  <sheetFormatPr baseColWidth="8" defaultColWidth="8.6328125" defaultRowHeight="14.5"/>
  <cols>
    <col width="40.25" customWidth="1" min="1" max="1"/>
    <col width="22.4" customWidth="1" min="2" max="2"/>
    <col width="23.25" customWidth="1" min="3" max="3"/>
    <col width="37.7" customWidth="1" min="4" max="4"/>
    <col width="17.3" customWidth="1" min="5" max="6"/>
    <col width="42" customWidth="1" min="6" max="6"/>
    <col width="24.1" customWidth="1" min="7" max="7"/>
    <col width="14.75" customWidth="1" min="8" max="8"/>
    <col width="26" customWidth="1" min="9" max="9"/>
  </cols>
  <sheetData>
    <row r="1" ht="27" customHeight="1">
      <c r="A1" s="42" t="inlineStr">
        <is>
          <t>Revenue Reconciliation &amp; Testing-Approach Map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</row>
    <row r="2" ht="27" customHeight="1">
      <c r="A2" s="54" t="inlineStr">
        <is>
          <t>Client / Entity</t>
        </is>
      </c>
      <c r="B2" s="44" t="inlineStr">
        <is>
          <t>Vaquite Industries, Inc.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  <c r="I2" s="43" t="n"/>
    </row>
    <row r="3" ht="27" customHeight="1">
      <c r="A3" s="57" t="inlineStr">
        <is>
          <t>Performance Materiality</t>
        </is>
      </c>
      <c r="B3" s="58" t="n">
        <v>23100</v>
      </c>
      <c r="C3" s="43" t="n"/>
      <c r="D3" s="57" t="inlineStr">
        <is>
          <t>Tolerable misstatement / testing threshold</t>
        </is>
      </c>
      <c r="E3" s="58" t="n">
        <v>17400</v>
      </c>
      <c r="F3" s="43" t="n"/>
      <c r="G3" s="43" t="n"/>
      <c r="H3" s="43" t="n"/>
      <c r="I3" s="43" t="n"/>
    </row>
    <row r="4" ht="42" customHeight="1">
      <c r="A4" s="59" t="inlineStr">
        <is>
          <t>Purpose:</t>
        </is>
      </c>
      <c r="B4" s="60" t="inlineStr">
        <is>
          <t>Reconcile the revenue register / sub-ledger to the GL by stream, isolate reconciling items (e.g., rebate accruals), quantify unidentified differences, and map every stream to the tab that tests it — leaving no untested amounts unevaluated.</t>
        </is>
      </c>
      <c r="C4" s="61" t="n"/>
      <c r="D4" s="61" t="n"/>
      <c r="E4" s="61" t="n"/>
      <c r="F4" s="61" t="n"/>
      <c r="G4" s="61" t="n"/>
      <c r="H4" s="61" t="n"/>
      <c r="I4" s="62" t="n"/>
    </row>
    <row r="5" ht="15" customHeight="1">
      <c r="A5" s="59" t="inlineStr">
        <is>
          <t>Scope:</t>
        </is>
      </c>
      <c r="B5" s="60" t="inlineStr">
        <is>
          <t>Every revenue GL account and the full-period revenue register / sales journal.</t>
        </is>
      </c>
      <c r="C5" s="61" t="n"/>
      <c r="D5" s="61" t="n"/>
      <c r="E5" s="61" t="n"/>
      <c r="F5" s="61" t="n"/>
      <c r="G5" s="61" t="n"/>
      <c r="H5" s="61" t="n"/>
      <c r="I5" s="62" t="n"/>
    </row>
    <row r="6" ht="15" customHeight="1">
      <c r="A6" s="59" t="inlineStr">
        <is>
          <t>Assertions:</t>
        </is>
      </c>
      <c r="B6" s="60" t="inlineStr">
        <is>
          <t>Completeness; Accuracy; Occurrence</t>
        </is>
      </c>
      <c r="C6" s="61" t="n"/>
      <c r="D6" s="61" t="n"/>
      <c r="E6" s="61" t="n"/>
      <c r="F6" s="61" t="n"/>
      <c r="G6" s="61" t="n"/>
      <c r="H6" s="61" t="n"/>
      <c r="I6" s="62" t="n"/>
    </row>
    <row r="7" ht="30" customHeight="1">
      <c r="A7" s="63" t="inlineStr">
        <is>
          <t>Stream / GL account</t>
        </is>
      </c>
      <c r="B7" s="63" t="inlineStr">
        <is>
          <t>Per GL</t>
        </is>
      </c>
      <c r="C7" s="63" t="inlineStr">
        <is>
          <t>Per register / sub-ledger</t>
        </is>
      </c>
      <c r="D7" s="63" t="inlineStr">
        <is>
          <t>Reconciling items (describe)</t>
        </is>
      </c>
      <c r="E7" s="63" t="inlineStr">
        <is>
          <t>Reconciling amount</t>
        </is>
      </c>
      <c r="F7" s="63" t="inlineStr">
        <is>
          <t>Unidentified difference</t>
        </is>
      </c>
      <c r="G7" s="63" t="inlineStr">
        <is>
          <t>Tested on (tab / approach)</t>
        </is>
      </c>
      <c r="H7" s="63" t="inlineStr">
        <is>
          <t>Untested amount</t>
        </is>
      </c>
      <c r="I7" s="63" t="inlineStr">
        <is>
          <t>Comments</t>
        </is>
      </c>
    </row>
    <row r="8">
      <c r="A8" s="43" t="n"/>
      <c r="B8" s="69" t="inlineStr">
        <is>
          <t>TB</t>
        </is>
      </c>
      <c r="C8" s="69" t="inlineStr">
        <is>
          <t>PBC</t>
        </is>
      </c>
      <c r="D8" s="43" t="n"/>
      <c r="E8" s="43" t="n"/>
      <c r="F8" s="69" t="inlineStr">
        <is>
          <t>R</t>
        </is>
      </c>
      <c r="G8" s="43" t="n"/>
      <c r="H8" s="43" t="n"/>
      <c r="I8" s="43" t="n"/>
    </row>
    <row r="9" ht="27" customHeight="1">
      <c r="A9" s="64" t="n"/>
      <c r="B9" s="70" t="n"/>
      <c r="C9" s="70" t="n"/>
      <c r="D9" s="64" t="n"/>
      <c r="E9" s="70" t="n"/>
      <c r="F9" s="71">
        <f>IF(AND(B9="",C9=""),"",B9-C9-IF(E9="",0,E9))</f>
        <v/>
      </c>
      <c r="G9" s="64" t="n"/>
      <c r="H9" s="70" t="n"/>
      <c r="I9" s="64" t="n"/>
    </row>
    <row r="10" ht="27" customHeight="1">
      <c r="A10" s="64" t="n"/>
      <c r="B10" s="70" t="n"/>
      <c r="C10" s="70" t="n"/>
      <c r="D10" s="64" t="n"/>
      <c r="E10" s="70" t="n"/>
      <c r="F10" s="71">
        <f>IF(AND(B10="",C10=""),"",B10-C10-IF(E10="",0,E10))</f>
        <v/>
      </c>
      <c r="G10" s="64" t="n"/>
      <c r="H10" s="70" t="n"/>
      <c r="I10" s="64" t="n"/>
    </row>
    <row r="11" ht="27" customHeight="1">
      <c r="A11" s="64" t="n"/>
      <c r="B11" s="70" t="n"/>
      <c r="C11" s="70" t="n"/>
      <c r="D11" s="64" t="n"/>
      <c r="E11" s="70" t="n"/>
      <c r="F11" s="71">
        <f>IF(AND(B11="",C11=""),"",B11-C11-IF(E11="",0,E11))</f>
        <v/>
      </c>
      <c r="G11" s="64" t="n"/>
      <c r="H11" s="70" t="n"/>
      <c r="I11" s="64" t="n"/>
    </row>
    <row r="12" ht="27" customHeight="1">
      <c r="A12" s="64" t="n"/>
      <c r="B12" s="70" t="n"/>
      <c r="C12" s="70" t="n"/>
      <c r="D12" s="64" t="n"/>
      <c r="E12" s="70" t="n"/>
      <c r="F12" s="71">
        <f>IF(AND(B12="",C12=""),"",B12-C12-IF(E12="",0,E12))</f>
        <v/>
      </c>
      <c r="G12" s="64" t="n"/>
      <c r="H12" s="70" t="n"/>
      <c r="I12" s="64" t="n"/>
    </row>
    <row r="13" ht="27" customHeight="1">
      <c r="A13" s="64" t="n"/>
      <c r="B13" s="70" t="n"/>
      <c r="C13" s="70" t="n"/>
      <c r="D13" s="64" t="n"/>
      <c r="E13" s="70" t="n"/>
      <c r="F13" s="71">
        <f>IF(AND(B13="",C13=""),"",B13-C13-IF(E13="",0,E13))</f>
        <v/>
      </c>
      <c r="G13" s="64" t="n"/>
      <c r="H13" s="70" t="n"/>
      <c r="I13" s="64" t="n"/>
    </row>
    <row r="14" ht="27" customHeight="1">
      <c r="A14" s="64" t="n"/>
      <c r="B14" s="70" t="n"/>
      <c r="C14" s="70" t="n"/>
      <c r="D14" s="64" t="n"/>
      <c r="E14" s="70" t="n"/>
      <c r="F14" s="71">
        <f>IF(AND(B14="",C14=""),"",B14-C14-IF(E14="",0,E14))</f>
        <v/>
      </c>
      <c r="G14" s="64" t="n"/>
      <c r="H14" s="70" t="n"/>
      <c r="I14" s="64" t="n"/>
    </row>
    <row r="15" ht="27" customHeight="1">
      <c r="A15" s="64" t="n"/>
      <c r="B15" s="70" t="n"/>
      <c r="C15" s="70" t="n"/>
      <c r="D15" s="64" t="n"/>
      <c r="E15" s="70" t="n"/>
      <c r="F15" s="71">
        <f>IF(AND(B15="",C15=""),"",B15-C15-IF(E15="",0,E15))</f>
        <v/>
      </c>
      <c r="G15" s="64" t="n"/>
      <c r="H15" s="70" t="n"/>
      <c r="I15" s="64" t="n"/>
    </row>
    <row r="16" ht="27" customHeight="1">
      <c r="A16" s="64" t="n"/>
      <c r="B16" s="70" t="n"/>
      <c r="C16" s="70" t="n"/>
      <c r="D16" s="64" t="n"/>
      <c r="E16" s="70" t="n"/>
      <c r="F16" s="71">
        <f>IF(AND(B16="",C16=""),"",B16-C16-IF(E16="",0,E16))</f>
        <v/>
      </c>
      <c r="G16" s="64" t="n"/>
      <c r="H16" s="70" t="n"/>
      <c r="I16" s="64" t="n"/>
    </row>
    <row r="17">
      <c r="A17" s="73" t="inlineStr">
        <is>
          <t>Total</t>
        </is>
      </c>
      <c r="B17" s="74">
        <f>SUM(B9:B16)</f>
        <v/>
      </c>
      <c r="C17" s="74">
        <f>SUM(C9:C16)</f>
        <v/>
      </c>
      <c r="D17" s="73" t="n"/>
      <c r="E17" s="74">
        <f>SUM(E9:E16)</f>
        <v/>
      </c>
      <c r="F17" s="74">
        <f>SUM(F9:F16)</f>
        <v/>
      </c>
      <c r="G17" s="73" t="n"/>
      <c r="H17" s="74">
        <f>SUM(H9:H16)</f>
        <v/>
      </c>
      <c r="I17" s="73" t="n"/>
    </row>
    <row r="18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</row>
    <row r="19" ht="27.75" customHeight="1">
      <c r="A19" s="45" t="inlineStr">
        <is>
          <t>Unidentified differences must be individually and in aggregate below the testing threshold. The testing-approach column maps each stream to &lt;.3&gt; detail testing, &lt;.4&gt; cutoff, &lt;.5&gt; variable consideration or analytics — any untested amount is evaluated and either tested or accepted with a documented basis.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</row>
    <row r="20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</row>
    <row r="21">
      <c r="A21" s="65" t="inlineStr">
        <is>
          <t>TM Legends</t>
        </is>
      </c>
      <c r="B21" s="43" t="n"/>
      <c r="C21" s="43" t="n"/>
      <c r="D21" s="43" t="n"/>
      <c r="E21" s="43" t="n"/>
      <c r="F21" s="43" t="n"/>
      <c r="G21" s="43" t="n"/>
      <c r="H21" s="43" t="n"/>
      <c r="I21" s="43" t="n"/>
    </row>
    <row r="22">
      <c r="A22" s="66" t="inlineStr">
        <is>
          <t>TB</t>
        </is>
      </c>
      <c r="B22" s="49" t="inlineStr">
        <is>
          <t>Agreed to trial balance</t>
        </is>
      </c>
      <c r="C22" s="67" t="n"/>
      <c r="D22" s="68" t="n"/>
      <c r="E22" s="43" t="n"/>
      <c r="F22" s="43" t="n"/>
      <c r="G22" s="43" t="n"/>
      <c r="H22" s="43" t="n"/>
      <c r="I22" s="43" t="n"/>
    </row>
    <row r="23">
      <c r="A23" s="66" t="inlineStr">
        <is>
          <t>GL</t>
        </is>
      </c>
      <c r="B23" s="49" t="inlineStr">
        <is>
          <t>Agreed to general ledger</t>
        </is>
      </c>
      <c r="C23" s="67" t="n"/>
      <c r="D23" s="68" t="n"/>
      <c r="E23" s="43" t="n"/>
      <c r="F23" s="43" t="n"/>
      <c r="G23" s="43" t="n"/>
      <c r="H23" s="43" t="n"/>
      <c r="I23" s="43" t="n"/>
    </row>
    <row r="24">
      <c r="A24" s="66" t="inlineStr">
        <is>
          <t>CF</t>
        </is>
      </c>
      <c r="B24" s="49" t="inlineStr">
        <is>
          <t>Confirmed with third party</t>
        </is>
      </c>
      <c r="C24" s="67" t="n"/>
      <c r="D24" s="68" t="n"/>
      <c r="E24" s="43" t="n"/>
      <c r="F24" s="43" t="n"/>
      <c r="G24" s="43" t="n"/>
      <c r="H24" s="43" t="n"/>
      <c r="I24" s="43" t="n"/>
    </row>
    <row r="25">
      <c r="A25" s="66" t="inlineStr">
        <is>
          <t>V</t>
        </is>
      </c>
      <c r="B25" s="49" t="inlineStr">
        <is>
          <t>Vouched to source document</t>
        </is>
      </c>
      <c r="C25" s="67" t="n"/>
      <c r="D25" s="68" t="n"/>
      <c r="E25" s="43" t="n"/>
      <c r="F25" s="43" t="n"/>
      <c r="G25" s="43" t="n"/>
      <c r="H25" s="43" t="n"/>
      <c r="I25" s="43" t="n"/>
    </row>
    <row r="26">
      <c r="A26" s="66" t="inlineStr">
        <is>
          <t>SR</t>
        </is>
      </c>
      <c r="B26" s="49" t="inlineStr">
        <is>
          <t>Agreed to subsequent bank-cleared receipt</t>
        </is>
      </c>
      <c r="C26" s="67" t="n"/>
      <c r="D26" s="68" t="n"/>
      <c r="E26" s="43" t="n"/>
      <c r="F26" s="43" t="n"/>
      <c r="G26" s="43" t="n"/>
      <c r="H26" s="43" t="n"/>
      <c r="I26" s="43" t="n"/>
    </row>
    <row r="27">
      <c r="A27" s="66" t="inlineStr">
        <is>
          <t>R</t>
        </is>
      </c>
      <c r="B27" s="49" t="inlineStr">
        <is>
          <t>Recalculated independently</t>
        </is>
      </c>
      <c r="C27" s="67" t="n"/>
      <c r="D27" s="68" t="n"/>
      <c r="E27" s="43" t="n"/>
      <c r="F27" s="43" t="n"/>
      <c r="G27" s="43" t="n"/>
      <c r="H27" s="43" t="n"/>
      <c r="I27" s="43" t="n"/>
    </row>
    <row r="28">
      <c r="A28" s="66" t="inlineStr">
        <is>
          <t>F</t>
        </is>
      </c>
      <c r="B28" s="49" t="inlineStr">
        <is>
          <t>Footed / cross-cast</t>
        </is>
      </c>
      <c r="C28" s="67" t="n"/>
      <c r="D28" s="68" t="n"/>
      <c r="E28" s="43" t="n"/>
      <c r="F28" s="43" t="n"/>
      <c r="G28" s="43" t="n"/>
      <c r="H28" s="43" t="n"/>
      <c r="I28" s="43" t="n"/>
    </row>
    <row r="29">
      <c r="A29" s="66" t="inlineStr">
        <is>
          <t>T</t>
        </is>
      </c>
      <c r="B29" s="49" t="inlineStr">
        <is>
          <t>Traced to downstream record</t>
        </is>
      </c>
      <c r="C29" s="67" t="n"/>
      <c r="D29" s="68" t="n"/>
      <c r="E29" s="43" t="n"/>
      <c r="F29" s="43" t="n"/>
      <c r="G29" s="43" t="n"/>
      <c r="H29" s="43" t="n"/>
      <c r="I29" s="43" t="n"/>
    </row>
    <row r="30">
      <c r="A30" s="66" t="inlineStr">
        <is>
          <t>PBC</t>
        </is>
      </c>
      <c r="B30" s="49" t="inlineStr">
        <is>
          <t>Prepared by client</t>
        </is>
      </c>
      <c r="C30" s="67" t="n"/>
      <c r="D30" s="68" t="n"/>
      <c r="E30" s="43" t="n"/>
      <c r="F30" s="43" t="n"/>
      <c r="G30" s="43" t="n"/>
      <c r="H30" s="43" t="n"/>
      <c r="I30" s="43" t="n"/>
    </row>
    <row r="31">
      <c r="A31" s="43" t="n"/>
      <c r="B31" s="43" t="n"/>
      <c r="C31" s="43" t="n"/>
      <c r="D31" s="43" t="n"/>
      <c r="E31" s="43" t="n"/>
      <c r="F31" s="43" t="n"/>
      <c r="G31" s="43" t="n"/>
      <c r="H31" s="43" t="n"/>
      <c r="I31" s="43" t="n"/>
    </row>
    <row r="32" ht="27.75" customHeight="1">
      <c r="A32" s="45" t="inlineStr">
        <is>
          <t>Before sign-off complete Library Procedures 4-5 (register-to-GL reconciliation; testing-approach map &amp; untested amounts).</t>
        </is>
      </c>
      <c r="B32" s="43" t="n"/>
      <c r="C32" s="43" t="n"/>
      <c r="D32" s="43" t="n"/>
      <c r="E32" s="43" t="n"/>
      <c r="F32" s="43" t="n"/>
      <c r="G32" s="43" t="n"/>
      <c r="H32" s="43" t="n"/>
      <c r="I32" s="43" t="n"/>
    </row>
  </sheetData>
  <mergeCells count="14">
    <mergeCell ref="B28:D28"/>
    <mergeCell ref="A19:I19"/>
    <mergeCell ref="B23:D23"/>
    <mergeCell ref="B6:I6"/>
    <mergeCell ref="A32:I32"/>
    <mergeCell ref="B22:D22"/>
    <mergeCell ref="B26:D26"/>
    <mergeCell ref="B27:D27"/>
    <mergeCell ref="B5:I5"/>
    <mergeCell ref="B30:D30"/>
    <mergeCell ref="B29:D29"/>
    <mergeCell ref="B25:D25"/>
    <mergeCell ref="B24:D24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Y6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E1" sqref="E1"/>
      <selection pane="bottomLeft" activeCell="A9" sqref="A9"/>
      <selection pane="bottomRight" activeCell="C9" sqref="C9"/>
    </sheetView>
  </sheetViews>
  <sheetFormatPr baseColWidth="8" defaultColWidth="8.6328125" defaultRowHeight="14.5"/>
  <cols>
    <col width="37.7" customWidth="1" min="1" max="1"/>
    <col width="22.4" customWidth="1" min="2" max="2"/>
    <col width="12.2" customWidth="1" min="3" max="3"/>
    <col width="37.7" customWidth="1" min="4" max="4"/>
    <col width="12" customWidth="1" min="5" max="5"/>
    <col width="16.45" customWidth="1" min="6" max="6"/>
    <col width="25.8" customWidth="1" min="7" max="9"/>
    <col width="25.8" customWidth="1" min="8" max="8"/>
    <col width="20.7" customWidth="1" min="9" max="9"/>
    <col width="30.05" customWidth="1" min="10" max="10"/>
    <col width="11.35" customWidth="1" min="11" max="11"/>
    <col width="23.25" customWidth="1" min="12" max="12"/>
    <col width="12.2" customWidth="1" min="13" max="13"/>
    <col width="30.05" customWidth="1" min="14" max="14"/>
    <col width="27.5" customWidth="1" min="15" max="15"/>
    <col width="19.85" customWidth="1" min="16" max="16"/>
    <col width="18.15" customWidth="1" min="17" max="17"/>
    <col width="15.6" customWidth="1" min="18" max="18"/>
    <col width="35.15" customWidth="1" min="19" max="19"/>
    <col width="30.05" customWidth="1" min="20" max="20"/>
    <col width="15.6" customWidth="1" min="21" max="22"/>
    <col width="23.25" customWidth="1" min="22" max="22"/>
    <col width="30.05" customWidth="1" min="23" max="23"/>
    <col width="16.45" customWidth="1" min="24" max="24"/>
    <col width="22" customWidth="1" min="25" max="25"/>
  </cols>
  <sheetData>
    <row r="1" ht="27" customHeight="1">
      <c r="A1" s="42" t="inlineStr">
        <is>
          <t>Revenue Detail Testing (ASC 606 Five-Step)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</row>
    <row r="2" ht="27" customHeight="1">
      <c r="A2" s="54" t="inlineStr">
        <is>
          <t>Client / Entity</t>
        </is>
      </c>
      <c r="B2" s="44" t="inlineStr">
        <is>
          <t>Vaquite Industries, Inc.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</row>
    <row r="3" ht="27" customHeight="1">
      <c r="A3" s="57" t="inlineStr">
        <is>
          <t>Performance Materiality</t>
        </is>
      </c>
      <c r="B3" s="58" t="n">
        <v>23100</v>
      </c>
      <c r="C3" s="43" t="n"/>
      <c r="D3" s="57" t="inlineStr">
        <is>
          <t>Tolerable misstatement / testing threshold</t>
        </is>
      </c>
      <c r="E3" s="58" t="n">
        <v>17400</v>
      </c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</row>
    <row r="4" ht="42" customHeight="1">
      <c r="A4" s="59" t="inlineStr">
        <is>
          <t>Purpose:</t>
        </is>
      </c>
      <c r="B4" s="77" t="inlineStr">
        <is>
          <t>Test selected revenue transactions through the five-step model: contract / PO approved, price agreed to contract, quantities agreed order → delivery → invoice, control transfer dated, period propriety concluded, cash receipt corroborated, and revenue recomputed.</t>
        </is>
      </c>
      <c r="C4" s="61" t="n"/>
      <c r="D4" s="61" t="n"/>
      <c r="E4" s="61" t="n"/>
      <c r="F4" s="61" t="n"/>
      <c r="G4" s="61" t="n"/>
      <c r="H4" s="61" t="n"/>
      <c r="I4" s="62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</row>
    <row r="5" ht="27.75" customHeight="1">
      <c r="A5" s="59" t="inlineStr">
        <is>
          <t>Scope:</t>
        </is>
      </c>
      <c r="B5" s="77" t="inlineStr">
        <is>
          <t>Selections from the revenue register above the testing threshold, covering each significant stream.</t>
        </is>
      </c>
      <c r="C5" s="61" t="n"/>
      <c r="D5" s="61" t="n"/>
      <c r="E5" s="61" t="n"/>
      <c r="F5" s="61" t="n"/>
      <c r="G5" s="61" t="n"/>
      <c r="H5" s="61" t="n"/>
      <c r="I5" s="62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</row>
    <row r="6" ht="15" customHeight="1">
      <c r="A6" s="59" t="inlineStr">
        <is>
          <t>Assertions:</t>
        </is>
      </c>
      <c r="B6" s="77" t="inlineStr">
        <is>
          <t>Occurrence; Accuracy; Cutoff</t>
        </is>
      </c>
      <c r="C6" s="61" t="n"/>
      <c r="D6" s="61" t="n"/>
      <c r="E6" s="61" t="n"/>
      <c r="F6" s="61" t="n"/>
      <c r="G6" s="61" t="n"/>
      <c r="H6" s="61" t="n"/>
      <c r="I6" s="62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</row>
    <row r="7" ht="45.75" customHeight="1">
      <c r="A7" s="63" t="inlineStr">
        <is>
          <t>Sel #</t>
        </is>
      </c>
      <c r="B7" s="63" t="inlineStr">
        <is>
          <t>Invoice #</t>
        </is>
      </c>
      <c r="C7" s="63" t="inlineStr">
        <is>
          <t>Rev-rec date</t>
        </is>
      </c>
      <c r="D7" s="63" t="inlineStr">
        <is>
          <t>Customer</t>
        </is>
      </c>
      <c r="E7" s="63" t="inlineStr">
        <is>
          <t>Stream</t>
        </is>
      </c>
      <c r="F7" s="63" t="inlineStr">
        <is>
          <t>Contract / PO ref</t>
        </is>
      </c>
      <c r="G7" s="63" t="inlineStr">
        <is>
          <t>Contract / PO approved (Y/N)</t>
        </is>
      </c>
      <c r="H7" s="63" t="inlineStr">
        <is>
          <t>Unit price per contract / PO</t>
        </is>
      </c>
      <c r="I7" s="63" t="inlineStr">
        <is>
          <t>Unit price per invoice</t>
        </is>
      </c>
      <c r="J7" s="63" t="inlineStr">
        <is>
          <t>Price diff</t>
        </is>
      </c>
      <c r="K7" s="63" t="inlineStr">
        <is>
          <t>Qty ordered</t>
        </is>
      </c>
      <c r="L7" s="63" t="inlineStr">
        <is>
          <t>Qty delivered (BOL / POD)</t>
        </is>
      </c>
      <c r="M7" s="63" t="inlineStr">
        <is>
          <t>Qty invoiced</t>
        </is>
      </c>
      <c r="N7" s="63" t="inlineStr">
        <is>
          <t>Qty diff (invoiced − delivered)</t>
        </is>
      </c>
      <c r="O7" s="63" t="inlineStr">
        <is>
          <t>Shipping terms / control point</t>
        </is>
      </c>
      <c r="P7" s="63" t="inlineStr">
        <is>
          <t>Control-transfer date</t>
        </is>
      </c>
      <c r="Q7" s="63" t="inlineStr">
        <is>
          <t>Proper period (Y/N)</t>
        </is>
      </c>
      <c r="R7" s="63" t="inlineStr">
        <is>
          <t>Revenue recorded</t>
        </is>
      </c>
      <c r="S7" s="63" t="inlineStr">
        <is>
          <t>Recomputed (= inv price × qty invoiced)</t>
        </is>
      </c>
      <c r="T7" s="63" t="inlineStr">
        <is>
          <t>Difference</t>
        </is>
      </c>
      <c r="U7" s="63" t="inlineStr">
        <is>
          <t>Cash receipt ref</t>
        </is>
      </c>
      <c r="V7" s="63" t="inlineStr">
        <is>
          <t>Amount received (applied)</t>
        </is>
      </c>
      <c r="W7" s="63" t="inlineStr">
        <is>
          <t>Receipt diff</t>
        </is>
      </c>
      <c r="X7" s="63" t="inlineStr">
        <is>
          <t>Principal / Agent</t>
        </is>
      </c>
      <c r="Y7" s="63" t="inlineStr">
        <is>
          <t>Comments</t>
        </is>
      </c>
    </row>
    <row r="8">
      <c r="A8" s="43" t="n"/>
      <c r="B8" s="69" t="inlineStr">
        <is>
          <t>PBC</t>
        </is>
      </c>
      <c r="C8" s="43" t="n"/>
      <c r="D8" s="43" t="n"/>
      <c r="E8" s="43" t="n"/>
      <c r="F8" s="43" t="n"/>
      <c r="G8" s="43" t="n"/>
      <c r="H8" s="69" t="inlineStr">
        <is>
          <t>V</t>
        </is>
      </c>
      <c r="I8" s="43" t="n"/>
      <c r="J8" s="43" t="n"/>
      <c r="K8" s="43" t="n"/>
      <c r="L8" s="69" t="inlineStr">
        <is>
          <t>V</t>
        </is>
      </c>
      <c r="M8" s="43" t="n"/>
      <c r="N8" s="43" t="n"/>
      <c r="O8" s="43" t="n"/>
      <c r="P8" s="69" t="inlineStr">
        <is>
          <t>V</t>
        </is>
      </c>
      <c r="Q8" s="43" t="n"/>
      <c r="R8" s="69" t="inlineStr">
        <is>
          <t>TB</t>
        </is>
      </c>
      <c r="S8" s="43" t="n"/>
      <c r="T8" s="43" t="n"/>
      <c r="U8" s="43" t="n"/>
      <c r="V8" s="69" t="inlineStr">
        <is>
          <t>SR</t>
        </is>
      </c>
      <c r="W8" s="43" t="n"/>
      <c r="X8" s="43" t="n"/>
      <c r="Y8" s="43" t="n"/>
    </row>
    <row r="9">
      <c r="A9" s="78" t="n">
        <v>1</v>
      </c>
      <c r="B9" s="64" t="n"/>
      <c r="C9" s="64" t="n"/>
      <c r="D9" s="64" t="n"/>
      <c r="E9" s="64" t="n"/>
      <c r="F9" s="64" t="n"/>
      <c r="G9" s="64" t="n"/>
      <c r="H9" s="70" t="n"/>
      <c r="I9" s="70" t="n"/>
      <c r="J9" s="71">
        <f>IF(OR(H9="",I9=""),"",I9-H9)</f>
        <v/>
      </c>
      <c r="K9" s="79" t="n"/>
      <c r="L9" s="79" t="n"/>
      <c r="M9" s="79" t="n"/>
      <c r="N9" s="49">
        <f>IF(OR(L9="",M9=""),"",M9-L9)</f>
        <v/>
      </c>
      <c r="O9" s="64" t="n"/>
      <c r="P9" s="64" t="n"/>
      <c r="Q9" s="64" t="n"/>
      <c r="R9" s="70" t="n"/>
      <c r="S9" s="71">
        <f>IF(OR(I9="",M9=""),"",I9*M9)</f>
        <v/>
      </c>
      <c r="T9" s="71">
        <f>IF(OR(R9="",S9=""),"",R9-S9)</f>
        <v/>
      </c>
      <c r="U9" s="64" t="n"/>
      <c r="V9" s="70" t="n"/>
      <c r="W9" s="71">
        <f>IF(OR(R9="",V9=""),"",R9-V9)</f>
        <v/>
      </c>
      <c r="X9" s="64" t="n"/>
      <c r="Y9" s="64" t="n"/>
    </row>
    <row r="10" ht="27" customHeight="1">
      <c r="A10" s="78" t="n">
        <v>2</v>
      </c>
      <c r="B10" s="64" t="n"/>
      <c r="C10" s="64" t="n"/>
      <c r="D10" s="64" t="n"/>
      <c r="E10" s="64" t="n"/>
      <c r="F10" s="64" t="n"/>
      <c r="G10" s="64" t="n"/>
      <c r="H10" s="70" t="n"/>
      <c r="I10" s="70" t="n"/>
      <c r="J10" s="71">
        <f>IF(OR(H10="",I10=""),"",I10-H10)</f>
        <v/>
      </c>
      <c r="K10" s="79" t="n"/>
      <c r="L10" s="79" t="n"/>
      <c r="M10" s="79" t="n"/>
      <c r="N10" s="49">
        <f>IF(OR(L10="",M10=""),"",M10-L10)</f>
        <v/>
      </c>
      <c r="O10" s="64" t="n"/>
      <c r="P10" s="64" t="n"/>
      <c r="Q10" s="64" t="n"/>
      <c r="R10" s="70" t="n"/>
      <c r="S10" s="71">
        <f>IF(OR(I10="",M10=""),"",I10*M10)</f>
        <v/>
      </c>
      <c r="T10" s="71">
        <f>IF(OR(R10="",S10=""),"",R10-S10)</f>
        <v/>
      </c>
      <c r="U10" s="64" t="n"/>
      <c r="V10" s="70" t="n"/>
      <c r="W10" s="71">
        <f>IF(OR(R10="",V10=""),"",R10-V10)</f>
        <v/>
      </c>
      <c r="X10" s="64" t="n"/>
      <c r="Y10" s="64" t="n"/>
    </row>
    <row r="11" ht="27" customHeight="1">
      <c r="A11" s="78" t="n">
        <v>3</v>
      </c>
      <c r="B11" s="64" t="n"/>
      <c r="C11" s="64" t="n"/>
      <c r="D11" s="64" t="n"/>
      <c r="E11" s="64" t="n"/>
      <c r="F11" s="64" t="n"/>
      <c r="G11" s="64" t="n"/>
      <c r="H11" s="70" t="n"/>
      <c r="I11" s="70" t="n"/>
      <c r="J11" s="71">
        <f>IF(OR(H11="",I11=""),"",I11-H11)</f>
        <v/>
      </c>
      <c r="K11" s="79" t="n"/>
      <c r="L11" s="79" t="n"/>
      <c r="M11" s="79" t="n"/>
      <c r="N11" s="49">
        <f>IF(OR(L11="",M11=""),"",M11-L11)</f>
        <v/>
      </c>
      <c r="O11" s="64" t="n"/>
      <c r="P11" s="64" t="n"/>
      <c r="Q11" s="64" t="n"/>
      <c r="R11" s="70" t="n"/>
      <c r="S11" s="71">
        <f>IF(OR(I11="",M11=""),"",I11*M11)</f>
        <v/>
      </c>
      <c r="T11" s="71">
        <f>IF(OR(R11="",S11=""),"",R11-S11)</f>
        <v/>
      </c>
      <c r="U11" s="64" t="n"/>
      <c r="V11" s="70" t="n"/>
      <c r="W11" s="71">
        <f>IF(OR(R11="",V11=""),"",R11-V11)</f>
        <v/>
      </c>
      <c r="X11" s="64" t="n"/>
      <c r="Y11" s="64" t="n"/>
    </row>
    <row r="12" ht="27" customHeight="1">
      <c r="A12" s="78" t="n">
        <v>4</v>
      </c>
      <c r="B12" s="64" t="n"/>
      <c r="C12" s="64" t="n"/>
      <c r="D12" s="64" t="n"/>
      <c r="E12" s="64" t="n"/>
      <c r="F12" s="64" t="n"/>
      <c r="G12" s="64" t="n"/>
      <c r="H12" s="70" t="n"/>
      <c r="I12" s="70" t="n"/>
      <c r="J12" s="71">
        <f>IF(OR(H12="",I12=""),"",I12-H12)</f>
        <v/>
      </c>
      <c r="K12" s="79" t="n"/>
      <c r="L12" s="79" t="n"/>
      <c r="M12" s="79" t="n"/>
      <c r="N12" s="49">
        <f>IF(OR(L12="",M12=""),"",M12-L12)</f>
        <v/>
      </c>
      <c r="O12" s="64" t="n"/>
      <c r="P12" s="64" t="n"/>
      <c r="Q12" s="64" t="n"/>
      <c r="R12" s="70" t="n"/>
      <c r="S12" s="71">
        <f>IF(OR(I12="",M12=""),"",I12*M12)</f>
        <v/>
      </c>
      <c r="T12" s="71">
        <f>IF(OR(R12="",S12=""),"",R12-S12)</f>
        <v/>
      </c>
      <c r="U12" s="64" t="n"/>
      <c r="V12" s="70" t="n"/>
      <c r="W12" s="71">
        <f>IF(OR(R12="",V12=""),"",R12-V12)</f>
        <v/>
      </c>
      <c r="X12" s="64" t="n"/>
      <c r="Y12" s="64" t="n"/>
    </row>
    <row r="13" ht="27" customHeight="1">
      <c r="A13" s="78" t="n">
        <v>5</v>
      </c>
      <c r="B13" s="64" t="n"/>
      <c r="C13" s="64" t="n"/>
      <c r="D13" s="64" t="n"/>
      <c r="E13" s="64" t="n"/>
      <c r="F13" s="64" t="n"/>
      <c r="G13" s="64" t="n"/>
      <c r="H13" s="70" t="n"/>
      <c r="I13" s="70" t="n"/>
      <c r="J13" s="71">
        <f>IF(OR(H13="",I13=""),"",I13-H13)</f>
        <v/>
      </c>
      <c r="K13" s="79" t="n"/>
      <c r="L13" s="79" t="n"/>
      <c r="M13" s="79" t="n"/>
      <c r="N13" s="49">
        <f>IF(OR(L13="",M13=""),"",M13-L13)</f>
        <v/>
      </c>
      <c r="O13" s="64" t="n"/>
      <c r="P13" s="64" t="n"/>
      <c r="Q13" s="64" t="n"/>
      <c r="R13" s="70" t="n"/>
      <c r="S13" s="71">
        <f>IF(OR(I13="",M13=""),"",I13*M13)</f>
        <v/>
      </c>
      <c r="T13" s="71">
        <f>IF(OR(R13="",S13=""),"",R13-S13)</f>
        <v/>
      </c>
      <c r="U13" s="64" t="n"/>
      <c r="V13" s="70" t="n"/>
      <c r="W13" s="71">
        <f>IF(OR(R13="",V13=""),"",R13-V13)</f>
        <v/>
      </c>
      <c r="X13" s="64" t="n"/>
      <c r="Y13" s="64" t="n"/>
    </row>
    <row r="14" ht="27" customHeight="1">
      <c r="A14" s="78" t="n">
        <v>6</v>
      </c>
      <c r="B14" s="64" t="n"/>
      <c r="C14" s="64" t="n"/>
      <c r="D14" s="64" t="n"/>
      <c r="E14" s="64" t="n"/>
      <c r="F14" s="64" t="n"/>
      <c r="G14" s="64" t="n"/>
      <c r="H14" s="70" t="n"/>
      <c r="I14" s="70" t="n"/>
      <c r="J14" s="71">
        <f>IF(OR(H14="",I14=""),"",I14-H14)</f>
        <v/>
      </c>
      <c r="K14" s="79" t="n"/>
      <c r="L14" s="79" t="n"/>
      <c r="M14" s="79" t="n"/>
      <c r="N14" s="49">
        <f>IF(OR(L14="",M14=""),"",M14-L14)</f>
        <v/>
      </c>
      <c r="O14" s="64" t="n"/>
      <c r="P14" s="64" t="n"/>
      <c r="Q14" s="64" t="n"/>
      <c r="R14" s="70" t="n"/>
      <c r="S14" s="71">
        <f>IF(OR(I14="",M14=""),"",I14*M14)</f>
        <v/>
      </c>
      <c r="T14" s="71">
        <f>IF(OR(R14="",S14=""),"",R14-S14)</f>
        <v/>
      </c>
      <c r="U14" s="64" t="n"/>
      <c r="V14" s="70" t="n"/>
      <c r="W14" s="71">
        <f>IF(OR(R14="",V14=""),"",R14-V14)</f>
        <v/>
      </c>
      <c r="X14" s="64" t="n"/>
      <c r="Y14" s="64" t="n"/>
    </row>
    <row r="15" ht="27" customHeight="1">
      <c r="A15" s="78" t="n">
        <v>7</v>
      </c>
      <c r="B15" s="64" t="n"/>
      <c r="C15" s="64" t="n"/>
      <c r="D15" s="64" t="n"/>
      <c r="E15" s="64" t="n"/>
      <c r="F15" s="64" t="n"/>
      <c r="G15" s="64" t="n"/>
      <c r="H15" s="70" t="n"/>
      <c r="I15" s="70" t="n"/>
      <c r="J15" s="71">
        <f>IF(OR(H15="",I15=""),"",I15-H15)</f>
        <v/>
      </c>
      <c r="K15" s="79" t="n"/>
      <c r="L15" s="79" t="n"/>
      <c r="M15" s="79" t="n"/>
      <c r="N15" s="49">
        <f>IF(OR(L15="",M15=""),"",M15-L15)</f>
        <v/>
      </c>
      <c r="O15" s="64" t="n"/>
      <c r="P15" s="64" t="n"/>
      <c r="Q15" s="64" t="n"/>
      <c r="R15" s="70" t="n"/>
      <c r="S15" s="71">
        <f>IF(OR(I15="",M15=""),"",I15*M15)</f>
        <v/>
      </c>
      <c r="T15" s="71">
        <f>IF(OR(R15="",S15=""),"",R15-S15)</f>
        <v/>
      </c>
      <c r="U15" s="64" t="n"/>
      <c r="V15" s="70" t="n"/>
      <c r="W15" s="71">
        <f>IF(OR(R15="",V15=""),"",R15-V15)</f>
        <v/>
      </c>
      <c r="X15" s="64" t="n"/>
      <c r="Y15" s="64" t="n"/>
    </row>
    <row r="16" ht="27" customHeight="1">
      <c r="A16" s="78" t="n">
        <v>8</v>
      </c>
      <c r="B16" s="64" t="n"/>
      <c r="C16" s="64" t="n"/>
      <c r="D16" s="64" t="n"/>
      <c r="E16" s="64" t="n"/>
      <c r="F16" s="64" t="n"/>
      <c r="G16" s="64" t="n"/>
      <c r="H16" s="70" t="n"/>
      <c r="I16" s="70" t="n"/>
      <c r="J16" s="71">
        <f>IF(OR(H16="",I16=""),"",I16-H16)</f>
        <v/>
      </c>
      <c r="K16" s="79" t="n"/>
      <c r="L16" s="79" t="n"/>
      <c r="M16" s="79" t="n"/>
      <c r="N16" s="49">
        <f>IF(OR(L16="",M16=""),"",M16-L16)</f>
        <v/>
      </c>
      <c r="O16" s="64" t="n"/>
      <c r="P16" s="64" t="n"/>
      <c r="Q16" s="64" t="n"/>
      <c r="R16" s="70" t="n"/>
      <c r="S16" s="71">
        <f>IF(OR(I16="",M16=""),"",I16*M16)</f>
        <v/>
      </c>
      <c r="T16" s="71">
        <f>IF(OR(R16="",S16=""),"",R16-S16)</f>
        <v/>
      </c>
      <c r="U16" s="64" t="n"/>
      <c r="V16" s="70" t="n"/>
      <c r="W16" s="71">
        <f>IF(OR(R16="",V16=""),"",R16-V16)</f>
        <v/>
      </c>
      <c r="X16" s="64" t="n"/>
      <c r="Y16" s="64" t="n"/>
    </row>
    <row r="17" ht="27" customHeight="1">
      <c r="A17" s="78" t="n">
        <v>9</v>
      </c>
      <c r="B17" s="64" t="n"/>
      <c r="C17" s="64" t="n"/>
      <c r="D17" s="64" t="n"/>
      <c r="E17" s="64" t="n"/>
      <c r="F17" s="64" t="n"/>
      <c r="G17" s="64" t="n"/>
      <c r="H17" s="70" t="n"/>
      <c r="I17" s="70" t="n"/>
      <c r="J17" s="71">
        <f>IF(OR(H17="",I17=""),"",I17-H17)</f>
        <v/>
      </c>
      <c r="K17" s="79" t="n"/>
      <c r="L17" s="79" t="n"/>
      <c r="M17" s="79" t="n"/>
      <c r="N17" s="49">
        <f>IF(OR(L17="",M17=""),"",M17-L17)</f>
        <v/>
      </c>
      <c r="O17" s="64" t="n"/>
      <c r="P17" s="64" t="n"/>
      <c r="Q17" s="64" t="n"/>
      <c r="R17" s="70" t="n"/>
      <c r="S17" s="71">
        <f>IF(OR(I17="",M17=""),"",I17*M17)</f>
        <v/>
      </c>
      <c r="T17" s="71">
        <f>IF(OR(R17="",S17=""),"",R17-S17)</f>
        <v/>
      </c>
      <c r="U17" s="64" t="n"/>
      <c r="V17" s="70" t="n"/>
      <c r="W17" s="71">
        <f>IF(OR(R17="",V17=""),"",R17-V17)</f>
        <v/>
      </c>
      <c r="X17" s="64" t="n"/>
      <c r="Y17" s="64" t="n"/>
    </row>
    <row r="18" ht="27" customHeight="1">
      <c r="A18" s="78" t="n">
        <v>10</v>
      </c>
      <c r="B18" s="64" t="n"/>
      <c r="C18" s="64" t="n"/>
      <c r="D18" s="64" t="n"/>
      <c r="E18" s="64" t="n"/>
      <c r="F18" s="64" t="n"/>
      <c r="G18" s="64" t="n"/>
      <c r="H18" s="70" t="n"/>
      <c r="I18" s="70" t="n"/>
      <c r="J18" s="71">
        <f>IF(OR(H18="",I18=""),"",I18-H18)</f>
        <v/>
      </c>
      <c r="K18" s="79" t="n"/>
      <c r="L18" s="79" t="n"/>
      <c r="M18" s="79" t="n"/>
      <c r="N18" s="49">
        <f>IF(OR(L18="",M18=""),"",M18-L18)</f>
        <v/>
      </c>
      <c r="O18" s="64" t="n"/>
      <c r="P18" s="64" t="n"/>
      <c r="Q18" s="64" t="n"/>
      <c r="R18" s="70" t="n"/>
      <c r="S18" s="71">
        <f>IF(OR(I18="",M18=""),"",I18*M18)</f>
        <v/>
      </c>
      <c r="T18" s="71">
        <f>IF(OR(R18="",S18=""),"",R18-S18)</f>
        <v/>
      </c>
      <c r="U18" s="64" t="n"/>
      <c r="V18" s="70" t="n"/>
      <c r="W18" s="71">
        <f>IF(OR(R18="",V18=""),"",R18-V18)</f>
        <v/>
      </c>
      <c r="X18" s="64" t="n"/>
      <c r="Y18" s="64" t="n"/>
    </row>
    <row r="19" ht="27" customHeight="1">
      <c r="A19" s="78" t="n">
        <v>11</v>
      </c>
      <c r="B19" s="64" t="n"/>
      <c r="C19" s="64" t="n"/>
      <c r="D19" s="64" t="n"/>
      <c r="E19" s="64" t="n"/>
      <c r="F19" s="64" t="n"/>
      <c r="G19" s="64" t="n"/>
      <c r="H19" s="70" t="n"/>
      <c r="I19" s="70" t="n"/>
      <c r="J19" s="71">
        <f>IF(OR(H19="",I19=""),"",I19-H19)</f>
        <v/>
      </c>
      <c r="K19" s="79" t="n"/>
      <c r="L19" s="79" t="n"/>
      <c r="M19" s="79" t="n"/>
      <c r="N19" s="49">
        <f>IF(OR(L19="",M19=""),"",M19-L19)</f>
        <v/>
      </c>
      <c r="O19" s="64" t="n"/>
      <c r="P19" s="64" t="n"/>
      <c r="Q19" s="64" t="n"/>
      <c r="R19" s="70" t="n"/>
      <c r="S19" s="71">
        <f>IF(OR(I19="",M19=""),"",I19*M19)</f>
        <v/>
      </c>
      <c r="T19" s="71">
        <f>IF(OR(R19="",S19=""),"",R19-S19)</f>
        <v/>
      </c>
      <c r="U19" s="64" t="n"/>
      <c r="V19" s="70" t="n"/>
      <c r="W19" s="71">
        <f>IF(OR(R19="",V19=""),"",R19-V19)</f>
        <v/>
      </c>
      <c r="X19" s="64" t="n"/>
      <c r="Y19" s="64" t="n"/>
    </row>
    <row r="20" ht="27" customHeight="1">
      <c r="A20" s="78" t="n">
        <v>12</v>
      </c>
      <c r="B20" s="64" t="n"/>
      <c r="C20" s="64" t="n"/>
      <c r="D20" s="64" t="n"/>
      <c r="E20" s="64" t="n"/>
      <c r="F20" s="64" t="n"/>
      <c r="G20" s="64" t="n"/>
      <c r="H20" s="70" t="n"/>
      <c r="I20" s="70" t="n"/>
      <c r="J20" s="71">
        <f>IF(OR(H20="",I20=""),"",I20-H20)</f>
        <v/>
      </c>
      <c r="K20" s="79" t="n"/>
      <c r="L20" s="79" t="n"/>
      <c r="M20" s="79" t="n"/>
      <c r="N20" s="49">
        <f>IF(OR(L20="",M20=""),"",M20-L20)</f>
        <v/>
      </c>
      <c r="O20" s="64" t="n"/>
      <c r="P20" s="64" t="n"/>
      <c r="Q20" s="64" t="n"/>
      <c r="R20" s="70" t="n"/>
      <c r="S20" s="71">
        <f>IF(OR(I20="",M20=""),"",I20*M20)</f>
        <v/>
      </c>
      <c r="T20" s="71">
        <f>IF(OR(R20="",S20=""),"",R20-S20)</f>
        <v/>
      </c>
      <c r="U20" s="64" t="n"/>
      <c r="V20" s="70" t="n"/>
      <c r="W20" s="71">
        <f>IF(OR(R20="",V20=""),"",R20-V20)</f>
        <v/>
      </c>
      <c r="X20" s="64" t="n"/>
      <c r="Y20" s="64" t="n"/>
    </row>
    <row r="21" ht="27" customHeight="1">
      <c r="A21" s="78" t="n">
        <v>13</v>
      </c>
      <c r="B21" s="64" t="n"/>
      <c r="C21" s="64" t="n"/>
      <c r="D21" s="64" t="n"/>
      <c r="E21" s="64" t="n"/>
      <c r="F21" s="64" t="n"/>
      <c r="G21" s="64" t="n"/>
      <c r="H21" s="70" t="n"/>
      <c r="I21" s="70" t="n"/>
      <c r="J21" s="71">
        <f>IF(OR(H21="",I21=""),"",I21-H21)</f>
        <v/>
      </c>
      <c r="K21" s="79" t="n"/>
      <c r="L21" s="79" t="n"/>
      <c r="M21" s="79" t="n"/>
      <c r="N21" s="49">
        <f>IF(OR(L21="",M21=""),"",M21-L21)</f>
        <v/>
      </c>
      <c r="O21" s="64" t="n"/>
      <c r="P21" s="64" t="n"/>
      <c r="Q21" s="64" t="n"/>
      <c r="R21" s="70" t="n"/>
      <c r="S21" s="71">
        <f>IF(OR(I21="",M21=""),"",I21*M21)</f>
        <v/>
      </c>
      <c r="T21" s="71">
        <f>IF(OR(R21="",S21=""),"",R21-S21)</f>
        <v/>
      </c>
      <c r="U21" s="64" t="n"/>
      <c r="V21" s="70" t="n"/>
      <c r="W21" s="71">
        <f>IF(OR(R21="",V21=""),"",R21-V21)</f>
        <v/>
      </c>
      <c r="X21" s="64" t="n"/>
      <c r="Y21" s="64" t="n"/>
    </row>
    <row r="22" ht="27" customHeight="1">
      <c r="A22" s="78" t="n">
        <v>14</v>
      </c>
      <c r="B22" s="64" t="n"/>
      <c r="C22" s="64" t="n"/>
      <c r="D22" s="64" t="n"/>
      <c r="E22" s="64" t="n"/>
      <c r="F22" s="64" t="n"/>
      <c r="G22" s="64" t="n"/>
      <c r="H22" s="70" t="n"/>
      <c r="I22" s="70" t="n"/>
      <c r="J22" s="71">
        <f>IF(OR(H22="",I22=""),"",I22-H22)</f>
        <v/>
      </c>
      <c r="K22" s="79" t="n"/>
      <c r="L22" s="79" t="n"/>
      <c r="M22" s="79" t="n"/>
      <c r="N22" s="49">
        <f>IF(OR(L22="",M22=""),"",M22-L22)</f>
        <v/>
      </c>
      <c r="O22" s="64" t="n"/>
      <c r="P22" s="64" t="n"/>
      <c r="Q22" s="64" t="n"/>
      <c r="R22" s="70" t="n"/>
      <c r="S22" s="71">
        <f>IF(OR(I22="",M22=""),"",I22*M22)</f>
        <v/>
      </c>
      <c r="T22" s="71">
        <f>IF(OR(R22="",S22=""),"",R22-S22)</f>
        <v/>
      </c>
      <c r="U22" s="64" t="n"/>
      <c r="V22" s="70" t="n"/>
      <c r="W22" s="71">
        <f>IF(OR(R22="",V22=""),"",R22-V22)</f>
        <v/>
      </c>
      <c r="X22" s="64" t="n"/>
      <c r="Y22" s="64" t="n"/>
    </row>
    <row r="23" ht="27" customHeight="1">
      <c r="A23" s="78" t="n">
        <v>15</v>
      </c>
      <c r="B23" s="64" t="n"/>
      <c r="C23" s="64" t="n"/>
      <c r="D23" s="64" t="n"/>
      <c r="E23" s="64" t="n"/>
      <c r="F23" s="64" t="n"/>
      <c r="G23" s="64" t="n"/>
      <c r="H23" s="70" t="n"/>
      <c r="I23" s="70" t="n"/>
      <c r="J23" s="71">
        <f>IF(OR(H23="",I23=""),"",I23-H23)</f>
        <v/>
      </c>
      <c r="K23" s="79" t="n"/>
      <c r="L23" s="79" t="n"/>
      <c r="M23" s="79" t="n"/>
      <c r="N23" s="49">
        <f>IF(OR(L23="",M23=""),"",M23-L23)</f>
        <v/>
      </c>
      <c r="O23" s="64" t="n"/>
      <c r="P23" s="64" t="n"/>
      <c r="Q23" s="64" t="n"/>
      <c r="R23" s="70" t="n"/>
      <c r="S23" s="71">
        <f>IF(OR(I23="",M23=""),"",I23*M23)</f>
        <v/>
      </c>
      <c r="T23" s="71">
        <f>IF(OR(R23="",S23=""),"",R23-S23)</f>
        <v/>
      </c>
      <c r="U23" s="64" t="n"/>
      <c r="V23" s="70" t="n"/>
      <c r="W23" s="71">
        <f>IF(OR(R23="",V23=""),"",R23-V23)</f>
        <v/>
      </c>
      <c r="X23" s="64" t="n"/>
      <c r="Y23" s="64" t="n"/>
    </row>
    <row r="24" ht="27" customHeight="1">
      <c r="A24" s="78" t="n">
        <v>16</v>
      </c>
      <c r="B24" s="64" t="n"/>
      <c r="C24" s="64" t="n"/>
      <c r="D24" s="64" t="n"/>
      <c r="E24" s="64" t="n"/>
      <c r="F24" s="64" t="n"/>
      <c r="G24" s="64" t="n"/>
      <c r="H24" s="70" t="n"/>
      <c r="I24" s="70" t="n"/>
      <c r="J24" s="71">
        <f>IF(OR(H24="",I24=""),"",I24-H24)</f>
        <v/>
      </c>
      <c r="K24" s="79" t="n"/>
      <c r="L24" s="79" t="n"/>
      <c r="M24" s="79" t="n"/>
      <c r="N24" s="49">
        <f>IF(OR(L24="",M24=""),"",M24-L24)</f>
        <v/>
      </c>
      <c r="O24" s="64" t="n"/>
      <c r="P24" s="64" t="n"/>
      <c r="Q24" s="64" t="n"/>
      <c r="R24" s="70" t="n"/>
      <c r="S24" s="71">
        <f>IF(OR(I24="",M24=""),"",I24*M24)</f>
        <v/>
      </c>
      <c r="T24" s="71">
        <f>IF(OR(R24="",S24=""),"",R24-S24)</f>
        <v/>
      </c>
      <c r="U24" s="64" t="n"/>
      <c r="V24" s="70" t="n"/>
      <c r="W24" s="71">
        <f>IF(OR(R24="",V24=""),"",R24-V24)</f>
        <v/>
      </c>
      <c r="X24" s="64" t="n"/>
      <c r="Y24" s="64" t="n"/>
    </row>
    <row r="25" ht="27" customHeight="1">
      <c r="A25" s="78" t="n">
        <v>17</v>
      </c>
      <c r="B25" s="64" t="n"/>
      <c r="C25" s="64" t="n"/>
      <c r="D25" s="64" t="n"/>
      <c r="E25" s="64" t="n"/>
      <c r="F25" s="64" t="n"/>
      <c r="G25" s="64" t="n"/>
      <c r="H25" s="70" t="n"/>
      <c r="I25" s="70" t="n"/>
      <c r="J25" s="71">
        <f>IF(OR(H25="",I25=""),"",I25-H25)</f>
        <v/>
      </c>
      <c r="K25" s="79" t="n"/>
      <c r="L25" s="79" t="n"/>
      <c r="M25" s="79" t="n"/>
      <c r="N25" s="49">
        <f>IF(OR(L25="",M25=""),"",M25-L25)</f>
        <v/>
      </c>
      <c r="O25" s="64" t="n"/>
      <c r="P25" s="64" t="n"/>
      <c r="Q25" s="64" t="n"/>
      <c r="R25" s="70" t="n"/>
      <c r="S25" s="71">
        <f>IF(OR(I25="",M25=""),"",I25*M25)</f>
        <v/>
      </c>
      <c r="T25" s="71">
        <f>IF(OR(R25="",S25=""),"",R25-S25)</f>
        <v/>
      </c>
      <c r="U25" s="64" t="n"/>
      <c r="V25" s="70" t="n"/>
      <c r="W25" s="71">
        <f>IF(OR(R25="",V25=""),"",R25-V25)</f>
        <v/>
      </c>
      <c r="X25" s="64" t="n"/>
      <c r="Y25" s="64" t="n"/>
    </row>
    <row r="26" ht="27" customHeight="1">
      <c r="A26" s="78" t="n">
        <v>18</v>
      </c>
      <c r="B26" s="64" t="n"/>
      <c r="C26" s="64" t="n"/>
      <c r="D26" s="64" t="n"/>
      <c r="E26" s="64" t="n"/>
      <c r="F26" s="64" t="n"/>
      <c r="G26" s="64" t="n"/>
      <c r="H26" s="70" t="n"/>
      <c r="I26" s="70" t="n"/>
      <c r="J26" s="71">
        <f>IF(OR(H26="",I26=""),"",I26-H26)</f>
        <v/>
      </c>
      <c r="K26" s="79" t="n"/>
      <c r="L26" s="79" t="n"/>
      <c r="M26" s="79" t="n"/>
      <c r="N26" s="49">
        <f>IF(OR(L26="",M26=""),"",M26-L26)</f>
        <v/>
      </c>
      <c r="O26" s="64" t="n"/>
      <c r="P26" s="64" t="n"/>
      <c r="Q26" s="64" t="n"/>
      <c r="R26" s="70" t="n"/>
      <c r="S26" s="71">
        <f>IF(OR(I26="",M26=""),"",I26*M26)</f>
        <v/>
      </c>
      <c r="T26" s="71">
        <f>IF(OR(R26="",S26=""),"",R26-S26)</f>
        <v/>
      </c>
      <c r="U26" s="64" t="n"/>
      <c r="V26" s="70" t="n"/>
      <c r="W26" s="71">
        <f>IF(OR(R26="",V26=""),"",R26-V26)</f>
        <v/>
      </c>
      <c r="X26" s="64" t="n"/>
      <c r="Y26" s="64" t="n"/>
    </row>
    <row r="27" ht="27" customHeight="1">
      <c r="A27" s="78" t="n">
        <v>19</v>
      </c>
      <c r="B27" s="64" t="n"/>
      <c r="C27" s="64" t="n"/>
      <c r="D27" s="64" t="n"/>
      <c r="E27" s="64" t="n"/>
      <c r="F27" s="64" t="n"/>
      <c r="G27" s="64" t="n"/>
      <c r="H27" s="70" t="n"/>
      <c r="I27" s="70" t="n"/>
      <c r="J27" s="71">
        <f>IF(OR(H27="",I27=""),"",I27-H27)</f>
        <v/>
      </c>
      <c r="K27" s="79" t="n"/>
      <c r="L27" s="79" t="n"/>
      <c r="M27" s="79" t="n"/>
      <c r="N27" s="49">
        <f>IF(OR(L27="",M27=""),"",M27-L27)</f>
        <v/>
      </c>
      <c r="O27" s="64" t="n"/>
      <c r="P27" s="64" t="n"/>
      <c r="Q27" s="64" t="n"/>
      <c r="R27" s="70" t="n"/>
      <c r="S27" s="71">
        <f>IF(OR(I27="",M27=""),"",I27*M27)</f>
        <v/>
      </c>
      <c r="T27" s="71">
        <f>IF(OR(R27="",S27=""),"",R27-S27)</f>
        <v/>
      </c>
      <c r="U27" s="64" t="n"/>
      <c r="V27" s="70" t="n"/>
      <c r="W27" s="71">
        <f>IF(OR(R27="",V27=""),"",R27-V27)</f>
        <v/>
      </c>
      <c r="X27" s="64" t="n"/>
      <c r="Y27" s="64" t="n"/>
    </row>
    <row r="28" ht="27" customHeight="1">
      <c r="A28" s="78" t="n">
        <v>20</v>
      </c>
      <c r="B28" s="64" t="n"/>
      <c r="C28" s="64" t="n"/>
      <c r="D28" s="64" t="n"/>
      <c r="E28" s="64" t="n"/>
      <c r="F28" s="64" t="n"/>
      <c r="G28" s="64" t="n"/>
      <c r="H28" s="70" t="n"/>
      <c r="I28" s="70" t="n"/>
      <c r="J28" s="71">
        <f>IF(OR(H28="",I28=""),"",I28-H28)</f>
        <v/>
      </c>
      <c r="K28" s="79" t="n"/>
      <c r="L28" s="79" t="n"/>
      <c r="M28" s="79" t="n"/>
      <c r="N28" s="49">
        <f>IF(OR(L28="",M28=""),"",M28-L28)</f>
        <v/>
      </c>
      <c r="O28" s="64" t="n"/>
      <c r="P28" s="64" t="n"/>
      <c r="Q28" s="64" t="n"/>
      <c r="R28" s="70" t="n"/>
      <c r="S28" s="71">
        <f>IF(OR(I28="",M28=""),"",I28*M28)</f>
        <v/>
      </c>
      <c r="T28" s="71">
        <f>IF(OR(R28="",S28=""),"",R28-S28)</f>
        <v/>
      </c>
      <c r="U28" s="64" t="n"/>
      <c r="V28" s="70" t="n"/>
      <c r="W28" s="71">
        <f>IF(OR(R28="",V28=""),"",R28-V28)</f>
        <v/>
      </c>
      <c r="X28" s="64" t="n"/>
      <c r="Y28" s="64" t="n"/>
    </row>
    <row r="29" ht="27" customHeight="1">
      <c r="A29" s="78" t="n">
        <v>21</v>
      </c>
      <c r="B29" s="64" t="n"/>
      <c r="C29" s="64" t="n"/>
      <c r="D29" s="64" t="n"/>
      <c r="E29" s="64" t="n"/>
      <c r="F29" s="64" t="n"/>
      <c r="G29" s="64" t="n"/>
      <c r="H29" s="70" t="n"/>
      <c r="I29" s="70" t="n"/>
      <c r="J29" s="71">
        <f>IF(OR(H29="",I29=""),"",I29-H29)</f>
        <v/>
      </c>
      <c r="K29" s="79" t="n"/>
      <c r="L29" s="79" t="n"/>
      <c r="M29" s="79" t="n"/>
      <c r="N29" s="49">
        <f>IF(OR(L29="",M29=""),"",M29-L29)</f>
        <v/>
      </c>
      <c r="O29" s="64" t="n"/>
      <c r="P29" s="64" t="n"/>
      <c r="Q29" s="64" t="n"/>
      <c r="R29" s="70" t="n"/>
      <c r="S29" s="71">
        <f>IF(OR(I29="",M29=""),"",I29*M29)</f>
        <v/>
      </c>
      <c r="T29" s="71">
        <f>IF(OR(R29="",S29=""),"",R29-S29)</f>
        <v/>
      </c>
      <c r="U29" s="64" t="n"/>
      <c r="V29" s="70" t="n"/>
      <c r="W29" s="71">
        <f>IF(OR(R29="",V29=""),"",R29-V29)</f>
        <v/>
      </c>
      <c r="X29" s="64" t="n"/>
      <c r="Y29" s="64" t="n"/>
    </row>
    <row r="30" ht="27" customHeight="1">
      <c r="A30" s="78" t="n">
        <v>22</v>
      </c>
      <c r="B30" s="64" t="n"/>
      <c r="C30" s="64" t="n"/>
      <c r="D30" s="64" t="n"/>
      <c r="E30" s="64" t="n"/>
      <c r="F30" s="64" t="n"/>
      <c r="G30" s="64" t="n"/>
      <c r="H30" s="70" t="n"/>
      <c r="I30" s="70" t="n"/>
      <c r="J30" s="71">
        <f>IF(OR(H30="",I30=""),"",I30-H30)</f>
        <v/>
      </c>
      <c r="K30" s="79" t="n"/>
      <c r="L30" s="79" t="n"/>
      <c r="M30" s="79" t="n"/>
      <c r="N30" s="49">
        <f>IF(OR(L30="",M30=""),"",M30-L30)</f>
        <v/>
      </c>
      <c r="O30" s="64" t="n"/>
      <c r="P30" s="64" t="n"/>
      <c r="Q30" s="64" t="n"/>
      <c r="R30" s="70" t="n"/>
      <c r="S30" s="71">
        <f>IF(OR(I30="",M30=""),"",I30*M30)</f>
        <v/>
      </c>
      <c r="T30" s="71">
        <f>IF(OR(R30="",S30=""),"",R30-S30)</f>
        <v/>
      </c>
      <c r="U30" s="64" t="n"/>
      <c r="V30" s="70" t="n"/>
      <c r="W30" s="71">
        <f>IF(OR(R30="",V30=""),"",R30-V30)</f>
        <v/>
      </c>
      <c r="X30" s="64" t="n"/>
      <c r="Y30" s="64" t="n"/>
    </row>
    <row r="31" ht="27" customHeight="1">
      <c r="A31" s="78" t="n">
        <v>23</v>
      </c>
      <c r="B31" s="64" t="n"/>
      <c r="C31" s="64" t="n"/>
      <c r="D31" s="64" t="n"/>
      <c r="E31" s="64" t="n"/>
      <c r="F31" s="64" t="n"/>
      <c r="G31" s="64" t="n"/>
      <c r="H31" s="70" t="n"/>
      <c r="I31" s="70" t="n"/>
      <c r="J31" s="71">
        <f>IF(OR(H31="",I31=""),"",I31-H31)</f>
        <v/>
      </c>
      <c r="K31" s="79" t="n"/>
      <c r="L31" s="79" t="n"/>
      <c r="M31" s="79" t="n"/>
      <c r="N31" s="49">
        <f>IF(OR(L31="",M31=""),"",M31-L31)</f>
        <v/>
      </c>
      <c r="O31" s="64" t="n"/>
      <c r="P31" s="64" t="n"/>
      <c r="Q31" s="64" t="n"/>
      <c r="R31" s="70" t="n"/>
      <c r="S31" s="71">
        <f>IF(OR(I31="",M31=""),"",I31*M31)</f>
        <v/>
      </c>
      <c r="T31" s="71">
        <f>IF(OR(R31="",S31=""),"",R31-S31)</f>
        <v/>
      </c>
      <c r="U31" s="64" t="n"/>
      <c r="V31" s="70" t="n"/>
      <c r="W31" s="71">
        <f>IF(OR(R31="",V31=""),"",R31-V31)</f>
        <v/>
      </c>
      <c r="X31" s="64" t="n"/>
      <c r="Y31" s="64" t="n"/>
    </row>
    <row r="32" ht="27" customHeight="1">
      <c r="A32" s="78" t="n">
        <v>24</v>
      </c>
      <c r="B32" s="64" t="n"/>
      <c r="C32" s="64" t="n"/>
      <c r="D32" s="64" t="n"/>
      <c r="E32" s="64" t="n"/>
      <c r="F32" s="64" t="n"/>
      <c r="G32" s="64" t="n"/>
      <c r="H32" s="70" t="n"/>
      <c r="I32" s="70" t="n"/>
      <c r="J32" s="71">
        <f>IF(OR(H32="",I32=""),"",I32-H32)</f>
        <v/>
      </c>
      <c r="K32" s="79" t="n"/>
      <c r="L32" s="79" t="n"/>
      <c r="M32" s="79" t="n"/>
      <c r="N32" s="49">
        <f>IF(OR(L32="",M32=""),"",M32-L32)</f>
        <v/>
      </c>
      <c r="O32" s="64" t="n"/>
      <c r="P32" s="64" t="n"/>
      <c r="Q32" s="64" t="n"/>
      <c r="R32" s="70" t="n"/>
      <c r="S32" s="71">
        <f>IF(OR(I32="",M32=""),"",I32*M32)</f>
        <v/>
      </c>
      <c r="T32" s="71">
        <f>IF(OR(R32="",S32=""),"",R32-S32)</f>
        <v/>
      </c>
      <c r="U32" s="64" t="n"/>
      <c r="V32" s="70" t="n"/>
      <c r="W32" s="71">
        <f>IF(OR(R32="",V32=""),"",R32-V32)</f>
        <v/>
      </c>
      <c r="X32" s="64" t="n"/>
      <c r="Y32" s="64" t="n"/>
    </row>
    <row r="33" ht="27" customHeight="1">
      <c r="A33" s="78" t="n">
        <v>25</v>
      </c>
      <c r="B33" s="64" t="n"/>
      <c r="C33" s="64" t="n"/>
      <c r="D33" s="64" t="n"/>
      <c r="E33" s="64" t="n"/>
      <c r="F33" s="64" t="n"/>
      <c r="G33" s="64" t="n"/>
      <c r="H33" s="70" t="n"/>
      <c r="I33" s="70" t="n"/>
      <c r="J33" s="71">
        <f>IF(OR(H33="",I33=""),"",I33-H33)</f>
        <v/>
      </c>
      <c r="K33" s="79" t="n"/>
      <c r="L33" s="79" t="n"/>
      <c r="M33" s="79" t="n"/>
      <c r="N33" s="49">
        <f>IF(OR(L33="",M33=""),"",M33-L33)</f>
        <v/>
      </c>
      <c r="O33" s="64" t="n"/>
      <c r="P33" s="64" t="n"/>
      <c r="Q33" s="64" t="n"/>
      <c r="R33" s="70" t="n"/>
      <c r="S33" s="71">
        <f>IF(OR(I33="",M33=""),"",I33*M33)</f>
        <v/>
      </c>
      <c r="T33" s="71">
        <f>IF(OR(R33="",S33=""),"",R33-S33)</f>
        <v/>
      </c>
      <c r="U33" s="64" t="n"/>
      <c r="V33" s="70" t="n"/>
      <c r="W33" s="71">
        <f>IF(OR(R33="",V33=""),"",R33-V33)</f>
        <v/>
      </c>
      <c r="X33" s="64" t="n"/>
      <c r="Y33" s="64" t="n"/>
    </row>
    <row r="34" ht="27" customHeight="1">
      <c r="A34" s="78" t="n">
        <v>26</v>
      </c>
      <c r="B34" s="64" t="n"/>
      <c r="C34" s="64" t="n"/>
      <c r="D34" s="64" t="n"/>
      <c r="E34" s="64" t="n"/>
      <c r="F34" s="64" t="n"/>
      <c r="G34" s="64" t="n"/>
      <c r="H34" s="70" t="n"/>
      <c r="I34" s="70" t="n"/>
      <c r="J34" s="71">
        <f>IF(OR(H34="",I34=""),"",I34-H34)</f>
        <v/>
      </c>
      <c r="K34" s="79" t="n"/>
      <c r="L34" s="79" t="n"/>
      <c r="M34" s="79" t="n"/>
      <c r="N34" s="49">
        <f>IF(OR(L34="",M34=""),"",M34-L34)</f>
        <v/>
      </c>
      <c r="O34" s="64" t="n"/>
      <c r="P34" s="64" t="n"/>
      <c r="Q34" s="64" t="n"/>
      <c r="R34" s="70" t="n"/>
      <c r="S34" s="71">
        <f>IF(OR(I34="",M34=""),"",I34*M34)</f>
        <v/>
      </c>
      <c r="T34" s="71">
        <f>IF(OR(R34="",S34=""),"",R34-S34)</f>
        <v/>
      </c>
      <c r="U34" s="64" t="n"/>
      <c r="V34" s="70" t="n"/>
      <c r="W34" s="71">
        <f>IF(OR(R34="",V34=""),"",R34-V34)</f>
        <v/>
      </c>
      <c r="X34" s="64" t="n"/>
      <c r="Y34" s="64" t="n"/>
    </row>
    <row r="35" ht="27" customHeight="1">
      <c r="A35" s="78" t="n">
        <v>27</v>
      </c>
      <c r="B35" s="64" t="n"/>
      <c r="C35" s="64" t="n"/>
      <c r="D35" s="64" t="n"/>
      <c r="E35" s="64" t="n"/>
      <c r="F35" s="64" t="n"/>
      <c r="G35" s="64" t="n"/>
      <c r="H35" s="70" t="n"/>
      <c r="I35" s="70" t="n"/>
      <c r="J35" s="71">
        <f>IF(OR(H35="",I35=""),"",I35-H35)</f>
        <v/>
      </c>
      <c r="K35" s="79" t="n"/>
      <c r="L35" s="79" t="n"/>
      <c r="M35" s="79" t="n"/>
      <c r="N35" s="49">
        <f>IF(OR(L35="",M35=""),"",M35-L35)</f>
        <v/>
      </c>
      <c r="O35" s="64" t="n"/>
      <c r="P35" s="64" t="n"/>
      <c r="Q35" s="64" t="n"/>
      <c r="R35" s="70" t="n"/>
      <c r="S35" s="71">
        <f>IF(OR(I35="",M35=""),"",I35*M35)</f>
        <v/>
      </c>
      <c r="T35" s="71">
        <f>IF(OR(R35="",S35=""),"",R35-S35)</f>
        <v/>
      </c>
      <c r="U35" s="64" t="n"/>
      <c r="V35" s="70" t="n"/>
      <c r="W35" s="71">
        <f>IF(OR(R35="",V35=""),"",R35-V35)</f>
        <v/>
      </c>
      <c r="X35" s="64" t="n"/>
      <c r="Y35" s="64" t="n"/>
    </row>
    <row r="36" ht="27" customHeight="1">
      <c r="A36" s="78" t="n">
        <v>28</v>
      </c>
      <c r="B36" s="64" t="n"/>
      <c r="C36" s="64" t="n"/>
      <c r="D36" s="64" t="n"/>
      <c r="E36" s="64" t="n"/>
      <c r="F36" s="64" t="n"/>
      <c r="G36" s="64" t="n"/>
      <c r="H36" s="70" t="n"/>
      <c r="I36" s="70" t="n"/>
      <c r="J36" s="71">
        <f>IF(OR(H36="",I36=""),"",I36-H36)</f>
        <v/>
      </c>
      <c r="K36" s="79" t="n"/>
      <c r="L36" s="79" t="n"/>
      <c r="M36" s="79" t="n"/>
      <c r="N36" s="49">
        <f>IF(OR(L36="",M36=""),"",M36-L36)</f>
        <v/>
      </c>
      <c r="O36" s="64" t="n"/>
      <c r="P36" s="64" t="n"/>
      <c r="Q36" s="64" t="n"/>
      <c r="R36" s="70" t="n"/>
      <c r="S36" s="71">
        <f>IF(OR(I36="",M36=""),"",I36*M36)</f>
        <v/>
      </c>
      <c r="T36" s="71">
        <f>IF(OR(R36="",S36=""),"",R36-S36)</f>
        <v/>
      </c>
      <c r="U36" s="64" t="n"/>
      <c r="V36" s="70" t="n"/>
      <c r="W36" s="71">
        <f>IF(OR(R36="",V36=""),"",R36-V36)</f>
        <v/>
      </c>
      <c r="X36" s="64" t="n"/>
      <c r="Y36" s="64" t="n"/>
    </row>
    <row r="37" ht="27" customHeight="1">
      <c r="A37" s="78" t="n">
        <v>29</v>
      </c>
      <c r="B37" s="64" t="n"/>
      <c r="C37" s="64" t="n"/>
      <c r="D37" s="64" t="n"/>
      <c r="E37" s="64" t="n"/>
      <c r="F37" s="64" t="n"/>
      <c r="G37" s="64" t="n"/>
      <c r="H37" s="70" t="n"/>
      <c r="I37" s="70" t="n"/>
      <c r="J37" s="71">
        <f>IF(OR(H37="",I37=""),"",I37-H37)</f>
        <v/>
      </c>
      <c r="K37" s="79" t="n"/>
      <c r="L37" s="79" t="n"/>
      <c r="M37" s="79" t="n"/>
      <c r="N37" s="49">
        <f>IF(OR(L37="",M37=""),"",M37-L37)</f>
        <v/>
      </c>
      <c r="O37" s="64" t="n"/>
      <c r="P37" s="64" t="n"/>
      <c r="Q37" s="64" t="n"/>
      <c r="R37" s="70" t="n"/>
      <c r="S37" s="71">
        <f>IF(OR(I37="",M37=""),"",I37*M37)</f>
        <v/>
      </c>
      <c r="T37" s="71">
        <f>IF(OR(R37="",S37=""),"",R37-S37)</f>
        <v/>
      </c>
      <c r="U37" s="64" t="n"/>
      <c r="V37" s="70" t="n"/>
      <c r="W37" s="71">
        <f>IF(OR(R37="",V37=""),"",R37-V37)</f>
        <v/>
      </c>
      <c r="X37" s="64" t="n"/>
      <c r="Y37" s="64" t="n"/>
    </row>
    <row r="38" ht="27" customHeight="1">
      <c r="A38" s="78" t="n">
        <v>30</v>
      </c>
      <c r="B38" s="64" t="n"/>
      <c r="C38" s="64" t="n"/>
      <c r="D38" s="64" t="n"/>
      <c r="E38" s="64" t="n"/>
      <c r="F38" s="64" t="n"/>
      <c r="G38" s="64" t="n"/>
      <c r="H38" s="70" t="n"/>
      <c r="I38" s="70" t="n"/>
      <c r="J38" s="71">
        <f>IF(OR(H38="",I38=""),"",I38-H38)</f>
        <v/>
      </c>
      <c r="K38" s="79" t="n"/>
      <c r="L38" s="79" t="n"/>
      <c r="M38" s="79" t="n"/>
      <c r="N38" s="49">
        <f>IF(OR(L38="",M38=""),"",M38-L38)</f>
        <v/>
      </c>
      <c r="O38" s="64" t="n"/>
      <c r="P38" s="64" t="n"/>
      <c r="Q38" s="64" t="n"/>
      <c r="R38" s="70" t="n"/>
      <c r="S38" s="71">
        <f>IF(OR(I38="",M38=""),"",I38*M38)</f>
        <v/>
      </c>
      <c r="T38" s="71">
        <f>IF(OR(R38="",S38=""),"",R38-S38)</f>
        <v/>
      </c>
      <c r="U38" s="64" t="n"/>
      <c r="V38" s="70" t="n"/>
      <c r="W38" s="71">
        <f>IF(OR(R38="",V38=""),"",R38-V38)</f>
        <v/>
      </c>
      <c r="X38" s="64" t="n"/>
      <c r="Y38" s="64" t="n"/>
    </row>
    <row r="39" ht="27" customHeight="1">
      <c r="A39" s="78" t="n">
        <v>31</v>
      </c>
      <c r="B39" s="64" t="n"/>
      <c r="C39" s="64" t="n"/>
      <c r="D39" s="64" t="n"/>
      <c r="E39" s="64" t="n"/>
      <c r="F39" s="64" t="n"/>
      <c r="G39" s="64" t="n"/>
      <c r="H39" s="70" t="n"/>
      <c r="I39" s="70" t="n"/>
      <c r="J39" s="71">
        <f>IF(OR(H39="",I39=""),"",I39-H39)</f>
        <v/>
      </c>
      <c r="K39" s="79" t="n"/>
      <c r="L39" s="79" t="n"/>
      <c r="M39" s="79" t="n"/>
      <c r="N39" s="49">
        <f>IF(OR(L39="",M39=""),"",M39-L39)</f>
        <v/>
      </c>
      <c r="O39" s="64" t="n"/>
      <c r="P39" s="64" t="n"/>
      <c r="Q39" s="64" t="n"/>
      <c r="R39" s="70" t="n"/>
      <c r="S39" s="71">
        <f>IF(OR(I39="",M39=""),"",I39*M39)</f>
        <v/>
      </c>
      <c r="T39" s="71">
        <f>IF(OR(R39="",S39=""),"",R39-S39)</f>
        <v/>
      </c>
      <c r="U39" s="64" t="n"/>
      <c r="V39" s="70" t="n"/>
      <c r="W39" s="71">
        <f>IF(OR(R39="",V39=""),"",R39-V39)</f>
        <v/>
      </c>
      <c r="X39" s="64" t="n"/>
      <c r="Y39" s="64" t="n"/>
    </row>
    <row r="40" ht="27" customHeight="1">
      <c r="A40" s="78" t="n">
        <v>32</v>
      </c>
      <c r="B40" s="64" t="n"/>
      <c r="C40" s="64" t="n"/>
      <c r="D40" s="64" t="n"/>
      <c r="E40" s="64" t="n"/>
      <c r="F40" s="64" t="n"/>
      <c r="G40" s="64" t="n"/>
      <c r="H40" s="70" t="n"/>
      <c r="I40" s="70" t="n"/>
      <c r="J40" s="71">
        <f>IF(OR(H40="",I40=""),"",I40-H40)</f>
        <v/>
      </c>
      <c r="K40" s="79" t="n"/>
      <c r="L40" s="79" t="n"/>
      <c r="M40" s="79" t="n"/>
      <c r="N40" s="49">
        <f>IF(OR(L40="",M40=""),"",M40-L40)</f>
        <v/>
      </c>
      <c r="O40" s="64" t="n"/>
      <c r="P40" s="64" t="n"/>
      <c r="Q40" s="64" t="n"/>
      <c r="R40" s="70" t="n"/>
      <c r="S40" s="71">
        <f>IF(OR(I40="",M40=""),"",I40*M40)</f>
        <v/>
      </c>
      <c r="T40" s="71">
        <f>IF(OR(R40="",S40=""),"",R40-S40)</f>
        <v/>
      </c>
      <c r="U40" s="64" t="n"/>
      <c r="V40" s="70" t="n"/>
      <c r="W40" s="71">
        <f>IF(OR(R40="",V40=""),"",R40-V40)</f>
        <v/>
      </c>
      <c r="X40" s="64" t="n"/>
      <c r="Y40" s="64" t="n"/>
    </row>
    <row r="41" ht="27" customHeight="1">
      <c r="A41" s="78" t="n">
        <v>33</v>
      </c>
      <c r="B41" s="64" t="n"/>
      <c r="C41" s="64" t="n"/>
      <c r="D41" s="64" t="n"/>
      <c r="E41" s="64" t="n"/>
      <c r="F41" s="64" t="n"/>
      <c r="G41" s="64" t="n"/>
      <c r="H41" s="70" t="n"/>
      <c r="I41" s="70" t="n"/>
      <c r="J41" s="71">
        <f>IF(OR(H41="",I41=""),"",I41-H41)</f>
        <v/>
      </c>
      <c r="K41" s="79" t="n"/>
      <c r="L41" s="79" t="n"/>
      <c r="M41" s="79" t="n"/>
      <c r="N41" s="49">
        <f>IF(OR(L41="",M41=""),"",M41-L41)</f>
        <v/>
      </c>
      <c r="O41" s="64" t="n"/>
      <c r="P41" s="64" t="n"/>
      <c r="Q41" s="64" t="n"/>
      <c r="R41" s="70" t="n"/>
      <c r="S41" s="71">
        <f>IF(OR(I41="",M41=""),"",I41*M41)</f>
        <v/>
      </c>
      <c r="T41" s="71">
        <f>IF(OR(R41="",S41=""),"",R41-S41)</f>
        <v/>
      </c>
      <c r="U41" s="64" t="n"/>
      <c r="V41" s="70" t="n"/>
      <c r="W41" s="71">
        <f>IF(OR(R41="",V41=""),"",R41-V41)</f>
        <v/>
      </c>
      <c r="X41" s="64" t="n"/>
      <c r="Y41" s="64" t="n"/>
    </row>
    <row r="42" ht="27" customHeight="1">
      <c r="A42" s="78" t="n">
        <v>34</v>
      </c>
      <c r="B42" s="64" t="n"/>
      <c r="C42" s="64" t="n"/>
      <c r="D42" s="64" t="n"/>
      <c r="E42" s="64" t="n"/>
      <c r="F42" s="64" t="n"/>
      <c r="G42" s="64" t="n"/>
      <c r="H42" s="70" t="n"/>
      <c r="I42" s="70" t="n"/>
      <c r="J42" s="71">
        <f>IF(OR(H42="",I42=""),"",I42-H42)</f>
        <v/>
      </c>
      <c r="K42" s="79" t="n"/>
      <c r="L42" s="79" t="n"/>
      <c r="M42" s="79" t="n"/>
      <c r="N42" s="49">
        <f>IF(OR(L42="",M42=""),"",M42-L42)</f>
        <v/>
      </c>
      <c r="O42" s="64" t="n"/>
      <c r="P42" s="64" t="n"/>
      <c r="Q42" s="64" t="n"/>
      <c r="R42" s="70" t="n"/>
      <c r="S42" s="71">
        <f>IF(OR(I42="",M42=""),"",I42*M42)</f>
        <v/>
      </c>
      <c r="T42" s="71">
        <f>IF(OR(R42="",S42=""),"",R42-S42)</f>
        <v/>
      </c>
      <c r="U42" s="64" t="n"/>
      <c r="V42" s="70" t="n"/>
      <c r="W42" s="71">
        <f>IF(OR(R42="",V42=""),"",R42-V42)</f>
        <v/>
      </c>
      <c r="X42" s="64" t="n"/>
      <c r="Y42" s="64" t="n"/>
    </row>
    <row r="43" ht="27" customHeight="1">
      <c r="A43" s="78" t="n">
        <v>35</v>
      </c>
      <c r="B43" s="64" t="n"/>
      <c r="C43" s="64" t="n"/>
      <c r="D43" s="64" t="n"/>
      <c r="E43" s="64" t="n"/>
      <c r="F43" s="64" t="n"/>
      <c r="G43" s="64" t="n"/>
      <c r="H43" s="70" t="n"/>
      <c r="I43" s="70" t="n"/>
      <c r="J43" s="71">
        <f>IF(OR(H43="",I43=""),"",I43-H43)</f>
        <v/>
      </c>
      <c r="K43" s="79" t="n"/>
      <c r="L43" s="79" t="n"/>
      <c r="M43" s="79" t="n"/>
      <c r="N43" s="49">
        <f>IF(OR(L43="",M43=""),"",M43-L43)</f>
        <v/>
      </c>
      <c r="O43" s="64" t="n"/>
      <c r="P43" s="64" t="n"/>
      <c r="Q43" s="64" t="n"/>
      <c r="R43" s="70" t="n"/>
      <c r="S43" s="71">
        <f>IF(OR(I43="",M43=""),"",I43*M43)</f>
        <v/>
      </c>
      <c r="T43" s="71">
        <f>IF(OR(R43="",S43=""),"",R43-S43)</f>
        <v/>
      </c>
      <c r="U43" s="64" t="n"/>
      <c r="V43" s="70" t="n"/>
      <c r="W43" s="71">
        <f>IF(OR(R43="",V43=""),"",R43-V43)</f>
        <v/>
      </c>
      <c r="X43" s="64" t="n"/>
      <c r="Y43" s="64" t="n"/>
    </row>
    <row r="44" ht="27" customHeight="1">
      <c r="A44" s="78" t="n">
        <v>36</v>
      </c>
      <c r="B44" s="64" t="n"/>
      <c r="C44" s="64" t="n"/>
      <c r="D44" s="64" t="n"/>
      <c r="E44" s="64" t="n"/>
      <c r="F44" s="64" t="n"/>
      <c r="G44" s="64" t="n"/>
      <c r="H44" s="70" t="n"/>
      <c r="I44" s="70" t="n"/>
      <c r="J44" s="71">
        <f>IF(OR(H44="",I44=""),"",I44-H44)</f>
        <v/>
      </c>
      <c r="K44" s="79" t="n"/>
      <c r="L44" s="79" t="n"/>
      <c r="M44" s="79" t="n"/>
      <c r="N44" s="49">
        <f>IF(OR(L44="",M44=""),"",M44-L44)</f>
        <v/>
      </c>
      <c r="O44" s="64" t="n"/>
      <c r="P44" s="64" t="n"/>
      <c r="Q44" s="64" t="n"/>
      <c r="R44" s="70" t="n"/>
      <c r="S44" s="71">
        <f>IF(OR(I44="",M44=""),"",I44*M44)</f>
        <v/>
      </c>
      <c r="T44" s="71">
        <f>IF(OR(R44="",S44=""),"",R44-S44)</f>
        <v/>
      </c>
      <c r="U44" s="64" t="n"/>
      <c r="V44" s="70" t="n"/>
      <c r="W44" s="71">
        <f>IF(OR(R44="",V44=""),"",R44-V44)</f>
        <v/>
      </c>
      <c r="X44" s="64" t="n"/>
      <c r="Y44" s="64" t="n"/>
    </row>
    <row r="45">
      <c r="A45" s="73" t="inlineStr">
        <is>
          <t>Total</t>
        </is>
      </c>
      <c r="B45" s="73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4" t="n"/>
      <c r="S45" s="74" t="n"/>
      <c r="T45" s="74" t="n"/>
      <c r="U45" s="73" t="n"/>
      <c r="V45" s="74" t="n"/>
      <c r="W45" s="74" t="n"/>
      <c r="X45" s="73" t="n"/>
      <c r="Y45" s="73" t="n"/>
    </row>
    <row r="46">
      <c r="A46" s="43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</row>
    <row r="47" ht="27" customHeight="1">
      <c r="A47" s="45" t="inlineStr">
        <is>
          <t>Proper period: control-transfer date (per shipping terms and BOL / POD) determines the recognition period — conclude Y/N per selection and route period errors to &lt;.4&gt;. Cash-receipt corroboration: agree the applied payment to the invoice; discounts, taxes or other deductions explain any receipt difference. Principal / agent conclusions are supported on &lt;.7&gt;.</t>
        </is>
      </c>
      <c r="B47" s="43" t="n"/>
      <c r="C47" s="43" t="n"/>
      <c r="D47" s="43" t="n"/>
      <c r="E47" s="43" t="n"/>
      <c r="F47" s="43" t="n"/>
      <c r="G47" s="43" t="n"/>
      <c r="H47" s="43" t="n"/>
      <c r="I47" s="43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0" t="n"/>
      <c r="W47" s="80" t="n"/>
      <c r="X47" s="80" t="n"/>
      <c r="Y47" s="80" t="n"/>
    </row>
    <row r="48">
      <c r="A48" s="43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</row>
    <row r="49">
      <c r="A49" s="65" t="inlineStr">
        <is>
          <t>TM Legends</t>
        </is>
      </c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</row>
    <row r="50">
      <c r="A50" s="66" t="inlineStr">
        <is>
          <t>TB</t>
        </is>
      </c>
      <c r="B50" s="49" t="inlineStr">
        <is>
          <t>Agreed to trial balance</t>
        </is>
      </c>
      <c r="C50" s="67" t="n"/>
      <c r="D50" s="68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</row>
    <row r="51">
      <c r="A51" s="66" t="inlineStr">
        <is>
          <t>GL</t>
        </is>
      </c>
      <c r="B51" s="49" t="inlineStr">
        <is>
          <t>Agreed to general ledger</t>
        </is>
      </c>
      <c r="C51" s="67" t="n"/>
      <c r="D51" s="68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</row>
    <row r="52">
      <c r="A52" s="66" t="inlineStr">
        <is>
          <t>CF</t>
        </is>
      </c>
      <c r="B52" s="49" t="inlineStr">
        <is>
          <t>Confirmed with third party</t>
        </is>
      </c>
      <c r="C52" s="67" t="n"/>
      <c r="D52" s="68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</row>
    <row r="53">
      <c r="A53" s="66" t="inlineStr">
        <is>
          <t>V</t>
        </is>
      </c>
      <c r="B53" s="49" t="inlineStr">
        <is>
          <t>Vouched to source document</t>
        </is>
      </c>
      <c r="C53" s="67" t="n"/>
      <c r="D53" s="68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</row>
    <row r="54">
      <c r="A54" s="66" t="inlineStr">
        <is>
          <t>SR</t>
        </is>
      </c>
      <c r="B54" s="49" t="inlineStr">
        <is>
          <t>Agreed to subsequent bank-cleared receipt</t>
        </is>
      </c>
      <c r="C54" s="67" t="n"/>
      <c r="D54" s="68" t="n"/>
      <c r="E54" s="43" t="n"/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</row>
    <row r="55">
      <c r="A55" s="66" t="inlineStr">
        <is>
          <t>R</t>
        </is>
      </c>
      <c r="B55" s="49" t="inlineStr">
        <is>
          <t>Recalculated independently</t>
        </is>
      </c>
      <c r="C55" s="67" t="n"/>
      <c r="D55" s="68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</row>
    <row r="56">
      <c r="A56" s="66" t="inlineStr">
        <is>
          <t>F</t>
        </is>
      </c>
      <c r="B56" s="49" t="inlineStr">
        <is>
          <t>Footed / cross-cast</t>
        </is>
      </c>
      <c r="C56" s="67" t="n"/>
      <c r="D56" s="68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</row>
    <row r="57">
      <c r="A57" s="66" t="inlineStr">
        <is>
          <t>T</t>
        </is>
      </c>
      <c r="B57" s="49" t="inlineStr">
        <is>
          <t>Traced to downstream record</t>
        </is>
      </c>
      <c r="C57" s="67" t="n"/>
      <c r="D57" s="68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</row>
    <row r="58">
      <c r="A58" s="66" t="inlineStr">
        <is>
          <t>PBC</t>
        </is>
      </c>
      <c r="B58" s="49" t="inlineStr">
        <is>
          <t>Prepared by client</t>
        </is>
      </c>
      <c r="C58" s="67" t="n"/>
      <c r="D58" s="68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</row>
    <row r="59">
      <c r="A59" s="43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</row>
    <row r="60">
      <c r="A60" s="45" t="inlineStr">
        <is>
          <t>Before sign-off complete Library Procedures 6-8 (five-step detail test; cash-receipt corroboration; recompute &amp; differences).</t>
        </is>
      </c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</row>
  </sheetData>
  <autoFilter ref="A7:Y44"/>
  <mergeCells count="14">
    <mergeCell ref="A60:Y60"/>
    <mergeCell ref="B57:D57"/>
    <mergeCell ref="B50:D50"/>
    <mergeCell ref="B4:I4"/>
    <mergeCell ref="B53:D53"/>
    <mergeCell ref="B54:D54"/>
    <mergeCell ref="A47:I47"/>
    <mergeCell ref="B6:I6"/>
    <mergeCell ref="B56:D56"/>
    <mergeCell ref="B58:D58"/>
    <mergeCell ref="B5:I5"/>
    <mergeCell ref="B52:D52"/>
    <mergeCell ref="B55:D55"/>
    <mergeCell ref="B51:D51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J46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3" sqref="A33:J34"/>
    </sheetView>
  </sheetViews>
  <sheetFormatPr baseColWidth="8" defaultColWidth="8.6328125" defaultRowHeight="14.5"/>
  <cols>
    <col width="59.7265625" bestFit="1" customWidth="1" min="1" max="1"/>
    <col width="22.4" bestFit="1" customWidth="1" min="2" max="2"/>
    <col width="8.81640625" bestFit="1" customWidth="1" min="3" max="3"/>
    <col width="37.7" bestFit="1" customWidth="1" min="4" max="4"/>
    <col width="18.15" bestFit="1" customWidth="1" min="5" max="5"/>
    <col width="26.65" bestFit="1" customWidth="1" min="6" max="6"/>
    <col width="30.05" bestFit="1" customWidth="1" min="7" max="7"/>
    <col width="24.95" customWidth="1" min="8" max="8"/>
    <col width="40.25" bestFit="1" customWidth="1" min="9" max="9"/>
    <col width="9.54296875" bestFit="1" customWidth="1" min="10" max="10"/>
  </cols>
  <sheetData>
    <row r="1" ht="17.5" customHeight="1">
      <c r="A1" s="42" t="inlineStr">
        <is>
          <t>Revenue Cutoff — Two-Directional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</row>
    <row r="2" ht="27" customHeight="1">
      <c r="A2" s="54" t="inlineStr">
        <is>
          <t>Client / Entity</t>
        </is>
      </c>
      <c r="B2" s="44" t="inlineStr">
        <is>
          <t>Vaquite Industries, Inc.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  <c r="I2" s="43" t="n"/>
      <c r="J2" s="43" t="n"/>
    </row>
    <row r="3" ht="27" customHeight="1">
      <c r="A3" s="57" t="inlineStr">
        <is>
          <t>Performance Materiality</t>
        </is>
      </c>
      <c r="B3" s="58" t="n">
        <v>23100</v>
      </c>
      <c r="C3" s="43" t="n"/>
      <c r="D3" s="57" t="inlineStr">
        <is>
          <t>Tolerable misstatement / testing threshold</t>
        </is>
      </c>
      <c r="E3" s="58" t="n">
        <v>17400</v>
      </c>
      <c r="F3" s="43" t="n"/>
      <c r="G3" s="43" t="n"/>
      <c r="H3" s="43" t="n"/>
      <c r="I3" s="43" t="n"/>
      <c r="J3" s="43" t="n"/>
    </row>
    <row r="4" ht="21.5" customHeight="1">
      <c r="A4" s="65" t="inlineStr">
        <is>
          <t>Purpose:</t>
        </is>
      </c>
      <c r="B4" s="81" t="inlineStr">
        <is>
          <t>Test cutoff in BOTH directions — the last shipments / invoices before year-end and the first after — and review post-year-end credit memos and returns for sales that should be reversed.</t>
        </is>
      </c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A5" s="65" t="inlineStr">
        <is>
          <t>Scope:</t>
        </is>
      </c>
      <c r="B5" s="81" t="inlineStr">
        <is>
          <t>Sales journal and shipping log immediately before AND after year-end (mandatory both directions), plus the post-YE credit-memo / returns log.</t>
        </is>
      </c>
      <c r="C5" s="43" t="n"/>
      <c r="D5" s="43" t="n"/>
      <c r="E5" s="43" t="n"/>
      <c r="F5" s="43" t="n"/>
      <c r="G5" s="43" t="n"/>
      <c r="H5" s="43" t="n"/>
      <c r="I5" s="43" t="n"/>
      <c r="J5" s="43" t="n"/>
    </row>
    <row r="6">
      <c r="A6" s="65" t="inlineStr">
        <is>
          <t>Assertions:</t>
        </is>
      </c>
      <c r="B6" s="81" t="inlineStr">
        <is>
          <t>Cutoff; Occurrence; Completeness</t>
        </is>
      </c>
      <c r="C6" s="43" t="n"/>
      <c r="D6" s="43" t="n"/>
      <c r="E6" s="43" t="n"/>
      <c r="F6" s="43" t="n"/>
      <c r="G6" s="43" t="n"/>
      <c r="H6" s="43" t="n"/>
      <c r="I6" s="43" t="n"/>
      <c r="J6" s="43" t="n"/>
    </row>
    <row r="7" ht="27" customHeight="1">
      <c r="A7" s="82" t="inlineStr">
        <is>
          <t>A. Before-period cutoff (last 5 shipments / invoices before YE)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</row>
    <row r="8" ht="22" customHeight="1">
      <c r="A8" s="83" t="inlineStr">
        <is>
          <t>Sel #</t>
        </is>
      </c>
      <c r="B8" s="83" t="inlineStr">
        <is>
          <t>Invoice / BOL ref</t>
        </is>
      </c>
      <c r="C8" s="83" t="inlineStr">
        <is>
          <t>Customer</t>
        </is>
      </c>
      <c r="D8" s="83" t="inlineStr">
        <is>
          <t>Invoice date</t>
        </is>
      </c>
      <c r="E8" s="83" t="inlineStr">
        <is>
          <t>Ship / control date</t>
        </is>
      </c>
      <c r="F8" s="83" t="inlineStr">
        <is>
          <t>Control before YE? (Y/N)</t>
        </is>
      </c>
      <c r="G8" s="83" t="inlineStr">
        <is>
          <t>In CY revenue? (Y/N)</t>
        </is>
      </c>
      <c r="H8" s="83" t="inlineStr">
        <is>
          <t>Should it be? (Y/N)</t>
        </is>
      </c>
      <c r="I8" s="83" t="inlineStr">
        <is>
          <t>Proper period (Y/N)</t>
        </is>
      </c>
      <c r="J8" s="83" t="inlineStr">
        <is>
          <t>Comments</t>
        </is>
      </c>
    </row>
    <row r="9">
      <c r="A9" s="78" t="n">
        <v>1</v>
      </c>
      <c r="B9" s="64" t="n"/>
      <c r="C9" s="64" t="n"/>
      <c r="D9" s="64" t="n"/>
      <c r="E9" s="64" t="n"/>
      <c r="F9" s="64" t="n"/>
      <c r="G9" s="64" t="n"/>
      <c r="H9" s="64" t="n"/>
      <c r="I9" s="49">
        <f>IF(OR(G9="",H9=""),"",IF(G9=H9,"Y","N"))</f>
        <v/>
      </c>
      <c r="J9" s="64" t="n"/>
    </row>
    <row r="10" ht="27" customHeight="1">
      <c r="A10" s="78" t="n">
        <v>2</v>
      </c>
      <c r="B10" s="64" t="n"/>
      <c r="C10" s="64" t="n"/>
      <c r="D10" s="64" t="n"/>
      <c r="E10" s="64" t="n"/>
      <c r="F10" s="64" t="n"/>
      <c r="G10" s="64" t="n"/>
      <c r="H10" s="64" t="n"/>
      <c r="I10" s="49">
        <f>IF(OR(G10="",H10=""),"",IF(G10=H10,"Y","N"))</f>
        <v/>
      </c>
      <c r="J10" s="64" t="n"/>
    </row>
    <row r="11" ht="27" customHeight="1">
      <c r="A11" s="78" t="n">
        <v>3</v>
      </c>
      <c r="B11" s="64" t="n"/>
      <c r="C11" s="64" t="n"/>
      <c r="D11" s="64" t="n"/>
      <c r="E11" s="64" t="n"/>
      <c r="F11" s="64" t="n"/>
      <c r="G11" s="64" t="n"/>
      <c r="H11" s="64" t="n"/>
      <c r="I11" s="49">
        <f>IF(OR(G11="",H11=""),"",IF(G11=H11,"Y","N"))</f>
        <v/>
      </c>
      <c r="J11" s="64" t="n"/>
    </row>
    <row r="12" ht="27" customHeight="1">
      <c r="A12" s="78" t="n">
        <v>4</v>
      </c>
      <c r="B12" s="64" t="n"/>
      <c r="C12" s="64" t="n"/>
      <c r="D12" s="64" t="n"/>
      <c r="E12" s="64" t="n"/>
      <c r="F12" s="64" t="n"/>
      <c r="G12" s="64" t="n"/>
      <c r="H12" s="64" t="n"/>
      <c r="I12" s="49">
        <f>IF(OR(G12="",H12=""),"",IF(G12=H12,"Y","N"))</f>
        <v/>
      </c>
      <c r="J12" s="64" t="n"/>
    </row>
    <row r="13" ht="27" customHeight="1">
      <c r="A13" s="78" t="n">
        <v>5</v>
      </c>
      <c r="B13" s="64" t="n"/>
      <c r="C13" s="64" t="n"/>
      <c r="D13" s="64" t="n"/>
      <c r="E13" s="64" t="n"/>
      <c r="F13" s="64" t="n"/>
      <c r="G13" s="64" t="n"/>
      <c r="H13" s="64" t="n"/>
      <c r="I13" s="49">
        <f>IF(OR(G13="",H13=""),"",IF(G13=H13,"Y","N"))</f>
        <v/>
      </c>
      <c r="J13" s="64" t="n"/>
    </row>
    <row r="14">
      <c r="A14" s="43" t="n"/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</row>
    <row r="15">
      <c r="A15" s="82" t="inlineStr">
        <is>
          <t>B. After-period cutoff (first 5 shipments / invoices after YE)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</row>
    <row r="16" ht="22" customHeight="1">
      <c r="A16" s="83" t="inlineStr">
        <is>
          <t>Sel #</t>
        </is>
      </c>
      <c r="B16" s="83" t="inlineStr">
        <is>
          <t>Invoice / BOL ref</t>
        </is>
      </c>
      <c r="C16" s="83" t="inlineStr">
        <is>
          <t>Customer</t>
        </is>
      </c>
      <c r="D16" s="83" t="inlineStr">
        <is>
          <t>Invoice date</t>
        </is>
      </c>
      <c r="E16" s="83" t="inlineStr">
        <is>
          <t>Ship / control date</t>
        </is>
      </c>
      <c r="F16" s="83" t="inlineStr">
        <is>
          <t>Control after YE? (Y/N)</t>
        </is>
      </c>
      <c r="G16" s="83" t="inlineStr">
        <is>
          <t>Excluded from CY? (Y/N)</t>
        </is>
      </c>
      <c r="H16" s="83" t="inlineStr">
        <is>
          <t>Should it be? (Y/N)</t>
        </is>
      </c>
      <c r="I16" s="83" t="inlineStr">
        <is>
          <t>Proper period (Y/N)</t>
        </is>
      </c>
      <c r="J16" s="83" t="inlineStr">
        <is>
          <t>Comments</t>
        </is>
      </c>
    </row>
    <row r="17" ht="27" customHeight="1">
      <c r="A17" s="78" t="n">
        <v>1</v>
      </c>
      <c r="B17" s="64" t="n"/>
      <c r="C17" s="64" t="n"/>
      <c r="D17" s="64" t="n"/>
      <c r="E17" s="64" t="n"/>
      <c r="F17" s="64" t="n"/>
      <c r="G17" s="64" t="n"/>
      <c r="H17" s="64" t="n"/>
      <c r="I17" s="49">
        <f>IF(OR(G17="",H17=""),"",IF(G17=H17,"Y","N"))</f>
        <v/>
      </c>
      <c r="J17" s="64" t="n"/>
    </row>
    <row r="18" ht="27" customHeight="1">
      <c r="A18" s="78" t="n">
        <v>2</v>
      </c>
      <c r="B18" s="64" t="n"/>
      <c r="C18" s="64" t="n"/>
      <c r="D18" s="64" t="n"/>
      <c r="E18" s="64" t="n"/>
      <c r="F18" s="64" t="n"/>
      <c r="G18" s="64" t="n"/>
      <c r="H18" s="64" t="n"/>
      <c r="I18" s="49">
        <f>IF(OR(G18="",H18=""),"",IF(G18=H18,"Y","N"))</f>
        <v/>
      </c>
      <c r="J18" s="64" t="n"/>
    </row>
    <row r="19" ht="27" customHeight="1">
      <c r="A19" s="78" t="n">
        <v>3</v>
      </c>
      <c r="B19" s="64" t="n"/>
      <c r="C19" s="64" t="n"/>
      <c r="D19" s="64" t="n"/>
      <c r="E19" s="64" t="n"/>
      <c r="F19" s="64" t="n"/>
      <c r="G19" s="64" t="n"/>
      <c r="H19" s="64" t="n"/>
      <c r="I19" s="49">
        <f>IF(OR(G19="",H19=""),"",IF(G19=H19,"Y","N"))</f>
        <v/>
      </c>
      <c r="J19" s="64" t="n"/>
    </row>
    <row r="20" ht="27" customHeight="1">
      <c r="A20" s="78" t="n">
        <v>4</v>
      </c>
      <c r="B20" s="64" t="n"/>
      <c r="C20" s="64" t="n"/>
      <c r="D20" s="64" t="n"/>
      <c r="E20" s="64" t="n"/>
      <c r="F20" s="64" t="n"/>
      <c r="G20" s="64" t="n"/>
      <c r="H20" s="64" t="n"/>
      <c r="I20" s="49">
        <f>IF(OR(G20="",H20=""),"",IF(G20=H20,"Y","N"))</f>
        <v/>
      </c>
      <c r="J20" s="64" t="n"/>
    </row>
    <row r="21" ht="27" customHeight="1">
      <c r="A21" s="78" t="n">
        <v>5</v>
      </c>
      <c r="B21" s="64" t="n"/>
      <c r="C21" s="64" t="n"/>
      <c r="D21" s="64" t="n"/>
      <c r="E21" s="64" t="n"/>
      <c r="F21" s="64" t="n"/>
      <c r="G21" s="64" t="n"/>
      <c r="H21" s="64" t="n"/>
      <c r="I21" s="49">
        <f>IF(OR(G21="",H21=""),"",IF(G21=H21,"Y","N"))</f>
        <v/>
      </c>
      <c r="J21" s="64" t="n"/>
    </row>
    <row r="22">
      <c r="A22" s="43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</row>
    <row r="23">
      <c r="A23" s="82" t="inlineStr">
        <is>
          <t>C. Post-year-end credit memos &amp; returns</t>
        </is>
      </c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</row>
    <row r="24" ht="27" customHeight="1">
      <c r="A24" s="83" t="inlineStr">
        <is>
          <t>Sel #</t>
        </is>
      </c>
      <c r="B24" s="83" t="inlineStr">
        <is>
          <t>Credit memo ref</t>
        </is>
      </c>
      <c r="C24" s="83" t="inlineStr">
        <is>
          <t>Customer</t>
        </is>
      </c>
      <c r="D24" s="83" t="inlineStr">
        <is>
          <t>CM date</t>
        </is>
      </c>
      <c r="E24" s="83" t="inlineStr">
        <is>
          <t>Amount</t>
        </is>
      </c>
      <c r="F24" s="83" t="inlineStr">
        <is>
          <t>Relates to pre-YE sale? (Y/N)</t>
        </is>
      </c>
      <c r="G24" s="83" t="inlineStr">
        <is>
          <t>Reason (return / pricing / error)</t>
        </is>
      </c>
      <c r="H24" s="83" t="inlineStr">
        <is>
          <t>CY adjustment needed? (Y/N)</t>
        </is>
      </c>
      <c r="I24" s="83" t="n"/>
      <c r="J24" s="83" t="inlineStr">
        <is>
          <t>Comments</t>
        </is>
      </c>
    </row>
    <row r="25">
      <c r="A25" s="78" t="n">
        <v>1</v>
      </c>
      <c r="B25" s="64" t="n"/>
      <c r="C25" s="64" t="n"/>
      <c r="D25" s="64" t="n"/>
      <c r="E25" s="70" t="n"/>
      <c r="F25" s="64" t="n"/>
      <c r="G25" s="64" t="n"/>
      <c r="H25" s="64" t="n"/>
      <c r="I25" s="64" t="n"/>
      <c r="J25" s="64" t="n"/>
    </row>
    <row r="26">
      <c r="A26" s="78" t="n">
        <v>2</v>
      </c>
      <c r="B26" s="64" t="n"/>
      <c r="C26" s="64" t="n"/>
      <c r="D26" s="64" t="n"/>
      <c r="E26" s="70" t="n"/>
      <c r="F26" s="64" t="n"/>
      <c r="G26" s="64" t="n"/>
      <c r="H26" s="64" t="n"/>
      <c r="I26" s="64" t="n"/>
      <c r="J26" s="64" t="n"/>
    </row>
    <row r="27">
      <c r="A27" s="78" t="n">
        <v>3</v>
      </c>
      <c r="B27" s="64" t="n"/>
      <c r="C27" s="64" t="n"/>
      <c r="D27" s="64" t="n"/>
      <c r="E27" s="70" t="n"/>
      <c r="F27" s="64" t="n"/>
      <c r="G27" s="64" t="n"/>
      <c r="H27" s="64" t="n"/>
      <c r="I27" s="64" t="n"/>
      <c r="J27" s="64" t="n"/>
    </row>
    <row r="28">
      <c r="A28" s="78" t="n">
        <v>4</v>
      </c>
      <c r="B28" s="64" t="n"/>
      <c r="C28" s="64" t="n"/>
      <c r="D28" s="64" t="n"/>
      <c r="E28" s="70" t="n"/>
      <c r="F28" s="64" t="n"/>
      <c r="G28" s="64" t="n"/>
      <c r="H28" s="64" t="n"/>
      <c r="I28" s="64" t="n"/>
      <c r="J28" s="64" t="n"/>
    </row>
    <row r="29">
      <c r="A29" s="78" t="n">
        <v>5</v>
      </c>
      <c r="B29" s="64" t="n"/>
      <c r="C29" s="64" t="n"/>
      <c r="D29" s="64" t="n"/>
      <c r="E29" s="70" t="n"/>
      <c r="F29" s="64" t="n"/>
      <c r="G29" s="64" t="n"/>
      <c r="H29" s="64" t="n"/>
      <c r="I29" s="64" t="n"/>
      <c r="J29" s="64" t="n"/>
    </row>
    <row r="30">
      <c r="A30" s="78" t="n">
        <v>6</v>
      </c>
      <c r="B30" s="64" t="n"/>
      <c r="C30" s="64" t="n"/>
      <c r="D30" s="64" t="n"/>
      <c r="E30" s="70" t="n"/>
      <c r="F30" s="64" t="n"/>
      <c r="G30" s="64" t="n"/>
      <c r="H30" s="64" t="n"/>
      <c r="I30" s="64" t="n"/>
      <c r="J30" s="64" t="n"/>
    </row>
    <row r="31">
      <c r="A31" s="84" t="inlineStr">
        <is>
          <t>Total credit memos reviewed</t>
        </is>
      </c>
      <c r="B31" s="67" t="n"/>
      <c r="C31" s="67" t="n"/>
      <c r="D31" s="68" t="n"/>
      <c r="E31" s="76">
        <f>SUM(E25:E30)</f>
        <v/>
      </c>
      <c r="F31" s="85" t="n"/>
      <c r="G31" s="85" t="n"/>
      <c r="H31" s="85" t="n"/>
      <c r="I31" s="85" t="n"/>
      <c r="J31" s="85" t="n"/>
    </row>
    <row r="32">
      <c r="A32" s="43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</row>
    <row r="33" ht="27" customHeight="1">
      <c r="A33" s="45" t="inlineStr">
        <is>
          <t>Both directions are mandatory: before-period tests that recorded sales belong in the year (control transferred); after-period tests that January activity was not pulled forward. Credit memos shortly after year-end relating to pre-YE sales may indicate overstatement — evaluate for reversal against the threshold. GRN-style date exceptions from &lt;.3&gt; feed this tab.</t>
        </is>
      </c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</row>
    <row r="34">
      <c r="A34" s="43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</row>
    <row r="35">
      <c r="A35" s="65" t="inlineStr">
        <is>
          <t>TM Legends</t>
        </is>
      </c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</row>
    <row r="36">
      <c r="A36" s="66" t="inlineStr">
        <is>
          <t>TB</t>
        </is>
      </c>
      <c r="B36" s="49" t="inlineStr">
        <is>
          <t>Agreed to trial balance</t>
        </is>
      </c>
      <c r="C36" s="67" t="n"/>
      <c r="D36" s="68" t="n"/>
      <c r="E36" s="43" t="n"/>
      <c r="F36" s="43" t="n"/>
      <c r="G36" s="43" t="n"/>
      <c r="H36" s="43" t="n"/>
      <c r="I36" s="43" t="n"/>
      <c r="J36" s="43" t="n"/>
    </row>
    <row r="37">
      <c r="A37" s="66" t="inlineStr">
        <is>
          <t>GL</t>
        </is>
      </c>
      <c r="B37" s="49" t="inlineStr">
        <is>
          <t>Agreed to general ledger</t>
        </is>
      </c>
      <c r="C37" s="67" t="n"/>
      <c r="D37" s="68" t="n"/>
      <c r="E37" s="43" t="n"/>
      <c r="F37" s="43" t="n"/>
      <c r="G37" s="43" t="n"/>
      <c r="H37" s="43" t="n"/>
      <c r="I37" s="43" t="n"/>
      <c r="J37" s="43" t="n"/>
    </row>
    <row r="38">
      <c r="A38" s="66" t="inlineStr">
        <is>
          <t>CF</t>
        </is>
      </c>
      <c r="B38" s="49" t="inlineStr">
        <is>
          <t>Confirmed with third party</t>
        </is>
      </c>
      <c r="C38" s="67" t="n"/>
      <c r="D38" s="68" t="n"/>
      <c r="E38" s="43" t="n"/>
      <c r="F38" s="43" t="n"/>
      <c r="G38" s="43" t="n"/>
      <c r="H38" s="43" t="n"/>
      <c r="I38" s="43" t="n"/>
      <c r="J38" s="43" t="n"/>
    </row>
    <row r="39">
      <c r="A39" s="66" t="inlineStr">
        <is>
          <t>V</t>
        </is>
      </c>
      <c r="B39" s="49" t="inlineStr">
        <is>
          <t>Vouched to source document</t>
        </is>
      </c>
      <c r="C39" s="67" t="n"/>
      <c r="D39" s="68" t="n"/>
      <c r="E39" s="43" t="n"/>
      <c r="F39" s="43" t="n"/>
      <c r="G39" s="43" t="n"/>
      <c r="H39" s="43" t="n"/>
      <c r="I39" s="43" t="n"/>
      <c r="J39" s="43" t="n"/>
    </row>
    <row r="40">
      <c r="A40" s="66" t="inlineStr">
        <is>
          <t>SR</t>
        </is>
      </c>
      <c r="B40" s="49" t="inlineStr">
        <is>
          <t>Agreed to subsequent bank-cleared receipt</t>
        </is>
      </c>
      <c r="C40" s="67" t="n"/>
      <c r="D40" s="68" t="n"/>
      <c r="E40" s="43" t="n"/>
      <c r="F40" s="43" t="n"/>
      <c r="G40" s="43" t="n"/>
      <c r="H40" s="43" t="n"/>
      <c r="I40" s="43" t="n"/>
      <c r="J40" s="43" t="n"/>
    </row>
    <row r="41">
      <c r="A41" s="66" t="inlineStr">
        <is>
          <t>R</t>
        </is>
      </c>
      <c r="B41" s="49" t="inlineStr">
        <is>
          <t>Recalculated independently</t>
        </is>
      </c>
      <c r="C41" s="67" t="n"/>
      <c r="D41" s="68" t="n"/>
      <c r="E41" s="43" t="n"/>
      <c r="F41" s="43" t="n"/>
      <c r="G41" s="43" t="n"/>
      <c r="H41" s="43" t="n"/>
      <c r="I41" s="43" t="n"/>
      <c r="J41" s="43" t="n"/>
    </row>
    <row r="42">
      <c r="A42" s="66" t="inlineStr">
        <is>
          <t>F</t>
        </is>
      </c>
      <c r="B42" s="49" t="inlineStr">
        <is>
          <t>Footed / cross-cast</t>
        </is>
      </c>
      <c r="C42" s="67" t="n"/>
      <c r="D42" s="68" t="n"/>
      <c r="E42" s="43" t="n"/>
      <c r="F42" s="43" t="n"/>
      <c r="G42" s="43" t="n"/>
      <c r="H42" s="43" t="n"/>
      <c r="I42" s="43" t="n"/>
      <c r="J42" s="43" t="n"/>
    </row>
    <row r="43">
      <c r="A43" s="66" t="inlineStr">
        <is>
          <t>T</t>
        </is>
      </c>
      <c r="B43" s="49" t="inlineStr">
        <is>
          <t>Traced to downstream record</t>
        </is>
      </c>
      <c r="C43" s="67" t="n"/>
      <c r="D43" s="68" t="n"/>
      <c r="E43" s="43" t="n"/>
      <c r="F43" s="43" t="n"/>
      <c r="G43" s="43" t="n"/>
      <c r="H43" s="43" t="n"/>
      <c r="I43" s="43" t="n"/>
      <c r="J43" s="43" t="n"/>
    </row>
    <row r="44">
      <c r="A44" s="66" t="inlineStr">
        <is>
          <t>PBC</t>
        </is>
      </c>
      <c r="B44" s="49" t="inlineStr">
        <is>
          <t>Prepared by client</t>
        </is>
      </c>
      <c r="C44" s="67" t="n"/>
      <c r="D44" s="68" t="n"/>
      <c r="E44" s="43" t="n"/>
      <c r="F44" s="43" t="n"/>
      <c r="G44" s="43" t="n"/>
      <c r="H44" s="43" t="n"/>
      <c r="I44" s="43" t="n"/>
      <c r="J44" s="43" t="n"/>
    </row>
    <row r="45">
      <c r="A45" s="43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</row>
    <row r="46">
      <c r="A46" s="45" t="inlineStr">
        <is>
          <t>Before sign-off complete Library Procedures 9-11 (before-period; after-period; post-YE credit memos &amp; returns).</t>
        </is>
      </c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</row>
  </sheetData>
  <mergeCells count="15">
    <mergeCell ref="B42:D42"/>
    <mergeCell ref="A46:J46"/>
    <mergeCell ref="B36:D36"/>
    <mergeCell ref="B5:J5"/>
    <mergeCell ref="B37:D37"/>
    <mergeCell ref="A31:D31"/>
    <mergeCell ref="B41:D41"/>
    <mergeCell ref="B40:D40"/>
    <mergeCell ref="A33:J34"/>
    <mergeCell ref="B38:D38"/>
    <mergeCell ref="B44:D44"/>
    <mergeCell ref="B4:J4"/>
    <mergeCell ref="B43:D43"/>
    <mergeCell ref="B39:D39"/>
    <mergeCell ref="B6:J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H47"/>
  <sheetViews>
    <sheetView showGridLines="0" topLeftCell="A32" zoomScale="90" zoomScaleNormal="100" workbookViewId="0">
      <pane ySplit="7" topLeftCell="A8" activePane="bottomLeft" state="frozen"/>
      <selection pane="bottomLeft" activeCell="A40" sqref="A40"/>
    </sheetView>
  </sheetViews>
  <sheetFormatPr baseColWidth="8" defaultColWidth="8.6328125" defaultRowHeight="14.5"/>
  <cols>
    <col width="42" customWidth="1" min="1" max="1"/>
    <col width="41.1" customWidth="1" min="2" max="2"/>
    <col width="19" customWidth="1" min="3" max="3"/>
    <col width="37.7" customWidth="1" min="4" max="7"/>
    <col width="24.95" customWidth="1" min="5" max="5"/>
    <col width="30.9" customWidth="1" min="6" max="6"/>
    <col width="13" customWidth="1" min="7" max="7"/>
    <col width="26" customWidth="1" min="8" max="8"/>
  </cols>
  <sheetData>
    <row r="1" ht="17.5" customHeight="1">
      <c r="A1" s="42" t="inlineStr">
        <is>
          <t>Variable Consideration &amp; Contra-Revenue</t>
        </is>
      </c>
      <c r="B1" s="43" t="n"/>
      <c r="C1" s="43" t="n"/>
      <c r="D1" s="43" t="n"/>
      <c r="E1" s="43" t="n"/>
      <c r="F1" s="43" t="n"/>
      <c r="G1" s="43" t="n"/>
      <c r="H1" s="43" t="n"/>
    </row>
    <row r="2">
      <c r="A2" s="54" t="inlineStr">
        <is>
          <t>Client / Entity</t>
        </is>
      </c>
      <c r="B2" s="44" t="inlineStr">
        <is>
          <t>Vaquite Industries, Inc.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</row>
    <row r="3" ht="27" customHeight="1">
      <c r="A3" s="57" t="inlineStr">
        <is>
          <t>Performance Materiality</t>
        </is>
      </c>
      <c r="B3" s="58" t="n">
        <v>23100</v>
      </c>
      <c r="C3" s="43" t="n"/>
      <c r="D3" s="57" t="inlineStr">
        <is>
          <t>Tolerable misstatement / testing threshold</t>
        </is>
      </c>
      <c r="E3" s="58" t="n">
        <v>17400</v>
      </c>
      <c r="F3" s="43" t="n"/>
      <c r="G3" s="43" t="n"/>
      <c r="H3" s="43" t="n"/>
    </row>
    <row r="4" ht="42" customHeight="1">
      <c r="A4" s="59" t="inlineStr">
        <is>
          <t>Purpose:</t>
        </is>
      </c>
      <c r="B4" s="60" t="inlineStr">
        <is>
          <t>Identify every variable-consideration program (rebates, volume discounts, returns, allowances, price protection), recompute the accrual under the entity's method, and test the returns reserve against post-year-end actuals.</t>
        </is>
      </c>
      <c r="C4" s="61" t="n"/>
      <c r="D4" s="61" t="n"/>
      <c r="E4" s="61" t="n"/>
      <c r="F4" s="61" t="n"/>
      <c r="G4" s="61" t="n"/>
      <c r="H4" s="62" t="n"/>
    </row>
    <row r="5" ht="27.75" customHeight="1">
      <c r="A5" s="59" t="inlineStr">
        <is>
          <t>Scope:</t>
        </is>
      </c>
      <c r="B5" s="60" t="inlineStr">
        <is>
          <t>Rebate / discount program agreements, eligible-sales data, historical and post-YE returns; ASC 606-10-32-5 to 32-13 (estimate and constraint).</t>
        </is>
      </c>
      <c r="C5" s="61" t="n"/>
      <c r="D5" s="61" t="n"/>
      <c r="E5" s="61" t="n"/>
      <c r="F5" s="61" t="n"/>
      <c r="G5" s="61" t="n"/>
      <c r="H5" s="62" t="n"/>
    </row>
    <row r="6" ht="15" customHeight="1">
      <c r="A6" s="59" t="inlineStr">
        <is>
          <t>Assertions:</t>
        </is>
      </c>
      <c r="B6" s="60" t="inlineStr">
        <is>
          <t>Accuracy; Valuation; Completeness</t>
        </is>
      </c>
      <c r="C6" s="61" t="n"/>
      <c r="D6" s="61" t="n"/>
      <c r="E6" s="61" t="n"/>
      <c r="F6" s="61" t="n"/>
      <c r="G6" s="61" t="n"/>
      <c r="H6" s="62" t="n"/>
    </row>
    <row r="7">
      <c r="A7" s="82" t="inlineStr">
        <is>
          <t>A. Program inventory</t>
        </is>
      </c>
      <c r="B7" s="43" t="n"/>
      <c r="C7" s="43" t="n"/>
      <c r="D7" s="43" t="n"/>
      <c r="E7" s="43" t="n"/>
      <c r="F7" s="43" t="n"/>
      <c r="G7" s="43" t="n"/>
      <c r="H7" s="43" t="n"/>
    </row>
    <row r="8" ht="30" customHeight="1">
      <c r="A8" s="83" t="inlineStr">
        <is>
          <t>Program</t>
        </is>
      </c>
      <c r="B8" s="83" t="inlineStr">
        <is>
          <t>Type (rebate / discount / returns / allowance)</t>
        </is>
      </c>
      <c r="C8" s="83" t="inlineStr">
        <is>
          <t>Terms obtained (Y/N)</t>
        </is>
      </c>
      <c r="D8" s="83" t="inlineStr">
        <is>
          <t>Method (expected value / most likely)</t>
        </is>
      </c>
      <c r="E8" s="83" t="inlineStr">
        <is>
          <t>Constraint considered (Y/N)</t>
        </is>
      </c>
      <c r="F8" s="83" t="n"/>
      <c r="G8" s="83" t="n"/>
      <c r="H8" s="83" t="inlineStr">
        <is>
          <t>Comments</t>
        </is>
      </c>
    </row>
    <row r="9">
      <c r="A9" s="64" t="n"/>
      <c r="B9" s="64" t="n"/>
      <c r="C9" s="64" t="n"/>
      <c r="D9" s="64" t="n"/>
      <c r="E9" s="64" t="n"/>
      <c r="F9" s="64" t="n"/>
      <c r="G9" s="64" t="n"/>
      <c r="H9" s="64" t="n"/>
    </row>
    <row r="10">
      <c r="A10" s="64" t="n"/>
      <c r="B10" s="64" t="n"/>
      <c r="C10" s="64" t="n"/>
      <c r="D10" s="64" t="n"/>
      <c r="E10" s="64" t="n"/>
      <c r="F10" s="64" t="n"/>
      <c r="G10" s="64" t="n"/>
      <c r="H10" s="64" t="n"/>
    </row>
    <row r="11">
      <c r="A11" s="64" t="n"/>
      <c r="B11" s="64" t="n"/>
      <c r="C11" s="64" t="n"/>
      <c r="D11" s="64" t="n"/>
      <c r="E11" s="64" t="n"/>
      <c r="F11" s="64" t="n"/>
      <c r="G11" s="64" t="n"/>
      <c r="H11" s="64" t="n"/>
    </row>
    <row r="12">
      <c r="A12" s="64" t="n"/>
      <c r="B12" s="64" t="n"/>
      <c r="C12" s="64" t="n"/>
      <c r="D12" s="64" t="n"/>
      <c r="E12" s="64" t="n"/>
      <c r="F12" s="64" t="n"/>
      <c r="G12" s="64" t="n"/>
      <c r="H12" s="64" t="n"/>
    </row>
    <row r="13">
      <c r="A13" s="64" t="n"/>
      <c r="B13" s="64" t="n"/>
      <c r="C13" s="64" t="n"/>
      <c r="D13" s="64" t="n"/>
      <c r="E13" s="64" t="n"/>
      <c r="F13" s="64" t="n"/>
      <c r="G13" s="64" t="n"/>
      <c r="H13" s="64" t="n"/>
    </row>
    <row r="14">
      <c r="A14" s="43" t="n"/>
      <c r="B14" s="43" t="n"/>
      <c r="C14" s="43" t="n"/>
      <c r="D14" s="43" t="n"/>
      <c r="E14" s="43" t="n"/>
      <c r="F14" s="43" t="n"/>
      <c r="G14" s="43" t="n"/>
      <c r="H14" s="43" t="n"/>
    </row>
    <row r="15">
      <c r="A15" s="82" t="inlineStr">
        <is>
          <t>B. Accrual recompute</t>
        </is>
      </c>
      <c r="B15" s="43" t="n"/>
      <c r="C15" s="43" t="n"/>
      <c r="D15" s="43" t="n"/>
      <c r="E15" s="43" t="n"/>
      <c r="F15" s="43" t="n"/>
      <c r="G15" s="43" t="n"/>
      <c r="H15" s="43" t="n"/>
    </row>
    <row r="16" ht="25.5" customHeight="1">
      <c r="A16" s="83" t="inlineStr">
        <is>
          <t>Program</t>
        </is>
      </c>
      <c r="B16" s="83" t="inlineStr">
        <is>
          <t>Eligible base (sales)</t>
        </is>
      </c>
      <c r="C16" s="83" t="inlineStr">
        <is>
          <t>Rate / %</t>
        </is>
      </c>
      <c r="D16" s="83" t="inlineStr">
        <is>
          <t>Recomputed accrual</t>
        </is>
      </c>
      <c r="E16" s="83" t="inlineStr">
        <is>
          <t>Recorded accrual</t>
        </is>
      </c>
      <c r="F16" s="83" t="inlineStr">
        <is>
          <t>Difference</t>
        </is>
      </c>
      <c r="G16" s="83" t="n"/>
      <c r="H16" s="83" t="inlineStr">
        <is>
          <t>Comments</t>
        </is>
      </c>
    </row>
    <row r="17">
      <c r="A17" s="43" t="n"/>
      <c r="B17" s="69" t="inlineStr">
        <is>
          <t>V</t>
        </is>
      </c>
      <c r="C17" s="43" t="n"/>
      <c r="D17" s="69" t="inlineStr">
        <is>
          <t>R</t>
        </is>
      </c>
      <c r="E17" s="69" t="inlineStr">
        <is>
          <t>TB</t>
        </is>
      </c>
      <c r="F17" s="43" t="n"/>
      <c r="G17" s="43" t="n"/>
      <c r="H17" s="43" t="n"/>
    </row>
    <row r="18" ht="27" customHeight="1">
      <c r="A18" s="64" t="n"/>
      <c r="B18" s="70" t="n"/>
      <c r="C18" s="86" t="n"/>
      <c r="D18" s="71">
        <f>IF(OR(B18="",C18=""),"",B18*C18)</f>
        <v/>
      </c>
      <c r="E18" s="70" t="n"/>
      <c r="F18" s="71">
        <f>IF(AND(D18="",E18=""),"",D18-E18)</f>
        <v/>
      </c>
      <c r="G18" s="64" t="n"/>
      <c r="H18" s="64" t="n"/>
    </row>
    <row r="19" ht="27" customHeight="1">
      <c r="A19" s="64" t="n"/>
      <c r="B19" s="70" t="n"/>
      <c r="C19" s="86" t="n"/>
      <c r="D19" s="71">
        <f>IF(OR(B19="",C19=""),"",B19*C19)</f>
        <v/>
      </c>
      <c r="E19" s="70" t="n"/>
      <c r="F19" s="71">
        <f>IF(AND(D19="",E19=""),"",D19-E19)</f>
        <v/>
      </c>
      <c r="G19" s="64" t="n"/>
      <c r="H19" s="64" t="n"/>
    </row>
    <row r="20" ht="27" customHeight="1">
      <c r="A20" s="64" t="n"/>
      <c r="B20" s="70" t="n"/>
      <c r="C20" s="86" t="n"/>
      <c r="D20" s="71">
        <f>IF(OR(B20="",C20=""),"",B20*C20)</f>
        <v/>
      </c>
      <c r="E20" s="70" t="n"/>
      <c r="F20" s="71">
        <f>IF(AND(D20="",E20=""),"",D20-E20)</f>
        <v/>
      </c>
      <c r="G20" s="64" t="n"/>
      <c r="H20" s="64" t="n"/>
    </row>
    <row r="21" ht="27" customHeight="1">
      <c r="A21" s="64" t="n"/>
      <c r="B21" s="70" t="n"/>
      <c r="C21" s="86" t="n"/>
      <c r="D21" s="71">
        <f>IF(OR(B21="",C21=""),"",B21*C21)</f>
        <v/>
      </c>
      <c r="E21" s="70" t="n"/>
      <c r="F21" s="71">
        <f>IF(AND(D21="",E21=""),"",D21-E21)</f>
        <v/>
      </c>
      <c r="G21" s="64" t="n"/>
      <c r="H21" s="64" t="n"/>
    </row>
    <row r="22" ht="27" customHeight="1">
      <c r="A22" s="64" t="n"/>
      <c r="B22" s="70" t="n"/>
      <c r="C22" s="86" t="n"/>
      <c r="D22" s="71">
        <f>IF(OR(B22="",C22=""),"",B22*C22)</f>
        <v/>
      </c>
      <c r="E22" s="70" t="n"/>
      <c r="F22" s="71">
        <f>IF(AND(D22="",E22=""),"",D22-E22)</f>
        <v/>
      </c>
      <c r="G22" s="64" t="n"/>
      <c r="H22" s="64" t="n"/>
    </row>
    <row r="23">
      <c r="A23" s="73" t="inlineStr">
        <is>
          <t>Total</t>
        </is>
      </c>
      <c r="B23" s="74">
        <f>SUM(B18:B22)</f>
        <v/>
      </c>
      <c r="C23" s="73" t="n"/>
      <c r="D23" s="74">
        <f>SUM(D18:D22)</f>
        <v/>
      </c>
      <c r="E23" s="74">
        <f>SUM(E18:E22)</f>
        <v/>
      </c>
      <c r="F23" s="74">
        <f>SUM(F18:F22)</f>
        <v/>
      </c>
      <c r="G23" s="73" t="n"/>
      <c r="H23" s="73" t="n"/>
    </row>
    <row r="24">
      <c r="A24" s="43" t="n"/>
      <c r="B24" s="43" t="n"/>
      <c r="C24" s="43" t="n"/>
      <c r="D24" s="43" t="n"/>
      <c r="E24" s="43" t="n"/>
      <c r="F24" s="43" t="n"/>
      <c r="G24" s="43" t="n"/>
      <c r="H24" s="43" t="n"/>
    </row>
    <row r="25">
      <c r="A25" s="82" t="inlineStr">
        <is>
          <t>C. Returns reserve (lookback)</t>
        </is>
      </c>
      <c r="B25" s="43" t="n"/>
      <c r="C25" s="43" t="n"/>
      <c r="D25" s="43" t="n"/>
      <c r="E25" s="43" t="n"/>
      <c r="F25" s="43" t="n"/>
      <c r="G25" s="43" t="n"/>
      <c r="H25" s="43" t="n"/>
    </row>
    <row r="26">
      <c r="A26" s="43" t="n"/>
      <c r="B26" s="43" t="n"/>
      <c r="C26" s="43" t="n"/>
      <c r="D26" s="43" t="n"/>
      <c r="E26" s="43" t="n"/>
      <c r="F26" s="43" t="n"/>
      <c r="G26" s="43" t="n"/>
      <c r="H26" s="43" t="n"/>
    </row>
    <row r="27">
      <c r="A27" s="49" t="inlineStr">
        <is>
          <t>Sales subject to return (period)</t>
        </is>
      </c>
      <c r="B27" s="70" t="n"/>
      <c r="C27" s="43" t="n"/>
      <c r="D27" s="43" t="n"/>
      <c r="E27" s="43" t="n"/>
      <c r="F27" s="43" t="n"/>
      <c r="G27" s="43" t="n"/>
      <c r="H27" s="43" t="n"/>
    </row>
    <row r="28">
      <c r="A28" s="49" t="inlineStr">
        <is>
          <t>Historical return rate %</t>
        </is>
      </c>
      <c r="B28" s="86" t="n"/>
      <c r="C28" s="43" t="n"/>
      <c r="D28" s="43" t="n"/>
      <c r="E28" s="43" t="n"/>
      <c r="F28" s="43" t="n"/>
      <c r="G28" s="43" t="n"/>
      <c r="H28" s="43" t="n"/>
    </row>
    <row r="29">
      <c r="A29" s="75" t="inlineStr">
        <is>
          <t>Recomputed returns reserve</t>
        </is>
      </c>
      <c r="B29" s="87">
        <f>IF(OR(B27="",B28=""),"",B27*B28)</f>
        <v/>
      </c>
      <c r="C29" s="43" t="n"/>
      <c r="D29" s="43" t="n"/>
      <c r="E29" s="43" t="n"/>
      <c r="F29" s="43" t="n"/>
      <c r="G29" s="43" t="n"/>
      <c r="H29" s="43" t="n"/>
    </row>
    <row r="30" ht="27" customHeight="1">
      <c r="A30" s="49" t="inlineStr">
        <is>
          <t>Actual post-YE returns to date (per &lt;.4&gt; Part C)</t>
        </is>
      </c>
      <c r="B30" s="70" t="n"/>
      <c r="C30" s="43" t="n"/>
      <c r="D30" s="43" t="n"/>
      <c r="E30" s="43" t="n"/>
      <c r="F30" s="43" t="n"/>
      <c r="G30" s="43" t="n"/>
      <c r="H30" s="43" t="n"/>
    </row>
    <row r="31">
      <c r="A31" s="64" t="inlineStr">
        <is>
          <t>Reserve per books</t>
        </is>
      </c>
      <c r="B31" s="70" t="n"/>
      <c r="C31" s="43" t="n"/>
      <c r="D31" s="43" t="n"/>
      <c r="E31" s="43" t="n"/>
      <c r="F31" s="43" t="n"/>
      <c r="G31" s="43" t="n"/>
      <c r="H31" s="43" t="n"/>
    </row>
    <row r="32">
      <c r="A32" s="75" t="inlineStr">
        <is>
          <t>Difference (recomputed vs books)</t>
        </is>
      </c>
      <c r="B32" s="87">
        <f>IF(OR(B29="",B31=""),"",B29-B31)</f>
        <v/>
      </c>
      <c r="C32" s="43" t="n"/>
      <c r="D32" s="43" t="n"/>
      <c r="E32" s="43" t="n"/>
      <c r="F32" s="43" t="n"/>
      <c r="G32" s="43" t="n"/>
      <c r="H32" s="43" t="n"/>
    </row>
    <row r="33">
      <c r="A33" s="43" t="n"/>
      <c r="B33" s="43" t="n"/>
      <c r="C33" s="43" t="n"/>
      <c r="D33" s="43" t="n"/>
      <c r="E33" s="43" t="n"/>
      <c r="F33" s="43" t="n"/>
      <c r="G33" s="43" t="n"/>
      <c r="H33" s="43" t="n"/>
    </row>
    <row r="34" ht="27" customHeight="1">
      <c r="A34" s="45" t="inlineStr">
        <is>
          <t>Variable consideration is estimated (expected value or most-likely amount) and constrained so that a significant revenue reversal is not probable (ASC 606-10-32-11). Corroborate rates to program agreements and the base to tested sales; benchmark the returns reserve against actual post-YE returns.</t>
        </is>
      </c>
      <c r="B34" s="43" t="n"/>
      <c r="C34" s="43" t="n"/>
      <c r="D34" s="43" t="n"/>
      <c r="E34" s="43" t="n"/>
      <c r="F34" s="43" t="n"/>
      <c r="G34" s="43" t="n"/>
      <c r="H34" s="43" t="n"/>
    </row>
    <row r="35">
      <c r="A35" s="43" t="n"/>
      <c r="B35" s="43" t="n"/>
      <c r="C35" s="43" t="n"/>
      <c r="D35" s="43" t="n"/>
      <c r="E35" s="43" t="n"/>
      <c r="F35" s="43" t="n"/>
      <c r="G35" s="43" t="n"/>
      <c r="H35" s="43" t="n"/>
    </row>
    <row r="36">
      <c r="A36" s="65" t="inlineStr">
        <is>
          <t>TM Legends</t>
        </is>
      </c>
      <c r="B36" s="43" t="n"/>
      <c r="C36" s="43" t="n"/>
      <c r="D36" s="43" t="n"/>
      <c r="E36" s="43" t="n"/>
      <c r="F36" s="43" t="n"/>
      <c r="G36" s="43" t="n"/>
      <c r="H36" s="43" t="n"/>
    </row>
    <row r="37">
      <c r="A37" s="66" t="inlineStr">
        <is>
          <t>TB</t>
        </is>
      </c>
      <c r="B37" s="49" t="inlineStr">
        <is>
          <t>Agreed to trial balance</t>
        </is>
      </c>
      <c r="C37" s="67" t="n"/>
      <c r="D37" s="68" t="n"/>
      <c r="E37" s="43" t="n"/>
      <c r="F37" s="43" t="n"/>
      <c r="G37" s="43" t="n"/>
      <c r="H37" s="43" t="n"/>
    </row>
    <row r="38">
      <c r="A38" s="66" t="inlineStr">
        <is>
          <t>GL</t>
        </is>
      </c>
      <c r="B38" s="49" t="inlineStr">
        <is>
          <t>Agreed to general ledger</t>
        </is>
      </c>
      <c r="C38" s="67" t="n"/>
      <c r="D38" s="68" t="n"/>
      <c r="E38" s="43" t="n"/>
      <c r="F38" s="43" t="n"/>
      <c r="G38" s="43" t="n"/>
      <c r="H38" s="43" t="n"/>
    </row>
    <row r="39">
      <c r="A39" s="66" t="inlineStr">
        <is>
          <t>CF</t>
        </is>
      </c>
      <c r="B39" s="49" t="inlineStr">
        <is>
          <t>Confirmed with third party</t>
        </is>
      </c>
      <c r="C39" s="67" t="n"/>
      <c r="D39" s="68" t="n"/>
      <c r="E39" s="43" t="n"/>
      <c r="F39" s="43" t="n"/>
      <c r="G39" s="43" t="n"/>
      <c r="H39" s="43" t="n"/>
    </row>
    <row r="40">
      <c r="A40" s="66" t="inlineStr">
        <is>
          <t>V</t>
        </is>
      </c>
      <c r="B40" s="49" t="inlineStr">
        <is>
          <t>Vouched to source document</t>
        </is>
      </c>
      <c r="C40" s="67" t="n"/>
      <c r="D40" s="68" t="n"/>
      <c r="E40" s="43" t="n"/>
      <c r="F40" s="43" t="n"/>
      <c r="G40" s="43" t="n"/>
      <c r="H40" s="43" t="n"/>
    </row>
    <row r="41">
      <c r="A41" s="66" t="inlineStr">
        <is>
          <t>SR</t>
        </is>
      </c>
      <c r="B41" s="49" t="inlineStr">
        <is>
          <t>Agreed to subsequent bank-cleared receipt</t>
        </is>
      </c>
      <c r="C41" s="67" t="n"/>
      <c r="D41" s="68" t="n"/>
      <c r="E41" s="43" t="n"/>
      <c r="F41" s="43" t="n"/>
      <c r="G41" s="43" t="n"/>
      <c r="H41" s="43" t="n"/>
    </row>
    <row r="42">
      <c r="A42" s="66" t="inlineStr">
        <is>
          <t>R</t>
        </is>
      </c>
      <c r="B42" s="49" t="inlineStr">
        <is>
          <t>Recalculated independently</t>
        </is>
      </c>
      <c r="C42" s="67" t="n"/>
      <c r="D42" s="68" t="n"/>
      <c r="E42" s="43" t="n"/>
      <c r="F42" s="43" t="n"/>
      <c r="G42" s="43" t="n"/>
      <c r="H42" s="43" t="n"/>
    </row>
    <row r="43">
      <c r="A43" s="66" t="inlineStr">
        <is>
          <t>F</t>
        </is>
      </c>
      <c r="B43" s="49" t="inlineStr">
        <is>
          <t>Footed / cross-cast</t>
        </is>
      </c>
      <c r="C43" s="67" t="n"/>
      <c r="D43" s="68" t="n"/>
      <c r="E43" s="43" t="n"/>
      <c r="F43" s="43" t="n"/>
      <c r="G43" s="43" t="n"/>
      <c r="H43" s="43" t="n"/>
    </row>
    <row r="44">
      <c r="A44" s="66" t="inlineStr">
        <is>
          <t>T</t>
        </is>
      </c>
      <c r="B44" s="49" t="inlineStr">
        <is>
          <t>Traced to downstream record</t>
        </is>
      </c>
      <c r="C44" s="67" t="n"/>
      <c r="D44" s="68" t="n"/>
      <c r="E44" s="43" t="n"/>
      <c r="F44" s="43" t="n"/>
      <c r="G44" s="43" t="n"/>
      <c r="H44" s="43" t="n"/>
    </row>
    <row r="45">
      <c r="A45" s="66" t="inlineStr">
        <is>
          <t>PBC</t>
        </is>
      </c>
      <c r="B45" s="49" t="inlineStr">
        <is>
          <t>Prepared by client</t>
        </is>
      </c>
      <c r="C45" s="67" t="n"/>
      <c r="D45" s="68" t="n"/>
      <c r="E45" s="43" t="n"/>
      <c r="F45" s="43" t="n"/>
      <c r="G45" s="43" t="n"/>
      <c r="H45" s="43" t="n"/>
    </row>
    <row r="46">
      <c r="A46" s="43" t="n"/>
      <c r="B46" s="43" t="n"/>
      <c r="C46" s="43" t="n"/>
      <c r="D46" s="43" t="n"/>
      <c r="E46" s="43" t="n"/>
      <c r="F46" s="43" t="n"/>
      <c r="G46" s="43" t="n"/>
      <c r="H46" s="43" t="n"/>
    </row>
    <row r="47" ht="27.75" customHeight="1">
      <c r="A47" s="45" t="inlineStr">
        <is>
          <t>Before sign-off complete Library Procedures 12-13 (program recompute; returns-reserve lookback).</t>
        </is>
      </c>
      <c r="B47" s="43" t="n"/>
      <c r="C47" s="43" t="n"/>
      <c r="D47" s="43" t="n"/>
      <c r="E47" s="43" t="n"/>
      <c r="F47" s="43" t="n"/>
      <c r="G47" s="43" t="n"/>
      <c r="H47" s="43" t="n"/>
    </row>
  </sheetData>
  <mergeCells count="14">
    <mergeCell ref="A34:H35"/>
    <mergeCell ref="B42:D42"/>
    <mergeCell ref="B37:D37"/>
    <mergeCell ref="B45:D45"/>
    <mergeCell ref="B41:D41"/>
    <mergeCell ref="B4:H4"/>
    <mergeCell ref="B40:D40"/>
    <mergeCell ref="B6:H6"/>
    <mergeCell ref="B44:D44"/>
    <mergeCell ref="A47:H47"/>
    <mergeCell ref="B43:D43"/>
    <mergeCell ref="B39:D39"/>
    <mergeCell ref="B5:H5"/>
    <mergeCell ref="B38:D38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41"/>
  <sheetViews>
    <sheetView showGridLines="0" zoomScale="90" zoomScaleNormal="100" workbookViewId="0">
      <pane ySplit="7" topLeftCell="A8" activePane="bottomLeft" state="frozen"/>
      <selection pane="bottomLeft" activeCell="A28" sqref="A28:H28"/>
    </sheetView>
  </sheetViews>
  <sheetFormatPr baseColWidth="8" defaultColWidth="8.6328125" defaultRowHeight="14.5"/>
  <cols>
    <col width="42" customWidth="1" min="1" max="1"/>
    <col width="22.4" customWidth="1" min="2" max="6"/>
    <col width="13.05" customWidth="1" min="3" max="3"/>
    <col width="37.7" customWidth="1" min="4" max="4"/>
    <col width="32.59999999999999" customWidth="1" min="5" max="5"/>
    <col width="13.05" customWidth="1" min="6" max="6"/>
    <col width="32.59999999999999" customWidth="1" min="7" max="7"/>
    <col width="26" customWidth="1" min="8" max="8"/>
  </cols>
  <sheetData>
    <row r="1" ht="27" customHeight="1">
      <c r="A1" s="42" t="inlineStr">
        <is>
          <t>Contract Liability (Deferred Revenue) Rollforward</t>
        </is>
      </c>
      <c r="B1" s="43" t="n"/>
      <c r="C1" s="43" t="n"/>
      <c r="D1" s="43" t="n"/>
      <c r="E1" s="43" t="n"/>
      <c r="F1" s="43" t="n"/>
      <c r="G1" s="43" t="n"/>
      <c r="H1" s="43" t="n"/>
    </row>
    <row r="2" ht="27" customHeight="1">
      <c r="A2" s="54" t="inlineStr">
        <is>
          <t>Client / Entity</t>
        </is>
      </c>
      <c r="B2" s="44" t="inlineStr">
        <is>
          <t>Vaquite Industries, Inc.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</row>
    <row r="3" ht="27" customHeight="1">
      <c r="A3" s="57" t="inlineStr">
        <is>
          <t>Performance Materiality</t>
        </is>
      </c>
      <c r="B3" s="58" t="n">
        <v>23100</v>
      </c>
      <c r="C3" s="43" t="n"/>
      <c r="D3" s="57" t="inlineStr">
        <is>
          <t>Tolerable misstatement / testing threshold</t>
        </is>
      </c>
      <c r="E3" s="58" t="n">
        <v>17400</v>
      </c>
      <c r="F3" s="43" t="n"/>
      <c r="G3" s="43" t="n"/>
      <c r="H3" s="43" t="n"/>
    </row>
    <row r="4" ht="27.75" customHeight="1">
      <c r="A4" s="59" t="inlineStr">
        <is>
          <t>Purpose:</t>
        </is>
      </c>
      <c r="B4" s="60" t="inlineStr">
        <is>
          <t>Roll contract liabilities forward — opening + advance billings / receipts − revenue released = closing — tie to the TB, and test releases against satisfaction of the performance obligation.</t>
        </is>
      </c>
      <c r="C4" s="61" t="n"/>
      <c r="D4" s="61" t="n"/>
      <c r="E4" s="61" t="n"/>
      <c r="F4" s="61" t="n"/>
      <c r="G4" s="61" t="n"/>
      <c r="H4" s="62" t="n"/>
    </row>
    <row r="5" ht="15" customHeight="1">
      <c r="A5" s="59" t="inlineStr">
        <is>
          <t>Scope:</t>
        </is>
      </c>
      <c r="B5" s="60" t="inlineStr">
        <is>
          <t>Deferred-revenue schedule by contract / customer; opening balance bridged to the PY TB.</t>
        </is>
      </c>
      <c r="C5" s="61" t="n"/>
      <c r="D5" s="61" t="n"/>
      <c r="E5" s="61" t="n"/>
      <c r="F5" s="61" t="n"/>
      <c r="G5" s="61" t="n"/>
      <c r="H5" s="62" t="n"/>
    </row>
    <row r="6" ht="15" customHeight="1">
      <c r="A6" s="59" t="inlineStr">
        <is>
          <t>Assertions:</t>
        </is>
      </c>
      <c r="B6" s="60" t="inlineStr">
        <is>
          <t>Completeness; Accuracy; Cutoff; Occurrence</t>
        </is>
      </c>
      <c r="C6" s="61" t="n"/>
      <c r="D6" s="61" t="n"/>
      <c r="E6" s="61" t="n"/>
      <c r="F6" s="61" t="n"/>
      <c r="G6" s="61" t="n"/>
      <c r="H6" s="62" t="n"/>
    </row>
    <row r="7">
      <c r="A7" s="82" t="inlineStr">
        <is>
          <t>A. Rollforward summary</t>
        </is>
      </c>
      <c r="B7" s="43" t="n"/>
      <c r="C7" s="43" t="n"/>
      <c r="D7" s="43" t="n"/>
      <c r="E7" s="43" t="n"/>
      <c r="F7" s="43" t="n"/>
      <c r="G7" s="43" t="n"/>
      <c r="H7" s="43" t="n"/>
    </row>
    <row r="8">
      <c r="A8" s="49" t="inlineStr">
        <is>
          <t>Opening contract liabilities (= PY TB)</t>
        </is>
      </c>
      <c r="B8" s="70" t="n"/>
      <c r="C8" s="43" t="n"/>
      <c r="D8" s="43" t="n"/>
      <c r="E8" s="43" t="n"/>
      <c r="F8" s="43" t="n"/>
      <c r="G8" s="43" t="n"/>
      <c r="H8" s="43" t="n"/>
    </row>
    <row r="9" ht="27" customHeight="1">
      <c r="A9" s="49" t="inlineStr">
        <is>
          <t>Add: billings / cash received in advance of performance</t>
        </is>
      </c>
      <c r="B9" s="70" t="n"/>
      <c r="C9" s="43" t="n"/>
      <c r="D9" s="43" t="n"/>
      <c r="E9" s="43" t="n"/>
      <c r="F9" s="43" t="n"/>
      <c r="G9" s="43" t="n"/>
      <c r="H9" s="43" t="n"/>
    </row>
    <row r="10" ht="27" customHeight="1">
      <c r="A10" s="49" t="inlineStr">
        <is>
          <t>Less: revenue recognized from the opening balance</t>
        </is>
      </c>
      <c r="B10" s="70" t="n"/>
      <c r="C10" s="43" t="n"/>
      <c r="D10" s="43" t="n"/>
      <c r="E10" s="43" t="n"/>
      <c r="F10" s="43" t="n"/>
      <c r="G10" s="43" t="n"/>
      <c r="H10" s="43" t="n"/>
    </row>
    <row r="11" ht="27" customHeight="1">
      <c r="A11" s="49" t="inlineStr">
        <is>
          <t>Less: revenue recognized from current-year additions</t>
        </is>
      </c>
      <c r="B11" s="70" t="n"/>
      <c r="C11" s="43" t="n"/>
      <c r="D11" s="43" t="n"/>
      <c r="E11" s="43" t="n"/>
      <c r="F11" s="43" t="n"/>
      <c r="G11" s="43" t="n"/>
      <c r="H11" s="43" t="n"/>
    </row>
    <row r="12">
      <c r="A12" s="75" t="inlineStr">
        <is>
          <t>Closing contract liabilities (computed)</t>
        </is>
      </c>
      <c r="B12" s="76">
        <f>B8+B9-B10-B11</f>
        <v/>
      </c>
      <c r="C12" s="43" t="n"/>
      <c r="D12" s="43" t="n"/>
      <c r="E12" s="43" t="n"/>
      <c r="F12" s="43" t="n"/>
      <c r="G12" s="43" t="n"/>
      <c r="H12" s="43" t="n"/>
    </row>
    <row r="13">
      <c r="A13" s="49" t="inlineStr">
        <is>
          <t>Closing per trial balance</t>
        </is>
      </c>
      <c r="B13" s="70" t="n"/>
      <c r="C13" s="43" t="n"/>
      <c r="D13" s="43" t="n"/>
      <c r="E13" s="43" t="n"/>
      <c r="F13" s="43" t="n"/>
      <c r="G13" s="43" t="n"/>
      <c r="H13" s="43" t="n"/>
    </row>
    <row r="14">
      <c r="A14" s="75" t="inlineStr">
        <is>
          <t>Difference (should be 0)</t>
        </is>
      </c>
      <c r="B14" s="76">
        <f>B12-B13</f>
        <v/>
      </c>
      <c r="C14" s="43" t="n"/>
      <c r="D14" s="43" t="n"/>
      <c r="E14" s="43" t="n"/>
      <c r="F14" s="43" t="n"/>
      <c r="G14" s="43" t="n"/>
      <c r="H14" s="43" t="n"/>
    </row>
    <row r="15">
      <c r="A15" s="43" t="n"/>
      <c r="B15" s="43" t="n"/>
      <c r="C15" s="43" t="n"/>
      <c r="D15" s="43" t="n"/>
      <c r="E15" s="43" t="n"/>
      <c r="F15" s="43" t="n"/>
      <c r="G15" s="43" t="n"/>
      <c r="H15" s="43" t="n"/>
    </row>
    <row r="16">
      <c r="A16" s="82" t="inlineStr">
        <is>
          <t>B. Detail by contract / customer</t>
        </is>
      </c>
      <c r="B16" s="43" t="n"/>
      <c r="C16" s="43" t="n"/>
      <c r="D16" s="43" t="n"/>
      <c r="E16" s="43" t="n"/>
      <c r="F16" s="43" t="n"/>
      <c r="G16" s="43" t="n"/>
      <c r="H16" s="43" t="n"/>
    </row>
    <row r="17" ht="30" customHeight="1">
      <c r="A17" s="83" t="inlineStr">
        <is>
          <t>Contract / customer</t>
        </is>
      </c>
      <c r="B17" s="83" t="inlineStr">
        <is>
          <t>Opening</t>
        </is>
      </c>
      <c r="C17" s="83" t="inlineStr">
        <is>
          <t>Additions</t>
        </is>
      </c>
      <c r="D17" s="83" t="inlineStr">
        <is>
          <t>Releases (revenue)</t>
        </is>
      </c>
      <c r="E17" s="83" t="inlineStr">
        <is>
          <t>Closing (computed)</t>
        </is>
      </c>
      <c r="F17" s="83" t="inlineStr">
        <is>
          <t>Per schedule</t>
        </is>
      </c>
      <c r="G17" s="83" t="inlineStr">
        <is>
          <t>Release tested — PO satisfied? (Y/N)</t>
        </is>
      </c>
      <c r="H17" s="83" t="inlineStr">
        <is>
          <t>Comments</t>
        </is>
      </c>
    </row>
    <row r="18">
      <c r="A18" s="43" t="n"/>
      <c r="B18" s="69" t="inlineStr">
        <is>
          <t>PY</t>
        </is>
      </c>
      <c r="C18" s="43" t="n"/>
      <c r="D18" s="69" t="inlineStr">
        <is>
          <t>V</t>
        </is>
      </c>
      <c r="E18" s="43" t="n"/>
      <c r="F18" s="69" t="inlineStr">
        <is>
          <t>F</t>
        </is>
      </c>
      <c r="G18" s="43" t="n"/>
      <c r="H18" s="43" t="n"/>
    </row>
    <row r="19" ht="27" customHeight="1">
      <c r="A19" s="64" t="n"/>
      <c r="B19" s="70" t="n"/>
      <c r="C19" s="70" t="n"/>
      <c r="D19" s="70" t="n"/>
      <c r="E19" s="71">
        <f>IF(COUNT(B19:D19)=0,"",B19+C19-D19)</f>
        <v/>
      </c>
      <c r="F19" s="70" t="n"/>
      <c r="G19" s="64" t="n"/>
      <c r="H19" s="64" t="n"/>
    </row>
    <row r="20" ht="27" customHeight="1">
      <c r="A20" s="64" t="n"/>
      <c r="B20" s="70" t="n"/>
      <c r="C20" s="70" t="n"/>
      <c r="D20" s="70" t="n"/>
      <c r="E20" s="71">
        <f>IF(COUNT(B20:D20)=0,"",B20+C20-D20)</f>
        <v/>
      </c>
      <c r="F20" s="70" t="n"/>
      <c r="G20" s="64" t="n"/>
      <c r="H20" s="64" t="n"/>
    </row>
    <row r="21" ht="27" customHeight="1">
      <c r="A21" s="64" t="n"/>
      <c r="B21" s="70" t="n"/>
      <c r="C21" s="70" t="n"/>
      <c r="D21" s="70" t="n"/>
      <c r="E21" s="71">
        <f>IF(COUNT(B21:D21)=0,"",B21+C21-D21)</f>
        <v/>
      </c>
      <c r="F21" s="70" t="n"/>
      <c r="G21" s="64" t="n"/>
      <c r="H21" s="64" t="n"/>
    </row>
    <row r="22" ht="27" customHeight="1">
      <c r="A22" s="64" t="n"/>
      <c r="B22" s="70" t="n"/>
      <c r="C22" s="70" t="n"/>
      <c r="D22" s="70" t="n"/>
      <c r="E22" s="71">
        <f>IF(COUNT(B22:D22)=0,"",B22+C22-D22)</f>
        <v/>
      </c>
      <c r="F22" s="70" t="n"/>
      <c r="G22" s="64" t="n"/>
      <c r="H22" s="64" t="n"/>
    </row>
    <row r="23" ht="27" customHeight="1">
      <c r="A23" s="64" t="n"/>
      <c r="B23" s="70" t="n"/>
      <c r="C23" s="70" t="n"/>
      <c r="D23" s="70" t="n"/>
      <c r="E23" s="71">
        <f>IF(COUNT(B23:D23)=0,"",B23+C23-D23)</f>
        <v/>
      </c>
      <c r="F23" s="70" t="n"/>
      <c r="G23" s="64" t="n"/>
      <c r="H23" s="64" t="n"/>
    </row>
    <row r="24" ht="27" customHeight="1">
      <c r="A24" s="64" t="n"/>
      <c r="B24" s="70" t="n"/>
      <c r="C24" s="70" t="n"/>
      <c r="D24" s="70" t="n"/>
      <c r="E24" s="71">
        <f>IF(COUNT(B24:D24)=0,"",B24+C24-D24)</f>
        <v/>
      </c>
      <c r="F24" s="70" t="n"/>
      <c r="G24" s="64" t="n"/>
      <c r="H24" s="64" t="n"/>
    </row>
    <row r="25" ht="27" customHeight="1">
      <c r="A25" s="64" t="n"/>
      <c r="B25" s="70" t="n"/>
      <c r="C25" s="70" t="n"/>
      <c r="D25" s="70" t="n"/>
      <c r="E25" s="71">
        <f>IF(COUNT(B25:D25)=0,"",B25+C25-D25)</f>
        <v/>
      </c>
      <c r="F25" s="70" t="n"/>
      <c r="G25" s="64" t="n"/>
      <c r="H25" s="64" t="n"/>
    </row>
    <row r="26">
      <c r="A26" s="73" t="inlineStr">
        <is>
          <t>Total</t>
        </is>
      </c>
      <c r="B26" s="74">
        <f>SUM(B19:B25)</f>
        <v/>
      </c>
      <c r="C26" s="74">
        <f>SUM(C19:C25)</f>
        <v/>
      </c>
      <c r="D26" s="74">
        <f>SUM(D19:D25)</f>
        <v/>
      </c>
      <c r="E26" s="74">
        <f>SUM(E19:E25)</f>
        <v/>
      </c>
      <c r="F26" s="74">
        <f>SUM(F19:F25)</f>
        <v/>
      </c>
      <c r="G26" s="73" t="n"/>
      <c r="H26" s="73" t="n"/>
    </row>
    <row r="27">
      <c r="A27" s="43" t="n"/>
      <c r="B27" s="43" t="n"/>
      <c r="C27" s="43" t="n"/>
      <c r="D27" s="43" t="n"/>
      <c r="E27" s="43" t="n"/>
      <c r="F27" s="43" t="n"/>
      <c r="G27" s="43" t="n"/>
      <c r="H27" s="43" t="n"/>
    </row>
    <row r="28" ht="27.75" customHeight="1">
      <c r="A28" s="45" t="inlineStr">
        <is>
          <t>Releases are tested for satisfaction of the performance obligation (delivery / service completion) — premature release overstates revenue (feeds &lt;.4&gt; cutoff). The revenue recognized from the opening balance supports the ASC 606-10-50-8 disclosure on &lt;.8&gt;.</t>
        </is>
      </c>
      <c r="B28" s="43" t="n"/>
      <c r="C28" s="43" t="n"/>
      <c r="D28" s="43" t="n"/>
      <c r="E28" s="43" t="n"/>
      <c r="F28" s="43" t="n"/>
      <c r="G28" s="43" t="n"/>
      <c r="H28" s="43" t="n"/>
    </row>
    <row r="29">
      <c r="A29" s="43" t="n"/>
      <c r="B29" s="43" t="n"/>
      <c r="C29" s="43" t="n"/>
      <c r="D29" s="43" t="n"/>
      <c r="E29" s="43" t="n"/>
      <c r="F29" s="43" t="n"/>
      <c r="G29" s="43" t="n"/>
      <c r="H29" s="43" t="n"/>
    </row>
    <row r="30">
      <c r="A30" s="65" t="inlineStr">
        <is>
          <t>TM Legends</t>
        </is>
      </c>
      <c r="B30" s="43" t="n"/>
      <c r="C30" s="43" t="n"/>
      <c r="D30" s="43" t="n"/>
      <c r="E30" s="43" t="n"/>
      <c r="F30" s="43" t="n"/>
      <c r="G30" s="43" t="n"/>
      <c r="H30" s="43" t="n"/>
    </row>
    <row r="31">
      <c r="A31" s="66" t="inlineStr">
        <is>
          <t>TB</t>
        </is>
      </c>
      <c r="B31" s="49" t="inlineStr">
        <is>
          <t>Agreed to trial balance</t>
        </is>
      </c>
      <c r="C31" s="67" t="n"/>
      <c r="D31" s="68" t="n"/>
      <c r="E31" s="43" t="n"/>
      <c r="F31" s="43" t="n"/>
      <c r="G31" s="43" t="n"/>
      <c r="H31" s="43" t="n"/>
    </row>
    <row r="32">
      <c r="A32" s="66" t="inlineStr">
        <is>
          <t>GL</t>
        </is>
      </c>
      <c r="B32" s="49" t="inlineStr">
        <is>
          <t>Agreed to general ledger</t>
        </is>
      </c>
      <c r="C32" s="67" t="n"/>
      <c r="D32" s="68" t="n"/>
      <c r="E32" s="43" t="n"/>
      <c r="F32" s="43" t="n"/>
      <c r="G32" s="43" t="n"/>
      <c r="H32" s="43" t="n"/>
    </row>
    <row r="33">
      <c r="A33" s="66" t="inlineStr">
        <is>
          <t>CF</t>
        </is>
      </c>
      <c r="B33" s="49" t="inlineStr">
        <is>
          <t>Confirmed with third party</t>
        </is>
      </c>
      <c r="C33" s="67" t="n"/>
      <c r="D33" s="68" t="n"/>
      <c r="E33" s="43" t="n"/>
      <c r="F33" s="43" t="n"/>
      <c r="G33" s="43" t="n"/>
      <c r="H33" s="43" t="n"/>
    </row>
    <row r="34">
      <c r="A34" s="66" t="inlineStr">
        <is>
          <t>V</t>
        </is>
      </c>
      <c r="B34" s="49" t="inlineStr">
        <is>
          <t>Vouched to source document</t>
        </is>
      </c>
      <c r="C34" s="67" t="n"/>
      <c r="D34" s="68" t="n"/>
      <c r="E34" s="43" t="n"/>
      <c r="F34" s="43" t="n"/>
      <c r="G34" s="43" t="n"/>
      <c r="H34" s="43" t="n"/>
    </row>
    <row r="35">
      <c r="A35" s="66" t="inlineStr">
        <is>
          <t>SR</t>
        </is>
      </c>
      <c r="B35" s="49" t="inlineStr">
        <is>
          <t>Agreed to subsequent bank-cleared receipt</t>
        </is>
      </c>
      <c r="C35" s="67" t="n"/>
      <c r="D35" s="68" t="n"/>
      <c r="E35" s="43" t="n"/>
      <c r="F35" s="43" t="n"/>
      <c r="G35" s="43" t="n"/>
      <c r="H35" s="43" t="n"/>
    </row>
    <row r="36">
      <c r="A36" s="66" t="inlineStr">
        <is>
          <t>R</t>
        </is>
      </c>
      <c r="B36" s="49" t="inlineStr">
        <is>
          <t>Recalculated independently</t>
        </is>
      </c>
      <c r="C36" s="67" t="n"/>
      <c r="D36" s="68" t="n"/>
      <c r="E36" s="43" t="n"/>
      <c r="F36" s="43" t="n"/>
      <c r="G36" s="43" t="n"/>
      <c r="H36" s="43" t="n"/>
    </row>
    <row r="37">
      <c r="A37" s="66" t="inlineStr">
        <is>
          <t>F</t>
        </is>
      </c>
      <c r="B37" s="49" t="inlineStr">
        <is>
          <t>Footed / cross-cast</t>
        </is>
      </c>
      <c r="C37" s="67" t="n"/>
      <c r="D37" s="68" t="n"/>
      <c r="E37" s="43" t="n"/>
      <c r="F37" s="43" t="n"/>
      <c r="G37" s="43" t="n"/>
      <c r="H37" s="43" t="n"/>
    </row>
    <row r="38">
      <c r="A38" s="66" t="inlineStr">
        <is>
          <t>T</t>
        </is>
      </c>
      <c r="B38" s="49" t="inlineStr">
        <is>
          <t>Traced to downstream record</t>
        </is>
      </c>
      <c r="C38" s="67" t="n"/>
      <c r="D38" s="68" t="n"/>
      <c r="E38" s="43" t="n"/>
      <c r="F38" s="43" t="n"/>
      <c r="G38" s="43" t="n"/>
      <c r="H38" s="43" t="n"/>
    </row>
    <row r="39">
      <c r="A39" s="66" t="inlineStr">
        <is>
          <t>PBC</t>
        </is>
      </c>
      <c r="B39" s="49" t="inlineStr">
        <is>
          <t>Prepared by client</t>
        </is>
      </c>
      <c r="C39" s="67" t="n"/>
      <c r="D39" s="68" t="n"/>
      <c r="E39" s="43" t="n"/>
      <c r="F39" s="43" t="n"/>
      <c r="G39" s="43" t="n"/>
      <c r="H39" s="43" t="n"/>
    </row>
    <row r="40">
      <c r="A40" s="43" t="n"/>
      <c r="B40" s="43" t="n"/>
      <c r="C40" s="43" t="n"/>
      <c r="D40" s="43" t="n"/>
      <c r="E40" s="43" t="n"/>
      <c r="F40" s="43" t="n"/>
      <c r="G40" s="43" t="n"/>
      <c r="H40" s="43" t="n"/>
    </row>
    <row r="41" ht="27.75" customHeight="1">
      <c r="A41" s="45" t="inlineStr">
        <is>
          <t>Before sign-off complete Library Procedure 14 (rollforward, tie-out &amp; release testing).</t>
        </is>
      </c>
      <c r="B41" s="43" t="n"/>
      <c r="C41" s="43" t="n"/>
      <c r="D41" s="43" t="n"/>
      <c r="E41" s="43" t="n"/>
      <c r="F41" s="43" t="n"/>
      <c r="G41" s="43" t="n"/>
      <c r="H41" s="43" t="n"/>
    </row>
  </sheetData>
  <mergeCells count="14">
    <mergeCell ref="B33:D33"/>
    <mergeCell ref="B36:D36"/>
    <mergeCell ref="B37:D37"/>
    <mergeCell ref="B31:D31"/>
    <mergeCell ref="B4:H4"/>
    <mergeCell ref="B32:D32"/>
    <mergeCell ref="B35:D35"/>
    <mergeCell ref="A28:H28"/>
    <mergeCell ref="B6:H6"/>
    <mergeCell ref="A41:H41"/>
    <mergeCell ref="B39:D39"/>
    <mergeCell ref="B5:H5"/>
    <mergeCell ref="B38:D38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H53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42" customWidth="1" min="1" max="1"/>
    <col width="41.1" customWidth="1" min="2" max="3"/>
    <col width="30.05" customWidth="1" min="3" max="3"/>
    <col width="39.4" customWidth="1" min="4" max="5"/>
    <col width="36.85" customWidth="1" min="5" max="5"/>
    <col width="39.4" customWidth="1" min="6" max="6"/>
    <col width="32.59999999999999" customWidth="1" min="7" max="7"/>
    <col width="26" customWidth="1" min="8" max="8"/>
  </cols>
  <sheetData>
    <row r="1" ht="27" customHeight="1">
      <c r="A1" s="42" t="inlineStr">
        <is>
          <t>Recognition Framework — Five-Step, Point-in-Time / Over-Time, Principal vs Agent</t>
        </is>
      </c>
      <c r="B1" s="43" t="n"/>
      <c r="C1" s="43" t="n"/>
      <c r="D1" s="43" t="n"/>
      <c r="E1" s="43" t="n"/>
      <c r="F1" s="43" t="n"/>
      <c r="G1" s="43" t="n"/>
      <c r="H1" s="43" t="n"/>
    </row>
    <row r="2">
      <c r="A2" s="54" t="inlineStr">
        <is>
          <t>Client / Entity</t>
        </is>
      </c>
      <c r="B2" s="44" t="inlineStr">
        <is>
          <t>Vaquite Industries, Inc.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</row>
    <row r="3" ht="27" customHeight="1">
      <c r="A3" s="57" t="inlineStr">
        <is>
          <t>Performance Materiality</t>
        </is>
      </c>
      <c r="B3" s="58" t="n">
        <v>23100</v>
      </c>
      <c r="C3" s="43" t="n"/>
      <c r="D3" s="57" t="inlineStr">
        <is>
          <t>Tolerable misstatement / testing threshold</t>
        </is>
      </c>
      <c r="E3" s="58" t="n">
        <v>17400</v>
      </c>
      <c r="F3" s="43" t="n"/>
      <c r="G3" s="43" t="n"/>
      <c r="H3" s="43" t="n"/>
    </row>
    <row r="4" ht="42" customHeight="1">
      <c r="A4" s="59" t="inlineStr">
        <is>
          <t>Purpose:</t>
        </is>
      </c>
      <c r="B4" s="60" t="inlineStr">
        <is>
          <t>Conclude the ASC 606 five-step model per stream; evaluate control transfer for point-in-time streams, the over-time criteria and measure of progress for over-time streams, and principal-vs-agent for pass-through streams.</t>
        </is>
      </c>
      <c r="C4" s="61" t="n"/>
      <c r="D4" s="61" t="n"/>
      <c r="E4" s="61" t="n"/>
      <c r="F4" s="61" t="n"/>
      <c r="G4" s="61" t="n"/>
      <c r="H4" s="62" t="n"/>
    </row>
    <row r="5" ht="15" customHeight="1">
      <c r="A5" s="59" t="inlineStr">
        <is>
          <t>Scope:</t>
        </is>
      </c>
      <c r="B5" s="60" t="inlineStr">
        <is>
          <t>Each revenue stream per the &lt;.1&gt; lead; executed contracts and the entity's policy memo.</t>
        </is>
      </c>
      <c r="C5" s="61" t="n"/>
      <c r="D5" s="61" t="n"/>
      <c r="E5" s="61" t="n"/>
      <c r="F5" s="61" t="n"/>
      <c r="G5" s="61" t="n"/>
      <c r="H5" s="62" t="n"/>
    </row>
    <row r="6" ht="15" customHeight="1">
      <c r="A6" s="59" t="inlineStr">
        <is>
          <t>Assertions:</t>
        </is>
      </c>
      <c r="B6" s="60" t="inlineStr">
        <is>
          <t>Occurrence; Accuracy; Classification; Presentation &amp; Disclosure</t>
        </is>
      </c>
      <c r="C6" s="61" t="n"/>
      <c r="D6" s="61" t="n"/>
      <c r="E6" s="61" t="n"/>
      <c r="F6" s="61" t="n"/>
      <c r="G6" s="61" t="n"/>
      <c r="H6" s="62" t="n"/>
    </row>
    <row r="7" ht="15" customHeight="1">
      <c r="A7" s="65" t="n"/>
      <c r="B7" s="81" t="n"/>
      <c r="C7" s="81" t="n"/>
      <c r="D7" s="81" t="n"/>
      <c r="E7" s="81" t="n"/>
      <c r="F7" s="81" t="n"/>
      <c r="G7" s="81" t="n"/>
      <c r="H7" s="81" t="n"/>
    </row>
    <row r="8">
      <c r="A8" s="82" t="inlineStr">
        <is>
          <t>A. Five-step conclusion by stream</t>
        </is>
      </c>
      <c r="B8" s="43" t="n"/>
      <c r="C8" s="43" t="n"/>
      <c r="D8" s="43" t="n"/>
      <c r="E8" s="43" t="n"/>
      <c r="F8" s="43" t="n"/>
      <c r="G8" s="43" t="n"/>
      <c r="H8" s="43" t="n"/>
    </row>
    <row r="9" ht="31.5" customHeight="1">
      <c r="A9" s="83" t="inlineStr">
        <is>
          <t>Stream</t>
        </is>
      </c>
      <c r="B9" s="83" t="inlineStr">
        <is>
          <t>Step 1: contract identified (basis)</t>
        </is>
      </c>
      <c r="C9" s="83" t="inlineStr">
        <is>
          <t>Step 2: performance obligation(s)</t>
        </is>
      </c>
      <c r="D9" s="83" t="inlineStr">
        <is>
          <t>Step 3: transaction price (fixed / variable)</t>
        </is>
      </c>
      <c r="E9" s="83" t="inlineStr">
        <is>
          <t>Step 4: allocation (single / multiple PO)</t>
        </is>
      </c>
      <c r="F9" s="83" t="inlineStr">
        <is>
          <t>Step 5: timing (PIT / Over-time)</t>
        </is>
      </c>
      <c r="G9" s="83" t="inlineStr">
        <is>
          <t>Control point / measure of progress</t>
        </is>
      </c>
      <c r="H9" s="83" t="inlineStr">
        <is>
          <t>Conclusion</t>
        </is>
      </c>
    </row>
    <row r="10">
      <c r="A10" s="64" t="n"/>
      <c r="B10" s="64" t="n"/>
      <c r="C10" s="64" t="n"/>
      <c r="D10" s="64" t="n"/>
      <c r="E10" s="64" t="n"/>
      <c r="F10" s="64" t="n"/>
      <c r="G10" s="64" t="n"/>
      <c r="H10" s="64" t="n"/>
    </row>
    <row r="11">
      <c r="A11" s="64" t="n"/>
      <c r="B11" s="64" t="n"/>
      <c r="C11" s="64" t="n"/>
      <c r="D11" s="64" t="n"/>
      <c r="E11" s="64" t="n"/>
      <c r="F11" s="64" t="n"/>
      <c r="G11" s="64" t="n"/>
      <c r="H11" s="64" t="n"/>
    </row>
    <row r="12">
      <c r="A12" s="64" t="n"/>
      <c r="B12" s="64" t="n"/>
      <c r="C12" s="64" t="n"/>
      <c r="D12" s="64" t="n"/>
      <c r="E12" s="64" t="n"/>
      <c r="F12" s="64" t="n"/>
      <c r="G12" s="64" t="n"/>
      <c r="H12" s="64" t="n"/>
    </row>
    <row r="13">
      <c r="A13" s="64" t="n"/>
      <c r="B13" s="64" t="n"/>
      <c r="C13" s="64" t="n"/>
      <c r="D13" s="64" t="n"/>
      <c r="E13" s="64" t="n"/>
      <c r="F13" s="64" t="n"/>
      <c r="G13" s="64" t="n"/>
      <c r="H13" s="64" t="n"/>
    </row>
    <row r="14">
      <c r="A14" s="64" t="n"/>
      <c r="B14" s="64" t="n"/>
      <c r="C14" s="64" t="n"/>
      <c r="D14" s="64" t="n"/>
      <c r="E14" s="64" t="n"/>
      <c r="F14" s="64" t="n"/>
      <c r="G14" s="64" t="n"/>
      <c r="H14" s="64" t="n"/>
    </row>
    <row r="15">
      <c r="A15" s="64" t="n"/>
      <c r="B15" s="64" t="n"/>
      <c r="C15" s="64" t="n"/>
      <c r="D15" s="64" t="n"/>
      <c r="E15" s="64" t="n"/>
      <c r="F15" s="64" t="n"/>
      <c r="G15" s="64" t="n"/>
      <c r="H15" s="64" t="n"/>
    </row>
    <row r="16">
      <c r="A16" s="43" t="n"/>
      <c r="B16" s="43" t="n"/>
      <c r="C16" s="43" t="n"/>
      <c r="D16" s="43" t="n"/>
      <c r="E16" s="43" t="n"/>
      <c r="F16" s="43" t="n"/>
      <c r="G16" s="43" t="n"/>
      <c r="H16" s="43" t="n"/>
    </row>
    <row r="17" ht="27" customHeight="1">
      <c r="A17" s="82" t="inlineStr">
        <is>
          <t>B. Point-in-time — control-transfer indicators (ASC 606-10-25-30)</t>
        </is>
      </c>
      <c r="B17" s="43" t="n"/>
      <c r="C17" s="43" t="n"/>
      <c r="D17" s="43" t="n"/>
      <c r="E17" s="43" t="n"/>
      <c r="F17" s="43" t="n"/>
      <c r="G17" s="43" t="n"/>
      <c r="H17" s="43" t="n"/>
    </row>
    <row r="18" ht="24" customHeight="1">
      <c r="A18" s="83" t="inlineStr">
        <is>
          <t>Indicator</t>
        </is>
      </c>
      <c r="B18" s="83" t="inlineStr">
        <is>
          <t>Stream 1 (Y/N)</t>
        </is>
      </c>
      <c r="C18" s="83" t="inlineStr">
        <is>
          <t>Stream 2 (Y/N)</t>
        </is>
      </c>
      <c r="D18" s="83" t="inlineStr">
        <is>
          <t>Stream 3 (Y/N)</t>
        </is>
      </c>
      <c r="E18" s="83" t="inlineStr">
        <is>
          <t>Basis / evidence</t>
        </is>
      </c>
      <c r="F18" s="83" t="inlineStr">
        <is>
          <t>Comments</t>
        </is>
      </c>
      <c r="G18" s="43" t="n"/>
      <c r="H18" s="43" t="n"/>
    </row>
    <row r="19" ht="26" customHeight="1">
      <c r="A19" s="88" t="inlineStr">
        <is>
          <t>Entity has a present right to payment</t>
        </is>
      </c>
      <c r="B19" s="64" t="n"/>
      <c r="C19" s="64" t="n"/>
      <c r="D19" s="64" t="n"/>
      <c r="E19" s="64" t="n"/>
      <c r="F19" s="64" t="n"/>
      <c r="G19" s="43" t="n"/>
      <c r="H19" s="43" t="n"/>
    </row>
    <row r="20" ht="21.75" customHeight="1">
      <c r="A20" s="88" t="inlineStr">
        <is>
          <t>Customer has legal title</t>
        </is>
      </c>
      <c r="B20" s="64" t="n"/>
      <c r="C20" s="64" t="n"/>
      <c r="D20" s="64" t="n"/>
      <c r="E20" s="64" t="n"/>
      <c r="F20" s="64" t="n"/>
      <c r="G20" s="43" t="n"/>
      <c r="H20" s="43" t="n"/>
    </row>
    <row r="21" ht="21.75" customHeight="1">
      <c r="A21" s="88" t="inlineStr">
        <is>
          <t>Customer has physical possession</t>
        </is>
      </c>
      <c r="B21" s="64" t="n"/>
      <c r="C21" s="64" t="n"/>
      <c r="D21" s="64" t="n"/>
      <c r="E21" s="64" t="n"/>
      <c r="F21" s="64" t="n"/>
      <c r="G21" s="43" t="n"/>
      <c r="H21" s="43" t="n"/>
    </row>
    <row r="22" ht="27" customHeight="1">
      <c r="A22" s="88" t="inlineStr">
        <is>
          <t>Customer has significant risks &amp; rewards of ownership</t>
        </is>
      </c>
      <c r="B22" s="64" t="n"/>
      <c r="C22" s="64" t="n"/>
      <c r="D22" s="64" t="n"/>
      <c r="E22" s="64" t="n"/>
      <c r="F22" s="64" t="n"/>
      <c r="G22" s="43" t="n"/>
      <c r="H22" s="43" t="n"/>
    </row>
    <row r="23" ht="21.75" customHeight="1">
      <c r="A23" s="88" t="inlineStr">
        <is>
          <t>Customer has accepted the asset</t>
        </is>
      </c>
      <c r="B23" s="64" t="n"/>
      <c r="C23" s="64" t="n"/>
      <c r="D23" s="64" t="n"/>
      <c r="E23" s="64" t="n"/>
      <c r="F23" s="64" t="n"/>
      <c r="G23" s="43" t="n"/>
      <c r="H23" s="43" t="n"/>
    </row>
    <row r="24">
      <c r="A24" s="84" t="inlineStr">
        <is>
          <t>Conclusion — control transfers at (point):</t>
        </is>
      </c>
      <c r="B24" s="85" t="n"/>
      <c r="C24" s="85" t="n"/>
      <c r="D24" s="85" t="n"/>
      <c r="E24" s="85" t="n"/>
      <c r="F24" s="85" t="n"/>
      <c r="G24" s="43" t="n"/>
      <c r="H24" s="43" t="n"/>
    </row>
    <row r="25">
      <c r="A25" s="43" t="n"/>
      <c r="B25" s="43" t="n"/>
      <c r="C25" s="43" t="n"/>
      <c r="D25" s="43" t="n"/>
      <c r="E25" s="43" t="n"/>
      <c r="F25" s="43" t="n"/>
      <c r="G25" s="43" t="n"/>
      <c r="H25" s="43" t="n"/>
    </row>
    <row r="26" ht="27" customHeight="1">
      <c r="A26" s="82" t="inlineStr">
        <is>
          <t>C. Over-time criteria (ASC 606-10-25-27) — e.g., custom job orders</t>
        </is>
      </c>
      <c r="B26" s="43" t="n"/>
      <c r="C26" s="43" t="n"/>
      <c r="D26" s="43" t="n"/>
      <c r="E26" s="43" t="n"/>
      <c r="F26" s="43" t="n"/>
      <c r="G26" s="43" t="n"/>
      <c r="H26" s="43" t="n"/>
    </row>
    <row r="27" ht="30" customHeight="1">
      <c r="A27" s="83" t="inlineStr">
        <is>
          <t>Criterion (ANY one met → over-time)</t>
        </is>
      </c>
      <c r="B27" s="83" t="inlineStr">
        <is>
          <t>Met? (Y/N)</t>
        </is>
      </c>
      <c r="C27" s="83" t="inlineStr">
        <is>
          <t>Basis / evidence</t>
        </is>
      </c>
      <c r="D27" s="83" t="inlineStr">
        <is>
          <t>Measure of progress (input / output)</t>
        </is>
      </c>
      <c r="E27" s="83" t="inlineStr">
        <is>
          <t>Basis for measure</t>
        </is>
      </c>
      <c r="F27" s="83" t="inlineStr">
        <is>
          <t>Comments</t>
        </is>
      </c>
      <c r="G27" s="43" t="n"/>
      <c r="H27" s="43" t="n"/>
    </row>
    <row r="28" ht="36.5" customHeight="1">
      <c r="A28" s="88" t="inlineStr">
        <is>
          <t>(a) Customer simultaneously receives and consumes the benefits as the entity performs</t>
        </is>
      </c>
      <c r="B28" s="64" t="n"/>
      <c r="C28" s="64" t="n"/>
      <c r="D28" s="64" t="n"/>
      <c r="E28" s="64" t="n"/>
      <c r="F28" s="64" t="n"/>
      <c r="G28" s="43" t="n"/>
      <c r="H28" s="43" t="n"/>
    </row>
    <row r="29" ht="37" customHeight="1">
      <c r="A29" s="88" t="inlineStr">
        <is>
          <t>(b) Performance creates or enhances an asset the customer controls as it is created</t>
        </is>
      </c>
      <c r="B29" s="64" t="n"/>
      <c r="C29" s="64" t="n"/>
      <c r="D29" s="64" t="n"/>
      <c r="E29" s="64" t="n"/>
      <c r="F29" s="64" t="n"/>
      <c r="G29" s="43" t="n"/>
      <c r="H29" s="43" t="n"/>
    </row>
    <row r="30" ht="40.5" customHeight="1">
      <c r="A30" s="88" t="inlineStr">
        <is>
          <t>(c) No alternative use to the entity AND enforceable right to payment for performance completed to date</t>
        </is>
      </c>
      <c r="B30" s="64" t="n"/>
      <c r="C30" s="64" t="n"/>
      <c r="D30" s="64" t="n"/>
      <c r="E30" s="64" t="n"/>
      <c r="F30" s="64" t="n"/>
      <c r="G30" s="43" t="n"/>
      <c r="H30" s="43" t="n"/>
    </row>
    <row r="31" ht="27" customHeight="1">
      <c r="A31" s="84" t="inlineStr">
        <is>
          <t>Conclusion — over-time recognition appropriate? (Y/N) &amp; method:</t>
        </is>
      </c>
      <c r="B31" s="85" t="n"/>
      <c r="C31" s="85" t="n"/>
      <c r="D31" s="85" t="n"/>
      <c r="E31" s="85" t="n"/>
      <c r="F31" s="85" t="n"/>
      <c r="G31" s="43" t="n"/>
      <c r="H31" s="43" t="n"/>
    </row>
    <row r="32">
      <c r="A32" s="43" t="n"/>
      <c r="B32" s="43" t="n"/>
      <c r="C32" s="43" t="n"/>
      <c r="D32" s="43" t="n"/>
      <c r="E32" s="43" t="n"/>
      <c r="F32" s="43" t="n"/>
      <c r="G32" s="43" t="n"/>
      <c r="H32" s="43" t="n"/>
    </row>
    <row r="33" ht="27" customHeight="1">
      <c r="A33" s="82" t="inlineStr">
        <is>
          <t>D. Principal vs agent (ASC 606-10-55-36 to 55-40) — pass-through / wholesale streams</t>
        </is>
      </c>
      <c r="B33" s="43" t="n"/>
      <c r="C33" s="43" t="n"/>
      <c r="D33" s="43" t="n"/>
      <c r="E33" s="43" t="n"/>
      <c r="F33" s="43" t="n"/>
      <c r="G33" s="43" t="n"/>
      <c r="H33" s="43" t="n"/>
    </row>
    <row r="34" ht="36" customHeight="1">
      <c r="A34" s="83" t="inlineStr">
        <is>
          <t>Stream / arrangement</t>
        </is>
      </c>
      <c r="B34" s="83" t="inlineStr">
        <is>
          <t>Controls good / service before transfer? (Y/N)</t>
        </is>
      </c>
      <c r="C34" s="83" t="inlineStr">
        <is>
          <t>Inventory risk? (Y/N)</t>
        </is>
      </c>
      <c r="D34" s="83" t="inlineStr">
        <is>
          <t>Pricing discretion? (Y/N)</t>
        </is>
      </c>
      <c r="E34" s="83" t="inlineStr">
        <is>
          <t>Primary responsibility to fulfil? (Y/N)</t>
        </is>
      </c>
      <c r="F34" s="83" t="inlineStr">
        <is>
          <t>Conclusion (Principal - gross / Agent - net)</t>
        </is>
      </c>
      <c r="G34" s="83" t="inlineStr">
        <is>
          <t>Recorded presentation correct? (Y/N)</t>
        </is>
      </c>
      <c r="H34" s="83" t="inlineStr">
        <is>
          <t>Comments</t>
        </is>
      </c>
    </row>
    <row r="35">
      <c r="A35" s="64" t="n"/>
      <c r="B35" s="64" t="n"/>
      <c r="C35" s="64" t="n"/>
      <c r="D35" s="64" t="n"/>
      <c r="E35" s="64" t="n"/>
      <c r="F35" s="64" t="n"/>
      <c r="G35" s="64" t="n"/>
      <c r="H35" s="64" t="n"/>
    </row>
    <row r="36">
      <c r="A36" s="64" t="n"/>
      <c r="B36" s="64" t="n"/>
      <c r="C36" s="64" t="n"/>
      <c r="D36" s="64" t="n"/>
      <c r="E36" s="64" t="n"/>
      <c r="F36" s="64" t="n"/>
      <c r="G36" s="64" t="n"/>
      <c r="H36" s="64" t="n"/>
    </row>
    <row r="37">
      <c r="A37" s="64" t="n"/>
      <c r="B37" s="64" t="n"/>
      <c r="C37" s="64" t="n"/>
      <c r="D37" s="64" t="n"/>
      <c r="E37" s="64" t="n"/>
      <c r="F37" s="64" t="n"/>
      <c r="G37" s="64" t="n"/>
      <c r="H37" s="64" t="n"/>
    </row>
    <row r="38">
      <c r="A38" s="64" t="n"/>
      <c r="B38" s="64" t="n"/>
      <c r="C38" s="64" t="n"/>
      <c r="D38" s="64" t="n"/>
      <c r="E38" s="64" t="n"/>
      <c r="F38" s="64" t="n"/>
      <c r="G38" s="64" t="n"/>
      <c r="H38" s="64" t="n"/>
    </row>
    <row r="39">
      <c r="A39" s="43" t="n"/>
      <c r="B39" s="43" t="n"/>
      <c r="C39" s="43" t="n"/>
      <c r="D39" s="43" t="n"/>
      <c r="E39" s="43" t="n"/>
      <c r="F39" s="43" t="n"/>
      <c r="G39" s="43" t="n"/>
      <c r="H39" s="43" t="n"/>
    </row>
    <row r="40" ht="27.75" customHeight="1">
      <c r="A40" s="45" t="inlineStr">
        <is>
          <t>Point-in-time streams: control indicators support the recognition point (typically shipping terms). Over-time streams: any 25-27 criterion met requires over-time recognition with a faithful measure of progress — for custom job orders test criterion (c) including the enforceable right to payment. Principal concludes GROSS; agent concludes NET (fee / commission only).</t>
        </is>
      </c>
      <c r="B40" s="43" t="n"/>
      <c r="C40" s="43" t="n"/>
      <c r="D40" s="43" t="n"/>
      <c r="E40" s="43" t="n"/>
      <c r="F40" s="43" t="n"/>
      <c r="G40" s="43" t="n"/>
      <c r="H40" s="43" t="n"/>
    </row>
    <row r="41">
      <c r="A41" s="43" t="n"/>
      <c r="B41" s="43" t="n"/>
      <c r="C41" s="43" t="n"/>
      <c r="D41" s="43" t="n"/>
      <c r="E41" s="43" t="n"/>
      <c r="F41" s="43" t="n"/>
      <c r="G41" s="43" t="n"/>
      <c r="H41" s="43" t="n"/>
    </row>
    <row r="42">
      <c r="A42" s="65" t="inlineStr">
        <is>
          <t>TM Legends</t>
        </is>
      </c>
      <c r="B42" s="43" t="n"/>
      <c r="C42" s="43" t="n"/>
      <c r="D42" s="43" t="n"/>
      <c r="E42" s="43" t="n"/>
      <c r="F42" s="43" t="n"/>
      <c r="G42" s="43" t="n"/>
      <c r="H42" s="43" t="n"/>
    </row>
    <row r="43">
      <c r="A43" s="66" t="inlineStr">
        <is>
          <t>TB</t>
        </is>
      </c>
      <c r="B43" s="49" t="inlineStr">
        <is>
          <t>Agreed to trial balance</t>
        </is>
      </c>
      <c r="C43" s="67" t="n"/>
      <c r="D43" s="68" t="n"/>
      <c r="E43" s="43" t="n"/>
      <c r="F43" s="43" t="n"/>
      <c r="G43" s="43" t="n"/>
      <c r="H43" s="43" t="n"/>
    </row>
    <row r="44">
      <c r="A44" s="66" t="inlineStr">
        <is>
          <t>GL</t>
        </is>
      </c>
      <c r="B44" s="49" t="inlineStr">
        <is>
          <t>Agreed to general ledger</t>
        </is>
      </c>
      <c r="C44" s="67" t="n"/>
      <c r="D44" s="68" t="n"/>
      <c r="E44" s="43" t="n"/>
      <c r="F44" s="43" t="n"/>
      <c r="G44" s="43" t="n"/>
      <c r="H44" s="43" t="n"/>
    </row>
    <row r="45">
      <c r="A45" s="66" t="inlineStr">
        <is>
          <t>CF</t>
        </is>
      </c>
      <c r="B45" s="49" t="inlineStr">
        <is>
          <t>Confirmed with third party</t>
        </is>
      </c>
      <c r="C45" s="67" t="n"/>
      <c r="D45" s="68" t="n"/>
      <c r="E45" s="43" t="n"/>
      <c r="F45" s="43" t="n"/>
      <c r="G45" s="43" t="n"/>
      <c r="H45" s="43" t="n"/>
    </row>
    <row r="46">
      <c r="A46" s="66" t="inlineStr">
        <is>
          <t>V</t>
        </is>
      </c>
      <c r="B46" s="49" t="inlineStr">
        <is>
          <t>Vouched to source document</t>
        </is>
      </c>
      <c r="C46" s="67" t="n"/>
      <c r="D46" s="68" t="n"/>
      <c r="E46" s="43" t="n"/>
      <c r="F46" s="43" t="n"/>
      <c r="G46" s="43" t="n"/>
      <c r="H46" s="43" t="n"/>
    </row>
    <row r="47">
      <c r="A47" s="66" t="inlineStr">
        <is>
          <t>SR</t>
        </is>
      </c>
      <c r="B47" s="49" t="inlineStr">
        <is>
          <t>Agreed to subsequent bank-cleared receipt</t>
        </is>
      </c>
      <c r="C47" s="67" t="n"/>
      <c r="D47" s="68" t="n"/>
      <c r="E47" s="43" t="n"/>
      <c r="F47" s="43" t="n"/>
      <c r="G47" s="43" t="n"/>
      <c r="H47" s="43" t="n"/>
    </row>
    <row r="48">
      <c r="A48" s="66" t="inlineStr">
        <is>
          <t>R</t>
        </is>
      </c>
      <c r="B48" s="49" t="inlineStr">
        <is>
          <t>Recalculated independently</t>
        </is>
      </c>
      <c r="C48" s="67" t="n"/>
      <c r="D48" s="68" t="n"/>
      <c r="E48" s="43" t="n"/>
      <c r="F48" s="43" t="n"/>
      <c r="G48" s="43" t="n"/>
      <c r="H48" s="43" t="n"/>
    </row>
    <row r="49">
      <c r="A49" s="66" t="inlineStr">
        <is>
          <t>F</t>
        </is>
      </c>
      <c r="B49" s="49" t="inlineStr">
        <is>
          <t>Footed / cross-cast</t>
        </is>
      </c>
      <c r="C49" s="67" t="n"/>
      <c r="D49" s="68" t="n"/>
      <c r="E49" s="43" t="n"/>
      <c r="F49" s="43" t="n"/>
      <c r="G49" s="43" t="n"/>
      <c r="H49" s="43" t="n"/>
    </row>
    <row r="50">
      <c r="A50" s="66" t="inlineStr">
        <is>
          <t>T</t>
        </is>
      </c>
      <c r="B50" s="49" t="inlineStr">
        <is>
          <t>Traced to downstream record</t>
        </is>
      </c>
      <c r="C50" s="67" t="n"/>
      <c r="D50" s="68" t="n"/>
      <c r="E50" s="43" t="n"/>
      <c r="F50" s="43" t="n"/>
      <c r="G50" s="43" t="n"/>
      <c r="H50" s="43" t="n"/>
    </row>
    <row r="51">
      <c r="A51" s="66" t="inlineStr">
        <is>
          <t>PBC</t>
        </is>
      </c>
      <c r="B51" s="49" t="inlineStr">
        <is>
          <t>Prepared by client</t>
        </is>
      </c>
      <c r="C51" s="67" t="n"/>
      <c r="D51" s="68" t="n"/>
      <c r="E51" s="43" t="n"/>
      <c r="F51" s="43" t="n"/>
      <c r="G51" s="43" t="n"/>
      <c r="H51" s="43" t="n"/>
    </row>
    <row r="52">
      <c r="A52" s="43" t="n"/>
      <c r="B52" s="43" t="n"/>
      <c r="C52" s="43" t="n"/>
      <c r="D52" s="43" t="n"/>
      <c r="E52" s="43" t="n"/>
      <c r="F52" s="43" t="n"/>
      <c r="G52" s="43" t="n"/>
      <c r="H52" s="43" t="n"/>
    </row>
    <row r="53" ht="27.75" customHeight="1">
      <c r="A53" s="45" t="inlineStr">
        <is>
          <t>Before sign-off complete Library Procedures 15-18 (five-step; point-in-time; over-time; principal vs agent).</t>
        </is>
      </c>
      <c r="B53" s="43" t="n"/>
      <c r="C53" s="43" t="n"/>
      <c r="D53" s="43" t="n"/>
      <c r="E53" s="43" t="n"/>
      <c r="F53" s="43" t="n"/>
      <c r="G53" s="43" t="n"/>
      <c r="H53" s="43" t="n"/>
    </row>
  </sheetData>
  <mergeCells count="14">
    <mergeCell ref="A53:H53"/>
    <mergeCell ref="B45:D45"/>
    <mergeCell ref="B46:D46"/>
    <mergeCell ref="B4:H4"/>
    <mergeCell ref="B49:D49"/>
    <mergeCell ref="B50:D50"/>
    <mergeCell ref="B6:H6"/>
    <mergeCell ref="B44:D44"/>
    <mergeCell ref="B43:D43"/>
    <mergeCell ref="B5:H5"/>
    <mergeCell ref="B51:D51"/>
    <mergeCell ref="B47:D47"/>
    <mergeCell ref="B48:D48"/>
    <mergeCell ref="A40:H40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H37"/>
  <sheetViews>
    <sheetView showGridLines="0" zoomScale="90" zoomScaleNormal="100" workbookViewId="0">
      <pane ySplit="7" topLeftCell="A8" activePane="bottomLeft" state="frozen"/>
      <selection pane="bottomLeft" activeCell="A21" sqref="A21"/>
    </sheetView>
  </sheetViews>
  <sheetFormatPr baseColWidth="8" defaultColWidth="8.6328125" defaultRowHeight="14.5"/>
  <cols>
    <col width="42" customWidth="1" min="1" max="1"/>
    <col width="22.4" customWidth="1" min="2" max="3"/>
    <col width="15.6" customWidth="1" min="3" max="3"/>
    <col width="37.7" customWidth="1" min="4" max="4"/>
    <col width="34" customWidth="1" min="5" max="5"/>
    <col width="13" customWidth="1" min="6" max="6"/>
    <col width="13" customWidth="1" min="7" max="7"/>
    <col width="13" customWidth="1" min="8" max="8"/>
  </cols>
  <sheetData>
    <row r="1" ht="17.5" customHeight="1">
      <c r="A1" s="42" t="inlineStr">
        <is>
          <t>Analytics &amp; Disclosures</t>
        </is>
      </c>
      <c r="B1" s="43" t="n"/>
      <c r="C1" s="43" t="n"/>
      <c r="D1" s="43" t="n"/>
      <c r="E1" s="43" t="n"/>
      <c r="F1" s="43" t="n"/>
      <c r="G1" s="43" t="n"/>
      <c r="H1" s="43" t="n"/>
    </row>
    <row r="2" ht="27" customHeight="1">
      <c r="A2" s="54" t="inlineStr">
        <is>
          <t>Client / Entity</t>
        </is>
      </c>
      <c r="B2" s="44" t="inlineStr">
        <is>
          <t>Vaquite Industries, Inc.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</row>
    <row r="3" ht="27" customHeight="1">
      <c r="A3" s="57" t="inlineStr">
        <is>
          <t>Performance Materiality</t>
        </is>
      </c>
      <c r="B3" s="58" t="n">
        <v>23100</v>
      </c>
      <c r="C3" s="43" t="n"/>
      <c r="D3" s="57" t="inlineStr">
        <is>
          <t>Tolerable misstatement / testing threshold</t>
        </is>
      </c>
      <c r="E3" s="58" t="n">
        <v>17400</v>
      </c>
      <c r="F3" s="43" t="n"/>
      <c r="G3" s="43" t="n"/>
      <c r="H3" s="43" t="n"/>
    </row>
    <row r="4" ht="15" customHeight="1">
      <c r="A4" s="59" t="inlineStr">
        <is>
          <t>Purpose:</t>
        </is>
      </c>
      <c r="B4" s="60" t="inlineStr">
        <is>
          <t>Perform revenue analytics by stream and evaluate ASC 606 presentation and disclosure matters.</t>
        </is>
      </c>
      <c r="C4" s="61" t="n"/>
      <c r="D4" s="61" t="n"/>
      <c r="E4" s="62" t="n"/>
      <c r="F4" s="43" t="n"/>
      <c r="G4" s="43" t="n"/>
      <c r="H4" s="43" t="n"/>
    </row>
    <row r="5" ht="27.75" customHeight="1">
      <c r="A5" s="59" t="inlineStr">
        <is>
          <t>Scope:</t>
        </is>
      </c>
      <c r="B5" s="60" t="inlineStr">
        <is>
          <t>Lead-sheet balances, margins by stream, monthly trend data; disaggregation, contract-balance and judgment disclosures.</t>
        </is>
      </c>
      <c r="C5" s="61" t="n"/>
      <c r="D5" s="61" t="n"/>
      <c r="E5" s="62" t="n"/>
      <c r="F5" s="43" t="n"/>
      <c r="G5" s="43" t="n"/>
      <c r="H5" s="43" t="n"/>
    </row>
    <row r="6" ht="15" customHeight="1">
      <c r="A6" s="59" t="inlineStr">
        <is>
          <t>Assertions:</t>
        </is>
      </c>
      <c r="B6" s="60" t="inlineStr">
        <is>
          <t>Completeness; Accuracy; Presentation &amp; Disclosure</t>
        </is>
      </c>
      <c r="C6" s="61" t="n"/>
      <c r="D6" s="61" t="n"/>
      <c r="E6" s="62" t="n"/>
      <c r="F6" s="43" t="n"/>
      <c r="G6" s="43" t="n"/>
      <c r="H6" s="43" t="n"/>
    </row>
    <row r="7">
      <c r="A7" s="89" t="inlineStr">
        <is>
          <t>A. Analytics</t>
        </is>
      </c>
      <c r="B7" s="43" t="n"/>
      <c r="C7" s="43" t="n"/>
      <c r="D7" s="43" t="n"/>
      <c r="E7" s="43" t="n"/>
      <c r="F7" s="43" t="n"/>
      <c r="G7" s="43" t="n"/>
      <c r="H7" s="43" t="n"/>
    </row>
    <row r="8" ht="18" customHeight="1">
      <c r="A8" s="83" t="inlineStr">
        <is>
          <t>Metric</t>
        </is>
      </c>
      <c r="B8" s="83" t="inlineStr">
        <is>
          <t>CY</t>
        </is>
      </c>
      <c r="C8" s="83" t="inlineStr">
        <is>
          <t>PY</t>
        </is>
      </c>
      <c r="D8" s="83" t="inlineStr">
        <is>
          <t>Change</t>
        </is>
      </c>
      <c r="E8" s="83" t="inlineStr">
        <is>
          <t>Note</t>
        </is>
      </c>
      <c r="F8" s="43" t="n"/>
      <c r="G8" s="43" t="n"/>
      <c r="H8" s="43" t="n"/>
    </row>
    <row r="9">
      <c r="A9" s="64" t="inlineStr">
        <is>
          <t>Net revenue</t>
        </is>
      </c>
      <c r="B9" s="64" t="n"/>
      <c r="C9" s="64" t="n"/>
      <c r="D9" s="49">
        <f>IF(OR(B9="",C9=""),"",B9-C9)</f>
        <v/>
      </c>
      <c r="E9" s="64" t="n"/>
      <c r="F9" s="43" t="n"/>
      <c r="G9" s="43" t="n"/>
      <c r="H9" s="43" t="n"/>
    </row>
    <row r="10">
      <c r="A10" s="64" t="inlineStr">
        <is>
          <t>Gross margin %</t>
        </is>
      </c>
      <c r="B10" s="64" t="n"/>
      <c r="C10" s="64" t="n"/>
      <c r="D10" s="49">
        <f>IF(OR(B10="",C10=""),"",B10-C10)</f>
        <v/>
      </c>
      <c r="E10" s="64" t="n"/>
      <c r="F10" s="43" t="n"/>
      <c r="G10" s="43" t="n"/>
      <c r="H10" s="43" t="n"/>
    </row>
    <row r="11">
      <c r="A11" s="49" t="inlineStr">
        <is>
          <t>Revenue per month (average) — spike review</t>
        </is>
      </c>
      <c r="B11" s="64" t="n"/>
      <c r="C11" s="64" t="n"/>
      <c r="D11" s="49">
        <f>IF(OR(B11="",C11=""),"",B11-C11)</f>
        <v/>
      </c>
      <c r="E11" s="64" t="n"/>
      <c r="F11" s="43" t="n"/>
      <c r="G11" s="43" t="n"/>
      <c r="H11" s="43" t="n"/>
    </row>
    <row r="12">
      <c r="A12" s="49" t="inlineStr">
        <is>
          <t>Contra-revenue as % of gross</t>
        </is>
      </c>
      <c r="B12" s="64" t="n"/>
      <c r="C12" s="64" t="n"/>
      <c r="D12" s="49">
        <f>IF(OR(B12="",C12=""),"",B12-C12)</f>
        <v/>
      </c>
      <c r="E12" s="64" t="n"/>
      <c r="F12" s="43" t="n"/>
      <c r="G12" s="43" t="n"/>
      <c r="H12" s="43" t="n"/>
    </row>
    <row r="13">
      <c r="A13" s="49" t="inlineStr">
        <is>
          <t>Top-5 customer concentration %</t>
        </is>
      </c>
      <c r="B13" s="64" t="n"/>
      <c r="C13" s="64" t="n"/>
      <c r="D13" s="49">
        <f>IF(OR(B13="",C13=""),"",B13-C13)</f>
        <v/>
      </c>
      <c r="E13" s="64" t="n"/>
      <c r="F13" s="43" t="n"/>
      <c r="G13" s="43" t="n"/>
      <c r="H13" s="43" t="n"/>
    </row>
    <row r="14">
      <c r="A14" s="49" t="inlineStr">
        <is>
          <t>DSO (cross-reference AR)</t>
        </is>
      </c>
      <c r="B14" s="64" t="n"/>
      <c r="C14" s="64" t="n"/>
      <c r="D14" s="49">
        <f>IF(OR(B14="",C14=""),"",B14-C14)</f>
        <v/>
      </c>
      <c r="E14" s="64" t="n"/>
      <c r="F14" s="43" t="n"/>
      <c r="G14" s="43" t="n"/>
      <c r="H14" s="43" t="n"/>
    </row>
    <row r="15">
      <c r="A15" s="43" t="n"/>
      <c r="B15" s="43" t="n"/>
      <c r="C15" s="43" t="n"/>
      <c r="D15" s="43" t="n"/>
      <c r="E15" s="43" t="n"/>
      <c r="F15" s="43" t="n"/>
      <c r="G15" s="43" t="n"/>
      <c r="H15" s="43" t="n"/>
    </row>
    <row r="16">
      <c r="A16" s="82" t="inlineStr">
        <is>
          <t>B. Presentation &amp; disclosure matters</t>
        </is>
      </c>
      <c r="B16" s="43" t="n"/>
      <c r="C16" s="43" t="n"/>
      <c r="D16" s="43" t="n"/>
      <c r="E16" s="43" t="n"/>
      <c r="F16" s="43" t="n"/>
      <c r="G16" s="43" t="n"/>
      <c r="H16" s="43" t="n"/>
    </row>
    <row r="17" ht="18" customHeight="1">
      <c r="A17" s="83" t="inlineStr">
        <is>
          <t>Area</t>
        </is>
      </c>
      <c r="B17" s="83" t="inlineStr">
        <is>
          <t>Relevant? (Y/N)</t>
        </is>
      </c>
      <c r="C17" s="83" t="inlineStr">
        <is>
          <t>Support / source</t>
        </is>
      </c>
      <c r="D17" s="83" t="inlineStr">
        <is>
          <t>Conclusion</t>
        </is>
      </c>
      <c r="E17" s="83" t="inlineStr">
        <is>
          <t>Comments</t>
        </is>
      </c>
      <c r="F17" s="43" t="n"/>
      <c r="G17" s="43" t="n"/>
      <c r="H17" s="43" t="n"/>
    </row>
    <row r="18">
      <c r="A18" s="49" t="inlineStr">
        <is>
          <t>Disaggregation of revenue (ASC 606-10-50-5)</t>
        </is>
      </c>
      <c r="B18" s="64" t="n"/>
      <c r="C18" s="64" t="n"/>
      <c r="D18" s="64" t="n"/>
      <c r="E18" s="64" t="n"/>
      <c r="F18" s="43" t="n"/>
      <c r="G18" s="43" t="n"/>
      <c r="H18" s="43" t="n"/>
    </row>
    <row r="19" ht="27" customHeight="1">
      <c r="A19" s="49" t="inlineStr">
        <is>
          <t>Contract balances — opening / closing &amp; revenue from opening liability (50-8)</t>
        </is>
      </c>
      <c r="B19" s="64" t="n"/>
      <c r="C19" s="64" t="n"/>
      <c r="D19" s="64" t="n"/>
      <c r="E19" s="64" t="n"/>
      <c r="F19" s="43" t="n"/>
      <c r="G19" s="43" t="n"/>
      <c r="H19" s="43" t="n"/>
    </row>
    <row r="20">
      <c r="A20" s="49" t="inlineStr">
        <is>
          <t>Remaining performance obligations (50-13)</t>
        </is>
      </c>
      <c r="B20" s="64" t="n"/>
      <c r="C20" s="64" t="n"/>
      <c r="D20" s="64" t="n"/>
      <c r="E20" s="64" t="n"/>
      <c r="F20" s="43" t="n"/>
      <c r="G20" s="43" t="n"/>
      <c r="H20" s="43" t="n"/>
    </row>
    <row r="21" ht="27" customHeight="1">
      <c r="A21" s="49" t="inlineStr">
        <is>
          <t>Significant judgments — timing &amp; transaction price (50-17)</t>
        </is>
      </c>
      <c r="B21" s="64" t="n"/>
      <c r="C21" s="64" t="n"/>
      <c r="D21" s="64" t="n"/>
      <c r="E21" s="64" t="n"/>
      <c r="F21" s="43" t="n"/>
      <c r="G21" s="43" t="n"/>
      <c r="H21" s="43" t="n"/>
    </row>
    <row r="22">
      <c r="A22" s="49" t="inlineStr">
        <is>
          <t>Revenue-recognition policy disclosure</t>
        </is>
      </c>
      <c r="B22" s="64" t="n"/>
      <c r="C22" s="64" t="n"/>
      <c r="D22" s="64" t="n"/>
      <c r="E22" s="64" t="n"/>
      <c r="F22" s="43" t="n"/>
      <c r="G22" s="43" t="n"/>
      <c r="H22" s="43" t="n"/>
    </row>
    <row r="23" ht="27" customHeight="1">
      <c r="A23" s="49" t="inlineStr">
        <is>
          <t>Principal vs agent presentation (gross / net)</t>
        </is>
      </c>
      <c r="B23" s="64" t="n"/>
      <c r="C23" s="64" t="n"/>
      <c r="D23" s="64" t="n"/>
      <c r="E23" s="64" t="n"/>
      <c r="F23" s="43" t="n"/>
      <c r="G23" s="43" t="n"/>
      <c r="H23" s="43" t="n"/>
    </row>
    <row r="24" ht="27" customHeight="1">
      <c r="A24" s="49" t="inlineStr">
        <is>
          <t>Customer concentration / related-party revenue</t>
        </is>
      </c>
      <c r="B24" s="64" t="n"/>
      <c r="C24" s="64" t="n"/>
      <c r="D24" s="64" t="n"/>
      <c r="E24" s="64" t="n"/>
      <c r="F24" s="43" t="n"/>
      <c r="G24" s="43" t="n"/>
      <c r="H24" s="43" t="n"/>
    </row>
    <row r="25">
      <c r="A25" s="43" t="n"/>
      <c r="B25" s="43" t="n"/>
      <c r="C25" s="43" t="n"/>
      <c r="D25" s="43" t="n"/>
      <c r="E25" s="43" t="n"/>
      <c r="F25" s="43" t="n"/>
      <c r="G25" s="43" t="n"/>
      <c r="H25" s="43" t="n"/>
    </row>
    <row r="26">
      <c r="A26" s="65" t="inlineStr">
        <is>
          <t>TM Legends</t>
        </is>
      </c>
      <c r="B26" s="43" t="n"/>
      <c r="C26" s="43" t="n"/>
      <c r="D26" s="43" t="n"/>
      <c r="E26" s="43" t="n"/>
      <c r="F26" s="43" t="n"/>
      <c r="G26" s="43" t="n"/>
      <c r="H26" s="43" t="n"/>
    </row>
    <row r="27">
      <c r="A27" s="66" t="inlineStr">
        <is>
          <t>TB</t>
        </is>
      </c>
      <c r="B27" s="49" t="inlineStr">
        <is>
          <t>Agreed to trial balance</t>
        </is>
      </c>
      <c r="C27" s="67" t="n"/>
      <c r="D27" s="68" t="n"/>
      <c r="E27" s="43" t="n"/>
      <c r="F27" s="43" t="n"/>
      <c r="G27" s="43" t="n"/>
      <c r="H27" s="43" t="n"/>
    </row>
    <row r="28">
      <c r="A28" s="66" t="inlineStr">
        <is>
          <t>GL</t>
        </is>
      </c>
      <c r="B28" s="49" t="inlineStr">
        <is>
          <t>Agreed to general ledger</t>
        </is>
      </c>
      <c r="C28" s="67" t="n"/>
      <c r="D28" s="68" t="n"/>
      <c r="E28" s="43" t="n"/>
      <c r="F28" s="43" t="n"/>
      <c r="G28" s="43" t="n"/>
      <c r="H28" s="43" t="n"/>
    </row>
    <row r="29">
      <c r="A29" s="66" t="inlineStr">
        <is>
          <t>CF</t>
        </is>
      </c>
      <c r="B29" s="49" t="inlineStr">
        <is>
          <t>Confirmed with third party</t>
        </is>
      </c>
      <c r="C29" s="67" t="n"/>
      <c r="D29" s="68" t="n"/>
      <c r="E29" s="43" t="n"/>
      <c r="F29" s="43" t="n"/>
      <c r="G29" s="43" t="n"/>
      <c r="H29" s="43" t="n"/>
    </row>
    <row r="30">
      <c r="A30" s="66" t="inlineStr">
        <is>
          <t>V</t>
        </is>
      </c>
      <c r="B30" s="49" t="inlineStr">
        <is>
          <t>Vouched to source document</t>
        </is>
      </c>
      <c r="C30" s="67" t="n"/>
      <c r="D30" s="68" t="n"/>
      <c r="E30" s="43" t="n"/>
      <c r="F30" s="43" t="n"/>
      <c r="G30" s="43" t="n"/>
      <c r="H30" s="43" t="n"/>
    </row>
    <row r="31">
      <c r="A31" s="66" t="inlineStr">
        <is>
          <t>SR</t>
        </is>
      </c>
      <c r="B31" s="49" t="inlineStr">
        <is>
          <t>Agreed to subsequent bank-cleared receipt</t>
        </is>
      </c>
      <c r="C31" s="67" t="n"/>
      <c r="D31" s="68" t="n"/>
      <c r="E31" s="43" t="n"/>
      <c r="F31" s="43" t="n"/>
      <c r="G31" s="43" t="n"/>
      <c r="H31" s="43" t="n"/>
    </row>
    <row r="32">
      <c r="A32" s="66" t="inlineStr">
        <is>
          <t>R</t>
        </is>
      </c>
      <c r="B32" s="49" t="inlineStr">
        <is>
          <t>Recalculated independently</t>
        </is>
      </c>
      <c r="C32" s="67" t="n"/>
      <c r="D32" s="68" t="n"/>
      <c r="E32" s="43" t="n"/>
      <c r="F32" s="43" t="n"/>
      <c r="G32" s="43" t="n"/>
      <c r="H32" s="43" t="n"/>
    </row>
    <row r="33">
      <c r="A33" s="66" t="inlineStr">
        <is>
          <t>F</t>
        </is>
      </c>
      <c r="B33" s="49" t="inlineStr">
        <is>
          <t>Footed / cross-cast</t>
        </is>
      </c>
      <c r="C33" s="67" t="n"/>
      <c r="D33" s="68" t="n"/>
      <c r="E33" s="43" t="n"/>
      <c r="F33" s="43" t="n"/>
      <c r="G33" s="43" t="n"/>
      <c r="H33" s="43" t="n"/>
    </row>
    <row r="34">
      <c r="A34" s="66" t="inlineStr">
        <is>
          <t>T</t>
        </is>
      </c>
      <c r="B34" s="49" t="inlineStr">
        <is>
          <t>Traced to downstream record</t>
        </is>
      </c>
      <c r="C34" s="67" t="n"/>
      <c r="D34" s="68" t="n"/>
      <c r="E34" s="43" t="n"/>
      <c r="F34" s="43" t="n"/>
      <c r="G34" s="43" t="n"/>
      <c r="H34" s="43" t="n"/>
    </row>
    <row r="35">
      <c r="A35" s="66" t="inlineStr">
        <is>
          <t>PBC</t>
        </is>
      </c>
      <c r="B35" s="49" t="inlineStr">
        <is>
          <t>Prepared by client</t>
        </is>
      </c>
      <c r="C35" s="67" t="n"/>
      <c r="D35" s="68" t="n"/>
      <c r="E35" s="43" t="n"/>
      <c r="F35" s="43" t="n"/>
      <c r="G35" s="43" t="n"/>
      <c r="H35" s="43" t="n"/>
    </row>
    <row r="36">
      <c r="A36" s="43" t="n"/>
      <c r="B36" s="43" t="n"/>
      <c r="C36" s="43" t="n"/>
      <c r="D36" s="43" t="n"/>
      <c r="E36" s="43" t="n"/>
      <c r="F36" s="43" t="n"/>
      <c r="G36" s="43" t="n"/>
      <c r="H36" s="43" t="n"/>
    </row>
    <row r="37" ht="27.75" customHeight="1">
      <c r="A37" s="45" t="inlineStr">
        <is>
          <t>Before sign-off complete Library Procedures 19-20 (analytics; presentation &amp; disclosures).</t>
        </is>
      </c>
      <c r="B37" s="43" t="n"/>
      <c r="C37" s="43" t="n"/>
      <c r="D37" s="43" t="n"/>
      <c r="E37" s="43" t="n"/>
      <c r="F37" s="43" t="n"/>
      <c r="G37" s="43" t="n"/>
      <c r="H37" s="43" t="n"/>
    </row>
  </sheetData>
  <mergeCells count="13">
    <mergeCell ref="B33:D33"/>
    <mergeCell ref="B28:D28"/>
    <mergeCell ref="B4:E4"/>
    <mergeCell ref="B31:D31"/>
    <mergeCell ref="B35:D35"/>
    <mergeCell ref="B32:D32"/>
    <mergeCell ref="B6:E6"/>
    <mergeCell ref="B27:D27"/>
    <mergeCell ref="A37:E37"/>
    <mergeCell ref="B30:D30"/>
    <mergeCell ref="B5:E5"/>
    <mergeCell ref="B29:D29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90" t="inlineStr">
        <is>
          <t>AUTHORITATIVE PLANNING CONTEXT</t>
        </is>
      </c>
      <c r="B1" s="43" t="n"/>
    </row>
    <row r="2">
      <c r="A2" s="43" t="inlineStr">
        <is>
          <t>Field</t>
        </is>
      </c>
      <c r="B2" s="43" t="inlineStr">
        <is>
          <t>Value</t>
        </is>
      </c>
    </row>
    <row r="3">
      <c r="A3" s="43" t="inlineStr">
        <is>
          <t>Entity Name</t>
        </is>
      </c>
      <c r="B3" s="90" t="inlineStr">
        <is>
          <t>Vaquite Industries, Inc.</t>
        </is>
      </c>
    </row>
    <row r="4">
      <c r="A4" s="90" t="inlineStr">
        <is>
          <t>Financial Statement Date</t>
        </is>
      </c>
      <c r="B4" s="91" t="n">
        <v>46022</v>
      </c>
    </row>
    <row r="5">
      <c r="A5" s="90" t="inlineStr">
        <is>
          <t>Reporting Currency</t>
        </is>
      </c>
      <c r="B5" s="43" t="inlineStr">
        <is>
          <t>USD</t>
        </is>
      </c>
    </row>
    <row r="6">
      <c r="A6" s="90" t="inlineStr">
        <is>
          <t>Overall Materiality</t>
        </is>
      </c>
      <c r="B6" s="92" t="n">
        <v>30700</v>
      </c>
    </row>
    <row r="7">
      <c r="A7" s="90" t="inlineStr">
        <is>
          <t>Performance Materiality</t>
        </is>
      </c>
      <c r="B7" s="92" t="n">
        <v>23100</v>
      </c>
    </row>
    <row r="8">
      <c r="A8" s="90" t="inlineStr">
        <is>
          <t>Tolerable Misstatement</t>
        </is>
      </c>
      <c r="B8" s="92" t="n">
        <v>17400</v>
      </c>
    </row>
    <row r="9">
      <c r="A9" s="90" t="inlineStr">
        <is>
          <t>Individually Significant Threshold</t>
        </is>
      </c>
      <c r="B9" s="92" t="n">
        <v>11600</v>
      </c>
    </row>
    <row r="10">
      <c r="A10" s="43" t="inlineStr">
        <is>
          <t>Posting Threshold</t>
        </is>
      </c>
      <c r="B10" s="92" t="n">
        <v>1000</v>
      </c>
    </row>
    <row r="11">
      <c r="A11" s="90" t="inlineStr">
        <is>
          <t>Clearly Trivial Threshold</t>
        </is>
      </c>
      <c r="B11" s="92" t="n">
        <v>1000</v>
      </c>
    </row>
    <row r="12">
      <c r="A12" s="90" t="inlineStr">
        <is>
          <t>Analytical Precision</t>
        </is>
      </c>
      <c r="B12" s="92" t="n">
        <v>17400</v>
      </c>
    </row>
    <row r="13">
      <c r="A13" s="43" t="n"/>
      <c r="B13" s="43" t="n"/>
    </row>
    <row r="14">
      <c r="A14" s="90" t="inlineStr">
        <is>
          <t>Bound planning records</t>
        </is>
      </c>
      <c r="B14" s="43" t="inlineStr">
        <is>
          <t>Canonical IDs</t>
        </is>
      </c>
    </row>
    <row r="15">
      <c r="A15" s="43" t="inlineStr">
        <is>
          <t>Sampling plan ID</t>
        </is>
      </c>
      <c r="B15" s="43" t="inlineStr">
        <is>
          <t>SAMPLE-REVENUE</t>
        </is>
      </c>
    </row>
    <row r="16" ht="120" customHeight="1">
      <c r="A16" s="43" t="inlineStr">
        <is>
          <t>Selection IDs</t>
        </is>
      </c>
      <c r="B16" s="90" t="inlineStr">
        <is>
          <t>PROC-REV-OCCURRENCE:INV-58092; PROC-REV-OCCURRENCE:INV-58135; PROC-REV-OCCURRENCE:INV-58270; PROC-REV-OCCURRENCE:INV-58248; PROC-REV-OCCURRENCE:INV-58134; PROC-REV-OCCURRENCE:INV-58417; PROC-REV-OCCURRENCE:INV-58171; PROC-REV-OCCURRENCE:INV-58111; PROC-REV-OCCURRENCE:INV-58403; PROC-REV-OCCURRENCE:INV-57986; PROC-REV-OCCURRENCE:INV-58304; PROC-REV-OCCURRENCE:INV-58358; PROC-REV-OCCURRENCE:INV-58174; PROC-REV-OCCURRENCE:INV-58113; PROC-REV-OCCURRENCE:INV-57865; PROC-REV-OCCURRENCE:INV-58231; PROC-REV-OCCURRENCE:INV-58256; PROC-REV-OCCURRENCE:INV-58219; PROC-REV-OCCURRENCE:INV-57896; PROC-REV-OCCURRENCE:INV-58352; PROC-REV-OCCURRENCE:INV-57920; PROC-REV-OCCURRENCE:INV-58337; PROC-REV-OCCURRENCE:INV-58082; PROC-REV-OCCURRENCE:INV-58189; PROC-REV-OCCURRENCE:INV-58208; PROC-REV-OCCURRENCE:INV-57837; PROC-REV-OCCURRENCE:INV-58086; PROC-REV-OCCURRENCE:INV-58314; PROC-REV-OCCURRENCE:INV-58391; PROC-REV-OCCURRENCE:INV-58181; PROC-REV-OCCURRENCE:INV-57823; PROC-REV-OCCURRENCE:INV-58335; PROC-REV-OCCURRENCE:INV-58223; PROC-REV-OCCURRENCE:INV-58003; PROC-REV-OCCURRENCE:INV-58240; PROC-REV-OCCURRENCE:INV-57958</t>
        </is>
      </c>
    </row>
    <row r="17">
      <c r="A17" s="90" t="inlineStr">
        <is>
          <t>Selection requirements</t>
        </is>
      </c>
      <c r="B17" s="90" t="inlineStr">
        <is>
          <t>qualitative mandatory items; individually significant items</t>
        </is>
      </c>
    </row>
    <row r="18">
      <c r="A18" s="43" t="inlineStr">
        <is>
          <t>Procedure IDs</t>
        </is>
      </c>
      <c r="B18" s="90" t="inlineStr">
        <is>
          <t>PROC-REVENUE; Resp Revenue reference 001; Resp Revenue Unpredictable reference 001</t>
        </is>
      </c>
    </row>
    <row r="19">
      <c r="A19" s="90" t="inlineStr">
        <is>
          <t>Procedure window IDs</t>
        </is>
      </c>
      <c r="B19" s="90" t="inlineStr">
        <is>
          <t>WIN-REVENUE-CUTOFF; WIN-REVENUE-CUTOFF; WIN-REVENUE-CUTOFF</t>
        </is>
      </c>
    </row>
    <row r="20">
      <c r="A20" s="90" t="inlineStr">
        <is>
          <t>Significant-risk response IDs</t>
        </is>
      </c>
      <c r="B20" s="90" t="inlineStr">
        <is>
          <t>Resp Revenue reference 001; Resp Revenue Unpredictable reference 001</t>
        </is>
      </c>
    </row>
    <row r="21">
      <c r="A21" s="90" t="inlineStr">
        <is>
          <t>Audit team assignments</t>
        </is>
      </c>
      <c r="B21" s="90" t="inlineStr">
        <is>
          <t>preparer: Audit Senior 80A0; reviewer: Audit Manager 403F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93" t="inlineStr">
        <is>
          <t>WORKPAPER COMPLETION AND SIGN-OFF</t>
        </is>
      </c>
      <c r="B1" s="43" t="n"/>
      <c r="C1" s="43" t="n"/>
      <c r="D1" s="43" t="n"/>
      <c r="E1" s="43" t="n"/>
      <c r="F1" s="43" t="n"/>
    </row>
    <row r="2">
      <c r="A2" s="43" t="n"/>
      <c r="B2" s="43" t="n"/>
      <c r="C2" s="43" t="n"/>
      <c r="D2" s="43" t="n"/>
      <c r="E2" s="43" t="n"/>
      <c r="F2" s="43" t="n"/>
    </row>
    <row r="3">
      <c r="A3" s="43" t="inlineStr">
        <is>
          <t>Workpaper</t>
        </is>
      </c>
      <c r="B3" s="90" t="inlineStr">
        <is>
          <t>revenue/revenue_workpaper.xlsx</t>
        </is>
      </c>
      <c r="C3" s="43" t="n"/>
      <c r="D3" s="43" t="n"/>
      <c r="E3" s="43" t="n"/>
      <c r="F3" s="43" t="n"/>
    </row>
    <row r="4">
      <c r="A4" s="90" t="inlineStr">
        <is>
          <t>Required completion stage</t>
        </is>
      </c>
      <c r="B4" s="43" t="inlineStr">
        <is>
          <t>prepared</t>
        </is>
      </c>
      <c r="C4" s="43" t="n"/>
      <c r="D4" s="43" t="inlineStr">
        <is>
          <t>Contract version</t>
        </is>
      </c>
      <c r="E4" s="90" t="inlineStr">
        <is>
          <t>workpaper-signoff-v2.1.0</t>
        </is>
      </c>
      <c r="F4" s="43" t="n"/>
    </row>
    <row r="5">
      <c r="A5" s="43" t="n"/>
      <c r="B5" s="43" t="n"/>
      <c r="C5" s="43" t="n"/>
      <c r="D5" s="43" t="n"/>
      <c r="E5" s="43" t="n"/>
      <c r="F5" s="43" t="n"/>
    </row>
    <row r="6">
      <c r="A6" s="94" t="inlineStr">
        <is>
          <t>Assigned preparer</t>
        </is>
      </c>
      <c r="B6" s="95" t="inlineStr">
        <is>
          <t>Audit Senior 80A0</t>
        </is>
      </c>
      <c r="C6" s="43" t="n"/>
      <c r="D6" s="94" t="inlineStr">
        <is>
          <t>Assigned reviewer</t>
        </is>
      </c>
      <c r="E6" s="96" t="inlineStr">
        <is>
          <t>Audit Manager 403F</t>
        </is>
      </c>
      <c r="F6" s="43" t="n"/>
    </row>
    <row r="7">
      <c r="A7" s="94" t="inlineStr">
        <is>
          <t>Preparation state</t>
        </is>
      </c>
      <c r="B7" s="95" t="inlineStr">
        <is>
          <t>Unsigned</t>
        </is>
      </c>
      <c r="C7" s="43" t="n"/>
      <c r="D7" s="94" t="inlineStr">
        <is>
          <t>Review state</t>
        </is>
      </c>
      <c r="E7" s="95" t="inlineStr">
        <is>
          <t>Unsigned</t>
        </is>
      </c>
      <c r="F7" s="43" t="n"/>
    </row>
    <row r="8">
      <c r="A8" s="94" t="inlineStr">
        <is>
          <t>Prepared by</t>
        </is>
      </c>
      <c r="B8" s="95" t="n"/>
      <c r="C8" s="43" t="n"/>
      <c r="D8" s="94" t="inlineStr">
        <is>
          <t>Reviewed by</t>
        </is>
      </c>
      <c r="E8" s="95" t="n"/>
      <c r="F8" s="43" t="n"/>
    </row>
    <row r="9">
      <c r="A9" s="94" t="inlineStr">
        <is>
          <t>Preparation date</t>
        </is>
      </c>
      <c r="B9" s="97" t="n"/>
      <c r="C9" s="43" t="n"/>
      <c r="D9" s="94" t="inlineStr">
        <is>
          <t>Review date</t>
        </is>
      </c>
      <c r="E9" s="97" t="n"/>
      <c r="F9" s="43" t="n"/>
    </row>
    <row r="10">
      <c r="A10" s="43" t="n"/>
      <c r="B10" s="43" t="n"/>
      <c r="C10" s="43" t="n"/>
      <c r="D10" s="43" t="n"/>
      <c r="E10" s="43" t="n"/>
      <c r="F10" s="43" t="n"/>
    </row>
    <row r="11">
      <c r="A11" s="43" t="n"/>
      <c r="B11" s="43" t="n"/>
      <c r="C11" s="43" t="n"/>
      <c r="D11" s="43" t="n"/>
      <c r="E11" s="43" t="n"/>
      <c r="F11" s="43" t="n"/>
    </row>
    <row r="12" ht="54" customHeight="1">
      <c r="A12" s="98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43" t="n"/>
      <c r="C12" s="43" t="n"/>
      <c r="D12" s="43" t="n"/>
      <c r="E12" s="43" t="n"/>
      <c r="F12" s="43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2026-07-03T09:49:16Z</dcterms:created>
  <dcterms:modified xmlns:dcterms="http://purl.org/dc/terms/" xmlns:xsi="http://www.w3.org/2001/XMLSchema-instance" xsi:type="dcterms:W3CDTF">2026-07-03T10:32:06Z</dcterms:modified>
  <cp:lastModifiedBy>jerry.huang@modusaudit.com</cp:lastModifiedBy>
  <cp:revision>0</cp:revision>
</cp:coreProperties>
</file>