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500" firstSheet="0" activeTab="0" autoFilterDateGrouping="1"/>
  </bookViews>
  <sheets>
    <sheet xmlns:r="http://schemas.openxmlformats.org/officeDocument/2006/relationships" name="Library Procedures" sheetId="1" state="visible" r:id="rId1"/>
    <sheet xmlns:r="http://schemas.openxmlformats.org/officeDocument/2006/relationships" name="&lt;.0&gt; Source Index" sheetId="2" state="visible" r:id="rId2"/>
    <sheet xmlns:r="http://schemas.openxmlformats.org/officeDocument/2006/relationships" name="&lt;.1&gt; Population &amp; Risk Criteria" sheetId="3" state="visible" r:id="rId3"/>
    <sheet xmlns:r="http://schemas.openxmlformats.org/officeDocument/2006/relationships" name="&lt;.2&gt; Selected JE Testing" sheetId="4" state="visible" r:id="rId4"/>
    <sheet xmlns:r="http://schemas.openxmlformats.org/officeDocument/2006/relationships" name="&lt;.3&gt; Suspense &amp; Clearing" sheetId="5" state="visible" r:id="rId5"/>
    <sheet xmlns:r="http://schemas.openxmlformats.org/officeDocument/2006/relationships" name="&lt;.4&gt; Period-End &amp; Post-Close" sheetId="6" state="visible" r:id="rId6"/>
    <sheet xmlns:r="http://schemas.openxmlformats.org/officeDocument/2006/relationships" name="&lt;.5&gt; Analytics &amp; Conclusion" sheetId="7" state="visible" r:id="rId7"/>
    <sheet xmlns:r="http://schemas.openxmlformats.org/officeDocument/2006/relationships" name="Planning Context" sheetId="8" state="visible" r:id="rId8"/>
    <sheet xmlns:r="http://schemas.openxmlformats.org/officeDocument/2006/relationships" name="Workpaper Sign-off" sheetId="9" state="visible" r:id="rId9"/>
  </sheets>
  <definedNames>
    <definedName name="WP_PLAN_S002_0_SOURCE_INDEX_ENTITY_NAME">'&lt;.0&gt; Source Index'!$B$2</definedName>
    <definedName name="WP_PLAN_S002_0_SOURCE_INDEX_FINANCIAL_STATEMENT_DATE">'&lt;.0&gt; Source Index'!$E$2</definedName>
    <definedName name="WP_PLAN_S002_0_SOURCE_INDEX_REPORTING_CURRENCY">'&lt;.0&gt; Source Index'!$H$2</definedName>
    <definedName name="WP_PLAN_S002_0_SOURCE_INDEX_PERFORMANCE_MATERIALITY">'&lt;.0&gt; Source Index'!$B$3</definedName>
    <definedName name="WP_PLAN_S002_0_SOURCE_INDEX_TOLERABLE_MISSTATEMENT">'&lt;.0&gt; Source Index'!$E$3</definedName>
    <definedName name="WP_PLAN_S003_1_POPULATION_RISK_CRITERIA_ENTITY_NAME">'&lt;.1&gt; Population &amp; Risk Criteria'!$B$2</definedName>
    <definedName name="WP_PLAN_S003_1_POPULATION_RISK_CRITERIA_FINANCIAL_STATEMENT_DATE">'&lt;.1&gt; Population &amp; Risk Criteria'!$E$2</definedName>
    <definedName name="WP_PLAN_S003_1_POPULATION_RISK_CRITERIA_REPORTING_CURRENCY">'&lt;.1&gt; Population &amp; Risk Criteria'!$H$2</definedName>
    <definedName name="WP_PLAN_S003_1_POPULATION_RISK_CRITERIA_PERFORMANCE_MATERIALITY">'&lt;.1&gt; Population &amp; Risk Criteria'!$B$3</definedName>
    <definedName name="WP_PLAN_S003_1_POPULATION_RISK_CRITERIA_TOLERABLE_MISSTATEMENT">'&lt;.1&gt; Population &amp; Risk Criteria'!$E$3</definedName>
    <definedName name="WP_PLAN_S004_2_SELECTED_JE_TESTING_ENTITY_NAME">'&lt;.2&gt; Selected JE Testing'!$B$2</definedName>
    <definedName name="WP_PLAN_S004_2_SELECTED_JE_TESTING_FINANCIAL_STATEMENT_DATE">'&lt;.2&gt; Selected JE Testing'!$E$2</definedName>
    <definedName name="WP_PLAN_S004_2_SELECTED_JE_TESTING_REPORTING_CURRENCY">'&lt;.2&gt; Selected JE Testing'!$H$2</definedName>
    <definedName name="WP_PLAN_S004_2_SELECTED_JE_TESTING_PERFORMANCE_MATERIALITY">'&lt;.2&gt; Selected JE Testing'!$B$3</definedName>
    <definedName name="WP_PLAN_S004_2_SELECTED_JE_TESTING_TOLERABLE_MISSTATEMENT">'&lt;.2&gt; Selected JE Testing'!$E$3</definedName>
    <definedName name="WP_PLAN_S005_3_SUSPENSE_CLEARING_ENTITY_NAME">'&lt;.3&gt; Suspense &amp; Clearing'!$B$2</definedName>
    <definedName name="WP_PLAN_S005_3_SUSPENSE_CLEARING_FINANCIAL_STATEMENT_DATE">'&lt;.3&gt; Suspense &amp; Clearing'!$E$2</definedName>
    <definedName name="WP_PLAN_S005_3_SUSPENSE_CLEARING_REPORTING_CURRENCY">'&lt;.3&gt; Suspense &amp; Clearing'!$H$2</definedName>
    <definedName name="WP_PLAN_S005_3_SUSPENSE_CLEARING_PERFORMANCE_MATERIALITY">'&lt;.3&gt; Suspense &amp; Clearing'!$B$3</definedName>
    <definedName name="WP_PLAN_S005_3_SUSPENSE_CLEARING_TOLERABLE_MISSTATEMENT">'&lt;.3&gt; Suspense &amp; Clearing'!$E$3</definedName>
    <definedName name="WP_PLAN_S006_4_PERIOD_END_POST_CLOSE_ENTITY_NAME">'&lt;.4&gt; Period-End &amp; Post-Close'!$B$2</definedName>
    <definedName name="WP_PLAN_S006_4_PERIOD_END_POST_CLOSE_FINANCIAL_STATEMENT_DATE">'&lt;.4&gt; Period-End &amp; Post-Close'!$E$2</definedName>
    <definedName name="WP_PLAN_S006_4_PERIOD_END_POST_CLOSE_REPORTING_CURRENCY">'&lt;.4&gt; Period-End &amp; Post-Close'!$H$2</definedName>
    <definedName name="WP_PLAN_S006_4_PERIOD_END_POST_CLOSE_PERFORMANCE_MATERIALITY">'&lt;.4&gt; Period-End &amp; Post-Close'!$B$3</definedName>
    <definedName name="WP_PLAN_S006_4_PERIOD_END_POST_CLOSE_TOLERABLE_MISSTATEMENT">'&lt;.4&gt; Period-End &amp; Post-Close'!$E$3</definedName>
    <definedName name="WP_PLAN_S007_5_ANALYTICS_CONCLUSION_ENTITY_NAME">'&lt;.5&gt; Analytics &amp; Conclusion'!$B$2</definedName>
    <definedName name="WP_PLAN_S007_5_ANALYTICS_CONCLUSION_FINANCIAL_STATEMENT_DATE">'&lt;.5&gt; Analytics &amp; Conclusion'!$E$2</definedName>
    <definedName name="WP_PLAN_S007_5_ANALYTICS_CONCLUSION_REPORTING_CURRENCY">'&lt;.5&gt; Analytics &amp; Conclusion'!$H$2</definedName>
    <definedName name="WP_PLAN_S007_5_ANALYTICS_CONCLUSION_PERFORMANCE_MATERIALITY">'&lt;.5&gt; Analytics &amp; Conclusion'!$B$3</definedName>
    <definedName name="WP_PLAN_S007_5_ANALYTICS_CONCLUSION_TOLERABLE_MISSTATEMENT">'&lt;.5&gt; Analytics &amp; Conclusion'!$E$3</definedName>
    <definedName name="WP_PLAN_CONTEXT_ENTITY_NAME">'Planning Context'!$B$3</definedName>
    <definedName name="WP_PLAN_CONTEXT_FINANCIAL_STATEMENT_DATE">'Planning Context'!$B$4</definedName>
    <definedName name="WP_PLAN_CONTEXT_REPORTING_CURRENCY">'Planning Context'!$B$5</definedName>
    <definedName name="WP_PLAN_CONTEXT_OVERALL_MATERIALITY">'Planning Context'!$B$6</definedName>
    <definedName name="WP_PLAN_CONTEXT_PERFORMANCE_MATERIALITY">'Planning Context'!$B$7</definedName>
    <definedName name="WP_PLAN_CONTEXT_TOLERABLE_MISSTATEMENT">'Planning Context'!$B$8</definedName>
    <definedName name="WP_PLAN_CONTEXT_INDIVIDUALLY_SIGNIFICANT_THRESHOLD">'Planning Context'!$B$9</definedName>
    <definedName name="WP_PLAN_CONTEXT_POSTING_THRESHOLD">'Planning Context'!$B$10</definedName>
    <definedName name="WP_PLAN_CONTEXT_CLEARLY_TRIVIAL_THRESHOLD">'Planning Context'!$B$11</definedName>
    <definedName name="WP_PLAN_CONTEXT_ANALYTICAL_PRECISION">'Planning Context'!$B$12</definedName>
    <definedName name="WP_PROC_001_APPLICABILITY">'Library Procedures'!$A$8</definedName>
    <definedName name="WP_PROC_001_REQUIREMENT">'Library Procedures'!$B$8</definedName>
    <definedName name="WP_PROC_001_EXECUTION_STATE">'Library Procedures'!$C$8</definedName>
    <definedName name="WP_PROC_001_EVIDENCE_STATE">'Library Procedures'!$D$8</definedName>
    <definedName name="WP_PROC_001_RESULT_STATE">'Library Procedures'!$E$8</definedName>
    <definedName name="WP_PROC_001_ISSUE_STATE">'Library Procedures'!$F$8</definedName>
    <definedName name="WP_PROC_001_SIGNOFF_STATE">'Library Procedures'!$G$8</definedName>
    <definedName name="WP_PROC_001_DERIVED_OUTCOME">'Library Procedures'!$H$8</definedName>
    <definedName name="WP_PROC_001_PROCEDURE">'Library Procedures'!$I$8</definedName>
    <definedName name="WP_PROC_001_ASSERTION_S">'Library Procedures'!$J$8</definedName>
    <definedName name="WP_PROC_001_W_P_REF">'Library Procedures'!$K$8</definedName>
    <definedName name="WP_PROC_001_PERFORMED_BY">'Library Procedures'!$L$8</definedName>
    <definedName name="WP_PROC_001_DATE">'Library Procedures'!$M$8</definedName>
    <definedName name="WP_PROC_001_REASON_CODE">'Library Procedures'!$N$8</definedName>
    <definedName name="WP_PROC_001_SOURCE_FACT_EVIDENCE">'Library Procedures'!$O$8</definedName>
    <definedName name="WP_PROC_001_ISSUE_DEPENDENCY_IDS">'Library Procedures'!$P$8</definedName>
    <definedName name="WP_PROC_001_COMMENT_WORK_PERFORMED">'Library Procedures'!$Q$8</definedName>
    <definedName name="WP_PROC_002_APPLICABILITY">'Library Procedures'!$A$10</definedName>
    <definedName name="WP_PROC_002_REQUIREMENT">'Library Procedures'!$B$10</definedName>
    <definedName name="WP_PROC_002_EXECUTION_STATE">'Library Procedures'!$C$10</definedName>
    <definedName name="WP_PROC_002_EVIDENCE_STATE">'Library Procedures'!$D$10</definedName>
    <definedName name="WP_PROC_002_RESULT_STATE">'Library Procedures'!$E$10</definedName>
    <definedName name="WP_PROC_002_ISSUE_STATE">'Library Procedures'!$F$10</definedName>
    <definedName name="WP_PROC_002_SIGNOFF_STATE">'Library Procedures'!$G$10</definedName>
    <definedName name="WP_PROC_002_DERIVED_OUTCOME">'Library Procedures'!$H$10</definedName>
    <definedName name="WP_PROC_002_PROCEDURE">'Library Procedures'!$I$10</definedName>
    <definedName name="WP_PROC_002_ASSERTION_S">'Library Procedures'!$J$10</definedName>
    <definedName name="WP_PROC_002_W_P_REF">'Library Procedures'!$K$10</definedName>
    <definedName name="WP_PROC_002_PERFORMED_BY">'Library Procedures'!$L$10</definedName>
    <definedName name="WP_PROC_002_DATE">'Library Procedures'!$M$10</definedName>
    <definedName name="WP_PROC_002_REASON_CODE">'Library Procedures'!$N$10</definedName>
    <definedName name="WP_PROC_002_SOURCE_FACT_EVIDENCE">'Library Procedures'!$O$10</definedName>
    <definedName name="WP_PROC_002_ISSUE_DEPENDENCY_IDS">'Library Procedures'!$P$10</definedName>
    <definedName name="WP_PROC_002_COMMENT_WORK_PERFORMED">'Library Procedures'!$Q$10</definedName>
    <definedName name="WP_PROC_003_APPLICABILITY">'Library Procedures'!$A$11</definedName>
    <definedName name="WP_PROC_003_REQUIREMENT">'Library Procedures'!$B$11</definedName>
    <definedName name="WP_PROC_003_EXECUTION_STATE">'Library Procedures'!$C$11</definedName>
    <definedName name="WP_PROC_003_EVIDENCE_STATE">'Library Procedures'!$D$11</definedName>
    <definedName name="WP_PROC_003_RESULT_STATE">'Library Procedures'!$E$11</definedName>
    <definedName name="WP_PROC_003_ISSUE_STATE">'Library Procedures'!$F$11</definedName>
    <definedName name="WP_PROC_003_SIGNOFF_STATE">'Library Procedures'!$G$11</definedName>
    <definedName name="WP_PROC_003_DERIVED_OUTCOME">'Library Procedures'!$H$11</definedName>
    <definedName name="WP_PROC_003_PROCEDURE">'Library Procedures'!$I$11</definedName>
    <definedName name="WP_PROC_003_ASSERTION_S">'Library Procedures'!$J$11</definedName>
    <definedName name="WP_PROC_003_W_P_REF">'Library Procedures'!$K$11</definedName>
    <definedName name="WP_PROC_003_PERFORMED_BY">'Library Procedures'!$L$11</definedName>
    <definedName name="WP_PROC_003_DATE">'Library Procedures'!$M$11</definedName>
    <definedName name="WP_PROC_003_REASON_CODE">'Library Procedures'!$N$11</definedName>
    <definedName name="WP_PROC_003_SOURCE_FACT_EVIDENCE">'Library Procedures'!$O$11</definedName>
    <definedName name="WP_PROC_003_ISSUE_DEPENDENCY_IDS">'Library Procedures'!$P$11</definedName>
    <definedName name="WP_PROC_003_COMMENT_WORK_PERFORMED">'Library Procedures'!$Q$11</definedName>
    <definedName name="WP_PROC_004_APPLICABILITY">'Library Procedures'!$A$13</definedName>
    <definedName name="WP_PROC_004_REQUIREMENT">'Library Procedures'!$B$13</definedName>
    <definedName name="WP_PROC_004_EXECUTION_STATE">'Library Procedures'!$C$13</definedName>
    <definedName name="WP_PROC_004_EVIDENCE_STATE">'Library Procedures'!$D$13</definedName>
    <definedName name="WP_PROC_004_RESULT_STATE">'Library Procedures'!$E$13</definedName>
    <definedName name="WP_PROC_004_ISSUE_STATE">'Library Procedures'!$F$13</definedName>
    <definedName name="WP_PROC_004_SIGNOFF_STATE">'Library Procedures'!$G$13</definedName>
    <definedName name="WP_PROC_004_DERIVED_OUTCOME">'Library Procedures'!$H$13</definedName>
    <definedName name="WP_PROC_004_PROCEDURE">'Library Procedures'!$I$13</definedName>
    <definedName name="WP_PROC_004_ASSERTION_S">'Library Procedures'!$J$13</definedName>
    <definedName name="WP_PROC_004_W_P_REF">'Library Procedures'!$K$13</definedName>
    <definedName name="WP_PROC_004_PERFORMED_BY">'Library Procedures'!$L$13</definedName>
    <definedName name="WP_PROC_004_DATE">'Library Procedures'!$M$13</definedName>
    <definedName name="WP_PROC_004_REASON_CODE">'Library Procedures'!$N$13</definedName>
    <definedName name="WP_PROC_004_SOURCE_FACT_EVIDENCE">'Library Procedures'!$O$13</definedName>
    <definedName name="WP_PROC_004_ISSUE_DEPENDENCY_IDS">'Library Procedures'!$P$13</definedName>
    <definedName name="WP_PROC_004_COMMENT_WORK_PERFORMED">'Library Procedures'!$Q$13</definedName>
    <definedName name="WP_PROC_005_APPLICABILITY">'Library Procedures'!$A$14</definedName>
    <definedName name="WP_PROC_005_REQUIREMENT">'Library Procedures'!$B$14</definedName>
    <definedName name="WP_PROC_005_EXECUTION_STATE">'Library Procedures'!$C$14</definedName>
    <definedName name="WP_PROC_005_EVIDENCE_STATE">'Library Procedures'!$D$14</definedName>
    <definedName name="WP_PROC_005_RESULT_STATE">'Library Procedures'!$E$14</definedName>
    <definedName name="WP_PROC_005_ISSUE_STATE">'Library Procedures'!$F$14</definedName>
    <definedName name="WP_PROC_005_SIGNOFF_STATE">'Library Procedures'!$G$14</definedName>
    <definedName name="WP_PROC_005_DERIVED_OUTCOME">'Library Procedures'!$H$14</definedName>
    <definedName name="WP_PROC_005_PROCEDURE">'Library Procedures'!$I$14</definedName>
    <definedName name="WP_PROC_005_ASSERTION_S">'Library Procedures'!$J$14</definedName>
    <definedName name="WP_PROC_005_W_P_REF">'Library Procedures'!$K$14</definedName>
    <definedName name="WP_PROC_005_PERFORMED_BY">'Library Procedures'!$L$14</definedName>
    <definedName name="WP_PROC_005_DATE">'Library Procedures'!$M$14</definedName>
    <definedName name="WP_PROC_005_REASON_CODE">'Library Procedures'!$N$14</definedName>
    <definedName name="WP_PROC_005_SOURCE_FACT_EVIDENCE">'Library Procedures'!$O$14</definedName>
    <definedName name="WP_PROC_005_ISSUE_DEPENDENCY_IDS">'Library Procedures'!$P$14</definedName>
    <definedName name="WP_PROC_005_COMMENT_WORK_PERFORMED">'Library Procedures'!$Q$14</definedName>
    <definedName name="WP_PROC_006_APPLICABILITY">'Library Procedures'!$A$15</definedName>
    <definedName name="WP_PROC_006_REQUIREMENT">'Library Procedures'!$B$15</definedName>
    <definedName name="WP_PROC_006_EXECUTION_STATE">'Library Procedures'!$C$15</definedName>
    <definedName name="WP_PROC_006_EVIDENCE_STATE">'Library Procedures'!$D$15</definedName>
    <definedName name="WP_PROC_006_RESULT_STATE">'Library Procedures'!$E$15</definedName>
    <definedName name="WP_PROC_006_ISSUE_STATE">'Library Procedures'!$F$15</definedName>
    <definedName name="WP_PROC_006_SIGNOFF_STATE">'Library Procedures'!$G$15</definedName>
    <definedName name="WP_PROC_006_DERIVED_OUTCOME">'Library Procedures'!$H$15</definedName>
    <definedName name="WP_PROC_006_PROCEDURE">'Library Procedures'!$I$15</definedName>
    <definedName name="WP_PROC_006_ASSERTION_S">'Library Procedures'!$J$15</definedName>
    <definedName name="WP_PROC_006_W_P_REF">'Library Procedures'!$K$15</definedName>
    <definedName name="WP_PROC_006_PERFORMED_BY">'Library Procedures'!$L$15</definedName>
    <definedName name="WP_PROC_006_DATE">'Library Procedures'!$M$15</definedName>
    <definedName name="WP_PROC_006_REASON_CODE">'Library Procedures'!$N$15</definedName>
    <definedName name="WP_PROC_006_SOURCE_FACT_EVIDENCE">'Library Procedures'!$O$15</definedName>
    <definedName name="WP_PROC_006_ISSUE_DEPENDENCY_IDS">'Library Procedures'!$P$15</definedName>
    <definedName name="WP_PROC_006_COMMENT_WORK_PERFORMED">'Library Procedures'!$Q$15</definedName>
    <definedName name="WP_PROC_007_APPLICABILITY">'Library Procedures'!$A$17</definedName>
    <definedName name="WP_PROC_007_REQUIREMENT">'Library Procedures'!$B$17</definedName>
    <definedName name="WP_PROC_007_EXECUTION_STATE">'Library Procedures'!$C$17</definedName>
    <definedName name="WP_PROC_007_EVIDENCE_STATE">'Library Procedures'!$D$17</definedName>
    <definedName name="WP_PROC_007_RESULT_STATE">'Library Procedures'!$E$17</definedName>
    <definedName name="WP_PROC_007_ISSUE_STATE">'Library Procedures'!$F$17</definedName>
    <definedName name="WP_PROC_007_SIGNOFF_STATE">'Library Procedures'!$G$17</definedName>
    <definedName name="WP_PROC_007_DERIVED_OUTCOME">'Library Procedures'!$H$17</definedName>
    <definedName name="WP_PROC_007_PROCEDURE">'Library Procedures'!$I$17</definedName>
    <definedName name="WP_PROC_007_ASSERTION_S">'Library Procedures'!$J$17</definedName>
    <definedName name="WP_PROC_007_W_P_REF">'Library Procedures'!$K$17</definedName>
    <definedName name="WP_PROC_007_PERFORMED_BY">'Library Procedures'!$L$17</definedName>
    <definedName name="WP_PROC_007_DATE">'Library Procedures'!$M$17</definedName>
    <definedName name="WP_PROC_007_REASON_CODE">'Library Procedures'!$N$17</definedName>
    <definedName name="WP_PROC_007_SOURCE_FACT_EVIDENCE">'Library Procedures'!$O$17</definedName>
    <definedName name="WP_PROC_007_ISSUE_DEPENDENCY_IDS">'Library Procedures'!$P$17</definedName>
    <definedName name="WP_PROC_007_COMMENT_WORK_PERFORMED">'Library Procedures'!$Q$17</definedName>
    <definedName name="WP_PROC_008_APPLICABILITY">'Library Procedures'!$A$19</definedName>
    <definedName name="WP_PROC_008_REQUIREMENT">'Library Procedures'!$B$19</definedName>
    <definedName name="WP_PROC_008_EXECUTION_STATE">'Library Procedures'!$C$19</definedName>
    <definedName name="WP_PROC_008_EVIDENCE_STATE">'Library Procedures'!$D$19</definedName>
    <definedName name="WP_PROC_008_RESULT_STATE">'Library Procedures'!$E$19</definedName>
    <definedName name="WP_PROC_008_ISSUE_STATE">'Library Procedures'!$F$19</definedName>
    <definedName name="WP_PROC_008_SIGNOFF_STATE">'Library Procedures'!$G$19</definedName>
    <definedName name="WP_PROC_008_DERIVED_OUTCOME">'Library Procedures'!$H$19</definedName>
    <definedName name="WP_PROC_008_PROCEDURE">'Library Procedures'!$I$19</definedName>
    <definedName name="WP_PROC_008_ASSERTION_S">'Library Procedures'!$J$19</definedName>
    <definedName name="WP_PROC_008_W_P_REF">'Library Procedures'!$K$19</definedName>
    <definedName name="WP_PROC_008_PERFORMED_BY">'Library Procedures'!$L$19</definedName>
    <definedName name="WP_PROC_008_DATE">'Library Procedures'!$M$19</definedName>
    <definedName name="WP_PROC_008_REASON_CODE">'Library Procedures'!$N$19</definedName>
    <definedName name="WP_PROC_008_SOURCE_FACT_EVIDENCE">'Library Procedures'!$O$19</definedName>
    <definedName name="WP_PROC_008_ISSUE_DEPENDENCY_IDS">'Library Procedures'!$P$19</definedName>
    <definedName name="WP_PROC_008_COMMENT_WORK_PERFORMED">'Library Procedures'!$Q$19</definedName>
    <definedName name="WP_PROC_009_APPLICABILITY">'Library Procedures'!$A$20</definedName>
    <definedName name="WP_PROC_009_REQUIREMENT">'Library Procedures'!$B$20</definedName>
    <definedName name="WP_PROC_009_EXECUTION_STATE">'Library Procedures'!$C$20</definedName>
    <definedName name="WP_PROC_009_EVIDENCE_STATE">'Library Procedures'!$D$20</definedName>
    <definedName name="WP_PROC_009_RESULT_STATE">'Library Procedures'!$E$20</definedName>
    <definedName name="WP_PROC_009_ISSUE_STATE">'Library Procedures'!$F$20</definedName>
    <definedName name="WP_PROC_009_SIGNOFF_STATE">'Library Procedures'!$G$20</definedName>
    <definedName name="WP_PROC_009_DERIVED_OUTCOME">'Library Procedures'!$H$20</definedName>
    <definedName name="WP_PROC_009_PROCEDURE">'Library Procedures'!$I$20</definedName>
    <definedName name="WP_PROC_009_ASSERTION_S">'Library Procedures'!$J$20</definedName>
    <definedName name="WP_PROC_009_W_P_REF">'Library Procedures'!$K$20</definedName>
    <definedName name="WP_PROC_009_PERFORMED_BY">'Library Procedures'!$L$20</definedName>
    <definedName name="WP_PROC_009_DATE">'Library Procedures'!$M$20</definedName>
    <definedName name="WP_PROC_009_REASON_CODE">'Library Procedures'!$N$20</definedName>
    <definedName name="WP_PROC_009_SOURCE_FACT_EVIDENCE">'Library Procedures'!$O$20</definedName>
    <definedName name="WP_PROC_009_ISSUE_DEPENDENCY_IDS">'Library Procedures'!$P$20</definedName>
    <definedName name="WP_PROC_009_COMMENT_WORK_PERFORMED">'Library Procedures'!$Q$20</definedName>
    <definedName name="WP_PROC_010_APPLICABILITY">'Library Procedures'!$A$21</definedName>
    <definedName name="WP_PROC_010_REQUIREMENT">'Library Procedures'!$B$21</definedName>
    <definedName name="WP_PROC_010_EXECUTION_STATE">'Library Procedures'!$C$21</definedName>
    <definedName name="WP_PROC_010_EVIDENCE_STATE">'Library Procedures'!$D$21</definedName>
    <definedName name="WP_PROC_010_RESULT_STATE">'Library Procedures'!$E$21</definedName>
    <definedName name="WP_PROC_010_ISSUE_STATE">'Library Procedures'!$F$21</definedName>
    <definedName name="WP_PROC_010_SIGNOFF_STATE">'Library Procedures'!$G$21</definedName>
    <definedName name="WP_PROC_010_DERIVED_OUTCOME">'Library Procedures'!$H$21</definedName>
    <definedName name="WP_PROC_010_PROCEDURE">'Library Procedures'!$I$21</definedName>
    <definedName name="WP_PROC_010_ASSERTION_S">'Library Procedures'!$J$21</definedName>
    <definedName name="WP_PROC_010_W_P_REF">'Library Procedures'!$K$21</definedName>
    <definedName name="WP_PROC_010_PERFORMED_BY">'Library Procedures'!$L$21</definedName>
    <definedName name="WP_PROC_010_DATE">'Library Procedures'!$M$21</definedName>
    <definedName name="WP_PROC_010_REASON_CODE">'Library Procedures'!$N$21</definedName>
    <definedName name="WP_PROC_010_SOURCE_FACT_EVIDENCE">'Library Procedures'!$O$21</definedName>
    <definedName name="WP_PROC_010_ISSUE_DEPENDENCY_IDS">'Library Procedures'!$P$21</definedName>
    <definedName name="WP_PROC_010_COMMENT_WORK_PERFORMED">'Library Procedures'!$Q$21</definedName>
    <definedName name="WP_PROC_011_APPLICABILITY">'Library Procedures'!$A$23</definedName>
    <definedName name="WP_PROC_011_REQUIREMENT">'Library Procedures'!$B$23</definedName>
    <definedName name="WP_PROC_011_EXECUTION_STATE">'Library Procedures'!$C$23</definedName>
    <definedName name="WP_PROC_011_EVIDENCE_STATE">'Library Procedures'!$D$23</definedName>
    <definedName name="WP_PROC_011_RESULT_STATE">'Library Procedures'!$E$23</definedName>
    <definedName name="WP_PROC_011_ISSUE_STATE">'Library Procedures'!$F$23</definedName>
    <definedName name="WP_PROC_011_SIGNOFF_STATE">'Library Procedures'!$G$23</definedName>
    <definedName name="WP_PROC_011_DERIVED_OUTCOME">'Library Procedures'!$H$23</definedName>
    <definedName name="WP_PROC_011_PROCEDURE">'Library Procedures'!$I$23</definedName>
    <definedName name="WP_PROC_011_ASSERTION_S">'Library Procedures'!$J$23</definedName>
    <definedName name="WP_PROC_011_W_P_REF">'Library Procedures'!$K$23</definedName>
    <definedName name="WP_PROC_011_PERFORMED_BY">'Library Procedures'!$L$23</definedName>
    <definedName name="WP_PROC_011_DATE">'Library Procedures'!$M$23</definedName>
    <definedName name="WP_PROC_011_REASON_CODE">'Library Procedures'!$N$23</definedName>
    <definedName name="WP_PROC_011_SOURCE_FACT_EVIDENCE">'Library Procedures'!$O$23</definedName>
    <definedName name="WP_PROC_011_ISSUE_DEPENDENCY_IDS">'Library Procedures'!$P$23</definedName>
    <definedName name="WP_PROC_011_COMMENT_WORK_PERFORMED">'Library Procedures'!$Q$23</definedName>
    <definedName name="WP_PROC_012_APPLICABILITY">'Library Procedures'!$A$24</definedName>
    <definedName name="WP_PROC_012_REQUIREMENT">'Library Procedures'!$B$24</definedName>
    <definedName name="WP_PROC_012_EXECUTION_STATE">'Library Procedures'!$C$24</definedName>
    <definedName name="WP_PROC_012_EVIDENCE_STATE">'Library Procedures'!$D$24</definedName>
    <definedName name="WP_PROC_012_RESULT_STATE">'Library Procedures'!$E$24</definedName>
    <definedName name="WP_PROC_012_ISSUE_STATE">'Library Procedures'!$F$24</definedName>
    <definedName name="WP_PROC_012_SIGNOFF_STATE">'Library Procedures'!$G$24</definedName>
    <definedName name="WP_PROC_012_DERIVED_OUTCOME">'Library Procedures'!$H$24</definedName>
    <definedName name="WP_PROC_012_PROCEDURE">'Library Procedures'!$I$24</definedName>
    <definedName name="WP_PROC_012_ASSERTION_S">'Library Procedures'!$J$24</definedName>
    <definedName name="WP_PROC_012_W_P_REF">'Library Procedures'!$K$24</definedName>
    <definedName name="WP_PROC_012_PERFORMED_BY">'Library Procedures'!$L$24</definedName>
    <definedName name="WP_PROC_012_DATE">'Library Procedures'!$M$24</definedName>
    <definedName name="WP_PROC_012_REASON_CODE">'Library Procedures'!$N$24</definedName>
    <definedName name="WP_PROC_012_SOURCE_FACT_EVIDENCE">'Library Procedures'!$O$24</definedName>
    <definedName name="WP_PROC_012_ISSUE_DEPENDENCY_IDS">'Library Procedures'!$P$24</definedName>
    <definedName name="WP_PROC_012_COMMENT_WORK_PERFORMED">'Library Procedures'!$Q$24</definedName>
    <definedName name="WP_PROC_013_APPLICABILITY">'Library Procedures'!$A$26</definedName>
    <definedName name="WP_PROC_013_REQUIREMENT">'Library Procedures'!$B$26</definedName>
    <definedName name="WP_PROC_013_EXECUTION_STATE">'Library Procedures'!$C$26</definedName>
    <definedName name="WP_PROC_013_EVIDENCE_STATE">'Library Procedures'!$D$26</definedName>
    <definedName name="WP_PROC_013_RESULT_STATE">'Library Procedures'!$E$26</definedName>
    <definedName name="WP_PROC_013_ISSUE_STATE">'Library Procedures'!$F$26</definedName>
    <definedName name="WP_PROC_013_SIGNOFF_STATE">'Library Procedures'!$G$26</definedName>
    <definedName name="WP_PROC_013_DERIVED_OUTCOME">'Library Procedures'!$H$26</definedName>
    <definedName name="WP_PROC_013_PROCEDURE">'Library Procedures'!$I$26</definedName>
    <definedName name="WP_PROC_013_ASSERTION_S">'Library Procedures'!$J$26</definedName>
    <definedName name="WP_PROC_013_W_P_REF">'Library Procedures'!$K$26</definedName>
    <definedName name="WP_PROC_013_PERFORMED_BY">'Library Procedures'!$L$26</definedName>
    <definedName name="WP_PROC_013_DATE">'Library Procedures'!$M$26</definedName>
    <definedName name="WP_PROC_013_REASON_CODE">'Library Procedures'!$N$26</definedName>
    <definedName name="WP_PROC_013_SOURCE_FACT_EVIDENCE">'Library Procedures'!$O$26</definedName>
    <definedName name="WP_PROC_013_ISSUE_DEPENDENCY_IDS">'Library Procedures'!$P$26</definedName>
    <definedName name="WP_PROC_013_COMMENT_WORK_PERFORMED">'Library Procedures'!$Q$26</definedName>
    <definedName name="WP_PROC_014_APPLICABILITY">'Library Procedures'!$A$27</definedName>
    <definedName name="WP_PROC_014_REQUIREMENT">'Library Procedures'!$B$27</definedName>
    <definedName name="WP_PROC_014_EXECUTION_STATE">'Library Procedures'!$C$27</definedName>
    <definedName name="WP_PROC_014_EVIDENCE_STATE">'Library Procedures'!$D$27</definedName>
    <definedName name="WP_PROC_014_RESULT_STATE">'Library Procedures'!$E$27</definedName>
    <definedName name="WP_PROC_014_ISSUE_STATE">'Library Procedures'!$F$27</definedName>
    <definedName name="WP_PROC_014_SIGNOFF_STATE">'Library Procedures'!$G$27</definedName>
    <definedName name="WP_PROC_014_DERIVED_OUTCOME">'Library Procedures'!$H$27</definedName>
    <definedName name="WP_PROC_014_PROCEDURE">'Library Procedures'!$I$27</definedName>
    <definedName name="WP_PROC_014_ASSERTION_S">'Library Procedures'!$J$27</definedName>
    <definedName name="WP_PROC_014_W_P_REF">'Library Procedures'!$K$27</definedName>
    <definedName name="WP_PROC_014_PERFORMED_BY">'Library Procedures'!$L$27</definedName>
    <definedName name="WP_PROC_014_DATE">'Library Procedures'!$M$27</definedName>
    <definedName name="WP_PROC_014_REASON_CODE">'Library Procedures'!$N$27</definedName>
    <definedName name="WP_PROC_014_SOURCE_FACT_EVIDENCE">'Library Procedures'!$O$27</definedName>
    <definedName name="WP_PROC_014_ISSUE_DEPENDENCY_IDS">'Library Procedures'!$P$27</definedName>
    <definedName name="WP_PROC_014_COMMENT_WORK_PERFORMED">'Library Procedures'!$Q$27</definedName>
    <definedName name="WP_PROC_015_APPLICABILITY">'Library Procedures'!$A$29</definedName>
    <definedName name="WP_PROC_015_REQUIREMENT">'Library Procedures'!$B$29</definedName>
    <definedName name="WP_PROC_015_EXECUTION_STATE">'Library Procedures'!$C$29</definedName>
    <definedName name="WP_PROC_015_EVIDENCE_STATE">'Library Procedures'!$D$29</definedName>
    <definedName name="WP_PROC_015_RESULT_STATE">'Library Procedures'!$E$29</definedName>
    <definedName name="WP_PROC_015_ISSUE_STATE">'Library Procedures'!$F$29</definedName>
    <definedName name="WP_PROC_015_SIGNOFF_STATE">'Library Procedures'!$G$29</definedName>
    <definedName name="WP_PROC_015_DERIVED_OUTCOME">'Library Procedures'!$H$29</definedName>
    <definedName name="WP_PROC_015_PROCEDURE">'Library Procedures'!$I$29</definedName>
    <definedName name="WP_PROC_015_ASSERTION_S">'Library Procedures'!$J$29</definedName>
    <definedName name="WP_PROC_015_W_P_REF">'Library Procedures'!$K$29</definedName>
    <definedName name="WP_PROC_015_PERFORMED_BY">'Library Procedures'!$L$29</definedName>
    <definedName name="WP_PROC_015_DATE">'Library Procedures'!$M$29</definedName>
    <definedName name="WP_PROC_015_REASON_CODE">'Library Procedures'!$N$29</definedName>
    <definedName name="WP_PROC_015_SOURCE_FACT_EVIDENCE">'Library Procedures'!$O$29</definedName>
    <definedName name="WP_PROC_015_ISSUE_DEPENDENCY_IDS">'Library Procedures'!$P$29</definedName>
    <definedName name="WP_PROC_015_COMMENT_WORK_PERFORMED">'Library Procedures'!$Q$29</definedName>
    <definedName name="WP_TABLE_JE_RISK_SELECTIONS_DATA">'&lt;.2&gt; Selected JE Testing'!$A$9:$T$58</definedName>
    <definedName name="WP_TABLE_JE_RISK_SELECTIONS_TOTAL">'&lt;.2&gt; Selected JE Testing'!$A$59:$T$59</definedName>
    <definedName name="WP_ANALYTIC_JE_RISK_BY_USER_ANCHOR">'&lt;.5&gt; Analytics &amp; Conclusion'!$A$9</definedName>
    <definedName name="WP_ANALYTIC_JE_RISK_BY_USER_PERFORMED">'&lt;.5&gt; Analytics &amp; Conclusion'!$B$9</definedName>
    <definedName name="WP_ANALYTIC_JE_RISK_BY_USER_RESULT">'&lt;.5&gt; Analytics &amp; Conclusion'!$C$9</definedName>
    <definedName name="WP_ANALYTIC_JE_RISK_BY_USER_ANOMALIES">'&lt;.5&gt; Analytics &amp; Conclusion'!$D$9</definedName>
    <definedName name="WP_ANALYTIC_JE_RISK_BY_USER_FOLLOW_UP">'&lt;.5&gt; Analytics &amp; Conclusion'!$E$9</definedName>
    <definedName name="WP_ANALYTIC_JE_RISK_BY_USER_COMMENTS">'&lt;.5&gt; Analytics &amp; Conclusion'!$F$9</definedName>
    <definedName name="WP_ANALYTIC_JE_RISK_BY_HOUR_ANCHOR">'&lt;.5&gt; Analytics &amp; Conclusion'!$A$10</definedName>
    <definedName name="WP_ANALYTIC_JE_RISK_BY_HOUR_PERFORMED">'&lt;.5&gt; Analytics &amp; Conclusion'!$B$10</definedName>
    <definedName name="WP_ANALYTIC_JE_RISK_BY_HOUR_RESULT">'&lt;.5&gt; Analytics &amp; Conclusion'!$C$10</definedName>
    <definedName name="WP_ANALYTIC_JE_RISK_BY_HOUR_ANOMALIES">'&lt;.5&gt; Analytics &amp; Conclusion'!$D$10</definedName>
    <definedName name="WP_ANALYTIC_JE_RISK_BY_HOUR_FOLLOW_UP">'&lt;.5&gt; Analytics &amp; Conclusion'!$E$10</definedName>
    <definedName name="WP_ANALYTIC_JE_RISK_BY_HOUR_COMMENTS">'&lt;.5&gt; Analytics &amp; Conclusion'!$F$10</definedName>
    <definedName name="WP_ANALYTIC_JE_RISK_BY_WEEKDAY_ANCHOR">'&lt;.5&gt; Analytics &amp; Conclusion'!$A$11</definedName>
    <definedName name="WP_ANALYTIC_JE_RISK_BY_WEEKDAY_PERFORMED">'&lt;.5&gt; Analytics &amp; Conclusion'!$B$11</definedName>
    <definedName name="WP_ANALYTIC_JE_RISK_BY_WEEKDAY_RESULT">'&lt;.5&gt; Analytics &amp; Conclusion'!$C$11</definedName>
    <definedName name="WP_ANALYTIC_JE_RISK_BY_WEEKDAY_ANOMALIES">'&lt;.5&gt; Analytics &amp; Conclusion'!$D$11</definedName>
    <definedName name="WP_ANALYTIC_JE_RISK_BY_WEEKDAY_FOLLOW_UP">'&lt;.5&gt; Analytics &amp; Conclusion'!$E$11</definedName>
    <definedName name="WP_ANALYTIC_JE_RISK_BY_WEEKDAY_COMMENTS">'&lt;.5&gt; Analytics &amp; Conclusion'!$F$11</definedName>
    <definedName name="WP_ANALYTIC_JE_RISK_ROUND_DOLLAR_ANCHOR">'&lt;.5&gt; Analytics &amp; Conclusion'!$A$12</definedName>
    <definedName name="WP_ANALYTIC_JE_RISK_ROUND_DOLLAR_PERFORMED">'&lt;.5&gt; Analytics &amp; Conclusion'!$B$12</definedName>
    <definedName name="WP_ANALYTIC_JE_RISK_ROUND_DOLLAR_RESULT">'&lt;.5&gt; Analytics &amp; Conclusion'!$C$12</definedName>
    <definedName name="WP_ANALYTIC_JE_RISK_ROUND_DOLLAR_ANOMALIES">'&lt;.5&gt; Analytics &amp; Conclusion'!$D$12</definedName>
    <definedName name="WP_ANALYTIC_JE_RISK_ROUND_DOLLAR_FOLLOW_UP">'&lt;.5&gt; Analytics &amp; Conclusion'!$E$12</definedName>
    <definedName name="WP_ANALYTIC_JE_RISK_ROUND_DOLLAR_COMMENTS">'&lt;.5&gt; Analytics &amp; Conclusion'!$F$12</definedName>
    <definedName name="WP_ANALYTIC_JE_RISK_SOURCE_TYPE_ANCHOR">'&lt;.5&gt; Analytics &amp; Conclusion'!$A$13</definedName>
    <definedName name="WP_ANALYTIC_JE_RISK_SOURCE_TYPE_PERFORMED">'&lt;.5&gt; Analytics &amp; Conclusion'!$B$13</definedName>
    <definedName name="WP_ANALYTIC_JE_RISK_SOURCE_TYPE_RESULT">'&lt;.5&gt; Analytics &amp; Conclusion'!$C$13</definedName>
    <definedName name="WP_ANALYTIC_JE_RISK_SOURCE_TYPE_ANOMALIES">'&lt;.5&gt; Analytics &amp; Conclusion'!$D$13</definedName>
    <definedName name="WP_ANALYTIC_JE_RISK_SOURCE_TYPE_FOLLOW_UP">'&lt;.5&gt; Analytics &amp; Conclusion'!$E$13</definedName>
    <definedName name="WP_ANALYTIC_JE_RISK_SOURCE_TYPE_COMMENTS">'&lt;.5&gt; Analytics &amp; Conclusion'!$F$13</definedName>
    <definedName name="WP_ANALYTIC_JE_RISK_REVENUE_CREDITS_ANCHOR">'&lt;.5&gt; Analytics &amp; Conclusion'!$A$14</definedName>
    <definedName name="WP_ANALYTIC_JE_RISK_REVENUE_CREDITS_PERFORMED">'&lt;.5&gt; Analytics &amp; Conclusion'!$B$14</definedName>
    <definedName name="WP_ANALYTIC_JE_RISK_REVENUE_CREDITS_RESULT">'&lt;.5&gt; Analytics &amp; Conclusion'!$C$14</definedName>
    <definedName name="WP_ANALYTIC_JE_RISK_REVENUE_CREDITS_ANOMALIES">'&lt;.5&gt; Analytics &amp; Conclusion'!$D$14</definedName>
    <definedName name="WP_ANALYTIC_JE_RISK_REVENUE_CREDITS_FOLLOW_UP">'&lt;.5&gt; Analytics &amp; Conclusion'!$E$14</definedName>
    <definedName name="WP_ANALYTIC_JE_RISK_REVENUE_CREDITS_COMMENTS">'&lt;.5&gt; Analytics &amp; Conclusion'!$F$14</definedName>
    <definedName name="WP_ANALYTIC_JE_RISK_SELDOM_USED_ACCOUNTS_ANCHOR">'&lt;.5&gt; Analytics &amp; Conclusion'!$A$15</definedName>
    <definedName name="WP_ANALYTIC_JE_RISK_SELDOM_USED_ACCOUNTS_PERFORMED">'&lt;.5&gt; Analytics &amp; Conclusion'!$B$15</definedName>
    <definedName name="WP_ANALYTIC_JE_RISK_SELDOM_USED_ACCOUNTS_RESULT">'&lt;.5&gt; Analytics &amp; Conclusion'!$C$15</definedName>
    <definedName name="WP_ANALYTIC_JE_RISK_SELDOM_USED_ACCOUNTS_ANOMALIES">'&lt;.5&gt; Analytics &amp; Conclusion'!$D$15</definedName>
    <definedName name="WP_ANALYTIC_JE_RISK_SELDOM_USED_ACCOUNTS_FOLLOW_UP">'&lt;.5&gt; Analytics &amp; Conclusion'!$E$15</definedName>
    <definedName name="WP_ANALYTIC_JE_RISK_SELDOM_USED_ACCOUNTS_COMMENTS">'&lt;.5&gt; Analytics &amp; Conclusion'!$F$15</definedName>
    <definedName name="WP_ANALYTIC_JE_RISK_IMBALANCE_ANCHOR">'&lt;.5&gt; Analytics &amp; Conclusion'!$A$16</definedName>
    <definedName name="WP_ANALYTIC_JE_RISK_IMBALANCE_PERFORMED">'&lt;.5&gt; Analytics &amp; Conclusion'!$B$16</definedName>
    <definedName name="WP_ANALYTIC_JE_RISK_IMBALANCE_RESULT">'&lt;.5&gt; Analytics &amp; Conclusion'!$C$16</definedName>
    <definedName name="WP_ANALYTIC_JE_RISK_IMBALANCE_ANOMALIES">'&lt;.5&gt; Analytics &amp; Conclusion'!$D$16</definedName>
    <definedName name="WP_ANALYTIC_JE_RISK_IMBALANCE_FOLLOW_UP">'&lt;.5&gt; Analytics &amp; Conclusion'!$E$16</definedName>
    <definedName name="WP_ANALYTIC_JE_RISK_IMBALANCE_COMMENTS">'&lt;.5&gt; Analytics &amp; Conclusion'!$F$16</definedName>
    <definedName name="WP_SIGNOFF_REQUIRED_COMPLETION_STAGE">'Workpaper Sign-off'!$B$4</definedName>
    <definedName name="WP_SIGNOFF_ASSIGNED_PREPARER">'Workpaper Sign-off'!$B$6</definedName>
    <definedName name="WP_SIGNOFF_PREPARATION_STATE">'Workpaper Sign-off'!$B$7</definedName>
    <definedName name="WP_SIGNOFF_PREPARED_BY">'Workpaper Sign-off'!$B$8</definedName>
    <definedName name="WP_SIGNOFF_PREPARATION_DATE">'Workpaper Sign-off'!$B$9</definedName>
    <definedName name="WP_SIGNOFF_ASSIGNED_REVIEWER">'Workpaper Sign-off'!$E$6</definedName>
    <definedName name="WP_SIGNOFF_REVIEW_STATE">'Workpaper Sign-off'!$E$7</definedName>
    <definedName name="WP_SIGNOFF_REVIEWED_BY">'Workpaper Sign-off'!$E$8</definedName>
    <definedName name="WP_SIGNOFF_REVIEW_DATE">'Workpaper Sign-off'!$E$9</definedName>
    <definedName name="WP_INPUT_S007_E0B9B81E20EE">'&lt;.5&gt; Analytics &amp; Conclusion'!$A$27</definedName>
    <definedName name="_xlnm._FilterDatabase" localSheetId="0" hidden="1">'Library Procedures'!$A$6:$Q$29</definedName>
    <definedName name="_xlnm.Print_Titles" localSheetId="0">'Library Procedures'!$1:$6</definedName>
    <definedName name="_xlnm.Print_Area" localSheetId="0">'Library Procedures'!$A$1:$Q$29</definedName>
    <definedName name="_xlnm.Print_Area" localSheetId="1">'&lt;.0&gt; Source Index'!$A$1:$H$32</definedName>
    <definedName name="_xlnm.Print_Titles" localSheetId="2">'&lt;.1&gt; Population &amp; Risk Criteria'!$1:$7</definedName>
    <definedName name="_xlnm.Print_Area" localSheetId="2">'&lt;.1&gt; Population &amp; Risk Criteria'!$A$1:$H$48</definedName>
    <definedName name="_xlnm._FilterDatabase" localSheetId="3" hidden="1">'&lt;.2&gt; Selected JE Testing'!$A$7:$T$58</definedName>
    <definedName name="_xlnm.Print_Titles" localSheetId="3">'&lt;.2&gt; Selected JE Testing'!$1:$7</definedName>
    <definedName name="_xlnm.Print_Area" localSheetId="3">'&lt;.2&gt; Selected JE Testing'!$A$1:$T$76</definedName>
    <definedName name="_xlnm.Print_Area" localSheetId="4">'&lt;.3&gt; Suspense &amp; Clearing'!$A$1:$J$30</definedName>
    <definedName name="_xlnm.Print_Titles" localSheetId="5">'&lt;.4&gt; Period-End &amp; Post-Close'!$1:$7</definedName>
    <definedName name="_xlnm.Print_Area" localSheetId="5">'&lt;.4&gt; Period-End &amp; Post-Close'!$A$1:$J$45</definedName>
    <definedName name="_xlnm.Print_Titles" localSheetId="6">'&lt;.5&gt; Analytics &amp; Conclusion'!$1:$7</definedName>
    <definedName name="_xlnm.Print_Area" localSheetId="6">'&lt;.5&gt; Analytics &amp; Conclusion'!$A$1:$H$42</definedName>
    <definedName name="_xlnm.Print_Area" localSheetId="7">'Planning Context'!$A$1:$B$21</definedName>
    <definedName name="_xlnm.Print_Area" localSheetId="8">'Workpaper Sign-off'!$A$1:$F$12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/d/yyyy"/>
  </numFmts>
  <fonts count="32">
    <font>
      <name val="Calibri"/>
      <charset val="1"/>
      <family val="2"/>
      <color theme="1"/>
      <sz val="11"/>
    </font>
    <font>
      <name val="Georgia"/>
      <charset val="1"/>
      <b val="1"/>
      <color rgb="FFA32020"/>
      <sz val="14"/>
    </font>
    <font>
      <name val="Georgia"/>
      <charset val="1"/>
      <b val="1"/>
      <color rgb="FF1A1A1A"/>
      <sz val="9"/>
    </font>
    <font>
      <name val="Georgia"/>
      <charset val="1"/>
      <color rgb="FF1A1A1A"/>
      <sz val="9"/>
    </font>
    <font>
      <name val="Georgia"/>
      <charset val="1"/>
      <b val="1"/>
      <color rgb="FFA32020"/>
      <sz val="9"/>
    </font>
    <font>
      <name val="Georgia"/>
      <charset val="1"/>
      <b val="1"/>
      <color rgb="FFFFFFFF"/>
      <sz val="8.5"/>
    </font>
    <font>
      <name val="Georgia"/>
      <charset val="1"/>
      <b val="1"/>
      <color rgb="FFDC6900"/>
      <sz val="9"/>
    </font>
    <font>
      <name val="Georgia"/>
      <charset val="1"/>
      <color rgb="FF6E6E6E"/>
      <sz val="9"/>
    </font>
    <font>
      <name val="Georgia"/>
      <charset val="1"/>
      <b val="1"/>
      <color rgb="FFA32020"/>
      <sz val="10"/>
    </font>
    <font>
      <name val="Georgia"/>
      <charset val="1"/>
      <b val="1"/>
      <color rgb="FFDC6900"/>
      <sz val="8"/>
    </font>
    <font>
      <name val="Georgia"/>
      <charset val="1"/>
      <b val="1"/>
      <color rgb="FF1A1A1A"/>
      <sz val="10"/>
    </font>
    <font>
      <name val="Georgia"/>
      <charset val="1"/>
      <b val="1"/>
      <color rgb="FFFFFFFF"/>
      <sz val="9"/>
    </font>
    <font>
      <name val="Carlito"/>
      <b val="1"/>
      <color rgb="00FFFFFF"/>
      <sz val="14"/>
    </font>
    <font>
      <name val="Carlito"/>
      <b val="1"/>
      <color rgb="00404040"/>
    </font>
    <font>
      <name val="Carlito"/>
      <sz val="11"/>
    </font>
    <font>
      <name val="Carlito"/>
      <i val="1"/>
      <color rgb="001F1F1F"/>
      <sz val="10"/>
    </font>
    <font>
      <name val="SourceSans3"/>
      <charset val="1"/>
      <b val="1"/>
      <color rgb="FFA32020"/>
      <sz val="14"/>
    </font>
    <font>
      <name val="SourceSans3"/>
      <charset val="1"/>
      <color rgb="FF1A1A1A"/>
      <sz val="9"/>
    </font>
    <font>
      <name val="SourceSans3"/>
      <charset val="1"/>
      <color rgb="FF6E6E6E"/>
      <sz val="9"/>
    </font>
    <font>
      <name val="SourceSans3"/>
      <charset val="1"/>
      <b val="1"/>
      <color rgb="FFFFFFFF"/>
      <sz val="9"/>
    </font>
    <font>
      <name val="SourceSans3"/>
      <charset val="1"/>
      <family val="2"/>
      <color theme="1"/>
      <sz val="11"/>
    </font>
    <font>
      <name val="SourceSans3"/>
      <charset val="1"/>
      <b val="1"/>
      <color rgb="FF1A1A1A"/>
      <sz val="9"/>
    </font>
    <font>
      <name val="SourceSans3"/>
      <charset val="1"/>
      <b val="1"/>
      <color rgb="FFA32020"/>
      <sz val="9"/>
    </font>
    <font>
      <name val="SourceSans3"/>
      <charset val="1"/>
      <b val="1"/>
      <color rgb="FFFFFFFF"/>
      <sz val="8.5"/>
    </font>
    <font>
      <name val="SourceSans3"/>
      <charset val="1"/>
      <b val="1"/>
      <color rgb="FFDC6900"/>
      <sz val="9"/>
    </font>
    <font>
      <name val="SourceSans3"/>
      <charset val="1"/>
      <b val="1"/>
      <color rgb="FFA32020"/>
      <sz val="10"/>
    </font>
    <font>
      <name val="SourceSans3"/>
      <charset val="1"/>
      <b val="1"/>
      <color rgb="FFDC6900"/>
      <sz val="8"/>
    </font>
    <font>
      <name val="SourceSans3"/>
      <charset val="1"/>
      <b val="1"/>
      <color rgb="FF1A1A1A"/>
      <sz val="10"/>
    </font>
    <font>
      <name val="SourceSans3"/>
      <b val="1"/>
      <color rgb="00FFFFFF"/>
      <sz val="14"/>
    </font>
    <font>
      <name val="SourceSans3"/>
      <b val="1"/>
      <color rgb="00404040"/>
    </font>
    <font>
      <name val="SourceSans3"/>
      <sz val="11"/>
    </font>
    <font>
      <name val="SourceSans3"/>
      <i val="1"/>
      <color rgb="001F1F1F"/>
      <sz val="10"/>
    </font>
  </fonts>
  <fills count="7">
    <fill>
      <patternFill/>
    </fill>
    <fill>
      <patternFill patternType="gray125"/>
    </fill>
    <fill>
      <patternFill patternType="solid">
        <fgColor rgb="FFA32020"/>
        <bgColor rgb="FF993366"/>
      </patternFill>
    </fill>
    <fill>
      <patternFill patternType="solid">
        <fgColor rgb="FFF4DCDC"/>
        <bgColor rgb="FFCCCCFF"/>
      </patternFill>
    </fill>
    <fill>
      <patternFill patternType="solid">
        <fgColor rgb="001F4E78"/>
      </patternFill>
    </fill>
    <fill>
      <patternFill patternType="solid">
        <fgColor rgb="00E7E6E6"/>
      </patternFill>
    </fill>
    <fill>
      <patternFill patternType="solid">
        <fgColor rgb="00D9EAF7"/>
      </patternFill>
    </fill>
  </fills>
  <borders count="1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bottom style="thin">
        <color rgb="00A6A6A6"/>
      </bottom>
    </border>
  </borders>
  <cellStyleXfs count="1">
    <xf numFmtId="0" fontId="0" fillId="0" borderId="0"/>
  </cellStyleXfs>
  <cellXfs count="84">
    <xf numFmtId="0" fontId="0" fillId="0" borderId="0" pivotButton="0" quotePrefix="0" xfId="0"/>
    <xf numFmtId="0" fontId="11" fillId="2" borderId="1" pivotButton="0" quotePrefix="0" xfId="0"/>
    <xf numFmtId="0" fontId="7" fillId="0" borderId="0" applyAlignment="1" pivotButton="0" quotePrefix="0" xfId="0">
      <alignment horizontal="left" vertical="center" wrapText="1"/>
    </xf>
    <xf numFmtId="0" fontId="2" fillId="0" borderId="1" pivotButton="0" quotePrefix="0" xfId="0"/>
    <xf numFmtId="0" fontId="7" fillId="0" borderId="0" pivotButton="0" quotePrefix="0" xfId="0"/>
    <xf numFmtId="0" fontId="3" fillId="0" borderId="1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6" fillId="0" borderId="1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applyAlignment="1" pivotButton="0" quotePrefix="0" xfId="0">
      <alignment horizontal="center" vertical="center"/>
    </xf>
    <xf numFmtId="3" fontId="3" fillId="0" borderId="1" pivotButton="0" quotePrefix="0" xfId="0"/>
    <xf numFmtId="4" fontId="3" fillId="0" borderId="1" pivotButton="0" quotePrefix="0" xfId="0"/>
    <xf numFmtId="0" fontId="10" fillId="3" borderId="1" pivotButton="0" quotePrefix="0" xfId="0"/>
    <xf numFmtId="3" fontId="10" fillId="3" borderId="1" pivotButton="0" quotePrefix="0" xfId="0"/>
    <xf numFmtId="4" fontId="10" fillId="3" borderId="1" pivotButton="0" quotePrefix="0" xfId="0"/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/>
    </xf>
    <xf numFmtId="0" fontId="11" fillId="2" borderId="1" applyAlignment="1" pivotButton="0" quotePrefix="0" xfId="0">
      <alignment horizontal="center" vertical="center" wrapText="1"/>
    </xf>
    <xf numFmtId="0" fontId="11" fillId="2" borderId="1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center" vertical="center"/>
    </xf>
    <xf numFmtId="0" fontId="5" fillId="2" borderId="3" applyAlignment="1" pivotButton="0" quotePrefix="0" xfId="0">
      <alignment horizontal="center" vertical="center" wrapText="1"/>
    </xf>
    <xf numFmtId="0" fontId="4" fillId="0" borderId="2" pivotButton="0" quotePrefix="0" xfId="0"/>
    <xf numFmtId="0" fontId="3" fillId="0" borderId="2" applyAlignment="1" pivotButton="0" quotePrefix="0" xfId="0">
      <alignment horizontal="left" vertical="center" wrapText="1"/>
    </xf>
    <xf numFmtId="0" fontId="3" fillId="0" borderId="1" pivotButton="0" quotePrefix="0" xfId="0"/>
    <xf numFmtId="0" fontId="7" fillId="0" borderId="0" applyAlignment="1" pivotButton="0" quotePrefix="0" xfId="0">
      <alignment wrapText="1"/>
    </xf>
    <xf numFmtId="0" fontId="7" fillId="0" borderId="0" applyAlignment="1" pivotButton="0" quotePrefix="0" xfId="0">
      <alignment wrapText="1"/>
    </xf>
    <xf numFmtId="0" fontId="16" fillId="0" borderId="0" applyAlignment="1" pivotButton="0" quotePrefix="0" xfId="0">
      <alignment vertical="top" wrapText="1"/>
    </xf>
    <xf numFmtId="0" fontId="20" fillId="0" borderId="0" pivotButton="0" quotePrefix="0" xfId="0"/>
    <xf numFmtId="0" fontId="17" fillId="0" borderId="0" applyAlignment="1" pivotButton="0" quotePrefix="0" xfId="0">
      <alignment vertical="top" wrapText="1"/>
    </xf>
    <xf numFmtId="0" fontId="18" fillId="0" borderId="0" applyAlignment="1" pivotButton="0" quotePrefix="0" xfId="0">
      <alignment vertical="top" wrapText="1"/>
    </xf>
    <xf numFmtId="0" fontId="19" fillId="2" borderId="1" applyAlignment="1" pivotButton="0" quotePrefix="0" xfId="0">
      <alignment horizontal="left" vertical="center" wrapText="1"/>
    </xf>
    <xf numFmtId="0" fontId="19" fillId="2" borderId="1" pivotButton="0" quotePrefix="0" xfId="0"/>
    <xf numFmtId="0" fontId="19" fillId="2" borderId="0" pivotButton="0" quotePrefix="0" xfId="0"/>
    <xf numFmtId="0" fontId="17" fillId="0" borderId="1" applyAlignment="1" pivotButton="0" quotePrefix="0" xfId="0">
      <alignment vertical="top" wrapText="1"/>
    </xf>
    <xf numFmtId="0" fontId="20" fillId="0" borderId="1" applyAlignment="1" pivotButton="0" quotePrefix="0" xfId="0">
      <alignment vertical="top" wrapText="1"/>
    </xf>
    <xf numFmtId="165" fontId="20" fillId="0" borderId="1" applyAlignment="1" pivotButton="0" quotePrefix="0" xfId="0">
      <alignment vertical="top" wrapText="1"/>
    </xf>
    <xf numFmtId="0" fontId="19" fillId="2" borderId="0" applyAlignment="1" pivotButton="0" quotePrefix="0" xfId="0">
      <alignment vertical="top" wrapText="1"/>
    </xf>
    <xf numFmtId="0" fontId="16" fillId="0" borderId="0" pivotButton="0" quotePrefix="0" xfId="0"/>
    <xf numFmtId="0" fontId="21" fillId="0" borderId="0" pivotButton="0" quotePrefix="0" xfId="0"/>
    <xf numFmtId="165" fontId="17" fillId="0" borderId="0" pivotButton="0" quotePrefix="0" xfId="0"/>
    <xf numFmtId="0" fontId="17" fillId="0" borderId="0" pivotButton="0" quotePrefix="0" xfId="0"/>
    <xf numFmtId="0" fontId="21" fillId="0" borderId="0" applyAlignment="1" pivotButton="0" quotePrefix="0" xfId="0">
      <alignment vertical="top" wrapText="1"/>
    </xf>
    <xf numFmtId="4" fontId="17" fillId="0" borderId="0" pivotButton="0" quotePrefix="0" xfId="0"/>
    <xf numFmtId="0" fontId="22" fillId="0" borderId="2" pivotButton="0" quotePrefix="0" xfId="0"/>
    <xf numFmtId="0" fontId="17" fillId="0" borderId="2" applyAlignment="1" pivotButton="0" quotePrefix="0" xfId="0">
      <alignment horizontal="left" vertical="center" wrapText="1"/>
    </xf>
    <xf numFmtId="0" fontId="20" fillId="0" borderId="10" pivotButton="0" quotePrefix="0" xfId="0"/>
    <xf numFmtId="0" fontId="20" fillId="0" borderId="11" pivotButton="0" quotePrefix="0" xfId="0"/>
    <xf numFmtId="0" fontId="23" fillId="2" borderId="3" applyAlignment="1" pivotButton="0" quotePrefix="0" xfId="0">
      <alignment horizontal="center" vertical="center" wrapText="1"/>
    </xf>
    <xf numFmtId="0" fontId="17" fillId="0" borderId="1" pivotButton="0" quotePrefix="0" xfId="0"/>
    <xf numFmtId="0" fontId="22" fillId="0" borderId="0" pivotButton="0" quotePrefix="0" xfId="0"/>
    <xf numFmtId="0" fontId="24" fillId="0" borderId="1" applyAlignment="1" pivotButton="0" quotePrefix="0" xfId="0">
      <alignment horizontal="center" vertical="center"/>
    </xf>
    <xf numFmtId="0" fontId="20" fillId="0" borderId="6" pivotButton="0" quotePrefix="0" xfId="0"/>
    <xf numFmtId="0" fontId="20" fillId="0" borderId="7" pivotButton="0" quotePrefix="0" xfId="0"/>
    <xf numFmtId="0" fontId="25" fillId="0" borderId="0" applyAlignment="1" pivotButton="0" quotePrefix="0" xfId="0">
      <alignment vertical="top" wrapText="1"/>
    </xf>
    <xf numFmtId="0" fontId="23" fillId="2" borderId="1" applyAlignment="1" pivotButton="0" quotePrefix="0" xfId="0">
      <alignment horizontal="center" vertical="center" wrapText="1"/>
    </xf>
    <xf numFmtId="0" fontId="26" fillId="0" borderId="0" applyAlignment="1" pivotButton="0" quotePrefix="0" xfId="0">
      <alignment horizontal="center" vertical="center"/>
    </xf>
    <xf numFmtId="3" fontId="17" fillId="0" borderId="1" pivotButton="0" quotePrefix="0" xfId="0"/>
    <xf numFmtId="4" fontId="17" fillId="0" borderId="1" pivotButton="0" quotePrefix="0" xfId="0"/>
    <xf numFmtId="4" fontId="17" fillId="0" borderId="1" applyAlignment="1" pivotButton="0" quotePrefix="0" xfId="0">
      <alignment vertical="top" wrapText="1"/>
    </xf>
    <xf numFmtId="0" fontId="27" fillId="3" borderId="1" pivotButton="0" quotePrefix="0" xfId="0"/>
    <xf numFmtId="3" fontId="27" fillId="3" borderId="1" pivotButton="0" quotePrefix="0" xfId="0"/>
    <xf numFmtId="4" fontId="27" fillId="3" borderId="1" pivotButton="0" quotePrefix="0" xfId="0"/>
    <xf numFmtId="0" fontId="17" fillId="0" borderId="1" applyAlignment="1" pivotButton="0" quotePrefix="0" xfId="0">
      <alignment horizontal="left" vertical="center" wrapText="1"/>
    </xf>
    <xf numFmtId="0" fontId="27" fillId="3" borderId="1" applyAlignment="1" pivotButton="0" quotePrefix="0" xfId="0">
      <alignment vertical="top" wrapText="1"/>
    </xf>
    <xf numFmtId="0" fontId="17" fillId="0" borderId="1" applyAlignment="1" pivotButton="0" quotePrefix="0" xfId="0">
      <alignment horizontal="center" vertical="center"/>
    </xf>
    <xf numFmtId="0" fontId="21" fillId="0" borderId="1" applyAlignment="1" pivotButton="0" quotePrefix="0" xfId="0">
      <alignment vertical="top" wrapText="1"/>
    </xf>
    <xf numFmtId="0" fontId="21" fillId="3" borderId="1" applyAlignment="1" pivotButton="0" quotePrefix="0" xfId="0">
      <alignment horizontal="center" vertical="center" wrapText="1"/>
    </xf>
    <xf numFmtId="0" fontId="18" fillId="0" borderId="0" applyAlignment="1" pivotButton="0" quotePrefix="0" xfId="0">
      <alignment wrapText="1"/>
    </xf>
    <xf numFmtId="0" fontId="18" fillId="0" borderId="0" applyAlignment="1" pivotButton="0" quotePrefix="0" xfId="0">
      <alignment horizontal="left" vertical="center" wrapText="1"/>
    </xf>
    <xf numFmtId="0" fontId="20" fillId="0" borderId="0" applyAlignment="1" pivotButton="0" quotePrefix="0" xfId="0">
      <alignment vertical="top" wrapText="1"/>
    </xf>
    <xf numFmtId="165" fontId="20" fillId="0" borderId="0" pivotButton="0" quotePrefix="0" xfId="0"/>
    <xf numFmtId="4" fontId="20" fillId="0" borderId="0" pivotButton="0" quotePrefix="0" xfId="0"/>
    <xf numFmtId="0" fontId="28" fillId="4" borderId="0" applyAlignment="1" pivotButton="0" quotePrefix="0" xfId="0">
      <alignment horizontal="left" vertical="center" wrapText="1"/>
    </xf>
    <xf numFmtId="0" fontId="29" fillId="5" borderId="12" pivotButton="0" quotePrefix="0" xfId="0"/>
    <xf numFmtId="0" fontId="30" fillId="0" borderId="12" pivotButton="0" quotePrefix="0" xfId="0"/>
    <xf numFmtId="0" fontId="30" fillId="0" borderId="12" applyAlignment="1" pivotButton="0" quotePrefix="0" xfId="0">
      <alignment vertical="top" wrapText="1"/>
    </xf>
    <xf numFmtId="165" fontId="30" fillId="0" borderId="12" pivotButton="0" quotePrefix="0" xfId="0"/>
    <xf numFmtId="0" fontId="31" fillId="6" borderId="0" applyAlignment="1" pivotButton="0" quotePrefix="0" xfId="0">
      <alignment vertical="top" wrapText="1"/>
    </xf>
  </cellXfs>
  <cellStyles count="1">
    <cellStyle name="Normal" xfId="0" builtinId="0"/>
  </cellStyles>
  <dxfs count="4">
    <dxf>
      <fill>
        <patternFill patternType="solid">
          <fgColor rgb="00FFF2CC"/>
        </patternFill>
      </fill>
    </dxf>
    <dxf>
      <fill>
        <patternFill patternType="solid">
          <fgColor rgb="00F4CCCC"/>
        </patternFill>
      </fill>
    </dxf>
    <dxf>
      <fill>
        <patternFill patternType="solid">
          <fgColor rgb="00D9EAD3"/>
        </patternFill>
      </fill>
    </dxf>
    <dxf>
      <fill>
        <patternFill patternType="solid">
          <fgColor rgb="00E7E6E6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4DCDC"/>
      <rgbColor rgb="FF3366FF"/>
      <rgbColor rgb="FF33CCCC"/>
      <rgbColor rgb="FF99CC00"/>
      <rgbColor rgb="FFFFCC00"/>
      <rgbColor rgb="FFFF9900"/>
      <rgbColor rgb="FFDC6900"/>
      <rgbColor rgb="FF6E6E6E"/>
      <rgbColor rgb="FF969696"/>
      <rgbColor rgb="FF003366"/>
      <rgbColor rgb="FF339966"/>
      <rgbColor rgb="FF003300"/>
      <rgbColor rgb="FF333300"/>
      <rgbColor rgb="FFA32020"/>
      <rgbColor rgb="FF993366"/>
      <rgbColor rgb="FF333399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WP_JE_RISK_SELECTIONS" displayName="WP_JE_RISK_SELECTIONS" ref="A7:T58" headerRowCount="1">
  <autoFilter ref="A7:T58"/>
  <tableColumns count="20">
    <tableColumn id="1" name="Risk (H/M/L)"/>
    <tableColumn id="2" name="Sel #"/>
    <tableColumn id="3" name="JE ref"/>
    <tableColumn id="4" name="Date"/>
    <tableColumn id="5" name="Source / type"/>
    <tableColumn id="6" name="Criterion triggering selection"/>
    <tableColumn id="7" name="Description"/>
    <tableColumn id="8" name="Account(s) / FSLI"/>
    <tableColumn id="9" name="Debit"/>
    <tableColumn id="10" name="Credit"/>
    <tableColumn id="11" name="Balanced (Dr − Cr)"/>
    <tableColumn id="12" name="Investigation focus"/>
    <tableColumn id="13" name="Support obtained (Y/N)"/>
    <tableColumn id="14" name="Approval evidence (Y/N)"/>
    <tableColumn id="15" name="Prepared by"/>
    <tableColumn id="16" name="Approved by"/>
    <tableColumn id="17" name="SoD check"/>
    <tableColumn id="18" name="Client explanation"/>
    <tableColumn id="19" name="Conclusion (S / U / N/A)"/>
    <tableColumn id="20" name="Comments"/>
  </tableColumns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Q29"/>
  <sheetViews>
    <sheetView showGridLines="0" tabSelected="1" zoomScale="90" zoomScaleNormal="100" workbookViewId="0">
      <pane xSplit="8" ySplit="6" topLeftCell="I7" activePane="bottomRight" state="frozen"/>
      <selection pane="topRight"/>
      <selection pane="bottomLeft"/>
      <selection pane="bottomRight" activeCell="B14" sqref="B14"/>
    </sheetView>
  </sheetViews>
  <sheetFormatPr baseColWidth="8" defaultColWidth="8.6328125" defaultRowHeight="14.5"/>
  <cols>
    <col width="42" customWidth="1" min="1" max="1"/>
    <col width="15" customWidth="1" min="2" max="2"/>
    <col width="15" customWidth="1" min="3" max="3"/>
    <col width="17" customWidth="1" min="4" max="4"/>
    <col width="18" customWidth="1" min="5" max="5"/>
    <col width="14" customWidth="1" min="6" max="6"/>
    <col width="14" customWidth="1" min="7" max="7"/>
    <col width="42" customWidth="1" min="8" max="8"/>
    <col width="88" customWidth="1" min="9" max="9"/>
    <col width="29.2" customWidth="1" min="10" max="10"/>
    <col width="14" customWidth="1" min="11" max="11"/>
    <col width="18" customWidth="1" min="12" max="12"/>
    <col width="14" customWidth="1" min="13" max="13"/>
    <col width="18" customWidth="1" min="14" max="14"/>
    <col width="34" customWidth="1" min="15" max="15"/>
    <col width="42" customWidth="1" min="16" max="16"/>
    <col width="64" customWidth="1" min="17" max="17"/>
  </cols>
  <sheetData>
    <row r="1" ht="27" customHeight="1">
      <c r="A1" s="32" t="inlineStr">
        <is>
          <t>Journal Entries (Risk Testing) — Library of Audit Procedures</t>
        </is>
      </c>
      <c r="B1" s="33" t="n"/>
      <c r="C1" s="33" t="n"/>
      <c r="D1" s="33" t="n"/>
      <c r="E1" s="33" t="n"/>
      <c r="F1" s="33" t="n"/>
      <c r="G1" s="33" t="n"/>
      <c r="H1" s="33" t="n"/>
      <c r="I1" s="33" t="n"/>
      <c r="J1" s="33" t="n"/>
      <c r="K1" s="33" t="n"/>
      <c r="L1" s="33" t="n"/>
      <c r="M1" s="33" t="n"/>
      <c r="N1" s="33" t="n"/>
      <c r="O1" s="33" t="n"/>
      <c r="P1" s="33" t="n"/>
      <c r="Q1" s="33" t="n"/>
    </row>
    <row r="2">
      <c r="A2" s="34" t="inlineStr">
        <is>
          <t>Client / Entity: Vaquite Industries, Inc.</t>
        </is>
      </c>
      <c r="B2" s="33" t="n"/>
      <c r="C2" s="33" t="n"/>
      <c r="D2" s="33" t="n"/>
      <c r="E2" s="33" t="n"/>
      <c r="F2" s="33" t="n"/>
      <c r="G2" s="33" t="n"/>
      <c r="H2" s="33" t="n"/>
      <c r="I2" s="33" t="n"/>
      <c r="J2" s="33" t="n"/>
      <c r="K2" s="33" t="n"/>
      <c r="L2" s="33" t="n"/>
      <c r="M2" s="33" t="n"/>
      <c r="N2" s="33" t="n"/>
      <c r="O2" s="33" t="n"/>
      <c r="P2" s="33" t="n"/>
      <c r="Q2" s="33" t="n"/>
    </row>
    <row r="3" ht="40.5" customHeight="1">
      <c r="A3" s="34" t="inlineStr">
        <is>
          <t>Prepared by: Audit Senior 80A0 (assigned)      Reviewed by: Audit Manager 403F (assigned)</t>
        </is>
      </c>
      <c r="B3" s="33" t="n"/>
      <c r="C3" s="33" t="n"/>
      <c r="D3" s="33" t="n"/>
      <c r="E3" s="33" t="n"/>
      <c r="F3" s="33" t="n"/>
      <c r="G3" s="33" t="n"/>
      <c r="H3" s="33" t="n"/>
      <c r="I3" s="33" t="n"/>
      <c r="J3" s="33" t="n"/>
      <c r="K3" s="33" t="n"/>
      <c r="L3" s="33" t="n"/>
      <c r="M3" s="33" t="n"/>
      <c r="N3" s="33" t="n"/>
      <c r="O3" s="33" t="n"/>
      <c r="P3" s="33" t="n"/>
      <c r="Q3" s="33" t="n"/>
    </row>
    <row r="4" ht="25.5" customHeight="1">
      <c r="A4" s="35" t="inlineStr">
        <is>
          <t>For every procedure, record applicability, requirement, execution, evidence, result, issue, and signoff states. Performed procedures require a W/P reference, preparer, date, result, and exact Evidence Index citation. Fact-driven N/A requires a FACT:/ JSON-Pointer citation and rationale; missing evidence remains Open. Preserve the assigned PROC: and WINDOW: dependency tokens.</t>
        </is>
      </c>
      <c r="B4" s="33" t="n"/>
      <c r="C4" s="33" t="n"/>
      <c r="D4" s="33" t="n"/>
      <c r="E4" s="33" t="n"/>
      <c r="F4" s="33" t="n"/>
      <c r="G4" s="33" t="n"/>
      <c r="H4" s="33" t="n"/>
      <c r="I4" s="33" t="n"/>
      <c r="J4" s="33" t="n"/>
      <c r="K4" s="33" t="n"/>
      <c r="L4" s="33" t="n"/>
      <c r="M4" s="33" t="n"/>
      <c r="N4" s="33" t="n"/>
      <c r="O4" s="33" t="n"/>
      <c r="P4" s="33" t="n"/>
      <c r="Q4" s="33" t="n"/>
    </row>
    <row r="5">
      <c r="A5" s="33" t="n"/>
      <c r="B5" s="33" t="n"/>
      <c r="C5" s="33" t="n"/>
      <c r="D5" s="33" t="n"/>
      <c r="E5" s="33" t="n"/>
      <c r="F5" s="33" t="n"/>
      <c r="G5" s="33" t="n"/>
      <c r="H5" s="33" t="n"/>
      <c r="I5" s="33" t="n"/>
      <c r="J5" s="33" t="n"/>
      <c r="K5" s="33" t="n"/>
      <c r="L5" s="33" t="n"/>
      <c r="M5" s="33" t="n"/>
      <c r="N5" s="33" t="n"/>
      <c r="O5" s="33" t="n"/>
      <c r="P5" s="33" t="n"/>
      <c r="Q5" s="33" t="n"/>
    </row>
    <row r="6" ht="19.5" customHeight="1">
      <c r="A6" s="36" t="inlineStr">
        <is>
          <t>Applicability</t>
        </is>
      </c>
      <c r="B6" s="36" t="inlineStr">
        <is>
          <t>Requirement</t>
        </is>
      </c>
      <c r="C6" s="36" t="inlineStr">
        <is>
          <t>Execution state</t>
        </is>
      </c>
      <c r="D6" s="36" t="inlineStr">
        <is>
          <t>Evidence state</t>
        </is>
      </c>
      <c r="E6" s="36" t="inlineStr">
        <is>
          <t>Result state</t>
        </is>
      </c>
      <c r="F6" s="36" t="inlineStr">
        <is>
          <t>Issue state</t>
        </is>
      </c>
      <c r="G6" s="36" t="inlineStr">
        <is>
          <t>Signoff state</t>
        </is>
      </c>
      <c r="H6" s="36" t="inlineStr">
        <is>
          <t>Derived outcome</t>
        </is>
      </c>
      <c r="I6" s="36" t="inlineStr">
        <is>
          <t>Procedure</t>
        </is>
      </c>
      <c r="J6" s="36" t="inlineStr">
        <is>
          <t>Assertion(s)</t>
        </is>
      </c>
      <c r="K6" s="36" t="inlineStr">
        <is>
          <t>W/P Ref</t>
        </is>
      </c>
      <c r="L6" s="36" t="inlineStr">
        <is>
          <t>Performed by</t>
        </is>
      </c>
      <c r="M6" s="36" t="inlineStr">
        <is>
          <t>Date</t>
        </is>
      </c>
      <c r="N6" s="36" t="inlineStr">
        <is>
          <t>Reason code</t>
        </is>
      </c>
      <c r="O6" s="36" t="inlineStr">
        <is>
          <t>Source fact / evidence</t>
        </is>
      </c>
      <c r="P6" s="36" t="inlineStr">
        <is>
          <t>Issue / dependency IDs</t>
        </is>
      </c>
      <c r="Q6" s="36" t="inlineStr">
        <is>
          <t>Comment / Work performed</t>
        </is>
      </c>
    </row>
    <row r="7">
      <c r="A7" s="37" t="n"/>
      <c r="B7" s="33" t="n"/>
      <c r="C7" s="33" t="n"/>
      <c r="D7" s="33" t="n"/>
      <c r="E7" s="33" t="n"/>
      <c r="F7" s="33" t="n"/>
      <c r="G7" s="33" t="n"/>
      <c r="H7" s="33" t="n"/>
      <c r="I7" s="38" t="inlineStr">
        <is>
          <t>&lt;.0&gt; Source Index</t>
        </is>
      </c>
      <c r="J7" s="33" t="n"/>
      <c r="K7" s="33" t="n"/>
      <c r="L7" s="33" t="n"/>
      <c r="M7" s="33" t="n"/>
      <c r="N7" s="33" t="n"/>
      <c r="O7" s="33" t="n"/>
      <c r="P7" s="33" t="n"/>
      <c r="Q7" s="33" t="n"/>
    </row>
    <row r="8" ht="120" customHeight="1">
      <c r="A8" s="39" t="inlineStr">
        <is>
          <t>Applicable</t>
        </is>
      </c>
      <c r="B8" s="39" t="inlineStr">
        <is>
          <t>Required</t>
        </is>
      </c>
      <c r="C8" s="39" t="inlineStr">
        <is>
          <t>Not Started</t>
        </is>
      </c>
      <c r="D8" s="39" t="inlineStr">
        <is>
          <t>Missing</t>
        </is>
      </c>
      <c r="E8" s="39" t="inlineStr">
        <is>
          <t>Unable to Conclude</t>
        </is>
      </c>
      <c r="F8" s="39" t="inlineStr">
        <is>
          <t>None</t>
        </is>
      </c>
      <c r="G8" s="40" t="inlineStr">
        <is>
          <t>Unsigned</t>
        </is>
      </c>
      <c r="H8" s="40">
        <f>IF(A8="Not Applicable - Fact Driven",IF(AND(C8="Not Performed",D8="Not Required",OR(F8="None",F8="Resolved",F8="Passed"),OR(G8="Prepared",G8="Reviewed"),LEFT(O8,6)="FACT:/",Q8&lt;&gt;""),"Valid N/A","Blocked"),IF(AND(B8="Recommended",C8="Not Performed",D8="Not Required",OR(F8="None",F8="Resolved",F8="Passed")),"Recommended - Not Performed",IF(C8&lt;&gt;"Performed","Open - "&amp;C8,IF(D8&lt;&gt;"Sufficient","Open - "&amp;D8&amp;" Evidence",IF(E8="Unable to Conclude","Open - Unable to Conclude",IF(AND(E8="Exception Identified",ISERROR(SEARCH("ISSUE:",P8))),"Open - Missing Issue ID",IF(AND(F8="Open",ISERROR(SEARCH("ISSUE:",P8))),"Open - Missing Issue ID",IF(OR(F8="Open",F8="Superseded"),"Open - "&amp;F8&amp;" Issue",IF(AND(E8="Exception Identified",NOT(OR(F8="Adjusted",F8="Passed",F8="Resolved"))),"Open - Undispositioned Exception",IF(OR(G8="Prepared",G8="Reviewed"),"Passed","Open - Unsigned"))))))))))</f>
        <v/>
      </c>
      <c r="I8" s="40" t="inlineStr">
        <is>
          <t>1. Obtain and index all risk-testing sources (validated population, close checklist / approval workflow, user listing with roles, suspense GL detail, ERP source schedules, post-close listing); document limitations.</t>
        </is>
      </c>
      <c r="J8" s="40" t="inlineStr">
        <is>
          <t>Completeness</t>
        </is>
      </c>
      <c r="K8" s="40" t="inlineStr">
        <is>
          <t>&lt;.0&gt;</t>
        </is>
      </c>
      <c r="L8" s="40" t="n"/>
      <c r="M8" s="41" t="n"/>
      <c r="N8" s="40" t="n"/>
      <c r="O8" s="40" t="n"/>
      <c r="P8" s="40" t="inlineStr">
        <is>
          <t>PROC:PROC-Journal reference Entries; PROC:RESP-MANAGEMENT-OVERRIDE-JE; PROC:RESP-MANAGEMENT-OVERRIDE-UNPREDICTABLE</t>
        </is>
      </c>
      <c r="Q8" s="40" t="n"/>
    </row>
    <row r="9">
      <c r="A9" s="37" t="n"/>
      <c r="B9" s="33" t="n"/>
      <c r="C9" s="33" t="n"/>
      <c r="D9" s="33" t="n"/>
      <c r="E9" s="33" t="n"/>
      <c r="F9" s="33" t="n"/>
      <c r="G9" s="33" t="n"/>
      <c r="H9" s="33" t="n"/>
      <c r="I9" s="42" t="inlineStr">
        <is>
          <t>&lt;.1&gt; Population &amp; Risk Criteria</t>
        </is>
      </c>
      <c r="J9" s="33" t="n"/>
      <c r="K9" s="33" t="n"/>
      <c r="L9" s="33" t="n"/>
      <c r="M9" s="33" t="n"/>
      <c r="N9" s="33" t="n"/>
      <c r="O9" s="33" t="n"/>
      <c r="P9" s="33" t="n"/>
      <c r="Q9" s="33" t="n"/>
    </row>
    <row r="10" ht="120" customHeight="1">
      <c r="A10" s="39" t="inlineStr">
        <is>
          <t>Applicable</t>
        </is>
      </c>
      <c r="B10" s="39" t="inlineStr">
        <is>
          <t>Required</t>
        </is>
      </c>
      <c r="C10" s="39" t="inlineStr">
        <is>
          <t>Not Started</t>
        </is>
      </c>
      <c r="D10" s="39" t="inlineStr">
        <is>
          <t>Missing</t>
        </is>
      </c>
      <c r="E10" s="39" t="inlineStr">
        <is>
          <t>Unable to Conclude</t>
        </is>
      </c>
      <c r="F10" s="39" t="inlineStr">
        <is>
          <t>None</t>
        </is>
      </c>
      <c r="G10" s="40" t="inlineStr">
        <is>
          <t>Unsigned</t>
        </is>
      </c>
      <c r="H10" s="40">
        <f>IF(A10="Not Applicable - Fact Driven",IF(AND(C10="Not Performed",D10="Not Required",OR(F10="None",F10="Resolved",F10="Passed"),OR(G10="Prepared",G10="Reviewed"),LEFT(O10,6)="FACT:/",Q10&lt;&gt;""),"Valid N/A","Blocked"),IF(AND(B10="Recommended",C10="Not Performed",D10="Not Required",OR(F10="None",F10="Resolved",F10="Passed")),"Recommended - Not Performed",IF(C10&lt;&gt;"Performed","Open - "&amp;C10,IF(D10&lt;&gt;"Sufficient","Open - "&amp;D10&amp;" Evidence",IF(E10="Unable to Conclude","Open - Unable to Conclude",IF(AND(E10="Exception Identified",ISERROR(SEARCH("ISSUE:",P10))),"Open - Missing Issue ID",IF(AND(F10="Open",ISERROR(SEARCH("ISSUE:",P10))),"Open - Missing Issue ID",IF(OR(F10="Open",F10="Superseded"),"Open - "&amp;F10&amp;" Issue",IF(AND(E10="Exception Identified",NOT(OR(F10="Adjusted",F10="Passed",F10="Resolved"))),"Open - Undispositioned Exception",IF(OR(G10="Prepared",G10="Reviewed"),"Passed","Open - Unsigned"))))))))))</f>
        <v/>
      </c>
      <c r="I10" s="40" t="inlineStr">
        <is>
          <t>2. Profile the validated population by source / type (count, debits, credits, net) and confirm total debits equal total credits.</t>
        </is>
      </c>
      <c r="J10" s="40" t="inlineStr">
        <is>
          <t>Completeness</t>
        </is>
      </c>
      <c r="K10" s="40" t="inlineStr">
        <is>
          <t>&lt;.1&gt;</t>
        </is>
      </c>
      <c r="L10" s="40" t="n"/>
      <c r="M10" s="41" t="n"/>
      <c r="N10" s="40" t="n"/>
      <c r="O10" s="40" t="n"/>
      <c r="P10" s="40" t="inlineStr">
        <is>
          <t>PROC:PROC-Journal reference Entries; PROC:RESP-MANAGEMENT-OVERRIDE-JE; PROC:RESP-MANAGEMENT-OVERRIDE-UNPREDICTABLE</t>
        </is>
      </c>
      <c r="Q10" s="40" t="n"/>
    </row>
    <row r="11" ht="120" customHeight="1">
      <c r="A11" s="39" t="inlineStr">
        <is>
          <t>Applicable</t>
        </is>
      </c>
      <c r="B11" s="39" t="inlineStr">
        <is>
          <t>Required</t>
        </is>
      </c>
      <c r="C11" s="39" t="inlineStr">
        <is>
          <t>Not Started</t>
        </is>
      </c>
      <c r="D11" s="39" t="inlineStr">
        <is>
          <t>Missing</t>
        </is>
      </c>
      <c r="E11" s="39" t="inlineStr">
        <is>
          <t>Unable to Conclude</t>
        </is>
      </c>
      <c r="F11" s="39" t="inlineStr">
        <is>
          <t>None</t>
        </is>
      </c>
      <c r="G11" s="40" t="inlineStr">
        <is>
          <t>Unsigned</t>
        </is>
      </c>
      <c r="H11" s="40">
        <f>IF(A11="Not Applicable - Fact Driven",IF(AND(C11="Not Performed",D11="Not Required",OR(F11="None",F11="Resolved",F11="Passed"),OR(G11="Prepared",G11="Reviewed"),LEFT(O11,6)="FACT:/",Q11&lt;&gt;""),"Valid N/A","Blocked"),IF(AND(B11="Recommended",C11="Not Performed",D11="Not Required",OR(F11="None",F11="Resolved",F11="Passed")),"Recommended - Not Performed",IF(C11&lt;&gt;"Performed","Open - "&amp;C11,IF(D11&lt;&gt;"Sufficient","Open - "&amp;D11&amp;" Evidence",IF(E11="Unable to Conclude","Open - Unable to Conclude",IF(AND(E11="Exception Identified",ISERROR(SEARCH("ISSUE:",P11))),"Open - Missing Issue ID",IF(AND(F11="Open",ISERROR(SEARCH("ISSUE:",P11))),"Open - Missing Issue ID",IF(OR(F11="Open",F11="Superseded"),"Open - "&amp;F11&amp;" Issue",IF(AND(E11="Exception Identified",NOT(OR(F11="Adjusted",F11="Passed",F11="Resolved"))),"Open - Undispositioned Exception",IF(OR(G11="Prepared",G11="Reviewed"),"Passed","Open - Unsigned"))))))))))</f>
        <v/>
      </c>
      <c r="I11" s="40" t="inlineStr">
        <is>
          <t>3. Apply the standard AU-C 240 risk criteria to the FULL population — after-hours, weekend, round-dollar, manual, suspense, period-end, post-close / top-side, unusual users, seldom-used accounts, missing descriptions, revenue reversals, sub-threshold amounts, preparer-equals-approver — recording the count and amount per criterion and the selection basis.</t>
        </is>
      </c>
      <c r="J11" s="40" t="inlineStr">
        <is>
          <t>Completeness; Occurrence</t>
        </is>
      </c>
      <c r="K11" s="40" t="inlineStr">
        <is>
          <t>&lt;.1&gt;</t>
        </is>
      </c>
      <c r="L11" s="40" t="n"/>
      <c r="M11" s="41" t="n"/>
      <c r="N11" s="40" t="n"/>
      <c r="O11" s="40" t="n"/>
      <c r="P11" s="40" t="inlineStr">
        <is>
          <t>PROC:PROC-Journal reference Entries; PROC:RESP-MANAGEMENT-OVERRIDE-JE; PROC:RESP-MANAGEMENT-OVERRIDE-UNPREDICTABLE</t>
        </is>
      </c>
      <c r="Q11" s="40" t="n"/>
    </row>
    <row r="12">
      <c r="A12" s="37" t="n"/>
      <c r="B12" s="33" t="n"/>
      <c r="C12" s="33" t="n"/>
      <c r="D12" s="33" t="n"/>
      <c r="E12" s="33" t="n"/>
      <c r="F12" s="33" t="n"/>
      <c r="G12" s="33" t="n"/>
      <c r="H12" s="33" t="n"/>
      <c r="I12" s="42" t="inlineStr">
        <is>
          <t>&lt;.2&gt; Selected JE Testing</t>
        </is>
      </c>
      <c r="J12" s="33" t="n"/>
      <c r="K12" s="33" t="n"/>
      <c r="L12" s="33" t="n"/>
      <c r="M12" s="33" t="n"/>
      <c r="N12" s="33" t="n"/>
      <c r="O12" s="33" t="n"/>
      <c r="P12" s="33" t="n"/>
      <c r="Q12" s="33" t="n"/>
    </row>
    <row r="13" ht="120" customHeight="1">
      <c r="A13" s="39" t="inlineStr">
        <is>
          <t>Applicable</t>
        </is>
      </c>
      <c r="B13" s="39" t="inlineStr">
        <is>
          <t>Required</t>
        </is>
      </c>
      <c r="C13" s="39" t="inlineStr">
        <is>
          <t>Not Started</t>
        </is>
      </c>
      <c r="D13" s="39" t="inlineStr">
        <is>
          <t>Missing</t>
        </is>
      </c>
      <c r="E13" s="39" t="inlineStr">
        <is>
          <t>Unable to Conclude</t>
        </is>
      </c>
      <c r="F13" s="39" t="inlineStr">
        <is>
          <t>None</t>
        </is>
      </c>
      <c r="G13" s="40" t="inlineStr">
        <is>
          <t>Unsigned</t>
        </is>
      </c>
      <c r="H13" s="40">
        <f>IF(A13="Not Applicable - Fact Driven",IF(AND(C13="Not Performed",D13="Not Required",OR(F13="None",F13="Resolved",F13="Passed"),OR(G13="Prepared",G13="Reviewed"),LEFT(O13,6)="FACT:/",Q13&lt;&gt;""),"Valid N/A","Blocked"),IF(AND(B13="Recommended",C13="Not Performed",D13="Not Required",OR(F13="None",F13="Resolved",F13="Passed")),"Recommended - Not Performed",IF(C13&lt;&gt;"Performed","Open - "&amp;C13,IF(D13&lt;&gt;"Sufficient","Open - "&amp;D13&amp;" Evidence",IF(E13="Unable to Conclude","Open - Unable to Conclude",IF(AND(E13="Exception Identified",ISERROR(SEARCH("ISSUE:",P13))),"Open - Missing Issue ID",IF(AND(F13="Open",ISERROR(SEARCH("ISSUE:",P13))),"Open - Missing Issue ID",IF(OR(F13="Open",F13="Superseded"),"Open - "&amp;F13&amp;" Issue",IF(AND(E13="Exception Identified",NOT(OR(F13="Adjusted",F13="Passed",F13="Resolved"))),"Open - Undispositioned Exception",IF(OR(G13="Prepared",G13="Reviewed"),"Passed","Open - Unsigned"))))))))))</f>
        <v/>
      </c>
      <c r="I13" s="40" t="inlineStr">
        <is>
          <t>4. Agree each selected entry to supporting documentation (invoices, schedules, calculations, contracts) and recompute the entry — debits equal credits.</t>
        </is>
      </c>
      <c r="J13" s="40" t="inlineStr">
        <is>
          <t>Occurrence; Accuracy</t>
        </is>
      </c>
      <c r="K13" s="40" t="inlineStr">
        <is>
          <t>&lt;.2&gt;</t>
        </is>
      </c>
      <c r="L13" s="40" t="n"/>
      <c r="M13" s="41" t="n"/>
      <c r="N13" s="40" t="n"/>
      <c r="O13" s="40" t="n"/>
      <c r="P13" s="40" t="inlineStr">
        <is>
          <t>PROC:PROC-Journal reference Entries; PROC:RESP-MANAGEMENT-OVERRIDE-JE; PROC:RESP-MANAGEMENT-OVERRIDE-UNPREDICTABLE</t>
        </is>
      </c>
      <c r="Q13" s="40" t="n"/>
    </row>
    <row r="14" ht="120" customHeight="1">
      <c r="A14" s="39" t="inlineStr">
        <is>
          <t>Applicable</t>
        </is>
      </c>
      <c r="B14" s="39" t="inlineStr">
        <is>
          <t>Required</t>
        </is>
      </c>
      <c r="C14" s="39" t="inlineStr">
        <is>
          <t>Not Started</t>
        </is>
      </c>
      <c r="D14" s="39" t="inlineStr">
        <is>
          <t>Missing</t>
        </is>
      </c>
      <c r="E14" s="39" t="inlineStr">
        <is>
          <t>Unable to Conclude</t>
        </is>
      </c>
      <c r="F14" s="39" t="inlineStr">
        <is>
          <t>None</t>
        </is>
      </c>
      <c r="G14" s="40" t="inlineStr">
        <is>
          <t>Unsigned</t>
        </is>
      </c>
      <c r="H14" s="40">
        <f>IF(A14="Not Applicable - Fact Driven",IF(AND(C14="Not Performed",D14="Not Required",OR(F14="None",F14="Resolved",F14="Passed"),OR(G14="Prepared",G14="Reviewed"),LEFT(O14,6)="FACT:/",Q14&lt;&gt;""),"Valid N/A","Blocked"),IF(AND(B14="Recommended",C14="Not Performed",D14="Not Required",OR(F14="None",F14="Resolved",F14="Passed")),"Recommended - Not Performed",IF(C14&lt;&gt;"Performed","Open - "&amp;C14,IF(D14&lt;&gt;"Sufficient","Open - "&amp;D14&amp;" Evidence",IF(E14="Unable to Conclude","Open - Unable to Conclude",IF(AND(E14="Exception Identified",ISERROR(SEARCH("ISSUE:",P14))),"Open - Missing Issue ID",IF(AND(F14="Open",ISERROR(SEARCH("ISSUE:",P14))),"Open - Missing Issue ID",IF(OR(F14="Open",F14="Superseded"),"Open - "&amp;F14&amp;" Issue",IF(AND(E14="Exception Identified",NOT(OR(F14="Adjusted",F14="Passed",F14="Resolved"))),"Open - Undispositioned Exception",IF(OR(G14="Prepared",G14="Reviewed"),"Passed","Open - Unsigned"))))))))))</f>
        <v/>
      </c>
      <c r="I14" s="40" t="inlineStr">
        <is>
          <t>5. Obtain approval evidence (signed close checklist / workflow) and capture preparer and approver identities — investigate every same-person (SoD) flag as a potential override indicator.</t>
        </is>
      </c>
      <c r="J14" s="40" t="inlineStr">
        <is>
          <t>Authorization</t>
        </is>
      </c>
      <c r="K14" s="40" t="inlineStr">
        <is>
          <t>&lt;.2&gt;</t>
        </is>
      </c>
      <c r="L14" s="40" t="n"/>
      <c r="M14" s="41" t="n"/>
      <c r="N14" s="40" t="n"/>
      <c r="O14" s="40" t="n"/>
      <c r="P14" s="40" t="inlineStr">
        <is>
          <t>PROC:PROC-Journal reference Entries; PROC:RESP-MANAGEMENT-OVERRIDE-JE; PROC:RESP-MANAGEMENT-OVERRIDE-UNPREDICTABLE</t>
        </is>
      </c>
      <c r="Q14" s="40" t="n"/>
    </row>
    <row r="15" ht="120" customHeight="1">
      <c r="A15" s="39" t="inlineStr">
        <is>
          <t>Applicable</t>
        </is>
      </c>
      <c r="B15" s="39" t="inlineStr">
        <is>
          <t>Required</t>
        </is>
      </c>
      <c r="C15" s="39" t="inlineStr">
        <is>
          <t>Not Started</t>
        </is>
      </c>
      <c r="D15" s="39" t="inlineStr">
        <is>
          <t>Missing</t>
        </is>
      </c>
      <c r="E15" s="39" t="inlineStr">
        <is>
          <t>Unable to Conclude</t>
        </is>
      </c>
      <c r="F15" s="39" t="inlineStr">
        <is>
          <t>None</t>
        </is>
      </c>
      <c r="G15" s="40" t="inlineStr">
        <is>
          <t>Unsigned</t>
        </is>
      </c>
      <c r="H15" s="40">
        <f>IF(A15="Not Applicable - Fact Driven",IF(AND(C15="Not Performed",D15="Not Required",OR(F15="None",F15="Resolved",F15="Passed"),OR(G15="Prepared",G15="Reviewed"),LEFT(O15,6)="FACT:/",Q15&lt;&gt;""),"Valid N/A","Blocked"),IF(AND(B15="Recommended",C15="Not Performed",D15="Not Required",OR(F15="None",F15="Resolved",F15="Passed")),"Recommended - Not Performed",IF(C15&lt;&gt;"Performed","Open - "&amp;C15,IF(D15&lt;&gt;"Sufficient","Open - "&amp;D15&amp;" Evidence",IF(E15="Unable to Conclude","Open - Unable to Conclude",IF(AND(E15="Exception Identified",ISERROR(SEARCH("ISSUE:",P15))),"Open - Missing Issue ID",IF(AND(F15="Open",ISERROR(SEARCH("ISSUE:",P15))),"Open - Missing Issue ID",IF(OR(F15="Open",F15="Superseded"),"Open - "&amp;F15&amp;" Issue",IF(AND(E15="Exception Identified",NOT(OR(F15="Adjusted",F15="Passed",F15="Resolved"))),"Open - Undispositioned Exception",IF(OR(G15="Prepared",G15="Reviewed"),"Passed","Open - Unsigned"))))))))))</f>
        <v/>
      </c>
      <c r="I15" s="40" t="inlineStr">
        <is>
          <t>6. Confirm posting to the correct accounts and the correct period, and conclude per entry (S / U / N/A) with the client's explanation documented.</t>
        </is>
      </c>
      <c r="J15" s="40" t="inlineStr">
        <is>
          <t>Accuracy; Cutoff; Classification</t>
        </is>
      </c>
      <c r="K15" s="40" t="inlineStr">
        <is>
          <t>&lt;.2&gt;</t>
        </is>
      </c>
      <c r="L15" s="40" t="n"/>
      <c r="M15" s="41" t="n"/>
      <c r="N15" s="40" t="n"/>
      <c r="O15" s="40" t="n"/>
      <c r="P15" s="40" t="inlineStr">
        <is>
          <t>PROC:PROC-Journal reference Entries; PROC:RESP-MANAGEMENT-OVERRIDE-JE; PROC:RESP-MANAGEMENT-OVERRIDE-UNPREDICTABLE</t>
        </is>
      </c>
      <c r="Q15" s="40" t="n"/>
    </row>
    <row r="16">
      <c r="A16" s="37" t="n"/>
      <c r="B16" s="33" t="n"/>
      <c r="C16" s="33" t="n"/>
      <c r="D16" s="33" t="n"/>
      <c r="E16" s="33" t="n"/>
      <c r="F16" s="33" t="n"/>
      <c r="G16" s="33" t="n"/>
      <c r="H16" s="33" t="n"/>
      <c r="I16" s="42" t="inlineStr">
        <is>
          <t>&lt;.3&gt; Suspense &amp; Clearing</t>
        </is>
      </c>
      <c r="J16" s="33" t="n"/>
      <c r="K16" s="33" t="n"/>
      <c r="L16" s="33" t="n"/>
      <c r="M16" s="33" t="n"/>
      <c r="N16" s="33" t="n"/>
      <c r="O16" s="33" t="n"/>
      <c r="P16" s="33" t="n"/>
      <c r="Q16" s="33" t="n"/>
    </row>
    <row r="17" ht="120" customHeight="1">
      <c r="A17" s="39" t="inlineStr">
        <is>
          <t>Applicable</t>
        </is>
      </c>
      <c r="B17" s="39" t="inlineStr">
        <is>
          <t>Required</t>
        </is>
      </c>
      <c r="C17" s="39" t="inlineStr">
        <is>
          <t>Not Started</t>
        </is>
      </c>
      <c r="D17" s="39" t="inlineStr">
        <is>
          <t>Missing</t>
        </is>
      </c>
      <c r="E17" s="39" t="inlineStr">
        <is>
          <t>Unable to Conclude</t>
        </is>
      </c>
      <c r="F17" s="39" t="inlineStr">
        <is>
          <t>None</t>
        </is>
      </c>
      <c r="G17" s="40" t="inlineStr">
        <is>
          <t>Unsigned</t>
        </is>
      </c>
      <c r="H17" s="40">
        <f>IF(A17="Not Applicable - Fact Driven",IF(AND(C17="Not Performed",D17="Not Required",OR(F17="None",F17="Resolved",F17="Passed"),OR(G17="Prepared",G17="Reviewed"),LEFT(O17,6)="FACT:/",Q17&lt;&gt;""),"Valid N/A","Blocked"),IF(AND(B17="Recommended",C17="Not Performed",D17="Not Required",OR(F17="None",F17="Resolved",F17="Passed")),"Recommended - Not Performed",IF(C17&lt;&gt;"Performed","Open - "&amp;C17,IF(D17&lt;&gt;"Sufficient","Open - "&amp;D17&amp;" Evidence",IF(E17="Unable to Conclude","Open - Unable to Conclude",IF(AND(E17="Exception Identified",ISERROR(SEARCH("ISSUE:",P17))),"Open - Missing Issue ID",IF(AND(F17="Open",ISERROR(SEARCH("ISSUE:",P17))),"Open - Missing Issue ID",IF(OR(F17="Open",F17="Superseded"),"Open - "&amp;F17&amp;" Issue",IF(AND(E17="Exception Identified",NOT(OR(F17="Adjusted",F17="Passed",F17="Resolved"))),"Open - Undispositioned Exception",IF(OR(G17="Prepared",G17="Reviewed"),"Passed","Open - Unsigned"))))))))))</f>
        <v/>
      </c>
      <c r="I17" s="40" t="inlineStr">
        <is>
          <t>7. Investigate suspense / clearing accounts — roll activity forward, follow every period-end balance through to its subsequent clearing (date and destination), and evaluate aged items for concealed misstatement.</t>
        </is>
      </c>
      <c r="J17" s="40" t="inlineStr">
        <is>
          <t>Occurrence; Classification</t>
        </is>
      </c>
      <c r="K17" s="40" t="inlineStr">
        <is>
          <t>&lt;.3&gt;</t>
        </is>
      </c>
      <c r="L17" s="40" t="n"/>
      <c r="M17" s="41" t="n"/>
      <c r="N17" s="40" t="n"/>
      <c r="O17" s="40" t="n"/>
      <c r="P17" s="40" t="inlineStr">
        <is>
          <t>PROC:PROC-Journal reference Entries; PROC:RESP-MANAGEMENT-OVERRIDE-JE; PROC:RESP-MANAGEMENT-OVERRIDE-UNPREDICTABLE; WINDOW:WIN-Journal reference Entry Period</t>
        </is>
      </c>
      <c r="Q17" s="40" t="n"/>
    </row>
    <row r="18">
      <c r="A18" s="37" t="n"/>
      <c r="B18" s="33" t="n"/>
      <c r="C18" s="33" t="n"/>
      <c r="D18" s="33" t="n"/>
      <c r="E18" s="33" t="n"/>
      <c r="F18" s="33" t="n"/>
      <c r="G18" s="33" t="n"/>
      <c r="H18" s="33" t="n"/>
      <c r="I18" s="42" t="inlineStr">
        <is>
          <t>&lt;.4&gt; Period-End &amp; Post-Close</t>
        </is>
      </c>
      <c r="J18" s="33" t="n"/>
      <c r="K18" s="33" t="n"/>
      <c r="L18" s="33" t="n"/>
      <c r="M18" s="33" t="n"/>
      <c r="N18" s="33" t="n"/>
      <c r="O18" s="33" t="n"/>
      <c r="P18" s="33" t="n"/>
      <c r="Q18" s="33" t="n"/>
    </row>
    <row r="19" ht="120" customHeight="1">
      <c r="A19" s="39" t="inlineStr">
        <is>
          <t>Applicable</t>
        </is>
      </c>
      <c r="B19" s="39" t="inlineStr">
        <is>
          <t>Required</t>
        </is>
      </c>
      <c r="C19" s="39" t="inlineStr">
        <is>
          <t>Not Started</t>
        </is>
      </c>
      <c r="D19" s="39" t="inlineStr">
        <is>
          <t>Missing</t>
        </is>
      </c>
      <c r="E19" s="39" t="inlineStr">
        <is>
          <t>Unable to Conclude</t>
        </is>
      </c>
      <c r="F19" s="39" t="inlineStr">
        <is>
          <t>None</t>
        </is>
      </c>
      <c r="G19" s="40" t="inlineStr">
        <is>
          <t>Unsigned</t>
        </is>
      </c>
      <c r="H19" s="40">
        <f>IF(A19="Not Applicable - Fact Driven",IF(AND(C19="Not Performed",D19="Not Required",OR(F19="None",F19="Resolved",F19="Passed"),OR(G19="Prepared",G19="Reviewed"),LEFT(O19,6)="FACT:/",Q19&lt;&gt;""),"Valid N/A","Blocked"),IF(AND(B19="Recommended",C19="Not Performed",D19="Not Required",OR(F19="None",F19="Resolved",F19="Passed")),"Recommended - Not Performed",IF(C19&lt;&gt;"Performed","Open - "&amp;C19,IF(D19&lt;&gt;"Sufficient","Open - "&amp;D19&amp;" Evidence",IF(E19="Unable to Conclude","Open - Unable to Conclude",IF(AND(E19="Exception Identified",ISERROR(SEARCH("ISSUE:",P19))),"Open - Missing Issue ID",IF(AND(F19="Open",ISERROR(SEARCH("ISSUE:",P19))),"Open - Missing Issue ID",IF(OR(F19="Open",F19="Superseded"),"Open - "&amp;F19&amp;" Issue",IF(AND(E19="Exception Identified",NOT(OR(F19="Adjusted",F19="Passed",F19="Resolved"))),"Open - Undispositioned Exception",IF(OR(G19="Prepared",G19="Reviewed"),"Passed","Open - Unsigned"))))))))))</f>
        <v/>
      </c>
      <c r="I19" s="40" t="inlineStr">
        <is>
          <t>8. Test entries recorded in the period-end window — business rationale, support and period propriety.</t>
        </is>
      </c>
      <c r="J19" s="40" t="inlineStr">
        <is>
          <t>Cutoff; Occurrence</t>
        </is>
      </c>
      <c r="K19" s="40" t="inlineStr">
        <is>
          <t>&lt;.4&gt;</t>
        </is>
      </c>
      <c r="L19" s="40" t="n"/>
      <c r="M19" s="41" t="n"/>
      <c r="N19" s="40" t="n"/>
      <c r="O19" s="40" t="n"/>
      <c r="P19" s="40" t="inlineStr">
        <is>
          <t>PROC:PROC-Journal reference Entries; PROC:RESP-MANAGEMENT-OVERRIDE-JE; PROC:RESP-MANAGEMENT-OVERRIDE-UNPREDICTABLE</t>
        </is>
      </c>
      <c r="Q19" s="40" t="n"/>
    </row>
    <row r="20" ht="120" customHeight="1">
      <c r="A20" s="39" t="inlineStr">
        <is>
          <t>Applicable</t>
        </is>
      </c>
      <c r="B20" s="39" t="inlineStr">
        <is>
          <t>Required</t>
        </is>
      </c>
      <c r="C20" s="39" t="inlineStr">
        <is>
          <t>Not Started</t>
        </is>
      </c>
      <c r="D20" s="39" t="inlineStr">
        <is>
          <t>Missing</t>
        </is>
      </c>
      <c r="E20" s="39" t="inlineStr">
        <is>
          <t>Unable to Conclude</t>
        </is>
      </c>
      <c r="F20" s="39" t="inlineStr">
        <is>
          <t>None</t>
        </is>
      </c>
      <c r="G20" s="40" t="inlineStr">
        <is>
          <t>Unsigned</t>
        </is>
      </c>
      <c r="H20" s="40">
        <f>IF(A20="Not Applicable - Fact Driven",IF(AND(C20="Not Performed",D20="Not Required",OR(F20="None",F20="Resolved",F20="Passed"),OR(G20="Prepared",G20="Reviewed"),LEFT(O20,6)="FACT:/",Q20&lt;&gt;""),"Valid N/A","Blocked"),IF(AND(B20="Recommended",C20="Not Performed",D20="Not Required",OR(F20="None",F20="Resolved",F20="Passed")),"Recommended - Not Performed",IF(C20&lt;&gt;"Performed","Open - "&amp;C20,IF(D20&lt;&gt;"Sufficient","Open - "&amp;D20&amp;" Evidence",IF(E20="Unable to Conclude","Open - Unable to Conclude",IF(AND(E20="Exception Identified",ISERROR(SEARCH("ISSUE:",P20))),"Open - Missing Issue ID",IF(AND(F20="Open",ISERROR(SEARCH("ISSUE:",P20))),"Open - Missing Issue ID",IF(OR(F20="Open",F20="Superseded"),"Open - "&amp;F20&amp;" Issue",IF(AND(E20="Exception Identified",NOT(OR(F20="Adjusted",F20="Passed",F20="Resolved"))),"Open - Undispositioned Exception",IF(OR(G20="Prepared",G20="Reviewed"),"Passed","Open - Unsigned"))))))))))</f>
        <v/>
      </c>
      <c r="I20" s="40" t="inlineStr">
        <is>
          <t>9. Test post-close and top-side / consolidation adjustments — authorization, FS impact and support — as the highest-override-risk stratum.</t>
        </is>
      </c>
      <c r="J20" s="40" t="inlineStr">
        <is>
          <t>Authorization; Accuracy</t>
        </is>
      </c>
      <c r="K20" s="40" t="inlineStr">
        <is>
          <t>&lt;.4&gt;</t>
        </is>
      </c>
      <c r="L20" s="40" t="n"/>
      <c r="M20" s="41" t="n"/>
      <c r="N20" s="40" t="n"/>
      <c r="O20" s="40" t="n"/>
      <c r="P20" s="40" t="inlineStr">
        <is>
          <t>PROC:PROC-Journal reference Entries; PROC:RESP-MANAGEMENT-OVERRIDE-JE; PROC:RESP-MANAGEMENT-OVERRIDE-UNPREDICTABLE</t>
        </is>
      </c>
      <c r="Q20" s="40" t="n"/>
    </row>
    <row r="21" ht="120" customHeight="1">
      <c r="A21" s="39" t="inlineStr">
        <is>
          <t>Applicable</t>
        </is>
      </c>
      <c r="B21" s="39" t="inlineStr">
        <is>
          <t>Required</t>
        </is>
      </c>
      <c r="C21" s="39" t="inlineStr">
        <is>
          <t>Not Started</t>
        </is>
      </c>
      <c r="D21" s="39" t="inlineStr">
        <is>
          <t>Missing</t>
        </is>
      </c>
      <c r="E21" s="39" t="inlineStr">
        <is>
          <t>Unable to Conclude</t>
        </is>
      </c>
      <c r="F21" s="39" t="inlineStr">
        <is>
          <t>None</t>
        </is>
      </c>
      <c r="G21" s="40" t="inlineStr">
        <is>
          <t>Unsigned</t>
        </is>
      </c>
      <c r="H21" s="40">
        <f>IF(A21="Not Applicable - Fact Driven",IF(AND(C21="Not Performed",D21="Not Required",OR(F21="None",F21="Resolved",F21="Passed"),OR(G21="Prepared",G21="Reviewed"),LEFT(O21,6)="FACT:/",Q21&lt;&gt;""),"Valid N/A","Blocked"),IF(AND(B21="Recommended",C21="Not Performed",D21="Not Required",OR(F21="None",F21="Resolved",F21="Passed")),"Recommended - Not Performed",IF(C21&lt;&gt;"Performed","Open - "&amp;C21,IF(D21&lt;&gt;"Sufficient","Open - "&amp;D21&amp;" Evidence",IF(E21="Unable to Conclude","Open - Unable to Conclude",IF(AND(E21="Exception Identified",ISERROR(SEARCH("ISSUE:",P21))),"Open - Missing Issue ID",IF(AND(F21="Open",ISERROR(SEARCH("ISSUE:",P21))),"Open - Missing Issue ID",IF(OR(F21="Open",F21="Superseded"),"Open - "&amp;F21&amp;" Issue",IF(AND(E21="Exception Identified",NOT(OR(F21="Adjusted",F21="Passed",F21="Resolved"))),"Open - Undispositioned Exception",IF(OR(G21="Prepared",G21="Reviewed"),"Passed","Open - Unsigned"))))))))))</f>
        <v/>
      </c>
      <c r="I21" s="40" t="inlineStr">
        <is>
          <t>10. Agree estimate-related entries to their ERP / source schedules and feed the engagement's retrospective review of estimates for management bias.</t>
        </is>
      </c>
      <c r="J21" s="40" t="inlineStr">
        <is>
          <t>Accuracy</t>
        </is>
      </c>
      <c r="K21" s="40" t="inlineStr">
        <is>
          <t>&lt;.4&gt;</t>
        </is>
      </c>
      <c r="L21" s="40" t="n"/>
      <c r="M21" s="41" t="n"/>
      <c r="N21" s="40" t="n"/>
      <c r="O21" s="40" t="n"/>
      <c r="P21" s="40" t="inlineStr">
        <is>
          <t>PROC:PROC-Journal reference Entries; PROC:RESP-MANAGEMENT-OVERRIDE-JE; PROC:RESP-MANAGEMENT-OVERRIDE-UNPREDICTABLE</t>
        </is>
      </c>
      <c r="Q21" s="40" t="n"/>
    </row>
    <row r="22">
      <c r="A22" s="37" t="n"/>
      <c r="B22" s="33" t="n"/>
      <c r="C22" s="33" t="n"/>
      <c r="D22" s="33" t="n"/>
      <c r="E22" s="33" t="n"/>
      <c r="F22" s="33" t="n"/>
      <c r="G22" s="33" t="n"/>
      <c r="H22" s="33" t="n"/>
      <c r="I22" s="42" t="inlineStr">
        <is>
          <t>&lt;.5&gt; Analytics &amp; Conclusion</t>
        </is>
      </c>
      <c r="J22" s="33" t="n"/>
      <c r="K22" s="33" t="n"/>
      <c r="L22" s="33" t="n"/>
      <c r="M22" s="33" t="n"/>
      <c r="N22" s="33" t="n"/>
      <c r="O22" s="33" t="n"/>
      <c r="P22" s="33" t="n"/>
      <c r="Q22" s="33" t="n"/>
    </row>
    <row r="23" ht="120" customHeight="1">
      <c r="A23" s="39" t="inlineStr">
        <is>
          <t>Applicable</t>
        </is>
      </c>
      <c r="B23" s="39" t="inlineStr">
        <is>
          <t>Required</t>
        </is>
      </c>
      <c r="C23" s="39" t="inlineStr">
        <is>
          <t>Not Started</t>
        </is>
      </c>
      <c r="D23" s="39" t="inlineStr">
        <is>
          <t>Missing</t>
        </is>
      </c>
      <c r="E23" s="39" t="inlineStr">
        <is>
          <t>Unable to Conclude</t>
        </is>
      </c>
      <c r="F23" s="39" t="inlineStr">
        <is>
          <t>None</t>
        </is>
      </c>
      <c r="G23" s="40" t="inlineStr">
        <is>
          <t>Unsigned</t>
        </is>
      </c>
      <c r="H23" s="40">
        <f>IF(A23="Not Applicable - Fact Driven",IF(AND(C23="Not Performed",D23="Not Required",OR(F23="None",F23="Resolved",F23="Passed"),OR(G23="Prepared",G23="Reviewed"),LEFT(O23,6)="FACT:/",Q23&lt;&gt;""),"Valid N/A","Blocked"),IF(AND(B23="Recommended",C23="Not Performed",D23="Not Required",OR(F23="None",F23="Resolved",F23="Passed")),"Recommended - Not Performed",IF(C23&lt;&gt;"Performed","Open - "&amp;C23,IF(D23&lt;&gt;"Sufficient","Open - "&amp;D23&amp;" Evidence",IF(E23="Unable to Conclude","Open - Unable to Conclude",IF(AND(E23="Exception Identified",ISERROR(SEARCH("ISSUE:",P23))),"Open - Missing Issue ID",IF(AND(F23="Open",ISERROR(SEARCH("ISSUE:",P23))),"Open - Missing Issue ID",IF(OR(F23="Open",F23="Superseded"),"Open - "&amp;F23&amp;" Issue",IF(AND(E23="Exception Identified",NOT(OR(F23="Adjusted",F23="Passed",F23="Resolved"))),"Open - Undispositioned Exception",IF(OR(G23="Prepared",G23="Reviewed"),"Passed","Open - Unsigned"))))))))))</f>
        <v/>
      </c>
      <c r="I23" s="40" t="inlineStr">
        <is>
          <t>11. Complete the standard fraud-risk analytics checklist over the full population (by user, hour, day, round-dollar, source, credits to revenue, seldom-used accounts, imbalance scan) and follow up anomalies.</t>
        </is>
      </c>
      <c r="J23" s="40" t="inlineStr">
        <is>
          <t>Completeness; Occurrence</t>
        </is>
      </c>
      <c r="K23" s="40" t="inlineStr">
        <is>
          <t>&lt;.5&gt;</t>
        </is>
      </c>
      <c r="L23" s="40" t="n"/>
      <c r="M23" s="41" t="n"/>
      <c r="N23" s="40" t="n"/>
      <c r="O23" s="40" t="n"/>
      <c r="P23" s="40" t="inlineStr">
        <is>
          <t>PROC:PROC-Journal reference Entries; PROC:RESP-MANAGEMENT-OVERRIDE-JE; PROC:RESP-MANAGEMENT-OVERRIDE-UNPREDICTABLE</t>
        </is>
      </c>
      <c r="Q23" s="40" t="n"/>
    </row>
    <row r="24" ht="120" customHeight="1">
      <c r="A24" s="39" t="inlineStr">
        <is>
          <t>Applicable</t>
        </is>
      </c>
      <c r="B24" s="39" t="inlineStr">
        <is>
          <t>Required</t>
        </is>
      </c>
      <c r="C24" s="39" t="inlineStr">
        <is>
          <t>Not Started</t>
        </is>
      </c>
      <c r="D24" s="39" t="inlineStr">
        <is>
          <t>Missing</t>
        </is>
      </c>
      <c r="E24" s="39" t="inlineStr">
        <is>
          <t>Unable to Conclude</t>
        </is>
      </c>
      <c r="F24" s="39" t="inlineStr">
        <is>
          <t>None</t>
        </is>
      </c>
      <c r="G24" s="40" t="inlineStr">
        <is>
          <t>Unsigned</t>
        </is>
      </c>
      <c r="H24" s="40">
        <f>IF(A24="Not Applicable - Fact Driven",IF(AND(C24="Not Performed",D24="Not Required",OR(F24="None",F24="Resolved",F24="Passed"),OR(G24="Prepared",G24="Reviewed"),LEFT(O24,6)="FACT:/",Q24&lt;&gt;""),"Valid N/A","Blocked"),IF(AND(B24="Recommended",C24="Not Performed",D24="Not Required",OR(F24="None",F24="Resolved",F24="Passed")),"Recommended - Not Performed",IF(C24&lt;&gt;"Performed","Open - "&amp;C24,IF(D24&lt;&gt;"Sufficient","Open - "&amp;D24&amp;" Evidence",IF(E24="Unable to Conclude","Open - Unable to Conclude",IF(AND(E24="Exception Identified",ISERROR(SEARCH("ISSUE:",P24))),"Open - Missing Issue ID",IF(AND(F24="Open",ISERROR(SEARCH("ISSUE:",P24))),"Open - Missing Issue ID",IF(OR(F24="Open",F24="Superseded"),"Open - "&amp;F24&amp;" Issue",IF(AND(E24="Exception Identified",NOT(OR(F24="Adjusted",F24="Passed",F24="Resolved"))),"Open - Undispositioned Exception",IF(OR(G24="Prepared",G24="Reviewed"),"Passed","Open - Unsigned"))))))))))</f>
        <v/>
      </c>
      <c r="I24" s="40" t="inlineStr">
        <is>
          <t>12. Evaluate the management-override indicators collectively (SoD, top-side, suspense, estimates, criteria counts) and conclude on the journal-entry work (AU-C 240.32).</t>
        </is>
      </c>
      <c r="J24" s="40" t="inlineStr">
        <is>
          <t>Overall</t>
        </is>
      </c>
      <c r="K24" s="40" t="inlineStr">
        <is>
          <t>&lt;.5&gt;</t>
        </is>
      </c>
      <c r="L24" s="40" t="n"/>
      <c r="M24" s="41" t="n"/>
      <c r="N24" s="40" t="n"/>
      <c r="O24" s="40" t="n"/>
      <c r="P24" s="40" t="inlineStr">
        <is>
          <t>PROC:PROC-Journal reference Entries; PROC:RESP-MANAGEMENT-OVERRIDE-JE; PROC:RESP-MANAGEMENT-OVERRIDE-UNPREDICTABLE</t>
        </is>
      </c>
      <c r="Q24" s="40" t="n"/>
    </row>
    <row r="25">
      <c r="A25" s="37" t="n"/>
      <c r="B25" s="33" t="n"/>
      <c r="C25" s="33" t="n"/>
      <c r="D25" s="33" t="n"/>
      <c r="E25" s="33" t="n"/>
      <c r="F25" s="33" t="n"/>
      <c r="G25" s="33" t="n"/>
      <c r="H25" s="33" t="n"/>
      <c r="I25" s="42" t="inlineStr">
        <is>
          <t>Documentation &amp; Review</t>
        </is>
      </c>
      <c r="J25" s="33" t="n"/>
      <c r="K25" s="33" t="n"/>
      <c r="L25" s="33" t="n"/>
      <c r="M25" s="33" t="n"/>
      <c r="N25" s="33" t="n"/>
      <c r="O25" s="33" t="n"/>
      <c r="P25" s="33" t="n"/>
      <c r="Q25" s="33" t="n"/>
    </row>
    <row r="26" ht="120" customHeight="1">
      <c r="A26" s="39" t="inlineStr">
        <is>
          <t>Applicable</t>
        </is>
      </c>
      <c r="B26" s="39" t="inlineStr">
        <is>
          <t>Required</t>
        </is>
      </c>
      <c r="C26" s="39" t="inlineStr">
        <is>
          <t>Not Started</t>
        </is>
      </c>
      <c r="D26" s="39" t="inlineStr">
        <is>
          <t>Missing</t>
        </is>
      </c>
      <c r="E26" s="39" t="inlineStr">
        <is>
          <t>Unable to Conclude</t>
        </is>
      </c>
      <c r="F26" s="39" t="inlineStr">
        <is>
          <t>None</t>
        </is>
      </c>
      <c r="G26" s="40" t="inlineStr">
        <is>
          <t>Unsigned</t>
        </is>
      </c>
      <c r="H26" s="40">
        <f>IF(A26="Not Applicable - Fact Driven",IF(AND(C26="Not Performed",D26="Not Required",OR(F26="None",F26="Resolved",F26="Passed"),OR(G26="Prepared",G26="Reviewed"),LEFT(O26,6)="FACT:/",Q26&lt;&gt;""),"Valid N/A","Blocked"),IF(AND(B26="Recommended",C26="Not Performed",D26="Not Required",OR(F26="None",F26="Resolved",F26="Passed")),"Recommended - Not Performed",IF(C26&lt;&gt;"Performed","Open - "&amp;C26,IF(D26&lt;&gt;"Sufficient","Open - "&amp;D26&amp;" Evidence",IF(E26="Unable to Conclude","Open - Unable to Conclude",IF(AND(E26="Exception Identified",ISERROR(SEARCH("ISSUE:",P26))),"Open - Missing Issue ID",IF(AND(F26="Open",ISERROR(SEARCH("ISSUE:",P26))),"Open - Missing Issue ID",IF(OR(F26="Open",F26="Superseded"),"Open - "&amp;F26&amp;" Issue",IF(AND(E26="Exception Identified",NOT(OR(F26="Adjusted",F26="Passed",F26="Resolved"))),"Open - Undispositioned Exception",IF(OR(G26="Prepared",G26="Reviewed"),"Passed","Open - Unsigned"))))))))))</f>
        <v/>
      </c>
      <c r="I26" s="40" t="inlineStr">
        <is>
          <t>13. Cross-reference each procedure to its workpaper tab and link it to the relevant assertion(s).</t>
        </is>
      </c>
      <c r="J26" s="40" t="inlineStr">
        <is>
          <t>Overall</t>
        </is>
      </c>
      <c r="K26" s="40" t="inlineStr">
        <is>
          <t>&lt;.0&gt;-&lt;.5&gt;</t>
        </is>
      </c>
      <c r="L26" s="40" t="n"/>
      <c r="M26" s="41" t="n"/>
      <c r="N26" s="40" t="n"/>
      <c r="O26" s="40" t="n"/>
      <c r="P26" s="40" t="inlineStr">
        <is>
          <t>PROC:PROC-Journal reference Entries; PROC:RESP-MANAGEMENT-OVERRIDE-JE; PROC:RESP-MANAGEMENT-OVERRIDE-UNPREDICTABLE</t>
        </is>
      </c>
      <c r="Q26" s="40" t="n"/>
    </row>
    <row r="27" ht="120" customHeight="1">
      <c r="A27" s="39" t="inlineStr">
        <is>
          <t>Applicable</t>
        </is>
      </c>
      <c r="B27" s="39" t="inlineStr">
        <is>
          <t>Required</t>
        </is>
      </c>
      <c r="C27" s="39" t="inlineStr">
        <is>
          <t>Not Started</t>
        </is>
      </c>
      <c r="D27" s="39" t="inlineStr">
        <is>
          <t>Missing</t>
        </is>
      </c>
      <c r="E27" s="39" t="inlineStr">
        <is>
          <t>Unable to Conclude</t>
        </is>
      </c>
      <c r="F27" s="39" t="inlineStr">
        <is>
          <t>None</t>
        </is>
      </c>
      <c r="G27" s="40" t="inlineStr">
        <is>
          <t>Unsigned</t>
        </is>
      </c>
      <c r="H27" s="40">
        <f>IF(A27="Not Applicable - Fact Driven",IF(AND(C27="Not Performed",D27="Not Required",OR(F27="None",F27="Resolved",F27="Passed"),OR(G27="Prepared",G27="Reviewed"),LEFT(O27,6)="FACT:/",Q27&lt;&gt;""),"Valid N/A","Blocked"),IF(AND(B27="Recommended",C27="Not Performed",D27="Not Required",OR(F27="None",F27="Resolved",F27="Passed")),"Recommended - Not Performed",IF(C27&lt;&gt;"Performed","Open - "&amp;C27,IF(D27&lt;&gt;"Sufficient","Open - "&amp;D27&amp;" Evidence",IF(E27="Unable to Conclude","Open - Unable to Conclude",IF(AND(E27="Exception Identified",ISERROR(SEARCH("ISSUE:",P27))),"Open - Missing Issue ID",IF(AND(F27="Open",ISERROR(SEARCH("ISSUE:",P27))),"Open - Missing Issue ID",IF(OR(F27="Open",F27="Superseded"),"Open - "&amp;F27&amp;" Issue",IF(AND(E27="Exception Identified",NOT(OR(F27="Adjusted",F27="Passed",F27="Resolved"))),"Open - Undispositioned Exception",IF(OR(G27="Prepared",G27="Reviewed"),"Passed","Open - Unsigned"))))))))))</f>
        <v/>
      </c>
      <c r="I27" s="40" t="inlineStr">
        <is>
          <t>14. Verify population, selection, balance-check and exception-count formulas foot correctly and the workbook source trail is complete.</t>
        </is>
      </c>
      <c r="J27" s="40" t="inlineStr">
        <is>
          <t>Accuracy; Completeness</t>
        </is>
      </c>
      <c r="K27" s="40" t="inlineStr">
        <is>
          <t>&lt;.1&gt;-&lt;.4&gt;</t>
        </is>
      </c>
      <c r="L27" s="40" t="n"/>
      <c r="M27" s="41" t="n"/>
      <c r="N27" s="40" t="n"/>
      <c r="O27" s="40" t="n"/>
      <c r="P27" s="40" t="inlineStr">
        <is>
          <t>PROC:PROC-Journal reference Entries; PROC:RESP-MANAGEMENT-OVERRIDE-JE; PROC:RESP-MANAGEMENT-OVERRIDE-UNPREDICTABLE</t>
        </is>
      </c>
      <c r="Q27" s="40" t="n"/>
    </row>
    <row r="28">
      <c r="A28" s="37" t="n"/>
      <c r="B28" s="33" t="n"/>
      <c r="C28" s="33" t="n"/>
      <c r="D28" s="33" t="n"/>
      <c r="E28" s="33" t="n"/>
      <c r="F28" s="33" t="n"/>
      <c r="G28" s="33" t="n"/>
      <c r="H28" s="33" t="n"/>
      <c r="I28" s="38" t="inlineStr">
        <is>
          <t>Conclusion</t>
        </is>
      </c>
      <c r="J28" s="33" t="n"/>
      <c r="K28" s="33" t="n"/>
      <c r="L28" s="33" t="n"/>
      <c r="M28" s="33" t="n"/>
      <c r="N28" s="33" t="n"/>
      <c r="O28" s="33" t="n"/>
      <c r="P28" s="33" t="n"/>
      <c r="Q28" s="33" t="n"/>
    </row>
    <row r="29" ht="120" customHeight="1">
      <c r="A29" s="39" t="inlineStr">
        <is>
          <t>Applicable</t>
        </is>
      </c>
      <c r="B29" s="39" t="inlineStr">
        <is>
          <t>Required</t>
        </is>
      </c>
      <c r="C29" s="39" t="inlineStr">
        <is>
          <t>Not Started</t>
        </is>
      </c>
      <c r="D29" s="39" t="inlineStr">
        <is>
          <t>Missing</t>
        </is>
      </c>
      <c r="E29" s="39" t="inlineStr">
        <is>
          <t>Unable to Conclude</t>
        </is>
      </c>
      <c r="F29" s="39" t="inlineStr">
        <is>
          <t>None</t>
        </is>
      </c>
      <c r="G29" s="40" t="inlineStr">
        <is>
          <t>Unsigned</t>
        </is>
      </c>
      <c r="H29" s="40">
        <f>IF(A29="Not Applicable - Fact Driven",IF(AND(C29="Not Performed",D29="Not Required",OR(F29="None",F29="Resolved",F29="Passed"),OR(G29="Prepared",G29="Reviewed"),LEFT(O29,6)="FACT:/",Q29&lt;&gt;""),"Valid N/A","Blocked"),IF(AND(B29="Recommended",C29="Not Performed",D29="Not Required",OR(F29="None",F29="Resolved",F29="Passed")),"Recommended - Not Performed",IF(C29&lt;&gt;"Performed","Open - "&amp;C29,IF(D29&lt;&gt;"Sufficient","Open - "&amp;D29&amp;" Evidence",IF(E29="Unable to Conclude","Open - Unable to Conclude",IF(AND(E29="Exception Identified",ISERROR(SEARCH("ISSUE:",P29))),"Open - Missing Issue ID",IF(AND(F29="Open",ISERROR(SEARCH("ISSUE:",P29))),"Open - Missing Issue ID",IF(OR(F29="Open",F29="Superseded"),"Open - "&amp;F29&amp;" Issue",IF(AND(E29="Exception Identified",NOT(OR(F29="Adjusted",F29="Passed",F29="Resolved"))),"Open - Undispositioned Exception",IF(OR(G29="Prepared",G29="Reviewed"),"Passed","Open - Unsigned"))))))))))</f>
        <v/>
      </c>
      <c r="I29" s="40" t="inlineStr">
        <is>
          <t>15. All planned risk-based journal-entry procedures above were performed on a population proven complete on the companion workpaper; results support the conclusion on management override and material misstatement, subject to documented open items.</t>
        </is>
      </c>
      <c r="J29" s="40" t="inlineStr">
        <is>
          <t>Overall</t>
        </is>
      </c>
      <c r="K29" s="40" t="inlineStr">
        <is>
          <t>&lt;.0&gt;-&lt;.5&gt;</t>
        </is>
      </c>
      <c r="L29" s="40" t="n"/>
      <c r="M29" s="41" t="n"/>
      <c r="N29" s="40" t="n"/>
      <c r="O29" s="40" t="n"/>
      <c r="P29" s="40" t="inlineStr">
        <is>
          <t>PROC:PROC-Journal reference Entries; PROC:RESP-MANAGEMENT-OVERRIDE-JE; PROC:RESP-MANAGEMENT-OVERRIDE-UNPREDICTABLE</t>
        </is>
      </c>
      <c r="Q29" s="40" t="n"/>
    </row>
  </sheetData>
  <autoFilter ref="A6:Q29"/>
  <mergeCells count="9">
    <mergeCell ref="I16:Q16"/>
    <mergeCell ref="I7:Q7"/>
    <mergeCell ref="I25:Q25"/>
    <mergeCell ref="A4:Q4"/>
    <mergeCell ref="I22:Q22"/>
    <mergeCell ref="I28:Q28"/>
    <mergeCell ref="I12:Q12"/>
    <mergeCell ref="I18:Q18"/>
    <mergeCell ref="I9:Q9"/>
  </mergeCells>
  <conditionalFormatting sqref="A8:Q29">
    <cfRule type="expression" priority="1" dxfId="0">
      <formula>AND($F8="Open",$P8&lt;&gt;"")</formula>
    </cfRule>
    <cfRule type="expression" priority="2" dxfId="1">
      <formula>OR($H8="Blocked",AND($F8="Open",$P8=""))</formula>
    </cfRule>
    <cfRule type="expression" priority="3" dxfId="2">
      <formula>$H8="Passed"</formula>
    </cfRule>
    <cfRule type="expression" priority="4" dxfId="3">
      <formula>OR($H8="Valid N/A",$H8="Recommended - Not Performed")</formula>
    </cfRule>
  </conditionalFormatting>
  <dataValidations count="7">
    <dataValidation sqref="A8 A10 A11 A13 A14 A15 A17 A19 A20 A21 A23 A24 A26 A27 A29" showDropDown="0" showInputMessage="0" showErrorMessage="0" allowBlank="0" type="list">
      <formula1>"Applicable,Not Applicable - Fact Driven"</formula1>
    </dataValidation>
    <dataValidation sqref="B8 B10 B11 B13 B14 B15 B17 B19 B20 B21 B23 B24 B26 B27 B29" showDropDown="0" showInputMessage="0" showErrorMessage="0" allowBlank="0" type="list">
      <formula1>"Required,Recommended"</formula1>
    </dataValidation>
    <dataValidation sqref="C8 C10 C11 C13 C14 C15 C17 C19 C20 C21 C23 C24 C26 C27 C29" showDropDown="0" showInputMessage="0" showErrorMessage="0" allowBlank="0" type="list">
      <formula1>"Not Started,In Progress,Performed,Not Performed"</formula1>
    </dataValidation>
    <dataValidation sqref="D8 D10 D11 D13 D14 D15 D17 D19 D20 D21 D23 D24 D26 D27 D29" showDropDown="0" showInputMessage="0" showErrorMessage="0" allowBlank="0" type="list">
      <formula1>"Sufficient,Missing,Unreadable,Unreliable,Contradictory,Not Required"</formula1>
    </dataValidation>
    <dataValidation sqref="E8 E10 E11 E13 E14 E15 E17 E19 E20 E21 E23 E24 E26 E27 E29" showDropDown="0" showInputMessage="0" showErrorMessage="0" allowBlank="0" type="list">
      <formula1>"No Exception,Exception Identified,Unable to Conclude"</formula1>
    </dataValidation>
    <dataValidation sqref="F8 F10 F11 F13 F14 F15 F17 F19 F20 F21 F23 F24 F26 F27 F29" showDropDown="0" showInputMessage="0" showErrorMessage="0" allowBlank="0" type="list">
      <formula1>"None,Open,Adjusted,Passed,Resolved,Superseded"</formula1>
    </dataValidation>
    <dataValidation sqref="G8 G10 G11 G13 G14 G15 G17 G19 G20 G21 G23 G24 G26 G27 G29" showDropDown="0" showInputMessage="0" showErrorMessage="0" allowBlank="0" type="list">
      <formula1>"Unsigned,Prepared,Reviewed,Superseded"</formula1>
    </dataValidation>
  </dataValidations>
  <printOptions horizontalCentered="0" verticalCentered="0"/>
  <pageMargins left="0.25" right="0.25" top="0.5" bottom="0.5" header="0.2" footer="0.2"/>
  <pageSetup orientation="landscape" paperSize="1" fitToHeight="0" fitToWidth="2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 autoPageBreaks="0" fitToPage="1"/>
  </sheetPr>
  <dimension ref="A1:H32"/>
  <sheetViews>
    <sheetView showGridLines="0" zoomScale="90" zoomScaleNormal="100" workbookViewId="0">
      <pane ySplit="7" topLeftCell="A8" activePane="bottomLeft" state="frozen"/>
      <selection pane="bottomLeft" activeCell="A3" sqref="A3"/>
    </sheetView>
  </sheetViews>
  <sheetFormatPr baseColWidth="8" defaultColWidth="8.6328125" defaultRowHeight="14.5"/>
  <cols>
    <col width="21.90625" bestFit="1" customWidth="1" min="1" max="1"/>
    <col width="38" customWidth="1" min="2" max="2"/>
    <col width="20" customWidth="1" min="3" max="3"/>
    <col width="37.7" customWidth="1" min="4" max="4"/>
    <col width="12" customWidth="1" min="5" max="5"/>
    <col width="24" customWidth="1" min="6" max="6"/>
    <col width="34" customWidth="1" min="7" max="7"/>
    <col width="13" customWidth="1" min="8" max="8"/>
  </cols>
  <sheetData>
    <row r="1" ht="17.5" customHeight="1">
      <c r="A1" s="43" t="inlineStr">
        <is>
          <t>Source Index</t>
        </is>
      </c>
      <c r="B1" s="33" t="n"/>
      <c r="C1" s="33" t="n"/>
      <c r="D1" s="33" t="n"/>
      <c r="E1" s="33" t="n"/>
      <c r="F1" s="33" t="n"/>
      <c r="G1" s="33" t="n"/>
      <c r="H1" s="33" t="n"/>
    </row>
    <row r="2">
      <c r="A2" s="44" t="inlineStr">
        <is>
          <t>Client / Entity</t>
        </is>
      </c>
      <c r="B2" s="34" t="inlineStr">
        <is>
          <t>Vaquite Industries, Inc.</t>
        </is>
      </c>
      <c r="C2" s="33" t="n"/>
      <c r="D2" s="44" t="inlineStr">
        <is>
          <t>Year-End</t>
        </is>
      </c>
      <c r="E2" s="45" t="n">
        <v>46022</v>
      </c>
      <c r="F2" s="33" t="n"/>
      <c r="G2" s="44" t="inlineStr">
        <is>
          <t>Currency</t>
        </is>
      </c>
      <c r="H2" s="46" t="inlineStr">
        <is>
          <t>USD</t>
        </is>
      </c>
    </row>
    <row r="3" ht="27" customHeight="1">
      <c r="A3" s="47" t="inlineStr">
        <is>
          <t>Performance Materiality</t>
        </is>
      </c>
      <c r="B3" s="48" t="n">
        <v>23100</v>
      </c>
      <c r="C3" s="33" t="n"/>
      <c r="D3" s="47" t="inlineStr">
        <is>
          <t>Tolerable misstatement / testing threshold</t>
        </is>
      </c>
      <c r="E3" s="48" t="n">
        <v>17400</v>
      </c>
      <c r="F3" s="33" t="n"/>
      <c r="G3" s="33" t="n"/>
      <c r="H3" s="33" t="n"/>
    </row>
    <row r="4" ht="27.75" customHeight="1">
      <c r="A4" s="49" t="inlineStr">
        <is>
          <t>Purpose:</t>
        </is>
      </c>
      <c r="B4" s="50" t="inlineStr">
        <is>
          <t>Map every risk-testing PBC source and its limitations so the evidence trail is complete and traceable.</t>
        </is>
      </c>
      <c r="C4" s="51" t="n"/>
      <c r="D4" s="51" t="n"/>
      <c r="E4" s="51" t="n"/>
      <c r="F4" s="51" t="n"/>
      <c r="G4" s="52" t="n"/>
      <c r="H4" s="33" t="n"/>
    </row>
    <row r="5" ht="42" customHeight="1">
      <c r="A5" s="49" t="inlineStr">
        <is>
          <t>Scope:</t>
        </is>
      </c>
      <c r="B5" s="50" t="inlineStr">
        <is>
          <t>Validated JE population (from the Completeness &amp; Data Integrity workpaper), close checklist / approval workflow evidence, user listing with roles, suspense / clearing GL detail (e.g., 9000 / 2999), ERP source schedules for estimate entries, post-close / top-side entries listing.</t>
        </is>
      </c>
      <c r="C5" s="51" t="n"/>
      <c r="D5" s="51" t="n"/>
      <c r="E5" s="51" t="n"/>
      <c r="F5" s="51" t="n"/>
      <c r="G5" s="52" t="n"/>
      <c r="H5" s="33" t="n"/>
    </row>
    <row r="6" ht="15" customHeight="1">
      <c r="A6" s="49" t="inlineStr">
        <is>
          <t>Assertions:</t>
        </is>
      </c>
      <c r="B6" s="50" t="inlineStr">
        <is>
          <t>Completeness</t>
        </is>
      </c>
      <c r="C6" s="51" t="n"/>
      <c r="D6" s="51" t="n"/>
      <c r="E6" s="51" t="n"/>
      <c r="F6" s="51" t="n"/>
      <c r="G6" s="52" t="n"/>
      <c r="H6" s="33" t="n"/>
    </row>
    <row r="7" ht="30" customHeight="1">
      <c r="A7" s="53" t="inlineStr">
        <is>
          <t>Ref</t>
        </is>
      </c>
      <c r="B7" s="53" t="inlineStr">
        <is>
          <t>Source document / PBC</t>
        </is>
      </c>
      <c r="C7" s="53" t="inlineStr">
        <is>
          <t>Provided by</t>
        </is>
      </c>
      <c r="D7" s="53" t="inlineStr">
        <is>
          <t>Date received</t>
        </is>
      </c>
      <c r="E7" s="53" t="inlineStr">
        <is>
          <t>Format</t>
        </is>
      </c>
      <c r="F7" s="53" t="inlineStr">
        <is>
          <t>Used in tab(s)</t>
        </is>
      </c>
      <c r="G7" s="53" t="inlineStr">
        <is>
          <t>Limitations / notes</t>
        </is>
      </c>
      <c r="H7" s="33" t="n"/>
    </row>
    <row r="8">
      <c r="A8" s="54" t="n"/>
      <c r="B8" s="54" t="n"/>
      <c r="C8" s="54" t="n"/>
      <c r="D8" s="54" t="n"/>
      <c r="E8" s="54" t="n"/>
      <c r="F8" s="54" t="n"/>
      <c r="G8" s="54" t="n"/>
      <c r="H8" s="33" t="n"/>
    </row>
    <row r="9">
      <c r="A9" s="54" t="n"/>
      <c r="B9" s="54" t="n"/>
      <c r="C9" s="54" t="n"/>
      <c r="D9" s="54" t="n"/>
      <c r="E9" s="54" t="n"/>
      <c r="F9" s="54" t="n"/>
      <c r="G9" s="54" t="n"/>
      <c r="H9" s="33" t="n"/>
    </row>
    <row r="10">
      <c r="A10" s="54" t="n"/>
      <c r="B10" s="54" t="n"/>
      <c r="C10" s="54" t="n"/>
      <c r="D10" s="54" t="n"/>
      <c r="E10" s="54" t="n"/>
      <c r="F10" s="54" t="n"/>
      <c r="G10" s="54" t="n"/>
      <c r="H10" s="33" t="n"/>
    </row>
    <row r="11">
      <c r="A11" s="54" t="n"/>
      <c r="B11" s="54" t="n"/>
      <c r="C11" s="54" t="n"/>
      <c r="D11" s="54" t="n"/>
      <c r="E11" s="54" t="n"/>
      <c r="F11" s="54" t="n"/>
      <c r="G11" s="54" t="n"/>
      <c r="H11" s="33" t="n"/>
    </row>
    <row r="12">
      <c r="A12" s="54" t="n"/>
      <c r="B12" s="54" t="n"/>
      <c r="C12" s="54" t="n"/>
      <c r="D12" s="54" t="n"/>
      <c r="E12" s="54" t="n"/>
      <c r="F12" s="54" t="n"/>
      <c r="G12" s="54" t="n"/>
      <c r="H12" s="33" t="n"/>
    </row>
    <row r="13">
      <c r="A13" s="54" t="n"/>
      <c r="B13" s="54" t="n"/>
      <c r="C13" s="54" t="n"/>
      <c r="D13" s="54" t="n"/>
      <c r="E13" s="54" t="n"/>
      <c r="F13" s="54" t="n"/>
      <c r="G13" s="54" t="n"/>
      <c r="H13" s="33" t="n"/>
    </row>
    <row r="14">
      <c r="A14" s="54" t="n"/>
      <c r="B14" s="54" t="n"/>
      <c r="C14" s="54" t="n"/>
      <c r="D14" s="54" t="n"/>
      <c r="E14" s="54" t="n"/>
      <c r="F14" s="54" t="n"/>
      <c r="G14" s="54" t="n"/>
      <c r="H14" s="33" t="n"/>
    </row>
    <row r="15">
      <c r="A15" s="54" t="n"/>
      <c r="B15" s="54" t="n"/>
      <c r="C15" s="54" t="n"/>
      <c r="D15" s="54" t="n"/>
      <c r="E15" s="54" t="n"/>
      <c r="F15" s="54" t="n"/>
      <c r="G15" s="54" t="n"/>
      <c r="H15" s="33" t="n"/>
    </row>
    <row r="16">
      <c r="A16" s="54" t="n"/>
      <c r="B16" s="54" t="n"/>
      <c r="C16" s="54" t="n"/>
      <c r="D16" s="54" t="n"/>
      <c r="E16" s="54" t="n"/>
      <c r="F16" s="54" t="n"/>
      <c r="G16" s="54" t="n"/>
      <c r="H16" s="33" t="n"/>
    </row>
    <row r="17">
      <c r="A17" s="54" t="n"/>
      <c r="B17" s="54" t="n"/>
      <c r="C17" s="54" t="n"/>
      <c r="D17" s="54" t="n"/>
      <c r="E17" s="54" t="n"/>
      <c r="F17" s="54" t="n"/>
      <c r="G17" s="54" t="n"/>
      <c r="H17" s="33" t="n"/>
    </row>
    <row r="18">
      <c r="A18" s="54" t="n"/>
      <c r="B18" s="54" t="n"/>
      <c r="C18" s="54" t="n"/>
      <c r="D18" s="54" t="n"/>
      <c r="E18" s="54" t="n"/>
      <c r="F18" s="54" t="n"/>
      <c r="G18" s="54" t="n"/>
      <c r="H18" s="33" t="n"/>
    </row>
    <row r="19">
      <c r="A19" s="54" t="n"/>
      <c r="B19" s="54" t="n"/>
      <c r="C19" s="54" t="n"/>
      <c r="D19" s="54" t="n"/>
      <c r="E19" s="54" t="n"/>
      <c r="F19" s="54" t="n"/>
      <c r="G19" s="54" t="n"/>
      <c r="H19" s="33" t="n"/>
    </row>
    <row r="20">
      <c r="A20" s="33" t="n"/>
      <c r="B20" s="33" t="n"/>
      <c r="C20" s="33" t="n"/>
      <c r="D20" s="33" t="n"/>
      <c r="E20" s="33" t="n"/>
      <c r="F20" s="33" t="n"/>
      <c r="G20" s="33" t="n"/>
      <c r="H20" s="33" t="n"/>
    </row>
    <row r="21">
      <c r="A21" s="55" t="inlineStr">
        <is>
          <t>TM Legends</t>
        </is>
      </c>
      <c r="B21" s="33" t="n"/>
      <c r="C21" s="33" t="n"/>
      <c r="D21" s="33" t="n"/>
      <c r="E21" s="33" t="n"/>
      <c r="F21" s="33" t="n"/>
      <c r="G21" s="33" t="n"/>
      <c r="H21" s="33" t="n"/>
    </row>
    <row r="22">
      <c r="A22" s="56" t="inlineStr">
        <is>
          <t>TB</t>
        </is>
      </c>
      <c r="B22" s="39" t="inlineStr">
        <is>
          <t>Agreed to trial balance</t>
        </is>
      </c>
      <c r="C22" s="57" t="n"/>
      <c r="D22" s="58" t="n"/>
      <c r="E22" s="33" t="n"/>
      <c r="F22" s="33" t="n"/>
      <c r="G22" s="33" t="n"/>
      <c r="H22" s="33" t="n"/>
    </row>
    <row r="23">
      <c r="A23" s="56" t="inlineStr">
        <is>
          <t>GL</t>
        </is>
      </c>
      <c r="B23" s="39" t="inlineStr">
        <is>
          <t>Agreed to general ledger</t>
        </is>
      </c>
      <c r="C23" s="57" t="n"/>
      <c r="D23" s="58" t="n"/>
      <c r="E23" s="33" t="n"/>
      <c r="F23" s="33" t="n"/>
      <c r="G23" s="33" t="n"/>
      <c r="H23" s="33" t="n"/>
    </row>
    <row r="24">
      <c r="A24" s="56" t="inlineStr">
        <is>
          <t>CF</t>
        </is>
      </c>
      <c r="B24" s="39" t="inlineStr">
        <is>
          <t>Confirmed with third party</t>
        </is>
      </c>
      <c r="C24" s="57" t="n"/>
      <c r="D24" s="58" t="n"/>
      <c r="E24" s="33" t="n"/>
      <c r="F24" s="33" t="n"/>
      <c r="G24" s="33" t="n"/>
      <c r="H24" s="33" t="n"/>
    </row>
    <row r="25">
      <c r="A25" s="56" t="inlineStr">
        <is>
          <t>V</t>
        </is>
      </c>
      <c r="B25" s="39" t="inlineStr">
        <is>
          <t>Vouched to source document</t>
        </is>
      </c>
      <c r="C25" s="57" t="n"/>
      <c r="D25" s="58" t="n"/>
      <c r="E25" s="33" t="n"/>
      <c r="F25" s="33" t="n"/>
      <c r="G25" s="33" t="n"/>
      <c r="H25" s="33" t="n"/>
    </row>
    <row r="26">
      <c r="A26" s="56" t="inlineStr">
        <is>
          <t>SR</t>
        </is>
      </c>
      <c r="B26" s="39" t="inlineStr">
        <is>
          <t>Agreed to subsequent bank-cleared receipt</t>
        </is>
      </c>
      <c r="C26" s="57" t="n"/>
      <c r="D26" s="58" t="n"/>
      <c r="E26" s="33" t="n"/>
      <c r="F26" s="33" t="n"/>
      <c r="G26" s="33" t="n"/>
      <c r="H26" s="33" t="n"/>
    </row>
    <row r="27">
      <c r="A27" s="56" t="inlineStr">
        <is>
          <t>R</t>
        </is>
      </c>
      <c r="B27" s="39" t="inlineStr">
        <is>
          <t>Recalculated independently</t>
        </is>
      </c>
      <c r="C27" s="57" t="n"/>
      <c r="D27" s="58" t="n"/>
      <c r="E27" s="33" t="n"/>
      <c r="F27" s="33" t="n"/>
      <c r="G27" s="33" t="n"/>
      <c r="H27" s="33" t="n"/>
    </row>
    <row r="28">
      <c r="A28" s="56" t="inlineStr">
        <is>
          <t>F</t>
        </is>
      </c>
      <c r="B28" s="39" t="inlineStr">
        <is>
          <t>Footed / cross-cast</t>
        </is>
      </c>
      <c r="C28" s="57" t="n"/>
      <c r="D28" s="58" t="n"/>
      <c r="E28" s="33" t="n"/>
      <c r="F28" s="33" t="n"/>
      <c r="G28" s="33" t="n"/>
      <c r="H28" s="33" t="n"/>
    </row>
    <row r="29">
      <c r="A29" s="56" t="inlineStr">
        <is>
          <t>T</t>
        </is>
      </c>
      <c r="B29" s="39" t="inlineStr">
        <is>
          <t>Traced to downstream record</t>
        </is>
      </c>
      <c r="C29" s="57" t="n"/>
      <c r="D29" s="58" t="n"/>
      <c r="E29" s="33" t="n"/>
      <c r="F29" s="33" t="n"/>
      <c r="G29" s="33" t="n"/>
      <c r="H29" s="33" t="n"/>
    </row>
    <row r="30">
      <c r="A30" s="56" t="inlineStr">
        <is>
          <t>PBC</t>
        </is>
      </c>
      <c r="B30" s="39" t="inlineStr">
        <is>
          <t>Prepared by client</t>
        </is>
      </c>
      <c r="C30" s="57" t="n"/>
      <c r="D30" s="58" t="n"/>
      <c r="E30" s="33" t="n"/>
      <c r="F30" s="33" t="n"/>
      <c r="G30" s="33" t="n"/>
      <c r="H30" s="33" t="n"/>
    </row>
    <row r="31">
      <c r="A31" s="33" t="n"/>
      <c r="B31" s="33" t="n"/>
      <c r="C31" s="33" t="n"/>
      <c r="D31" s="33" t="n"/>
      <c r="E31" s="33" t="n"/>
      <c r="F31" s="33" t="n"/>
      <c r="G31" s="33" t="n"/>
      <c r="H31" s="33" t="n"/>
    </row>
    <row r="32" ht="27.75" customHeight="1">
      <c r="A32" s="35" t="inlineStr">
        <is>
          <t>Before sign-off complete Library Procedure 1 (source completeness &amp; limitations). The population itself is validated on the companion Completeness &amp; Data Integrity workpaper.</t>
        </is>
      </c>
      <c r="B32" s="33" t="n"/>
      <c r="C32" s="33" t="n"/>
      <c r="D32" s="33" t="n"/>
      <c r="E32" s="33" t="n"/>
      <c r="F32" s="33" t="n"/>
      <c r="G32" s="33" t="n"/>
      <c r="H32" s="33" t="n"/>
    </row>
  </sheetData>
  <mergeCells count="13">
    <mergeCell ref="A32:G32"/>
    <mergeCell ref="B28:D28"/>
    <mergeCell ref="B5:G5"/>
    <mergeCell ref="B23:D23"/>
    <mergeCell ref="B22:D22"/>
    <mergeCell ref="B26:D26"/>
    <mergeCell ref="B27:D27"/>
    <mergeCell ref="B4:G4"/>
    <mergeCell ref="B30:D30"/>
    <mergeCell ref="B29:D29"/>
    <mergeCell ref="B25:D25"/>
    <mergeCell ref="B24:D24"/>
    <mergeCell ref="B6:G6"/>
  </mergeCells>
  <printOptions horizontalCentered="0" verticalCentered="0"/>
  <pageMargins left="0.25" right="0.25" top="0.5" bottom="0.5" header="0.2" footer="0.2"/>
  <pageSetup orientation="portrait" paperSize="1" fitToHeight="0" fitToWidth="1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 autoPageBreaks="0" fitToPage="1"/>
  </sheetPr>
  <dimension ref="A1:H48"/>
  <sheetViews>
    <sheetView showGridLines="0" zoomScale="90" zoomScaleNormal="100" workbookViewId="0">
      <pane ySplit="7" topLeftCell="A8" activePane="bottomLeft" state="frozen"/>
      <selection pane="bottomLeft" activeCell="G8" sqref="G8"/>
    </sheetView>
  </sheetViews>
  <sheetFormatPr baseColWidth="8" defaultColWidth="8.6328125" defaultRowHeight="14.5"/>
  <cols>
    <col width="42" customWidth="1" min="1" max="1"/>
    <col width="22.4" customWidth="1" min="2" max="2"/>
    <col width="15" customWidth="1" min="3" max="5"/>
    <col width="37.7" customWidth="1" min="4" max="4"/>
    <col width="42" customWidth="1" min="5" max="5"/>
    <col width="12" customWidth="1" min="6" max="6"/>
    <col width="14" customWidth="1" min="7" max="7"/>
    <col width="26" customWidth="1" min="8" max="8"/>
  </cols>
  <sheetData>
    <row r="1" ht="27" customHeight="1">
      <c r="A1" s="32" t="inlineStr">
        <is>
          <t>Population Profile &amp; Risk-Based Selection Criteria</t>
        </is>
      </c>
      <c r="B1" s="33" t="n"/>
      <c r="C1" s="33" t="n"/>
      <c r="D1" s="33" t="n"/>
      <c r="E1" s="33" t="n"/>
      <c r="F1" s="33" t="n"/>
      <c r="G1" s="33" t="n"/>
      <c r="H1" s="33" t="n"/>
    </row>
    <row r="2" ht="27" customHeight="1">
      <c r="A2" s="44" t="inlineStr">
        <is>
          <t>Client / Entity</t>
        </is>
      </c>
      <c r="B2" s="34" t="inlineStr">
        <is>
          <t>Vaquite Industries, Inc.</t>
        </is>
      </c>
      <c r="C2" s="33" t="n"/>
      <c r="D2" s="44" t="inlineStr">
        <is>
          <t>Year-End</t>
        </is>
      </c>
      <c r="E2" s="45" t="n">
        <v>46022</v>
      </c>
      <c r="F2" s="33" t="n"/>
      <c r="G2" s="44" t="inlineStr">
        <is>
          <t>Currency</t>
        </is>
      </c>
      <c r="H2" s="46" t="inlineStr">
        <is>
          <t>USD</t>
        </is>
      </c>
    </row>
    <row r="3" ht="27" customHeight="1">
      <c r="A3" s="47" t="inlineStr">
        <is>
          <t>Performance Materiality</t>
        </is>
      </c>
      <c r="B3" s="48" t="n">
        <v>23100</v>
      </c>
      <c r="C3" s="33" t="n"/>
      <c r="D3" s="47" t="inlineStr">
        <is>
          <t>Tolerable misstatement / testing threshold</t>
        </is>
      </c>
      <c r="E3" s="48" t="n">
        <v>17400</v>
      </c>
      <c r="F3" s="33" t="n"/>
      <c r="G3" s="33" t="n"/>
      <c r="H3" s="33" t="n"/>
    </row>
    <row r="4" ht="27.75" customHeight="1">
      <c r="A4" s="49" t="inlineStr">
        <is>
          <t>Purpose:</t>
        </is>
      </c>
      <c r="B4" s="50" t="inlineStr">
        <is>
          <t>Profile the validated JE population by source / type, then apply the standard AU-C 240 fraud-risk criteria with population counts and select entries for testing.</t>
        </is>
      </c>
      <c r="C4" s="51" t="n"/>
      <c r="D4" s="51" t="n"/>
      <c r="E4" s="51" t="n"/>
      <c r="F4" s="51" t="n"/>
      <c r="G4" s="51" t="n"/>
      <c r="H4" s="52" t="n"/>
    </row>
    <row r="5" ht="27.75" customHeight="1">
      <c r="A5" s="49" t="inlineStr">
        <is>
          <t>Scope:</t>
        </is>
      </c>
      <c r="B5" s="50" t="inlineStr">
        <is>
          <t>The full validated JE population; every criterion applied against the whole population (AU-C 240.32).</t>
        </is>
      </c>
      <c r="C5" s="51" t="n"/>
      <c r="D5" s="51" t="n"/>
      <c r="E5" s="51" t="n"/>
      <c r="F5" s="51" t="n"/>
      <c r="G5" s="51" t="n"/>
      <c r="H5" s="52" t="n"/>
    </row>
    <row r="6" ht="15" customHeight="1">
      <c r="A6" s="49" t="inlineStr">
        <is>
          <t>Assertions:</t>
        </is>
      </c>
      <c r="B6" s="50" t="inlineStr">
        <is>
          <t>Completeness; Occurrence</t>
        </is>
      </c>
      <c r="C6" s="51" t="n"/>
      <c r="D6" s="51" t="n"/>
      <c r="E6" s="51" t="n"/>
      <c r="F6" s="51" t="n"/>
      <c r="G6" s="51" t="n"/>
      <c r="H6" s="52" t="n"/>
    </row>
    <row r="7">
      <c r="A7" s="59" t="inlineStr">
        <is>
          <t>A. Population by source / type</t>
        </is>
      </c>
      <c r="B7" s="33" t="n"/>
      <c r="C7" s="33" t="n"/>
      <c r="D7" s="33" t="n"/>
      <c r="E7" s="33" t="n"/>
      <c r="F7" s="33" t="n"/>
      <c r="G7" s="33" t="n"/>
      <c r="H7" s="33" t="n"/>
    </row>
    <row r="8" ht="21.75" customHeight="1">
      <c r="A8" s="60" t="inlineStr">
        <is>
          <t>Source / type</t>
        </is>
      </c>
      <c r="B8" s="60" t="inlineStr">
        <is>
          <t>Count</t>
        </is>
      </c>
      <c r="C8" s="60" t="inlineStr">
        <is>
          <t>Debits</t>
        </is>
      </c>
      <c r="D8" s="60" t="inlineStr">
        <is>
          <t>Credits</t>
        </is>
      </c>
      <c r="E8" s="60" t="inlineStr">
        <is>
          <t>Net</t>
        </is>
      </c>
      <c r="F8" s="60" t="inlineStr">
        <is>
          <t>Comments</t>
        </is>
      </c>
      <c r="G8" s="33" t="n"/>
      <c r="H8" s="33" t="n"/>
    </row>
    <row r="9">
      <c r="A9" s="33" t="n"/>
      <c r="B9" s="33" t="n"/>
      <c r="C9" s="61" t="inlineStr">
        <is>
          <t>T</t>
        </is>
      </c>
      <c r="D9" s="33" t="n"/>
      <c r="E9" s="33" t="n"/>
      <c r="F9" s="33" t="n"/>
      <c r="G9" s="33" t="n"/>
      <c r="H9" s="33" t="n"/>
    </row>
    <row r="10" ht="27" customHeight="1">
      <c r="A10" s="39" t="inlineStr">
        <is>
          <t>Receivable / sales entries</t>
        </is>
      </c>
      <c r="B10" s="62" t="n"/>
      <c r="C10" s="63" t="n"/>
      <c r="D10" s="63" t="n"/>
      <c r="E10" s="64">
        <f>IF(AND(C10="",D10=""),"",IF(C10="",0,C10)-IF(D10="",0,D10))</f>
        <v/>
      </c>
      <c r="F10" s="54" t="n"/>
      <c r="G10" s="33" t="n"/>
      <c r="H10" s="33" t="n"/>
    </row>
    <row r="11" ht="27" customHeight="1">
      <c r="A11" s="39" t="inlineStr">
        <is>
          <t>Payment / receipt entries</t>
        </is>
      </c>
      <c r="B11" s="62" t="n"/>
      <c r="C11" s="63" t="n"/>
      <c r="D11" s="63" t="n"/>
      <c r="E11" s="64">
        <f>IF(AND(C11="",D11=""),"",IF(C11="",0,C11)-IF(D11="",0,D11))</f>
        <v/>
      </c>
      <c r="F11" s="54" t="n"/>
      <c r="G11" s="33" t="n"/>
      <c r="H11" s="33" t="n"/>
    </row>
    <row r="12" ht="27" customHeight="1">
      <c r="A12" s="39" t="inlineStr">
        <is>
          <t>Purchase / payable entries</t>
        </is>
      </c>
      <c r="B12" s="62" t="n"/>
      <c r="C12" s="63" t="n"/>
      <c r="D12" s="63" t="n"/>
      <c r="E12" s="64">
        <f>IF(AND(C12="",D12=""),"",IF(C12="",0,C12)-IF(D12="",0,D12))</f>
        <v/>
      </c>
      <c r="F12" s="54" t="n"/>
      <c r="G12" s="33" t="n"/>
      <c r="H12" s="33" t="n"/>
    </row>
    <row r="13" ht="27" customHeight="1">
      <c r="A13" s="39" t="inlineStr">
        <is>
          <t>Manual journal entries</t>
        </is>
      </c>
      <c r="B13" s="62" t="n"/>
      <c r="C13" s="63" t="n"/>
      <c r="D13" s="63" t="n"/>
      <c r="E13" s="64">
        <f>IF(AND(C13="",D13=""),"",IF(C13="",0,C13)-IF(D13="",0,D13))</f>
        <v/>
      </c>
      <c r="F13" s="54" t="n"/>
      <c r="G13" s="33" t="n"/>
      <c r="H13" s="33" t="n"/>
    </row>
    <row r="14" ht="27" customHeight="1">
      <c r="A14" s="39" t="inlineStr">
        <is>
          <t>System / automated entries</t>
        </is>
      </c>
      <c r="B14" s="62" t="n"/>
      <c r="C14" s="63" t="n"/>
      <c r="D14" s="63" t="n"/>
      <c r="E14" s="64">
        <f>IF(AND(C14="",D14=""),"",IF(C14="",0,C14)-IF(D14="",0,D14))</f>
        <v/>
      </c>
      <c r="F14" s="54" t="n"/>
      <c r="G14" s="33" t="n"/>
      <c r="H14" s="33" t="n"/>
    </row>
    <row r="15" ht="27" customHeight="1">
      <c r="A15" s="54" t="inlineStr">
        <is>
          <t>Other</t>
        </is>
      </c>
      <c r="B15" s="62" t="n"/>
      <c r="C15" s="63" t="n"/>
      <c r="D15" s="63" t="n"/>
      <c r="E15" s="64">
        <f>IF(AND(C15="",D15=""),"",IF(C15="",0,C15)-IF(D15="",0,D15))</f>
        <v/>
      </c>
      <c r="F15" s="54" t="n"/>
      <c r="G15" s="33" t="n"/>
      <c r="H15" s="33" t="n"/>
    </row>
    <row r="16">
      <c r="A16" s="65" t="inlineStr">
        <is>
          <t>Total population</t>
        </is>
      </c>
      <c r="B16" s="66">
        <f>SUM(B10:B15)</f>
        <v/>
      </c>
      <c r="C16" s="67">
        <f>SUM(C10:C15)</f>
        <v/>
      </c>
      <c r="D16" s="67">
        <f>SUM(D10:D15)</f>
        <v/>
      </c>
      <c r="E16" s="67">
        <f>SUM(E10:E15)</f>
        <v/>
      </c>
      <c r="F16" s="65" t="n"/>
      <c r="G16" s="33" t="n"/>
      <c r="H16" s="33" t="n"/>
    </row>
    <row r="17">
      <c r="A17" s="33" t="n"/>
      <c r="B17" s="33" t="n"/>
      <c r="C17" s="33" t="n"/>
      <c r="D17" s="33" t="n"/>
      <c r="E17" s="33" t="n"/>
      <c r="F17" s="33" t="n"/>
      <c r="G17" s="33" t="n"/>
      <c r="H17" s="33" t="n"/>
    </row>
    <row r="18" ht="27" customHeight="1">
      <c r="A18" s="59" t="inlineStr">
        <is>
          <t>B. AU-C 240 risk criteria — applied to the full population</t>
        </is>
      </c>
      <c r="B18" s="33" t="n"/>
      <c r="C18" s="33" t="n"/>
      <c r="D18" s="33" t="n"/>
      <c r="E18" s="33" t="n"/>
      <c r="F18" s="33" t="n"/>
      <c r="G18" s="33" t="n"/>
      <c r="H18" s="33" t="n"/>
    </row>
    <row r="19" ht="25.5" customHeight="1">
      <c r="A19" s="60" t="inlineStr">
        <is>
          <t>Criterion</t>
        </is>
      </c>
      <c r="B19" s="60" t="inlineStr">
        <is>
          <t>Count in population</t>
        </is>
      </c>
      <c r="C19" s="60" t="inlineStr">
        <is>
          <t>Amount</t>
        </is>
      </c>
      <c r="D19" s="60" t="inlineStr">
        <is>
          <t># Selected</t>
        </is>
      </c>
      <c r="E19" s="60" t="inlineStr">
        <is>
          <t>Selection basis (all / sample)</t>
        </is>
      </c>
      <c r="F19" s="60" t="inlineStr">
        <is>
          <t>Tested on</t>
        </is>
      </c>
      <c r="G19" s="60" t="inlineStr">
        <is>
          <t>Comments</t>
        </is>
      </c>
      <c r="H19" s="33" t="n"/>
    </row>
    <row r="20" ht="21.75" customHeight="1">
      <c r="A20" s="68" t="inlineStr">
        <is>
          <t>Entries posted after business hours</t>
        </is>
      </c>
      <c r="B20" s="62" t="n"/>
      <c r="C20" s="63" t="n"/>
      <c r="D20" s="62" t="n"/>
      <c r="E20" s="54" t="n"/>
      <c r="F20" s="54" t="n"/>
      <c r="G20" s="54" t="n"/>
      <c r="H20" s="33" t="n"/>
    </row>
    <row r="21" ht="21.75" customHeight="1">
      <c r="A21" s="68" t="inlineStr">
        <is>
          <t>Entries posted on weekends / holidays</t>
        </is>
      </c>
      <c r="B21" s="62" t="n"/>
      <c r="C21" s="63" t="n"/>
      <c r="D21" s="62" t="n"/>
      <c r="E21" s="54" t="n"/>
      <c r="F21" s="54" t="n"/>
      <c r="G21" s="54" t="n"/>
      <c r="H21" s="33" t="n"/>
    </row>
    <row r="22" ht="21.75" customHeight="1">
      <c r="A22" s="68" t="inlineStr">
        <is>
          <t>Round-dollar amounts (e.g., 000s)</t>
        </is>
      </c>
      <c r="B22" s="62" t="n"/>
      <c r="C22" s="63" t="n"/>
      <c r="D22" s="62" t="n"/>
      <c r="E22" s="54" t="n"/>
      <c r="F22" s="54" t="n"/>
      <c r="G22" s="54" t="n"/>
      <c r="H22" s="33" t="n"/>
    </row>
    <row r="23" ht="21.75" customHeight="1">
      <c r="A23" s="68" t="inlineStr">
        <is>
          <t>Manual (non-system) entries</t>
        </is>
      </c>
      <c r="B23" s="62" t="n"/>
      <c r="C23" s="63" t="n"/>
      <c r="D23" s="62" t="n"/>
      <c r="E23" s="54" t="n"/>
      <c r="F23" s="54" t="n"/>
      <c r="G23" s="54" t="n"/>
      <c r="H23" s="33" t="n"/>
    </row>
    <row r="24" ht="21.75" customHeight="1">
      <c r="A24" s="68" t="inlineStr">
        <is>
          <t>Entries to suspense / clearing accounts</t>
        </is>
      </c>
      <c r="B24" s="62" t="n"/>
      <c r="C24" s="63" t="n"/>
      <c r="D24" s="62" t="n"/>
      <c r="E24" s="54" t="n"/>
      <c r="F24" s="54" t="n"/>
      <c r="G24" s="54" t="n"/>
      <c r="H24" s="33" t="n"/>
    </row>
    <row r="25" ht="21.75" customHeight="1">
      <c r="A25" s="68" t="inlineStr">
        <is>
          <t>Period-end entries (last days of period)</t>
        </is>
      </c>
      <c r="B25" s="62" t="n"/>
      <c r="C25" s="63" t="n"/>
      <c r="D25" s="62" t="n"/>
      <c r="E25" s="54" t="n"/>
      <c r="F25" s="54" t="n"/>
      <c r="G25" s="54" t="n"/>
      <c r="H25" s="33" t="n"/>
    </row>
    <row r="26" ht="21.75" customHeight="1">
      <c r="A26" s="68" t="inlineStr">
        <is>
          <t>Post-close / top-side adjustments</t>
        </is>
      </c>
      <c r="B26" s="62" t="n"/>
      <c r="C26" s="63" t="n"/>
      <c r="D26" s="62" t="n"/>
      <c r="E26" s="54" t="n"/>
      <c r="F26" s="54" t="n"/>
      <c r="G26" s="54" t="n"/>
      <c r="H26" s="33" t="n"/>
    </row>
    <row r="27" ht="27" customHeight="1">
      <c r="A27" s="68" t="inlineStr">
        <is>
          <t>Entries by unusual or unexpected users (incl. IT / executives)</t>
        </is>
      </c>
      <c r="B27" s="62" t="n"/>
      <c r="C27" s="63" t="n"/>
      <c r="D27" s="62" t="n"/>
      <c r="E27" s="54" t="n"/>
      <c r="F27" s="54" t="n"/>
      <c r="G27" s="54" t="n"/>
      <c r="H27" s="33" t="n"/>
    </row>
    <row r="28" ht="21.75" customHeight="1">
      <c r="A28" s="68" t="inlineStr">
        <is>
          <t>Seldom-used account combinations</t>
        </is>
      </c>
      <c r="B28" s="62" t="n"/>
      <c r="C28" s="63" t="n"/>
      <c r="D28" s="62" t="n"/>
      <c r="E28" s="54" t="n"/>
      <c r="F28" s="54" t="n"/>
      <c r="G28" s="54" t="n"/>
      <c r="H28" s="33" t="n"/>
    </row>
    <row r="29" ht="21.75" customHeight="1">
      <c r="A29" s="68" t="inlineStr">
        <is>
          <t>Missing / blank descriptions or references</t>
        </is>
      </c>
      <c r="B29" s="62" t="n"/>
      <c r="C29" s="63" t="n"/>
      <c r="D29" s="62" t="n"/>
      <c r="E29" s="54" t="n"/>
      <c r="F29" s="54" t="n"/>
      <c r="G29" s="54" t="n"/>
      <c r="H29" s="33" t="n"/>
    </row>
    <row r="30" ht="21.75" customHeight="1">
      <c r="A30" s="68" t="inlineStr">
        <is>
          <t>Revenue debits / reversals</t>
        </is>
      </c>
      <c r="B30" s="62" t="n"/>
      <c r="C30" s="63" t="n"/>
      <c r="D30" s="62" t="n"/>
      <c r="E30" s="54" t="n"/>
      <c r="F30" s="54" t="n"/>
      <c r="G30" s="54" t="n"/>
      <c r="H30" s="33" t="n"/>
    </row>
    <row r="31" ht="21.75" customHeight="1">
      <c r="A31" s="68" t="inlineStr">
        <is>
          <t>Amounts just under approval thresholds</t>
        </is>
      </c>
      <c r="B31" s="62" t="n"/>
      <c r="C31" s="63" t="n"/>
      <c r="D31" s="62" t="n"/>
      <c r="E31" s="54" t="n"/>
      <c r="F31" s="54" t="n"/>
      <c r="G31" s="54" t="n"/>
      <c r="H31" s="33" t="n"/>
    </row>
    <row r="32" ht="21.75" customHeight="1">
      <c r="A32" s="68" t="inlineStr">
        <is>
          <t>Preparer = approver (SoD conflict)</t>
        </is>
      </c>
      <c r="B32" s="62" t="n"/>
      <c r="C32" s="63" t="n"/>
      <c r="D32" s="62" t="n"/>
      <c r="E32" s="54" t="n"/>
      <c r="F32" s="54" t="n"/>
      <c r="G32" s="54" t="n"/>
      <c r="H32" s="33" t="n"/>
    </row>
    <row r="33" ht="27" customHeight="1">
      <c r="A33" s="69" t="inlineStr">
        <is>
          <t>Total selections (may overlap across criteria)</t>
        </is>
      </c>
      <c r="B33" s="65" t="n"/>
      <c r="C33" s="65" t="n"/>
      <c r="D33" s="66">
        <f>SUM(D20:D32)</f>
        <v/>
      </c>
      <c r="E33" s="65" t="n"/>
      <c r="F33" s="65" t="n"/>
      <c r="G33" s="65" t="n"/>
      <c r="H33" s="33" t="n"/>
    </row>
    <row r="34">
      <c r="A34" s="33" t="n"/>
      <c r="B34" s="33" t="n"/>
      <c r="C34" s="33" t="n"/>
      <c r="D34" s="33" t="n"/>
      <c r="E34" s="33" t="n"/>
      <c r="F34" s="33" t="n"/>
      <c r="G34" s="33" t="n"/>
      <c r="H34" s="33" t="n"/>
    </row>
    <row r="35" ht="27.75" customHeight="1">
      <c r="A35" s="35" t="inlineStr">
        <is>
          <t>Every criterion is run against the WHOLE validated population with the resulting count and amount recorded — a zero count is a documented result, not a skipped test. Entries meeting multiple criteria are higher risk; selections flow to &lt;.2&gt; with the triggering criterion carried through.</t>
        </is>
      </c>
      <c r="B35" s="33" t="n"/>
      <c r="C35" s="33" t="n"/>
      <c r="D35" s="33" t="n"/>
      <c r="E35" s="33" t="n"/>
      <c r="F35" s="33" t="n"/>
      <c r="G35" s="33" t="n"/>
      <c r="H35" s="33" t="n"/>
    </row>
    <row r="36">
      <c r="A36" s="33" t="n"/>
      <c r="B36" s="33" t="n"/>
      <c r="C36" s="33" t="n"/>
      <c r="D36" s="33" t="n"/>
      <c r="E36" s="33" t="n"/>
      <c r="F36" s="33" t="n"/>
      <c r="G36" s="33" t="n"/>
      <c r="H36" s="33" t="n"/>
    </row>
    <row r="37">
      <c r="A37" s="55" t="inlineStr">
        <is>
          <t>TM Legends</t>
        </is>
      </c>
      <c r="B37" s="33" t="n"/>
      <c r="C37" s="33" t="n"/>
      <c r="D37" s="33" t="n"/>
      <c r="E37" s="33" t="n"/>
      <c r="F37" s="33" t="n"/>
      <c r="G37" s="33" t="n"/>
      <c r="H37" s="33" t="n"/>
    </row>
    <row r="38">
      <c r="A38" s="56" t="inlineStr">
        <is>
          <t>TB</t>
        </is>
      </c>
      <c r="B38" s="39" t="inlineStr">
        <is>
          <t>Agreed to trial balance</t>
        </is>
      </c>
      <c r="C38" s="57" t="n"/>
      <c r="D38" s="58" t="n"/>
      <c r="E38" s="33" t="n"/>
      <c r="F38" s="33" t="n"/>
      <c r="G38" s="33" t="n"/>
      <c r="H38" s="33" t="n"/>
    </row>
    <row r="39">
      <c r="A39" s="56" t="inlineStr">
        <is>
          <t>GL</t>
        </is>
      </c>
      <c r="B39" s="39" t="inlineStr">
        <is>
          <t>Agreed to general ledger</t>
        </is>
      </c>
      <c r="C39" s="57" t="n"/>
      <c r="D39" s="58" t="n"/>
      <c r="E39" s="33" t="n"/>
      <c r="F39" s="33" t="n"/>
      <c r="G39" s="33" t="n"/>
      <c r="H39" s="33" t="n"/>
    </row>
    <row r="40">
      <c r="A40" s="56" t="inlineStr">
        <is>
          <t>CF</t>
        </is>
      </c>
      <c r="B40" s="39" t="inlineStr">
        <is>
          <t>Confirmed with third party</t>
        </is>
      </c>
      <c r="C40" s="57" t="n"/>
      <c r="D40" s="58" t="n"/>
      <c r="E40" s="33" t="n"/>
      <c r="F40" s="33" t="n"/>
      <c r="G40" s="33" t="n"/>
      <c r="H40" s="33" t="n"/>
    </row>
    <row r="41">
      <c r="A41" s="56" t="inlineStr">
        <is>
          <t>V</t>
        </is>
      </c>
      <c r="B41" s="39" t="inlineStr">
        <is>
          <t>Vouched to source document</t>
        </is>
      </c>
      <c r="C41" s="57" t="n"/>
      <c r="D41" s="58" t="n"/>
      <c r="E41" s="33" t="n"/>
      <c r="F41" s="33" t="n"/>
      <c r="G41" s="33" t="n"/>
      <c r="H41" s="33" t="n"/>
    </row>
    <row r="42">
      <c r="A42" s="56" t="inlineStr">
        <is>
          <t>SR</t>
        </is>
      </c>
      <c r="B42" s="39" t="inlineStr">
        <is>
          <t>Agreed to subsequent bank-cleared receipt</t>
        </is>
      </c>
      <c r="C42" s="57" t="n"/>
      <c r="D42" s="58" t="n"/>
      <c r="E42" s="33" t="n"/>
      <c r="F42" s="33" t="n"/>
      <c r="G42" s="33" t="n"/>
      <c r="H42" s="33" t="n"/>
    </row>
    <row r="43">
      <c r="A43" s="56" t="inlineStr">
        <is>
          <t>R</t>
        </is>
      </c>
      <c r="B43" s="39" t="inlineStr">
        <is>
          <t>Recalculated independently</t>
        </is>
      </c>
      <c r="C43" s="57" t="n"/>
      <c r="D43" s="58" t="n"/>
      <c r="E43" s="33" t="n"/>
      <c r="F43" s="33" t="n"/>
      <c r="G43" s="33" t="n"/>
      <c r="H43" s="33" t="n"/>
    </row>
    <row r="44">
      <c r="A44" s="56" t="inlineStr">
        <is>
          <t>F</t>
        </is>
      </c>
      <c r="B44" s="39" t="inlineStr">
        <is>
          <t>Footed / cross-cast</t>
        </is>
      </c>
      <c r="C44" s="57" t="n"/>
      <c r="D44" s="58" t="n"/>
      <c r="E44" s="33" t="n"/>
      <c r="F44" s="33" t="n"/>
      <c r="G44" s="33" t="n"/>
      <c r="H44" s="33" t="n"/>
    </row>
    <row r="45">
      <c r="A45" s="56" t="inlineStr">
        <is>
          <t>T</t>
        </is>
      </c>
      <c r="B45" s="39" t="inlineStr">
        <is>
          <t>Traced to downstream record</t>
        </is>
      </c>
      <c r="C45" s="57" t="n"/>
      <c r="D45" s="58" t="n"/>
      <c r="E45" s="33" t="n"/>
      <c r="F45" s="33" t="n"/>
      <c r="G45" s="33" t="n"/>
      <c r="H45" s="33" t="n"/>
    </row>
    <row r="46">
      <c r="A46" s="56" t="inlineStr">
        <is>
          <t>PBC</t>
        </is>
      </c>
      <c r="B46" s="39" t="inlineStr">
        <is>
          <t>Prepared by client</t>
        </is>
      </c>
      <c r="C46" s="57" t="n"/>
      <c r="D46" s="58" t="n"/>
      <c r="E46" s="33" t="n"/>
      <c r="F46" s="33" t="n"/>
      <c r="G46" s="33" t="n"/>
      <c r="H46" s="33" t="n"/>
    </row>
    <row r="47">
      <c r="A47" s="33" t="n"/>
      <c r="B47" s="33" t="n"/>
      <c r="C47" s="33" t="n"/>
      <c r="D47" s="33" t="n"/>
      <c r="E47" s="33" t="n"/>
      <c r="F47" s="33" t="n"/>
      <c r="G47" s="33" t="n"/>
      <c r="H47" s="33" t="n"/>
    </row>
    <row r="48" ht="27.75" customHeight="1">
      <c r="A48" s="35" t="inlineStr">
        <is>
          <t>Before sign-off complete Library Procedures 2-3 (population profile; risk criteria &amp; selection).</t>
        </is>
      </c>
      <c r="B48" s="33" t="n"/>
      <c r="C48" s="33" t="n"/>
      <c r="D48" s="33" t="n"/>
      <c r="E48" s="33" t="n"/>
      <c r="F48" s="33" t="n"/>
      <c r="G48" s="33" t="n"/>
      <c r="H48" s="33" t="n"/>
    </row>
  </sheetData>
  <mergeCells count="14">
    <mergeCell ref="B42:D42"/>
    <mergeCell ref="A48:H48"/>
    <mergeCell ref="A35:H35"/>
    <mergeCell ref="B45:D45"/>
    <mergeCell ref="B46:D46"/>
    <mergeCell ref="B41:D41"/>
    <mergeCell ref="B4:H4"/>
    <mergeCell ref="B40:D40"/>
    <mergeCell ref="B6:H6"/>
    <mergeCell ref="B44:D44"/>
    <mergeCell ref="B43:D43"/>
    <mergeCell ref="B39:D39"/>
    <mergeCell ref="B5:H5"/>
    <mergeCell ref="B38:D38"/>
  </mergeCells>
  <printOptions horizontalCentered="0" verticalCentered="0"/>
  <pageMargins left="0.25" right="0.25" top="0.5" bottom="0.5" header="0.2" footer="0.2"/>
  <pageSetup orientation="portrait" paperSize="1" fitToHeight="0" fitToWidth="1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 autoPageBreaks="0" fitToPage="1"/>
  </sheetPr>
  <dimension ref="A1:T76"/>
  <sheetViews>
    <sheetView showGridLines="0" zoomScale="90" zoomScaleNormal="100" workbookViewId="0">
      <pane xSplit="1" ySplit="7" topLeftCell="B8" activePane="bottomRight" state="frozen"/>
      <selection pane="topRight"/>
      <selection pane="bottomLeft"/>
      <selection pane="bottomRight" activeCell="E1" sqref="E1"/>
      <selection pane="bottomLeft" activeCell="A9" sqref="A9"/>
      <selection pane="bottomRight" activeCell="A21" sqref="A21"/>
    </sheetView>
  </sheetViews>
  <sheetFormatPr baseColWidth="8" defaultColWidth="8.6328125" defaultRowHeight="14.5"/>
  <cols>
    <col width="27.5" bestFit="1" customWidth="1" min="1" max="1"/>
    <col width="22.4" customWidth="1" min="2" max="2"/>
    <col width="12" customWidth="1" min="3" max="3"/>
    <col width="37.7" customWidth="1" min="4" max="4"/>
    <col width="13.05" customWidth="1" min="5" max="5"/>
    <col width="27.5" customWidth="1" min="6" max="6"/>
    <col width="18" customWidth="1" min="7" max="7"/>
    <col width="16.45" customWidth="1" min="8" max="8"/>
    <col width="13" customWidth="1" min="9" max="10"/>
    <col width="13" customWidth="1" min="10" max="10"/>
    <col width="42" customWidth="1" min="11" max="11"/>
    <col width="18.15" customWidth="1" min="12" max="12"/>
    <col width="20.7" customWidth="1" min="13" max="14"/>
    <col width="21.55" customWidth="1" min="14" max="14"/>
    <col width="12" customWidth="1" min="15" max="16"/>
    <col width="13" customWidth="1" min="16" max="16"/>
    <col width="42" customWidth="1" min="17" max="17"/>
    <col width="20" customWidth="1" min="18" max="18"/>
    <col width="22.4" customWidth="1" min="19" max="19"/>
    <col width="20" customWidth="1" min="20" max="20"/>
  </cols>
  <sheetData>
    <row r="1" ht="27" customHeight="1">
      <c r="A1" s="32" t="inlineStr">
        <is>
          <t>Selected Journal Entry Testing</t>
        </is>
      </c>
      <c r="B1" s="33" t="n"/>
      <c r="C1" s="33" t="n"/>
      <c r="D1" s="33" t="n"/>
      <c r="E1" s="33" t="n"/>
      <c r="F1" s="33" t="n"/>
      <c r="G1" s="33" t="n"/>
      <c r="H1" s="33" t="n"/>
      <c r="I1" s="33" t="n"/>
      <c r="J1" s="33" t="n"/>
      <c r="K1" s="33" t="n"/>
      <c r="L1" s="33" t="n"/>
      <c r="M1" s="33" t="n"/>
      <c r="N1" s="33" t="n"/>
      <c r="O1" s="33" t="n"/>
      <c r="P1" s="33" t="n"/>
      <c r="Q1" s="33" t="n"/>
      <c r="R1" s="33" t="n"/>
      <c r="S1" s="33" t="n"/>
      <c r="T1" s="33" t="n"/>
    </row>
    <row r="2" ht="27" customHeight="1">
      <c r="A2" s="44" t="inlineStr">
        <is>
          <t>Client / Entity</t>
        </is>
      </c>
      <c r="B2" s="34" t="inlineStr">
        <is>
          <t>Vaquite Industries, Inc.</t>
        </is>
      </c>
      <c r="C2" s="33" t="n"/>
      <c r="D2" s="44" t="inlineStr">
        <is>
          <t>Year-End</t>
        </is>
      </c>
      <c r="E2" s="45" t="n">
        <v>46022</v>
      </c>
      <c r="F2" s="33" t="n"/>
      <c r="G2" s="44" t="inlineStr">
        <is>
          <t>Currency</t>
        </is>
      </c>
      <c r="H2" s="46" t="inlineStr">
        <is>
          <t>USD</t>
        </is>
      </c>
      <c r="I2" s="33" t="n"/>
      <c r="J2" s="33" t="n"/>
      <c r="K2" s="33" t="n"/>
      <c r="L2" s="33" t="n"/>
      <c r="M2" s="33" t="n"/>
      <c r="N2" s="33" t="n"/>
      <c r="O2" s="33" t="n"/>
      <c r="P2" s="33" t="n"/>
      <c r="Q2" s="33" t="n"/>
      <c r="R2" s="33" t="n"/>
      <c r="S2" s="33" t="n"/>
      <c r="T2" s="33" t="n"/>
    </row>
    <row r="3" ht="27" customHeight="1">
      <c r="A3" s="47" t="inlineStr">
        <is>
          <t>Performance Materiality</t>
        </is>
      </c>
      <c r="B3" s="48" t="n">
        <v>23100</v>
      </c>
      <c r="C3" s="33" t="n"/>
      <c r="D3" s="47" t="inlineStr">
        <is>
          <t>Tolerable misstatement / testing threshold</t>
        </is>
      </c>
      <c r="E3" s="48" t="n">
        <v>17400</v>
      </c>
      <c r="F3" s="33" t="n"/>
      <c r="G3" s="33" t="n"/>
      <c r="H3" s="33" t="n"/>
      <c r="I3" s="33" t="n"/>
      <c r="J3" s="33" t="n"/>
      <c r="K3" s="33" t="n"/>
      <c r="L3" s="33" t="n"/>
      <c r="M3" s="33" t="n"/>
      <c r="N3" s="33" t="n"/>
      <c r="O3" s="33" t="n"/>
      <c r="P3" s="33" t="n"/>
      <c r="Q3" s="33" t="n"/>
      <c r="R3" s="33" t="n"/>
      <c r="S3" s="33" t="n"/>
      <c r="T3" s="33" t="n"/>
    </row>
    <row r="4" ht="42" customHeight="1">
      <c r="A4" s="49" t="inlineStr">
        <is>
          <t>Purpose:</t>
        </is>
      </c>
      <c r="B4" s="50" t="inlineStr">
        <is>
          <t>Test each selected entry: agree to supporting documentation, evidence of approval, preparer / approver identities (segregation of duties), correct accounts and period, and conclude per entry.</t>
        </is>
      </c>
      <c r="C4" s="51" t="n"/>
      <c r="D4" s="51" t="n"/>
      <c r="E4" s="51" t="n"/>
      <c r="F4" s="51" t="n"/>
      <c r="G4" s="51" t="n"/>
      <c r="H4" s="51" t="n"/>
      <c r="I4" s="51" t="n"/>
      <c r="J4" s="51" t="n"/>
      <c r="K4" s="51" t="n"/>
      <c r="L4" s="51" t="n"/>
      <c r="M4" s="51" t="n"/>
      <c r="N4" s="51" t="n"/>
      <c r="O4" s="51" t="n"/>
      <c r="P4" s="51" t="n"/>
      <c r="Q4" s="51" t="n"/>
      <c r="R4" s="51" t="n"/>
      <c r="S4" s="51" t="n"/>
      <c r="T4" s="52" t="n"/>
    </row>
    <row r="5" ht="15" customHeight="1">
      <c r="A5" s="49" t="inlineStr">
        <is>
          <t>Scope:</t>
        </is>
      </c>
      <c r="B5" s="50" t="inlineStr">
        <is>
          <t>All entries selected on &lt;.1&gt;; 25 selection rows with the triggering criterion carried through.</t>
        </is>
      </c>
      <c r="C5" s="51" t="n"/>
      <c r="D5" s="51" t="n"/>
      <c r="E5" s="51" t="n"/>
      <c r="F5" s="51" t="n"/>
      <c r="G5" s="51" t="n"/>
      <c r="H5" s="51" t="n"/>
      <c r="I5" s="51" t="n"/>
      <c r="J5" s="51" t="n"/>
      <c r="K5" s="51" t="n"/>
      <c r="L5" s="51" t="n"/>
      <c r="M5" s="51" t="n"/>
      <c r="N5" s="51" t="n"/>
      <c r="O5" s="51" t="n"/>
      <c r="P5" s="51" t="n"/>
      <c r="Q5" s="51" t="n"/>
      <c r="R5" s="51" t="n"/>
      <c r="S5" s="51" t="n"/>
      <c r="T5" s="52" t="n"/>
    </row>
    <row r="6" ht="15" customHeight="1">
      <c r="A6" s="49" t="inlineStr">
        <is>
          <t>Assertions:</t>
        </is>
      </c>
      <c r="B6" s="50" t="inlineStr">
        <is>
          <t>Occurrence; Accuracy; Cutoff; Classification; Authorization</t>
        </is>
      </c>
      <c r="C6" s="51" t="n"/>
      <c r="D6" s="51" t="n"/>
      <c r="E6" s="51" t="n"/>
      <c r="F6" s="51" t="n"/>
      <c r="G6" s="51" t="n"/>
      <c r="H6" s="51" t="n"/>
      <c r="I6" s="51" t="n"/>
      <c r="J6" s="51" t="n"/>
      <c r="K6" s="51" t="n"/>
      <c r="L6" s="51" t="n"/>
      <c r="M6" s="51" t="n"/>
      <c r="N6" s="51" t="n"/>
      <c r="O6" s="51" t="n"/>
      <c r="P6" s="51" t="n"/>
      <c r="Q6" s="51" t="n"/>
      <c r="R6" s="51" t="n"/>
      <c r="S6" s="51" t="n"/>
      <c r="T6" s="52" t="n"/>
    </row>
    <row r="7" ht="43.5" customHeight="1">
      <c r="A7" s="53" t="inlineStr">
        <is>
          <t>Risk (H/M/L)</t>
        </is>
      </c>
      <c r="B7" s="53" t="inlineStr">
        <is>
          <t>Sel #</t>
        </is>
      </c>
      <c r="C7" s="53" t="inlineStr">
        <is>
          <t>JE ref</t>
        </is>
      </c>
      <c r="D7" s="53" t="inlineStr">
        <is>
          <t>Date</t>
        </is>
      </c>
      <c r="E7" s="53" t="inlineStr">
        <is>
          <t>Source / type</t>
        </is>
      </c>
      <c r="F7" s="53" t="inlineStr">
        <is>
          <t>Criterion triggering selection</t>
        </is>
      </c>
      <c r="G7" s="53" t="inlineStr">
        <is>
          <t>Description</t>
        </is>
      </c>
      <c r="H7" s="53" t="inlineStr">
        <is>
          <t>Account(s) / FSLI</t>
        </is>
      </c>
      <c r="I7" s="53" t="inlineStr">
        <is>
          <t>Debit</t>
        </is>
      </c>
      <c r="J7" s="53" t="inlineStr">
        <is>
          <t>Credit</t>
        </is>
      </c>
      <c r="K7" s="53" t="inlineStr">
        <is>
          <t>Balanced (Dr − Cr)</t>
        </is>
      </c>
      <c r="L7" s="53" t="inlineStr">
        <is>
          <t>Investigation focus</t>
        </is>
      </c>
      <c r="M7" s="53" t="inlineStr">
        <is>
          <t>Support obtained (Y/N)</t>
        </is>
      </c>
      <c r="N7" s="53" t="inlineStr">
        <is>
          <t>Approval evidence (Y/N)</t>
        </is>
      </c>
      <c r="O7" s="53" t="inlineStr">
        <is>
          <t>Prepared by</t>
        </is>
      </c>
      <c r="P7" s="53" t="inlineStr">
        <is>
          <t>Approved by</t>
        </is>
      </c>
      <c r="Q7" s="53" t="inlineStr">
        <is>
          <t>SoD check</t>
        </is>
      </c>
      <c r="R7" s="53" t="inlineStr">
        <is>
          <t>Client explanation</t>
        </is>
      </c>
      <c r="S7" s="53" t="inlineStr">
        <is>
          <t>Conclusion (S / U / N/A)</t>
        </is>
      </c>
      <c r="T7" s="53" t="inlineStr">
        <is>
          <t>Comments</t>
        </is>
      </c>
    </row>
    <row r="8">
      <c r="A8" s="33" t="n"/>
      <c r="B8" s="33" t="n"/>
      <c r="C8" s="61" t="inlineStr">
        <is>
          <t>PBC</t>
        </is>
      </c>
      <c r="D8" s="33" t="n"/>
      <c r="E8" s="33" t="n"/>
      <c r="F8" s="33" t="n"/>
      <c r="G8" s="33" t="n"/>
      <c r="H8" s="33" t="n"/>
      <c r="I8" s="61" t="inlineStr">
        <is>
          <t>T</t>
        </is>
      </c>
      <c r="J8" s="33" t="n"/>
      <c r="K8" s="33" t="n"/>
      <c r="L8" s="33" t="n"/>
      <c r="M8" s="61" t="inlineStr">
        <is>
          <t>V</t>
        </is>
      </c>
      <c r="N8" s="61" t="inlineStr">
        <is>
          <t>V</t>
        </is>
      </c>
      <c r="O8" s="33" t="n"/>
      <c r="P8" s="33" t="n"/>
      <c r="Q8" s="33" t="n"/>
      <c r="R8" s="33" t="n"/>
      <c r="S8" s="33" t="n"/>
      <c r="T8" s="33" t="n"/>
    </row>
    <row r="9" ht="27" customHeight="1">
      <c r="A9" s="54" t="n"/>
      <c r="B9" s="70" t="n">
        <v>1</v>
      </c>
      <c r="C9" s="54" t="n"/>
      <c r="D9" s="54" t="n"/>
      <c r="E9" s="54" t="n"/>
      <c r="F9" s="54" t="n"/>
      <c r="G9" s="54" t="n"/>
      <c r="H9" s="54" t="n"/>
      <c r="I9" s="63" t="n"/>
      <c r="J9" s="63" t="n"/>
      <c r="K9" s="64">
        <f>IF(AND(I9="",J9=""),"",IF(I9="",0,I9)-IF(J9="",0,J9))</f>
        <v/>
      </c>
      <c r="L9" s="54" t="n"/>
      <c r="M9" s="54" t="n"/>
      <c r="N9" s="54" t="n"/>
      <c r="O9" s="54" t="n"/>
      <c r="P9" s="54" t="n"/>
      <c r="Q9" s="39">
        <f>IF(OR(O9="",P9=""),"",IF(O9=P9,"FLAG","OK"))</f>
        <v/>
      </c>
      <c r="R9" s="54" t="n"/>
      <c r="S9" s="54" t="n"/>
      <c r="T9" s="54" t="n"/>
    </row>
    <row r="10" ht="27" customHeight="1">
      <c r="A10" s="54" t="n"/>
      <c r="B10" s="70" t="n">
        <v>2</v>
      </c>
      <c r="C10" s="54" t="n"/>
      <c r="D10" s="54" t="n"/>
      <c r="E10" s="54" t="n"/>
      <c r="F10" s="54" t="n"/>
      <c r="G10" s="54" t="n"/>
      <c r="H10" s="54" t="n"/>
      <c r="I10" s="63" t="n"/>
      <c r="J10" s="63" t="n"/>
      <c r="K10" s="64">
        <f>IF(AND(I10="",J10=""),"",IF(I10="",0,I10)-IF(J10="",0,J10))</f>
        <v/>
      </c>
      <c r="L10" s="54" t="n"/>
      <c r="M10" s="54" t="n"/>
      <c r="N10" s="54" t="n"/>
      <c r="O10" s="54" t="n"/>
      <c r="P10" s="54" t="n"/>
      <c r="Q10" s="39">
        <f>IF(OR(O10="",P10=""),"",IF(O10=P10,"FLAG","OK"))</f>
        <v/>
      </c>
      <c r="R10" s="54" t="n"/>
      <c r="S10" s="54" t="n"/>
      <c r="T10" s="54" t="n"/>
    </row>
    <row r="11" ht="27" customHeight="1">
      <c r="A11" s="54" t="n"/>
      <c r="B11" s="70" t="n">
        <v>3</v>
      </c>
      <c r="C11" s="54" t="n"/>
      <c r="D11" s="54" t="n"/>
      <c r="E11" s="54" t="n"/>
      <c r="F11" s="54" t="n"/>
      <c r="G11" s="54" t="n"/>
      <c r="H11" s="54" t="n"/>
      <c r="I11" s="63" t="n"/>
      <c r="J11" s="63" t="n"/>
      <c r="K11" s="64">
        <f>IF(AND(I11="",J11=""),"",IF(I11="",0,I11)-IF(J11="",0,J11))</f>
        <v/>
      </c>
      <c r="L11" s="54" t="n"/>
      <c r="M11" s="54" t="n"/>
      <c r="N11" s="54" t="n"/>
      <c r="O11" s="54" t="n"/>
      <c r="P11" s="54" t="n"/>
      <c r="Q11" s="39">
        <f>IF(OR(O11="",P11=""),"",IF(O11=P11,"FLAG","OK"))</f>
        <v/>
      </c>
      <c r="R11" s="54" t="n"/>
      <c r="S11" s="54" t="n"/>
      <c r="T11" s="54" t="n"/>
    </row>
    <row r="12" ht="27" customHeight="1">
      <c r="A12" s="54" t="n"/>
      <c r="B12" s="70" t="n">
        <v>4</v>
      </c>
      <c r="C12" s="54" t="n"/>
      <c r="D12" s="54" t="n"/>
      <c r="E12" s="54" t="n"/>
      <c r="F12" s="54" t="n"/>
      <c r="G12" s="54" t="n"/>
      <c r="H12" s="54" t="n"/>
      <c r="I12" s="63" t="n"/>
      <c r="J12" s="63" t="n"/>
      <c r="K12" s="64">
        <f>IF(AND(I12="",J12=""),"",IF(I12="",0,I12)-IF(J12="",0,J12))</f>
        <v/>
      </c>
      <c r="L12" s="54" t="n"/>
      <c r="M12" s="54" t="n"/>
      <c r="N12" s="54" t="n"/>
      <c r="O12" s="54" t="n"/>
      <c r="P12" s="54" t="n"/>
      <c r="Q12" s="39">
        <f>IF(OR(O12="",P12=""),"",IF(O12=P12,"FLAG","OK"))</f>
        <v/>
      </c>
      <c r="R12" s="54" t="n"/>
      <c r="S12" s="54" t="n"/>
      <c r="T12" s="54" t="n"/>
    </row>
    <row r="13" ht="27" customHeight="1">
      <c r="A13" s="54" t="n"/>
      <c r="B13" s="70" t="n">
        <v>5</v>
      </c>
      <c r="C13" s="54" t="n"/>
      <c r="D13" s="54" t="n"/>
      <c r="E13" s="54" t="n"/>
      <c r="F13" s="54" t="n"/>
      <c r="G13" s="54" t="n"/>
      <c r="H13" s="54" t="n"/>
      <c r="I13" s="63" t="n"/>
      <c r="J13" s="63" t="n"/>
      <c r="K13" s="64">
        <f>IF(AND(I13="",J13=""),"",IF(I13="",0,I13)-IF(J13="",0,J13))</f>
        <v/>
      </c>
      <c r="L13" s="54" t="n"/>
      <c r="M13" s="54" t="n"/>
      <c r="N13" s="54" t="n"/>
      <c r="O13" s="54" t="n"/>
      <c r="P13" s="54" t="n"/>
      <c r="Q13" s="39">
        <f>IF(OR(O13="",P13=""),"",IF(O13=P13,"FLAG","OK"))</f>
        <v/>
      </c>
      <c r="R13" s="54" t="n"/>
      <c r="S13" s="54" t="n"/>
      <c r="T13" s="54" t="n"/>
    </row>
    <row r="14" ht="27" customHeight="1">
      <c r="A14" s="54" t="n"/>
      <c r="B14" s="70" t="n">
        <v>6</v>
      </c>
      <c r="C14" s="54" t="n"/>
      <c r="D14" s="54" t="n"/>
      <c r="E14" s="54" t="n"/>
      <c r="F14" s="54" t="n"/>
      <c r="G14" s="54" t="n"/>
      <c r="H14" s="54" t="n"/>
      <c r="I14" s="63" t="n"/>
      <c r="J14" s="63" t="n"/>
      <c r="K14" s="64">
        <f>IF(AND(I14="",J14=""),"",IF(I14="",0,I14)-IF(J14="",0,J14))</f>
        <v/>
      </c>
      <c r="L14" s="54" t="n"/>
      <c r="M14" s="54" t="n"/>
      <c r="N14" s="54" t="n"/>
      <c r="O14" s="54" t="n"/>
      <c r="P14" s="54" t="n"/>
      <c r="Q14" s="39">
        <f>IF(OR(O14="",P14=""),"",IF(O14=P14,"FLAG","OK"))</f>
        <v/>
      </c>
      <c r="R14" s="54" t="n"/>
      <c r="S14" s="54" t="n"/>
      <c r="T14" s="54" t="n"/>
    </row>
    <row r="15" ht="27" customHeight="1">
      <c r="A15" s="54" t="n"/>
      <c r="B15" s="70" t="n">
        <v>7</v>
      </c>
      <c r="C15" s="54" t="n"/>
      <c r="D15" s="54" t="n"/>
      <c r="E15" s="54" t="n"/>
      <c r="F15" s="54" t="n"/>
      <c r="G15" s="54" t="n"/>
      <c r="H15" s="54" t="n"/>
      <c r="I15" s="63" t="n"/>
      <c r="J15" s="63" t="n"/>
      <c r="K15" s="64">
        <f>IF(AND(I15="",J15=""),"",IF(I15="",0,I15)-IF(J15="",0,J15))</f>
        <v/>
      </c>
      <c r="L15" s="54" t="n"/>
      <c r="M15" s="54" t="n"/>
      <c r="N15" s="54" t="n"/>
      <c r="O15" s="54" t="n"/>
      <c r="P15" s="54" t="n"/>
      <c r="Q15" s="39">
        <f>IF(OR(O15="",P15=""),"",IF(O15=P15,"FLAG","OK"))</f>
        <v/>
      </c>
      <c r="R15" s="54" t="n"/>
      <c r="S15" s="54" t="n"/>
      <c r="T15" s="54" t="n"/>
    </row>
    <row r="16" ht="27" customHeight="1">
      <c r="A16" s="54" t="n"/>
      <c r="B16" s="70" t="n">
        <v>8</v>
      </c>
      <c r="C16" s="54" t="n"/>
      <c r="D16" s="54" t="n"/>
      <c r="E16" s="54" t="n"/>
      <c r="F16" s="54" t="n"/>
      <c r="G16" s="54" t="n"/>
      <c r="H16" s="54" t="n"/>
      <c r="I16" s="63" t="n"/>
      <c r="J16" s="63" t="n"/>
      <c r="K16" s="64">
        <f>IF(AND(I16="",J16=""),"",IF(I16="",0,I16)-IF(J16="",0,J16))</f>
        <v/>
      </c>
      <c r="L16" s="54" t="n"/>
      <c r="M16" s="54" t="n"/>
      <c r="N16" s="54" t="n"/>
      <c r="O16" s="54" t="n"/>
      <c r="P16" s="54" t="n"/>
      <c r="Q16" s="39">
        <f>IF(OR(O16="",P16=""),"",IF(O16=P16,"FLAG","OK"))</f>
        <v/>
      </c>
      <c r="R16" s="54" t="n"/>
      <c r="S16" s="54" t="n"/>
      <c r="T16" s="54" t="n"/>
    </row>
    <row r="17" ht="27" customHeight="1">
      <c r="A17" s="54" t="n"/>
      <c r="B17" s="70" t="n">
        <v>9</v>
      </c>
      <c r="C17" s="54" t="n"/>
      <c r="D17" s="54" t="n"/>
      <c r="E17" s="54" t="n"/>
      <c r="F17" s="54" t="n"/>
      <c r="G17" s="54" t="n"/>
      <c r="H17" s="54" t="n"/>
      <c r="I17" s="63" t="n"/>
      <c r="J17" s="63" t="n"/>
      <c r="K17" s="64">
        <f>IF(AND(I17="",J17=""),"",IF(I17="",0,I17)-IF(J17="",0,J17))</f>
        <v/>
      </c>
      <c r="L17" s="54" t="n"/>
      <c r="M17" s="54" t="n"/>
      <c r="N17" s="54" t="n"/>
      <c r="O17" s="54" t="n"/>
      <c r="P17" s="54" t="n"/>
      <c r="Q17" s="39">
        <f>IF(OR(O17="",P17=""),"",IF(O17=P17,"FLAG","OK"))</f>
        <v/>
      </c>
      <c r="R17" s="54" t="n"/>
      <c r="S17" s="54" t="n"/>
      <c r="T17" s="54" t="n"/>
    </row>
    <row r="18" ht="27" customHeight="1">
      <c r="A18" s="54" t="n"/>
      <c r="B18" s="70" t="n">
        <v>10</v>
      </c>
      <c r="C18" s="54" t="n"/>
      <c r="D18" s="54" t="n"/>
      <c r="E18" s="54" t="n"/>
      <c r="F18" s="54" t="n"/>
      <c r="G18" s="54" t="n"/>
      <c r="H18" s="54" t="n"/>
      <c r="I18" s="63" t="n"/>
      <c r="J18" s="63" t="n"/>
      <c r="K18" s="64">
        <f>IF(AND(I18="",J18=""),"",IF(I18="",0,I18)-IF(J18="",0,J18))</f>
        <v/>
      </c>
      <c r="L18" s="54" t="n"/>
      <c r="M18" s="54" t="n"/>
      <c r="N18" s="54" t="n"/>
      <c r="O18" s="54" t="n"/>
      <c r="P18" s="54" t="n"/>
      <c r="Q18" s="39">
        <f>IF(OR(O18="",P18=""),"",IF(O18=P18,"FLAG","OK"))</f>
        <v/>
      </c>
      <c r="R18" s="54" t="n"/>
      <c r="S18" s="54" t="n"/>
      <c r="T18" s="54" t="n"/>
    </row>
    <row r="19" ht="27" customHeight="1">
      <c r="A19" s="54" t="n"/>
      <c r="B19" s="70" t="n">
        <v>11</v>
      </c>
      <c r="C19" s="54" t="n"/>
      <c r="D19" s="54" t="n"/>
      <c r="E19" s="54" t="n"/>
      <c r="F19" s="54" t="n"/>
      <c r="G19" s="54" t="n"/>
      <c r="H19" s="54" t="n"/>
      <c r="I19" s="63" t="n"/>
      <c r="J19" s="63" t="n"/>
      <c r="K19" s="64">
        <f>IF(AND(I19="",J19=""),"",IF(I19="",0,I19)-IF(J19="",0,J19))</f>
        <v/>
      </c>
      <c r="L19" s="54" t="n"/>
      <c r="M19" s="54" t="n"/>
      <c r="N19" s="54" t="n"/>
      <c r="O19" s="54" t="n"/>
      <c r="P19" s="54" t="n"/>
      <c r="Q19" s="39">
        <f>IF(OR(O19="",P19=""),"",IF(O19=P19,"FLAG","OK"))</f>
        <v/>
      </c>
      <c r="R19" s="54" t="n"/>
      <c r="S19" s="54" t="n"/>
      <c r="T19" s="54" t="n"/>
    </row>
    <row r="20" ht="27" customHeight="1">
      <c r="A20" s="54" t="n"/>
      <c r="B20" s="70" t="n">
        <v>12</v>
      </c>
      <c r="C20" s="54" t="n"/>
      <c r="D20" s="54" t="n"/>
      <c r="E20" s="54" t="n"/>
      <c r="F20" s="54" t="n"/>
      <c r="G20" s="54" t="n"/>
      <c r="H20" s="54" t="n"/>
      <c r="I20" s="63" t="n"/>
      <c r="J20" s="63" t="n"/>
      <c r="K20" s="64">
        <f>IF(AND(I20="",J20=""),"",IF(I20="",0,I20)-IF(J20="",0,J20))</f>
        <v/>
      </c>
      <c r="L20" s="54" t="n"/>
      <c r="M20" s="54" t="n"/>
      <c r="N20" s="54" t="n"/>
      <c r="O20" s="54" t="n"/>
      <c r="P20" s="54" t="n"/>
      <c r="Q20" s="39">
        <f>IF(OR(O20="",P20=""),"",IF(O20=P20,"FLAG","OK"))</f>
        <v/>
      </c>
      <c r="R20" s="54" t="n"/>
      <c r="S20" s="54" t="n"/>
      <c r="T20" s="54" t="n"/>
    </row>
    <row r="21" ht="27" customHeight="1">
      <c r="A21" s="54" t="n"/>
      <c r="B21" s="70" t="n">
        <v>13</v>
      </c>
      <c r="C21" s="54" t="n"/>
      <c r="D21" s="54" t="n"/>
      <c r="E21" s="54" t="n"/>
      <c r="F21" s="54" t="n"/>
      <c r="G21" s="54" t="n"/>
      <c r="H21" s="54" t="n"/>
      <c r="I21" s="63" t="n"/>
      <c r="J21" s="63" t="n"/>
      <c r="K21" s="64">
        <f>IF(AND(I21="",J21=""),"",IF(I21="",0,I21)-IF(J21="",0,J21))</f>
        <v/>
      </c>
      <c r="L21" s="54" t="n"/>
      <c r="M21" s="54" t="n"/>
      <c r="N21" s="54" t="n"/>
      <c r="O21" s="54" t="n"/>
      <c r="P21" s="54" t="n"/>
      <c r="Q21" s="39">
        <f>IF(OR(O21="",P21=""),"",IF(O21=P21,"FLAG","OK"))</f>
        <v/>
      </c>
      <c r="R21" s="54" t="n"/>
      <c r="S21" s="54" t="n"/>
      <c r="T21" s="54" t="n"/>
    </row>
    <row r="22" ht="27" customHeight="1">
      <c r="A22" s="54" t="n"/>
      <c r="B22" s="70" t="n">
        <v>14</v>
      </c>
      <c r="C22" s="54" t="n"/>
      <c r="D22" s="54" t="n"/>
      <c r="E22" s="54" t="n"/>
      <c r="F22" s="54" t="n"/>
      <c r="G22" s="54" t="n"/>
      <c r="H22" s="54" t="n"/>
      <c r="I22" s="63" t="n"/>
      <c r="J22" s="63" t="n"/>
      <c r="K22" s="64">
        <f>IF(AND(I22="",J22=""),"",IF(I22="",0,I22)-IF(J22="",0,J22))</f>
        <v/>
      </c>
      <c r="L22" s="54" t="n"/>
      <c r="M22" s="54" t="n"/>
      <c r="N22" s="54" t="n"/>
      <c r="O22" s="54" t="n"/>
      <c r="P22" s="54" t="n"/>
      <c r="Q22" s="39">
        <f>IF(OR(O22="",P22=""),"",IF(O22=P22,"FLAG","OK"))</f>
        <v/>
      </c>
      <c r="R22" s="54" t="n"/>
      <c r="S22" s="54" t="n"/>
      <c r="T22" s="54" t="n"/>
    </row>
    <row r="23" ht="27" customHeight="1">
      <c r="A23" s="54" t="n"/>
      <c r="B23" s="70" t="n">
        <v>15</v>
      </c>
      <c r="C23" s="54" t="n"/>
      <c r="D23" s="54" t="n"/>
      <c r="E23" s="54" t="n"/>
      <c r="F23" s="54" t="n"/>
      <c r="G23" s="54" t="n"/>
      <c r="H23" s="54" t="n"/>
      <c r="I23" s="63" t="n"/>
      <c r="J23" s="63" t="n"/>
      <c r="K23" s="64">
        <f>IF(AND(I23="",J23=""),"",IF(I23="",0,I23)-IF(J23="",0,J23))</f>
        <v/>
      </c>
      <c r="L23" s="54" t="n"/>
      <c r="M23" s="54" t="n"/>
      <c r="N23" s="54" t="n"/>
      <c r="O23" s="54" t="n"/>
      <c r="P23" s="54" t="n"/>
      <c r="Q23" s="39">
        <f>IF(OR(O23="",P23=""),"",IF(O23=P23,"FLAG","OK"))</f>
        <v/>
      </c>
      <c r="R23" s="54" t="n"/>
      <c r="S23" s="54" t="n"/>
      <c r="T23" s="54" t="n"/>
    </row>
    <row r="24" ht="27" customHeight="1">
      <c r="A24" s="54" t="n"/>
      <c r="B24" s="70" t="n">
        <v>16</v>
      </c>
      <c r="C24" s="54" t="n"/>
      <c r="D24" s="54" t="n"/>
      <c r="E24" s="54" t="n"/>
      <c r="F24" s="54" t="n"/>
      <c r="G24" s="54" t="n"/>
      <c r="H24" s="54" t="n"/>
      <c r="I24" s="63" t="n"/>
      <c r="J24" s="63" t="n"/>
      <c r="K24" s="64">
        <f>IF(AND(I24="",J24=""),"",IF(I24="",0,I24)-IF(J24="",0,J24))</f>
        <v/>
      </c>
      <c r="L24" s="54" t="n"/>
      <c r="M24" s="54" t="n"/>
      <c r="N24" s="54" t="n"/>
      <c r="O24" s="54" t="n"/>
      <c r="P24" s="54" t="n"/>
      <c r="Q24" s="39">
        <f>IF(OR(O24="",P24=""),"",IF(O24=P24,"FLAG","OK"))</f>
        <v/>
      </c>
      <c r="R24" s="54" t="n"/>
      <c r="S24" s="54" t="n"/>
      <c r="T24" s="54" t="n"/>
    </row>
    <row r="25" ht="27" customHeight="1">
      <c r="A25" s="54" t="n"/>
      <c r="B25" s="70" t="n">
        <v>17</v>
      </c>
      <c r="C25" s="54" t="n"/>
      <c r="D25" s="54" t="n"/>
      <c r="E25" s="54" t="n"/>
      <c r="F25" s="54" t="n"/>
      <c r="G25" s="54" t="n"/>
      <c r="H25" s="54" t="n"/>
      <c r="I25" s="63" t="n"/>
      <c r="J25" s="63" t="n"/>
      <c r="K25" s="64">
        <f>IF(AND(I25="",J25=""),"",IF(I25="",0,I25)-IF(J25="",0,J25))</f>
        <v/>
      </c>
      <c r="L25" s="54" t="n"/>
      <c r="M25" s="54" t="n"/>
      <c r="N25" s="54" t="n"/>
      <c r="O25" s="54" t="n"/>
      <c r="P25" s="54" t="n"/>
      <c r="Q25" s="39">
        <f>IF(OR(O25="",P25=""),"",IF(O25=P25,"FLAG","OK"))</f>
        <v/>
      </c>
      <c r="R25" s="54" t="n"/>
      <c r="S25" s="54" t="n"/>
      <c r="T25" s="54" t="n"/>
    </row>
    <row r="26" ht="27" customHeight="1">
      <c r="A26" s="54" t="n"/>
      <c r="B26" s="70" t="n">
        <v>18</v>
      </c>
      <c r="C26" s="54" t="n"/>
      <c r="D26" s="54" t="n"/>
      <c r="E26" s="54" t="n"/>
      <c r="F26" s="54" t="n"/>
      <c r="G26" s="54" t="n"/>
      <c r="H26" s="54" t="n"/>
      <c r="I26" s="63" t="n"/>
      <c r="J26" s="63" t="n"/>
      <c r="K26" s="64">
        <f>IF(AND(I26="",J26=""),"",IF(I26="",0,I26)-IF(J26="",0,J26))</f>
        <v/>
      </c>
      <c r="L26" s="54" t="n"/>
      <c r="M26" s="54" t="n"/>
      <c r="N26" s="54" t="n"/>
      <c r="O26" s="54" t="n"/>
      <c r="P26" s="54" t="n"/>
      <c r="Q26" s="39">
        <f>IF(OR(O26="",P26=""),"",IF(O26=P26,"FLAG","OK"))</f>
        <v/>
      </c>
      <c r="R26" s="54" t="n"/>
      <c r="S26" s="54" t="n"/>
      <c r="T26" s="54" t="n"/>
    </row>
    <row r="27" ht="27" customHeight="1">
      <c r="A27" s="54" t="n"/>
      <c r="B27" s="70" t="n">
        <v>19</v>
      </c>
      <c r="C27" s="54" t="n"/>
      <c r="D27" s="54" t="n"/>
      <c r="E27" s="54" t="n"/>
      <c r="F27" s="54" t="n"/>
      <c r="G27" s="54" t="n"/>
      <c r="H27" s="54" t="n"/>
      <c r="I27" s="63" t="n"/>
      <c r="J27" s="63" t="n"/>
      <c r="K27" s="64">
        <f>IF(AND(I27="",J27=""),"",IF(I27="",0,I27)-IF(J27="",0,J27))</f>
        <v/>
      </c>
      <c r="L27" s="54" t="n"/>
      <c r="M27" s="54" t="n"/>
      <c r="N27" s="54" t="n"/>
      <c r="O27" s="54" t="n"/>
      <c r="P27" s="54" t="n"/>
      <c r="Q27" s="39">
        <f>IF(OR(O27="",P27=""),"",IF(O27=P27,"FLAG","OK"))</f>
        <v/>
      </c>
      <c r="R27" s="54" t="n"/>
      <c r="S27" s="54" t="n"/>
      <c r="T27" s="54" t="n"/>
    </row>
    <row r="28" ht="27" customHeight="1">
      <c r="A28" s="54" t="n"/>
      <c r="B28" s="70" t="n">
        <v>20</v>
      </c>
      <c r="C28" s="54" t="n"/>
      <c r="D28" s="54" t="n"/>
      <c r="E28" s="54" t="n"/>
      <c r="F28" s="54" t="n"/>
      <c r="G28" s="54" t="n"/>
      <c r="H28" s="54" t="n"/>
      <c r="I28" s="63" t="n"/>
      <c r="J28" s="63" t="n"/>
      <c r="K28" s="64">
        <f>IF(AND(I28="",J28=""),"",IF(I28="",0,I28)-IF(J28="",0,J28))</f>
        <v/>
      </c>
      <c r="L28" s="54" t="n"/>
      <c r="M28" s="54" t="n"/>
      <c r="N28" s="54" t="n"/>
      <c r="O28" s="54" t="n"/>
      <c r="P28" s="54" t="n"/>
      <c r="Q28" s="39">
        <f>IF(OR(O28="",P28=""),"",IF(O28=P28,"FLAG","OK"))</f>
        <v/>
      </c>
      <c r="R28" s="54" t="n"/>
      <c r="S28" s="54" t="n"/>
      <c r="T28" s="54" t="n"/>
    </row>
    <row r="29" ht="27" customHeight="1">
      <c r="A29" s="54" t="n"/>
      <c r="B29" s="70" t="n">
        <v>21</v>
      </c>
      <c r="C29" s="54" t="n"/>
      <c r="D29" s="54" t="n"/>
      <c r="E29" s="54" t="n"/>
      <c r="F29" s="54" t="n"/>
      <c r="G29" s="54" t="n"/>
      <c r="H29" s="54" t="n"/>
      <c r="I29" s="63" t="n"/>
      <c r="J29" s="63" t="n"/>
      <c r="K29" s="64">
        <f>IF(AND(I29="",J29=""),"",IF(I29="",0,I29)-IF(J29="",0,J29))</f>
        <v/>
      </c>
      <c r="L29" s="54" t="n"/>
      <c r="M29" s="54" t="n"/>
      <c r="N29" s="54" t="n"/>
      <c r="O29" s="54" t="n"/>
      <c r="P29" s="54" t="n"/>
      <c r="Q29" s="39">
        <f>IF(OR(O29="",P29=""),"",IF(O29=P29,"FLAG","OK"))</f>
        <v/>
      </c>
      <c r="R29" s="54" t="n"/>
      <c r="S29" s="54" t="n"/>
      <c r="T29" s="54" t="n"/>
    </row>
    <row r="30" ht="27" customHeight="1">
      <c r="A30" s="54" t="n"/>
      <c r="B30" s="70" t="n">
        <v>22</v>
      </c>
      <c r="C30" s="54" t="n"/>
      <c r="D30" s="54" t="n"/>
      <c r="E30" s="54" t="n"/>
      <c r="F30" s="54" t="n"/>
      <c r="G30" s="54" t="n"/>
      <c r="H30" s="54" t="n"/>
      <c r="I30" s="63" t="n"/>
      <c r="J30" s="63" t="n"/>
      <c r="K30" s="64">
        <f>IF(AND(I30="",J30=""),"",IF(I30="",0,I30)-IF(J30="",0,J30))</f>
        <v/>
      </c>
      <c r="L30" s="54" t="n"/>
      <c r="M30" s="54" t="n"/>
      <c r="N30" s="54" t="n"/>
      <c r="O30" s="54" t="n"/>
      <c r="P30" s="54" t="n"/>
      <c r="Q30" s="39">
        <f>IF(OR(O30="",P30=""),"",IF(O30=P30,"FLAG","OK"))</f>
        <v/>
      </c>
      <c r="R30" s="54" t="n"/>
      <c r="S30" s="54" t="n"/>
      <c r="T30" s="54" t="n"/>
    </row>
    <row r="31" ht="27" customHeight="1">
      <c r="A31" s="54" t="n"/>
      <c r="B31" s="70" t="n">
        <v>23</v>
      </c>
      <c r="C31" s="54" t="n"/>
      <c r="D31" s="54" t="n"/>
      <c r="E31" s="54" t="n"/>
      <c r="F31" s="54" t="n"/>
      <c r="G31" s="54" t="n"/>
      <c r="H31" s="54" t="n"/>
      <c r="I31" s="63" t="n"/>
      <c r="J31" s="63" t="n"/>
      <c r="K31" s="64">
        <f>IF(AND(I31="",J31=""),"",IF(I31="",0,I31)-IF(J31="",0,J31))</f>
        <v/>
      </c>
      <c r="L31" s="54" t="n"/>
      <c r="M31" s="54" t="n"/>
      <c r="N31" s="54" t="n"/>
      <c r="O31" s="54" t="n"/>
      <c r="P31" s="54" t="n"/>
      <c r="Q31" s="39">
        <f>IF(OR(O31="",P31=""),"",IF(O31=P31,"FLAG","OK"))</f>
        <v/>
      </c>
      <c r="R31" s="54" t="n"/>
      <c r="S31" s="54" t="n"/>
      <c r="T31" s="54" t="n"/>
    </row>
    <row r="32" ht="27" customHeight="1">
      <c r="A32" s="54" t="n"/>
      <c r="B32" s="70" t="n">
        <v>24</v>
      </c>
      <c r="C32" s="54" t="n"/>
      <c r="D32" s="54" t="n"/>
      <c r="E32" s="54" t="n"/>
      <c r="F32" s="54" t="n"/>
      <c r="G32" s="54" t="n"/>
      <c r="H32" s="54" t="n"/>
      <c r="I32" s="63" t="n"/>
      <c r="J32" s="63" t="n"/>
      <c r="K32" s="64">
        <f>IF(AND(I32="",J32=""),"",IF(I32="",0,I32)-IF(J32="",0,J32))</f>
        <v/>
      </c>
      <c r="L32" s="54" t="n"/>
      <c r="M32" s="54" t="n"/>
      <c r="N32" s="54" t="n"/>
      <c r="O32" s="54" t="n"/>
      <c r="P32" s="54" t="n"/>
      <c r="Q32" s="39">
        <f>IF(OR(O32="",P32=""),"",IF(O32=P32,"FLAG","OK"))</f>
        <v/>
      </c>
      <c r="R32" s="54" t="n"/>
      <c r="S32" s="54" t="n"/>
      <c r="T32" s="54" t="n"/>
    </row>
    <row r="33" ht="27" customHeight="1">
      <c r="A33" s="54" t="n"/>
      <c r="B33" s="70" t="n">
        <v>25</v>
      </c>
      <c r="C33" s="54" t="n"/>
      <c r="D33" s="54" t="n"/>
      <c r="E33" s="54" t="n"/>
      <c r="F33" s="54" t="n"/>
      <c r="G33" s="54" t="n"/>
      <c r="H33" s="54" t="n"/>
      <c r="I33" s="63" t="n"/>
      <c r="J33" s="63" t="n"/>
      <c r="K33" s="64">
        <f>IF(AND(I33="",J33=""),"",IF(I33="",0,I33)-IF(J33="",0,J33))</f>
        <v/>
      </c>
      <c r="L33" s="54" t="n"/>
      <c r="M33" s="54" t="n"/>
      <c r="N33" s="54" t="n"/>
      <c r="O33" s="54" t="n"/>
      <c r="P33" s="54" t="n"/>
      <c r="Q33" s="39">
        <f>IF(OR(O33="",P33=""),"",IF(O33=P33,"FLAG","OK"))</f>
        <v/>
      </c>
      <c r="R33" s="54" t="n"/>
      <c r="S33" s="54" t="n"/>
      <c r="T33" s="54" t="n"/>
    </row>
    <row r="34" ht="27" customHeight="1">
      <c r="A34" s="54" t="n"/>
      <c r="B34" s="70" t="n">
        <v>26</v>
      </c>
      <c r="C34" s="54" t="n"/>
      <c r="D34" s="54" t="n"/>
      <c r="E34" s="54" t="n"/>
      <c r="F34" s="54" t="n"/>
      <c r="G34" s="54" t="n"/>
      <c r="H34" s="54" t="n"/>
      <c r="I34" s="63" t="n"/>
      <c r="J34" s="63" t="n"/>
      <c r="K34" s="64">
        <f>IF(AND(I34="",J34=""),"",IF(I34="",0,I34)-IF(J34="",0,J34))</f>
        <v/>
      </c>
      <c r="L34" s="54" t="n"/>
      <c r="M34" s="54" t="n"/>
      <c r="N34" s="54" t="n"/>
      <c r="O34" s="54" t="n"/>
      <c r="P34" s="54" t="n"/>
      <c r="Q34" s="39">
        <f>IF(OR(O34="",P34=""),"",IF(O34=P34,"FLAG","OK"))</f>
        <v/>
      </c>
      <c r="R34" s="54" t="n"/>
      <c r="S34" s="54" t="n"/>
      <c r="T34" s="54" t="n"/>
    </row>
    <row r="35" ht="27" customHeight="1">
      <c r="A35" s="54" t="n"/>
      <c r="B35" s="70" t="n">
        <v>27</v>
      </c>
      <c r="C35" s="54" t="n"/>
      <c r="D35" s="54" t="n"/>
      <c r="E35" s="54" t="n"/>
      <c r="F35" s="54" t="n"/>
      <c r="G35" s="54" t="n"/>
      <c r="H35" s="54" t="n"/>
      <c r="I35" s="63" t="n"/>
      <c r="J35" s="63" t="n"/>
      <c r="K35" s="64">
        <f>IF(AND(I35="",J35=""),"",IF(I35="",0,I35)-IF(J35="",0,J35))</f>
        <v/>
      </c>
      <c r="L35" s="54" t="n"/>
      <c r="M35" s="54" t="n"/>
      <c r="N35" s="54" t="n"/>
      <c r="O35" s="54" t="n"/>
      <c r="P35" s="54" t="n"/>
      <c r="Q35" s="39">
        <f>IF(OR(O35="",P35=""),"",IF(O35=P35,"FLAG","OK"))</f>
        <v/>
      </c>
      <c r="R35" s="54" t="n"/>
      <c r="S35" s="54" t="n"/>
      <c r="T35" s="54" t="n"/>
    </row>
    <row r="36" ht="27" customHeight="1">
      <c r="A36" s="54" t="n"/>
      <c r="B36" s="70" t="n">
        <v>28</v>
      </c>
      <c r="C36" s="54" t="n"/>
      <c r="D36" s="54" t="n"/>
      <c r="E36" s="54" t="n"/>
      <c r="F36" s="54" t="n"/>
      <c r="G36" s="54" t="n"/>
      <c r="H36" s="54" t="n"/>
      <c r="I36" s="63" t="n"/>
      <c r="J36" s="63" t="n"/>
      <c r="K36" s="64">
        <f>IF(AND(I36="",J36=""),"",IF(I36="",0,I36)-IF(J36="",0,J36))</f>
        <v/>
      </c>
      <c r="L36" s="54" t="n"/>
      <c r="M36" s="54" t="n"/>
      <c r="N36" s="54" t="n"/>
      <c r="O36" s="54" t="n"/>
      <c r="P36" s="54" t="n"/>
      <c r="Q36" s="39">
        <f>IF(OR(O36="",P36=""),"",IF(O36=P36,"FLAG","OK"))</f>
        <v/>
      </c>
      <c r="R36" s="54" t="n"/>
      <c r="S36" s="54" t="n"/>
      <c r="T36" s="54" t="n"/>
    </row>
    <row r="37" ht="27" customHeight="1">
      <c r="A37" s="54" t="n"/>
      <c r="B37" s="70" t="n">
        <v>29</v>
      </c>
      <c r="C37" s="54" t="n"/>
      <c r="D37" s="54" t="n"/>
      <c r="E37" s="54" t="n"/>
      <c r="F37" s="54" t="n"/>
      <c r="G37" s="54" t="n"/>
      <c r="H37" s="54" t="n"/>
      <c r="I37" s="63" t="n"/>
      <c r="J37" s="63" t="n"/>
      <c r="K37" s="64">
        <f>IF(AND(I37="",J37=""),"",IF(I37="",0,I37)-IF(J37="",0,J37))</f>
        <v/>
      </c>
      <c r="L37" s="54" t="n"/>
      <c r="M37" s="54" t="n"/>
      <c r="N37" s="54" t="n"/>
      <c r="O37" s="54" t="n"/>
      <c r="P37" s="54" t="n"/>
      <c r="Q37" s="39">
        <f>IF(OR(O37="",P37=""),"",IF(O37=P37,"FLAG","OK"))</f>
        <v/>
      </c>
      <c r="R37" s="54" t="n"/>
      <c r="S37" s="54" t="n"/>
      <c r="T37" s="54" t="n"/>
    </row>
    <row r="38" ht="27" customHeight="1">
      <c r="A38" s="54" t="n"/>
      <c r="B38" s="70" t="n">
        <v>30</v>
      </c>
      <c r="C38" s="54" t="n"/>
      <c r="D38" s="54" t="n"/>
      <c r="E38" s="54" t="n"/>
      <c r="F38" s="54" t="n"/>
      <c r="G38" s="54" t="n"/>
      <c r="H38" s="54" t="n"/>
      <c r="I38" s="63" t="n"/>
      <c r="J38" s="63" t="n"/>
      <c r="K38" s="64">
        <f>IF(AND(I38="",J38=""),"",IF(I38="",0,I38)-IF(J38="",0,J38))</f>
        <v/>
      </c>
      <c r="L38" s="54" t="n"/>
      <c r="M38" s="54" t="n"/>
      <c r="N38" s="54" t="n"/>
      <c r="O38" s="54" t="n"/>
      <c r="P38" s="54" t="n"/>
      <c r="Q38" s="39">
        <f>IF(OR(O38="",P38=""),"",IF(O38=P38,"FLAG","OK"))</f>
        <v/>
      </c>
      <c r="R38" s="54" t="n"/>
      <c r="S38" s="54" t="n"/>
      <c r="T38" s="54" t="n"/>
    </row>
    <row r="39" ht="27" customHeight="1">
      <c r="A39" s="54" t="n"/>
      <c r="B39" s="70" t="n">
        <v>31</v>
      </c>
      <c r="C39" s="54" t="n"/>
      <c r="D39" s="54" t="n"/>
      <c r="E39" s="54" t="n"/>
      <c r="F39" s="54" t="n"/>
      <c r="G39" s="54" t="n"/>
      <c r="H39" s="54" t="n"/>
      <c r="I39" s="63" t="n"/>
      <c r="J39" s="63" t="n"/>
      <c r="K39" s="64">
        <f>IF(AND(I39="",J39=""),"",IF(I39="",0,I39)-IF(J39="",0,J39))</f>
        <v/>
      </c>
      <c r="L39" s="54" t="n"/>
      <c r="M39" s="54" t="n"/>
      <c r="N39" s="54" t="n"/>
      <c r="O39" s="54" t="n"/>
      <c r="P39" s="54" t="n"/>
      <c r="Q39" s="39">
        <f>IF(OR(O39="",P39=""),"",IF(O39=P39,"FLAG","OK"))</f>
        <v/>
      </c>
      <c r="R39" s="54" t="n"/>
      <c r="S39" s="54" t="n"/>
      <c r="T39" s="54" t="n"/>
    </row>
    <row r="40" ht="27" customHeight="1">
      <c r="A40" s="54" t="n"/>
      <c r="B40" s="70" t="n">
        <v>32</v>
      </c>
      <c r="C40" s="54" t="n"/>
      <c r="D40" s="54" t="n"/>
      <c r="E40" s="54" t="n"/>
      <c r="F40" s="54" t="n"/>
      <c r="G40" s="54" t="n"/>
      <c r="H40" s="54" t="n"/>
      <c r="I40" s="63" t="n"/>
      <c r="J40" s="63" t="n"/>
      <c r="K40" s="64">
        <f>IF(AND(I40="",J40=""),"",IF(I40="",0,I40)-IF(J40="",0,J40))</f>
        <v/>
      </c>
      <c r="L40" s="54" t="n"/>
      <c r="M40" s="54" t="n"/>
      <c r="N40" s="54" t="n"/>
      <c r="O40" s="54" t="n"/>
      <c r="P40" s="54" t="n"/>
      <c r="Q40" s="39">
        <f>IF(OR(O40="",P40=""),"",IF(O40=P40,"FLAG","OK"))</f>
        <v/>
      </c>
      <c r="R40" s="54" t="n"/>
      <c r="S40" s="54" t="n"/>
      <c r="T40" s="54" t="n"/>
    </row>
    <row r="41" ht="27" customHeight="1">
      <c r="A41" s="54" t="n"/>
      <c r="B41" s="70" t="n">
        <v>33</v>
      </c>
      <c r="C41" s="54" t="n"/>
      <c r="D41" s="54" t="n"/>
      <c r="E41" s="54" t="n"/>
      <c r="F41" s="54" t="n"/>
      <c r="G41" s="54" t="n"/>
      <c r="H41" s="54" t="n"/>
      <c r="I41" s="63" t="n"/>
      <c r="J41" s="63" t="n"/>
      <c r="K41" s="64">
        <f>IF(AND(I41="",J41=""),"",IF(I41="",0,I41)-IF(J41="",0,J41))</f>
        <v/>
      </c>
      <c r="L41" s="54" t="n"/>
      <c r="M41" s="54" t="n"/>
      <c r="N41" s="54" t="n"/>
      <c r="O41" s="54" t="n"/>
      <c r="P41" s="54" t="n"/>
      <c r="Q41" s="39">
        <f>IF(OR(O41="",P41=""),"",IF(O41=P41,"FLAG","OK"))</f>
        <v/>
      </c>
      <c r="R41" s="54" t="n"/>
      <c r="S41" s="54" t="n"/>
      <c r="T41" s="54" t="n"/>
    </row>
    <row r="42" ht="27" customHeight="1">
      <c r="A42" s="54" t="n"/>
      <c r="B42" s="70" t="n">
        <v>34</v>
      </c>
      <c r="C42" s="54" t="n"/>
      <c r="D42" s="54" t="n"/>
      <c r="E42" s="54" t="n"/>
      <c r="F42" s="54" t="n"/>
      <c r="G42" s="54" t="n"/>
      <c r="H42" s="54" t="n"/>
      <c r="I42" s="63" t="n"/>
      <c r="J42" s="63" t="n"/>
      <c r="K42" s="64">
        <f>IF(AND(I42="",J42=""),"",IF(I42="",0,I42)-IF(J42="",0,J42))</f>
        <v/>
      </c>
      <c r="L42" s="54" t="n"/>
      <c r="M42" s="54" t="n"/>
      <c r="N42" s="54" t="n"/>
      <c r="O42" s="54" t="n"/>
      <c r="P42" s="54" t="n"/>
      <c r="Q42" s="39">
        <f>IF(OR(O42="",P42=""),"",IF(O42=P42,"FLAG","OK"))</f>
        <v/>
      </c>
      <c r="R42" s="54" t="n"/>
      <c r="S42" s="54" t="n"/>
      <c r="T42" s="54" t="n"/>
    </row>
    <row r="43" ht="27" customHeight="1">
      <c r="A43" s="54" t="n"/>
      <c r="B43" s="70" t="n">
        <v>35</v>
      </c>
      <c r="C43" s="54" t="n"/>
      <c r="D43" s="54" t="n"/>
      <c r="E43" s="54" t="n"/>
      <c r="F43" s="54" t="n"/>
      <c r="G43" s="54" t="n"/>
      <c r="H43" s="54" t="n"/>
      <c r="I43" s="63" t="n"/>
      <c r="J43" s="63" t="n"/>
      <c r="K43" s="64">
        <f>IF(AND(I43="",J43=""),"",IF(I43="",0,I43)-IF(J43="",0,J43))</f>
        <v/>
      </c>
      <c r="L43" s="54" t="n"/>
      <c r="M43" s="54" t="n"/>
      <c r="N43" s="54" t="n"/>
      <c r="O43" s="54" t="n"/>
      <c r="P43" s="54" t="n"/>
      <c r="Q43" s="39">
        <f>IF(OR(O43="",P43=""),"",IF(O43=P43,"FLAG","OK"))</f>
        <v/>
      </c>
      <c r="R43" s="54" t="n"/>
      <c r="S43" s="54" t="n"/>
      <c r="T43" s="54" t="n"/>
    </row>
    <row r="44" ht="27" customHeight="1">
      <c r="A44" s="54" t="n"/>
      <c r="B44" s="70" t="n">
        <v>36</v>
      </c>
      <c r="C44" s="54" t="n"/>
      <c r="D44" s="54" t="n"/>
      <c r="E44" s="54" t="n"/>
      <c r="F44" s="54" t="n"/>
      <c r="G44" s="54" t="n"/>
      <c r="H44" s="54" t="n"/>
      <c r="I44" s="63" t="n"/>
      <c r="J44" s="63" t="n"/>
      <c r="K44" s="64">
        <f>IF(AND(I44="",J44=""),"",IF(I44="",0,I44)-IF(J44="",0,J44))</f>
        <v/>
      </c>
      <c r="L44" s="54" t="n"/>
      <c r="M44" s="54" t="n"/>
      <c r="N44" s="54" t="n"/>
      <c r="O44" s="54" t="n"/>
      <c r="P44" s="54" t="n"/>
      <c r="Q44" s="39">
        <f>IF(OR(O44="",P44=""),"",IF(O44=P44,"FLAG","OK"))</f>
        <v/>
      </c>
      <c r="R44" s="54" t="n"/>
      <c r="S44" s="54" t="n"/>
      <c r="T44" s="54" t="n"/>
    </row>
    <row r="45" ht="27" customHeight="1">
      <c r="A45" s="54" t="n"/>
      <c r="B45" s="70" t="n">
        <v>37</v>
      </c>
      <c r="C45" s="54" t="n"/>
      <c r="D45" s="54" t="n"/>
      <c r="E45" s="54" t="n"/>
      <c r="F45" s="54" t="n"/>
      <c r="G45" s="54" t="n"/>
      <c r="H45" s="54" t="n"/>
      <c r="I45" s="63" t="n"/>
      <c r="J45" s="63" t="n"/>
      <c r="K45" s="64">
        <f>IF(AND(I45="",J45=""),"",IF(I45="",0,I45)-IF(J45="",0,J45))</f>
        <v/>
      </c>
      <c r="L45" s="54" t="n"/>
      <c r="M45" s="54" t="n"/>
      <c r="N45" s="54" t="n"/>
      <c r="O45" s="54" t="n"/>
      <c r="P45" s="54" t="n"/>
      <c r="Q45" s="39">
        <f>IF(OR(O45="",P45=""),"",IF(O45=P45,"FLAG","OK"))</f>
        <v/>
      </c>
      <c r="R45" s="54" t="n"/>
      <c r="S45" s="54" t="n"/>
      <c r="T45" s="54" t="n"/>
    </row>
    <row r="46" ht="27" customHeight="1">
      <c r="A46" s="54" t="n"/>
      <c r="B46" s="70" t="n">
        <v>38</v>
      </c>
      <c r="C46" s="54" t="n"/>
      <c r="D46" s="54" t="n"/>
      <c r="E46" s="54" t="n"/>
      <c r="F46" s="54" t="n"/>
      <c r="G46" s="54" t="n"/>
      <c r="H46" s="54" t="n"/>
      <c r="I46" s="63" t="n"/>
      <c r="J46" s="63" t="n"/>
      <c r="K46" s="64">
        <f>IF(AND(I46="",J46=""),"",IF(I46="",0,I46)-IF(J46="",0,J46))</f>
        <v/>
      </c>
      <c r="L46" s="54" t="n"/>
      <c r="M46" s="54" t="n"/>
      <c r="N46" s="54" t="n"/>
      <c r="O46" s="54" t="n"/>
      <c r="P46" s="54" t="n"/>
      <c r="Q46" s="39">
        <f>IF(OR(O46="",P46=""),"",IF(O46=P46,"FLAG","OK"))</f>
        <v/>
      </c>
      <c r="R46" s="54" t="n"/>
      <c r="S46" s="54" t="n"/>
      <c r="T46" s="54" t="n"/>
    </row>
    <row r="47" ht="27" customHeight="1">
      <c r="A47" s="54" t="n"/>
      <c r="B47" s="70" t="n">
        <v>39</v>
      </c>
      <c r="C47" s="54" t="n"/>
      <c r="D47" s="54" t="n"/>
      <c r="E47" s="54" t="n"/>
      <c r="F47" s="54" t="n"/>
      <c r="G47" s="54" t="n"/>
      <c r="H47" s="54" t="n"/>
      <c r="I47" s="63" t="n"/>
      <c r="J47" s="63" t="n"/>
      <c r="K47" s="64">
        <f>IF(AND(I47="",J47=""),"",IF(I47="",0,I47)-IF(J47="",0,J47))</f>
        <v/>
      </c>
      <c r="L47" s="54" t="n"/>
      <c r="M47" s="54" t="n"/>
      <c r="N47" s="54" t="n"/>
      <c r="O47" s="54" t="n"/>
      <c r="P47" s="54" t="n"/>
      <c r="Q47" s="39">
        <f>IF(OR(O47="",P47=""),"",IF(O47=P47,"FLAG","OK"))</f>
        <v/>
      </c>
      <c r="R47" s="54" t="n"/>
      <c r="S47" s="54" t="n"/>
      <c r="T47" s="54" t="n"/>
    </row>
    <row r="48" ht="27" customHeight="1">
      <c r="A48" s="54" t="n"/>
      <c r="B48" s="70" t="n">
        <v>40</v>
      </c>
      <c r="C48" s="54" t="n"/>
      <c r="D48" s="54" t="n"/>
      <c r="E48" s="54" t="n"/>
      <c r="F48" s="54" t="n"/>
      <c r="G48" s="54" t="n"/>
      <c r="H48" s="54" t="n"/>
      <c r="I48" s="63" t="n"/>
      <c r="J48" s="63" t="n"/>
      <c r="K48" s="64">
        <f>IF(AND(I48="",J48=""),"",IF(I48="",0,I48)-IF(J48="",0,J48))</f>
        <v/>
      </c>
      <c r="L48" s="54" t="n"/>
      <c r="M48" s="54" t="n"/>
      <c r="N48" s="54" t="n"/>
      <c r="O48" s="54" t="n"/>
      <c r="P48" s="54" t="n"/>
      <c r="Q48" s="39">
        <f>IF(OR(O48="",P48=""),"",IF(O48=P48,"FLAG","OK"))</f>
        <v/>
      </c>
      <c r="R48" s="54" t="n"/>
      <c r="S48" s="54" t="n"/>
      <c r="T48" s="54" t="n"/>
    </row>
    <row r="49" ht="27" customHeight="1">
      <c r="A49" s="54" t="n"/>
      <c r="B49" s="70" t="n">
        <v>41</v>
      </c>
      <c r="C49" s="54" t="n"/>
      <c r="D49" s="54" t="n"/>
      <c r="E49" s="54" t="n"/>
      <c r="F49" s="54" t="n"/>
      <c r="G49" s="54" t="n"/>
      <c r="H49" s="54" t="n"/>
      <c r="I49" s="63" t="n"/>
      <c r="J49" s="63" t="n"/>
      <c r="K49" s="64">
        <f>IF(AND(I49="",J49=""),"",IF(I49="",0,I49)-IF(J49="",0,J49))</f>
        <v/>
      </c>
      <c r="L49" s="54" t="n"/>
      <c r="M49" s="54" t="n"/>
      <c r="N49" s="54" t="n"/>
      <c r="O49" s="54" t="n"/>
      <c r="P49" s="54" t="n"/>
      <c r="Q49" s="39">
        <f>IF(OR(O49="",P49=""),"",IF(O49=P49,"FLAG","OK"))</f>
        <v/>
      </c>
      <c r="R49" s="54" t="n"/>
      <c r="S49" s="54" t="n"/>
      <c r="T49" s="54" t="n"/>
    </row>
    <row r="50" ht="27" customHeight="1">
      <c r="A50" s="54" t="n"/>
      <c r="B50" s="70" t="n">
        <v>42</v>
      </c>
      <c r="C50" s="54" t="n"/>
      <c r="D50" s="54" t="n"/>
      <c r="E50" s="54" t="n"/>
      <c r="F50" s="54" t="n"/>
      <c r="G50" s="54" t="n"/>
      <c r="H50" s="54" t="n"/>
      <c r="I50" s="63" t="n"/>
      <c r="J50" s="63" t="n"/>
      <c r="K50" s="64">
        <f>IF(AND(I50="",J50=""),"",IF(I50="",0,I50)-IF(J50="",0,J50))</f>
        <v/>
      </c>
      <c r="L50" s="54" t="n"/>
      <c r="M50" s="54" t="n"/>
      <c r="N50" s="54" t="n"/>
      <c r="O50" s="54" t="n"/>
      <c r="P50" s="54" t="n"/>
      <c r="Q50" s="39">
        <f>IF(OR(O50="",P50=""),"",IF(O50=P50,"FLAG","OK"))</f>
        <v/>
      </c>
      <c r="R50" s="54" t="n"/>
      <c r="S50" s="54" t="n"/>
      <c r="T50" s="54" t="n"/>
    </row>
    <row r="51" ht="27" customHeight="1">
      <c r="A51" s="54" t="n"/>
      <c r="B51" s="70" t="n">
        <v>43</v>
      </c>
      <c r="C51" s="54" t="n"/>
      <c r="D51" s="54" t="n"/>
      <c r="E51" s="54" t="n"/>
      <c r="F51" s="54" t="n"/>
      <c r="G51" s="54" t="n"/>
      <c r="H51" s="54" t="n"/>
      <c r="I51" s="63" t="n"/>
      <c r="J51" s="63" t="n"/>
      <c r="K51" s="64">
        <f>IF(AND(I51="",J51=""),"",IF(I51="",0,I51)-IF(J51="",0,J51))</f>
        <v/>
      </c>
      <c r="L51" s="54" t="n"/>
      <c r="M51" s="54" t="n"/>
      <c r="N51" s="54" t="n"/>
      <c r="O51" s="54" t="n"/>
      <c r="P51" s="54" t="n"/>
      <c r="Q51" s="39">
        <f>IF(OR(O51="",P51=""),"",IF(O51=P51,"FLAG","OK"))</f>
        <v/>
      </c>
      <c r="R51" s="54" t="n"/>
      <c r="S51" s="54" t="n"/>
      <c r="T51" s="54" t="n"/>
    </row>
    <row r="52" ht="27" customHeight="1">
      <c r="A52" s="54" t="n"/>
      <c r="B52" s="70" t="n">
        <v>44</v>
      </c>
      <c r="C52" s="54" t="n"/>
      <c r="D52" s="54" t="n"/>
      <c r="E52" s="54" t="n"/>
      <c r="F52" s="54" t="n"/>
      <c r="G52" s="54" t="n"/>
      <c r="H52" s="54" t="n"/>
      <c r="I52" s="63" t="n"/>
      <c r="J52" s="63" t="n"/>
      <c r="K52" s="64">
        <f>IF(AND(I52="",J52=""),"",IF(I52="",0,I52)-IF(J52="",0,J52))</f>
        <v/>
      </c>
      <c r="L52" s="54" t="n"/>
      <c r="M52" s="54" t="n"/>
      <c r="N52" s="54" t="n"/>
      <c r="O52" s="54" t="n"/>
      <c r="P52" s="54" t="n"/>
      <c r="Q52" s="39">
        <f>IF(OR(O52="",P52=""),"",IF(O52=P52,"FLAG","OK"))</f>
        <v/>
      </c>
      <c r="R52" s="54" t="n"/>
      <c r="S52" s="54" t="n"/>
      <c r="T52" s="54" t="n"/>
    </row>
    <row r="53" ht="27" customHeight="1">
      <c r="A53" s="54" t="n"/>
      <c r="B53" s="70" t="n">
        <v>45</v>
      </c>
      <c r="C53" s="54" t="n"/>
      <c r="D53" s="54" t="n"/>
      <c r="E53" s="54" t="n"/>
      <c r="F53" s="54" t="n"/>
      <c r="G53" s="54" t="n"/>
      <c r="H53" s="54" t="n"/>
      <c r="I53" s="63" t="n"/>
      <c r="J53" s="63" t="n"/>
      <c r="K53" s="64">
        <f>IF(AND(I53="",J53=""),"",IF(I53="",0,I53)-IF(J53="",0,J53))</f>
        <v/>
      </c>
      <c r="L53" s="54" t="n"/>
      <c r="M53" s="54" t="n"/>
      <c r="N53" s="54" t="n"/>
      <c r="O53" s="54" t="n"/>
      <c r="P53" s="54" t="n"/>
      <c r="Q53" s="39">
        <f>IF(OR(O53="",P53=""),"",IF(O53=P53,"FLAG","OK"))</f>
        <v/>
      </c>
      <c r="R53" s="54" t="n"/>
      <c r="S53" s="54" t="n"/>
      <c r="T53" s="54" t="n"/>
    </row>
    <row r="54" ht="27" customHeight="1">
      <c r="A54" s="54" t="n"/>
      <c r="B54" s="70" t="n">
        <v>46</v>
      </c>
      <c r="C54" s="54" t="n"/>
      <c r="D54" s="54" t="n"/>
      <c r="E54" s="54" t="n"/>
      <c r="F54" s="54" t="n"/>
      <c r="G54" s="54" t="n"/>
      <c r="H54" s="54" t="n"/>
      <c r="I54" s="63" t="n"/>
      <c r="J54" s="63" t="n"/>
      <c r="K54" s="64">
        <f>IF(AND(I54="",J54=""),"",IF(I54="",0,I54)-IF(J54="",0,J54))</f>
        <v/>
      </c>
      <c r="L54" s="54" t="n"/>
      <c r="M54" s="54" t="n"/>
      <c r="N54" s="54" t="n"/>
      <c r="O54" s="54" t="n"/>
      <c r="P54" s="54" t="n"/>
      <c r="Q54" s="39">
        <f>IF(OR(O54="",P54=""),"",IF(O54=P54,"FLAG","OK"))</f>
        <v/>
      </c>
      <c r="R54" s="54" t="n"/>
      <c r="S54" s="54" t="n"/>
      <c r="T54" s="54" t="n"/>
    </row>
    <row r="55" ht="27" customHeight="1">
      <c r="A55" s="54" t="n"/>
      <c r="B55" s="70" t="n">
        <v>47</v>
      </c>
      <c r="C55" s="54" t="n"/>
      <c r="D55" s="54" t="n"/>
      <c r="E55" s="54" t="n"/>
      <c r="F55" s="54" t="n"/>
      <c r="G55" s="54" t="n"/>
      <c r="H55" s="54" t="n"/>
      <c r="I55" s="63" t="n"/>
      <c r="J55" s="63" t="n"/>
      <c r="K55" s="64">
        <f>IF(AND(I55="",J55=""),"",IF(I55="",0,I55)-IF(J55="",0,J55))</f>
        <v/>
      </c>
      <c r="L55" s="54" t="n"/>
      <c r="M55" s="54" t="n"/>
      <c r="N55" s="54" t="n"/>
      <c r="O55" s="54" t="n"/>
      <c r="P55" s="54" t="n"/>
      <c r="Q55" s="39">
        <f>IF(OR(O55="",P55=""),"",IF(O55=P55,"FLAG","OK"))</f>
        <v/>
      </c>
      <c r="R55" s="54" t="n"/>
      <c r="S55" s="54" t="n"/>
      <c r="T55" s="54" t="n"/>
    </row>
    <row r="56" ht="27" customHeight="1">
      <c r="A56" s="54" t="n"/>
      <c r="B56" s="70" t="n">
        <v>48</v>
      </c>
      <c r="C56" s="54" t="n"/>
      <c r="D56" s="54" t="n"/>
      <c r="E56" s="54" t="n"/>
      <c r="F56" s="54" t="n"/>
      <c r="G56" s="54" t="n"/>
      <c r="H56" s="54" t="n"/>
      <c r="I56" s="63" t="n"/>
      <c r="J56" s="63" t="n"/>
      <c r="K56" s="64">
        <f>IF(AND(I56="",J56=""),"",IF(I56="",0,I56)-IF(J56="",0,J56))</f>
        <v/>
      </c>
      <c r="L56" s="54" t="n"/>
      <c r="M56" s="54" t="n"/>
      <c r="N56" s="54" t="n"/>
      <c r="O56" s="54" t="n"/>
      <c r="P56" s="54" t="n"/>
      <c r="Q56" s="39">
        <f>IF(OR(O56="",P56=""),"",IF(O56=P56,"FLAG","OK"))</f>
        <v/>
      </c>
      <c r="R56" s="54" t="n"/>
      <c r="S56" s="54" t="n"/>
      <c r="T56" s="54" t="n"/>
    </row>
    <row r="57" ht="27" customHeight="1">
      <c r="A57" s="54" t="n"/>
      <c r="B57" s="70" t="n">
        <v>49</v>
      </c>
      <c r="C57" s="54" t="n"/>
      <c r="D57" s="54" t="n"/>
      <c r="E57" s="54" t="n"/>
      <c r="F57" s="54" t="n"/>
      <c r="G57" s="54" t="n"/>
      <c r="H57" s="54" t="n"/>
      <c r="I57" s="63" t="n"/>
      <c r="J57" s="63" t="n"/>
      <c r="K57" s="64">
        <f>IF(AND(I57="",J57=""),"",IF(I57="",0,I57)-IF(J57="",0,J57))</f>
        <v/>
      </c>
      <c r="L57" s="54" t="n"/>
      <c r="M57" s="54" t="n"/>
      <c r="N57" s="54" t="n"/>
      <c r="O57" s="54" t="n"/>
      <c r="P57" s="54" t="n"/>
      <c r="Q57" s="39">
        <f>IF(OR(O57="",P57=""),"",IF(O57=P57,"FLAG","OK"))</f>
        <v/>
      </c>
      <c r="R57" s="54" t="n"/>
      <c r="S57" s="54" t="n"/>
      <c r="T57" s="54" t="n"/>
    </row>
    <row r="58" ht="27" customHeight="1">
      <c r="A58" s="54" t="n"/>
      <c r="B58" s="70" t="n">
        <v>50</v>
      </c>
      <c r="C58" s="54" t="n"/>
      <c r="D58" s="54" t="n"/>
      <c r="E58" s="54" t="n"/>
      <c r="F58" s="54" t="n"/>
      <c r="G58" s="54" t="n"/>
      <c r="H58" s="54" t="n"/>
      <c r="I58" s="63" t="n"/>
      <c r="J58" s="63" t="n"/>
      <c r="K58" s="64">
        <f>IF(AND(I58="",J58=""),"",IF(I58="",0,I58)-IF(J58="",0,J58))</f>
        <v/>
      </c>
      <c r="L58" s="54" t="n"/>
      <c r="M58" s="54" t="n"/>
      <c r="N58" s="54" t="n"/>
      <c r="O58" s="54" t="n"/>
      <c r="P58" s="54" t="n"/>
      <c r="Q58" s="39">
        <f>IF(OR(O58="",P58=""),"",IF(O58=P58,"FLAG","OK"))</f>
        <v/>
      </c>
      <c r="R58" s="54" t="n"/>
      <c r="S58" s="54" t="n"/>
      <c r="T58" s="54" t="n"/>
    </row>
    <row r="59">
      <c r="A59" s="65" t="inlineStr">
        <is>
          <t>Totals</t>
        </is>
      </c>
      <c r="B59" s="65" t="n"/>
      <c r="C59" s="65" t="n"/>
      <c r="D59" s="65" t="n"/>
      <c r="E59" s="65" t="n"/>
      <c r="F59" s="65" t="n"/>
      <c r="G59" s="65" t="n"/>
      <c r="H59" s="65" t="n"/>
      <c r="I59" s="67" t="n"/>
      <c r="J59" s="67" t="n"/>
      <c r="K59" s="67" t="n"/>
      <c r="L59" s="65" t="n"/>
      <c r="M59" s="65" t="n"/>
      <c r="N59" s="65" t="n"/>
      <c r="O59" s="65" t="n"/>
      <c r="P59" s="65" t="n"/>
      <c r="Q59" s="65" t="n"/>
      <c r="R59" s="65" t="n"/>
      <c r="S59" s="65" t="n"/>
      <c r="T59" s="65" t="n"/>
    </row>
    <row r="60">
      <c r="A60" s="71" t="inlineStr">
        <is>
          <t>SoD conflicts flagged</t>
        </is>
      </c>
      <c r="B60" s="58" t="n"/>
      <c r="C60" s="33" t="n"/>
      <c r="D60" s="33" t="n"/>
      <c r="E60" s="33" t="n"/>
      <c r="F60" s="33" t="n"/>
      <c r="G60" s="33" t="n"/>
      <c r="H60" s="33" t="n"/>
      <c r="I60" s="33" t="n"/>
      <c r="J60" s="33" t="n"/>
      <c r="K60" s="33" t="n"/>
      <c r="L60" s="33" t="n"/>
      <c r="M60" s="33" t="n"/>
      <c r="N60" s="33" t="n"/>
      <c r="O60" s="33" t="n"/>
      <c r="P60" s="33" t="n"/>
      <c r="Q60" s="72">
        <f>COUNTIF(Q9:Q33,"FLAG")</f>
        <v/>
      </c>
      <c r="R60" s="33" t="n"/>
      <c r="S60" s="33" t="n"/>
      <c r="T60" s="33" t="n"/>
    </row>
    <row r="61">
      <c r="A61" s="71" t="inlineStr">
        <is>
          <t>Unsatisfactory conclusions (U)</t>
        </is>
      </c>
      <c r="B61" s="58" t="n"/>
      <c r="C61" s="33" t="n"/>
      <c r="D61" s="33" t="n"/>
      <c r="E61" s="33" t="n"/>
      <c r="F61" s="33" t="n"/>
      <c r="G61" s="33" t="n"/>
      <c r="H61" s="33" t="n"/>
      <c r="I61" s="33" t="n"/>
      <c r="J61" s="33" t="n"/>
      <c r="K61" s="33" t="n"/>
      <c r="L61" s="33" t="n"/>
      <c r="M61" s="33" t="n"/>
      <c r="N61" s="33" t="n"/>
      <c r="O61" s="33" t="n"/>
      <c r="P61" s="33" t="n"/>
      <c r="Q61" s="33" t="n"/>
      <c r="R61" s="33" t="n"/>
      <c r="S61" s="72">
        <f>COUNTIF(S9:S33,"U")</f>
        <v/>
      </c>
      <c r="T61" s="33" t="n"/>
    </row>
    <row r="62">
      <c r="A62" s="33" t="n"/>
      <c r="B62" s="33" t="n"/>
      <c r="C62" s="33" t="n"/>
      <c r="D62" s="33" t="n"/>
      <c r="E62" s="33" t="n"/>
      <c r="F62" s="33" t="n"/>
      <c r="G62" s="33" t="n"/>
      <c r="H62" s="33" t="n"/>
      <c r="I62" s="33" t="n"/>
      <c r="J62" s="33" t="n"/>
      <c r="K62" s="33" t="n"/>
      <c r="L62" s="33" t="n"/>
      <c r="M62" s="33" t="n"/>
      <c r="N62" s="33" t="n"/>
      <c r="O62" s="33" t="n"/>
      <c r="P62" s="33" t="n"/>
      <c r="Q62" s="33" t="n"/>
      <c r="R62" s="33" t="n"/>
      <c r="S62" s="33" t="n"/>
      <c r="T62" s="33" t="n"/>
    </row>
    <row r="63" ht="27" customHeight="1">
      <c r="A63" s="35" t="inlineStr">
        <is>
          <t>Each entry: agree amounts and accounts to source documentation, obtain approval evidence (signed close checklist / workflow), capture preparer and approver — the SoD check auto-flags the same person in both roles — confirm posting to the correct accounts and period, and conclude S / U / N/A with the client's explanation documented. Suspense-account entries also follow through on &lt;.3&gt;.</t>
        </is>
      </c>
      <c r="B63" s="33" t="n"/>
      <c r="C63" s="33" t="n"/>
      <c r="D63" s="33" t="n"/>
      <c r="E63" s="33" t="n"/>
      <c r="F63" s="33" t="n"/>
      <c r="G63" s="33" t="n"/>
      <c r="H63" s="33" t="n"/>
      <c r="I63" s="33" t="n"/>
      <c r="J63" s="73" t="n"/>
      <c r="K63" s="73" t="n"/>
      <c r="L63" s="73" t="n"/>
      <c r="M63" s="73" t="n"/>
      <c r="N63" s="73" t="n"/>
      <c r="O63" s="73" t="n"/>
      <c r="P63" s="73" t="n"/>
      <c r="Q63" s="73" t="n"/>
      <c r="R63" s="73" t="n"/>
      <c r="S63" s="73" t="n"/>
      <c r="T63" s="73" t="n"/>
    </row>
    <row r="64">
      <c r="A64" s="33" t="n"/>
      <c r="B64" s="33" t="n"/>
      <c r="C64" s="33" t="n"/>
      <c r="D64" s="33" t="n"/>
      <c r="E64" s="33" t="n"/>
      <c r="F64" s="33" t="n"/>
      <c r="G64" s="33" t="n"/>
      <c r="H64" s="33" t="n"/>
      <c r="I64" s="33" t="n"/>
      <c r="J64" s="33" t="n"/>
      <c r="K64" s="33" t="n"/>
      <c r="L64" s="33" t="n"/>
      <c r="M64" s="33" t="n"/>
      <c r="N64" s="33" t="n"/>
      <c r="O64" s="33" t="n"/>
      <c r="P64" s="33" t="n"/>
      <c r="Q64" s="33" t="n"/>
      <c r="R64" s="33" t="n"/>
      <c r="S64" s="33" t="n"/>
      <c r="T64" s="33" t="n"/>
    </row>
    <row r="65">
      <c r="A65" s="55" t="inlineStr">
        <is>
          <t>TM Legends</t>
        </is>
      </c>
      <c r="B65" s="33" t="n"/>
      <c r="C65" s="33" t="n"/>
      <c r="D65" s="33" t="n"/>
      <c r="E65" s="33" t="n"/>
      <c r="F65" s="33" t="n"/>
      <c r="G65" s="33" t="n"/>
      <c r="H65" s="33" t="n"/>
      <c r="I65" s="33" t="n"/>
      <c r="J65" s="33" t="n"/>
      <c r="K65" s="33" t="n"/>
      <c r="L65" s="33" t="n"/>
      <c r="M65" s="33" t="n"/>
      <c r="N65" s="33" t="n"/>
      <c r="O65" s="33" t="n"/>
      <c r="P65" s="33" t="n"/>
      <c r="Q65" s="33" t="n"/>
      <c r="R65" s="33" t="n"/>
      <c r="S65" s="33" t="n"/>
      <c r="T65" s="33" t="n"/>
    </row>
    <row r="66">
      <c r="A66" s="56" t="inlineStr">
        <is>
          <t>TB</t>
        </is>
      </c>
      <c r="B66" s="39" t="inlineStr">
        <is>
          <t>Agreed to trial balance</t>
        </is>
      </c>
      <c r="C66" s="57" t="n"/>
      <c r="D66" s="58" t="n"/>
      <c r="E66" s="33" t="n"/>
      <c r="F66" s="33" t="n"/>
      <c r="G66" s="33" t="n"/>
      <c r="H66" s="33" t="n"/>
      <c r="I66" s="33" t="n"/>
      <c r="J66" s="33" t="n"/>
      <c r="K66" s="33" t="n"/>
      <c r="L66" s="33" t="n"/>
      <c r="M66" s="33" t="n"/>
      <c r="N66" s="33" t="n"/>
      <c r="O66" s="33" t="n"/>
      <c r="P66" s="33" t="n"/>
      <c r="Q66" s="33" t="n"/>
      <c r="R66" s="33" t="n"/>
      <c r="S66" s="33" t="n"/>
      <c r="T66" s="33" t="n"/>
    </row>
    <row r="67">
      <c r="A67" s="56" t="inlineStr">
        <is>
          <t>GL</t>
        </is>
      </c>
      <c r="B67" s="39" t="inlineStr">
        <is>
          <t>Agreed to general ledger</t>
        </is>
      </c>
      <c r="C67" s="57" t="n"/>
      <c r="D67" s="58" t="n"/>
      <c r="E67" s="33" t="n"/>
      <c r="F67" s="33" t="n"/>
      <c r="G67" s="33" t="n"/>
      <c r="H67" s="33" t="n"/>
      <c r="I67" s="33" t="n"/>
      <c r="J67" s="33" t="n"/>
      <c r="K67" s="33" t="n"/>
      <c r="L67" s="33" t="n"/>
      <c r="M67" s="33" t="n"/>
      <c r="N67" s="33" t="n"/>
      <c r="O67" s="33" t="n"/>
      <c r="P67" s="33" t="n"/>
      <c r="Q67" s="33" t="n"/>
      <c r="R67" s="33" t="n"/>
      <c r="S67" s="33" t="n"/>
      <c r="T67" s="33" t="n"/>
    </row>
    <row r="68">
      <c r="A68" s="56" t="inlineStr">
        <is>
          <t>CF</t>
        </is>
      </c>
      <c r="B68" s="39" t="inlineStr">
        <is>
          <t>Confirmed with third party</t>
        </is>
      </c>
      <c r="C68" s="57" t="n"/>
      <c r="D68" s="58" t="n"/>
      <c r="E68" s="33" t="n"/>
      <c r="F68" s="33" t="n"/>
      <c r="G68" s="33" t="n"/>
      <c r="H68" s="33" t="n"/>
      <c r="I68" s="33" t="n"/>
      <c r="J68" s="33" t="n"/>
      <c r="K68" s="33" t="n"/>
      <c r="L68" s="33" t="n"/>
      <c r="M68" s="33" t="n"/>
      <c r="N68" s="33" t="n"/>
      <c r="O68" s="33" t="n"/>
      <c r="P68" s="33" t="n"/>
      <c r="Q68" s="33" t="n"/>
      <c r="R68" s="33" t="n"/>
      <c r="S68" s="33" t="n"/>
      <c r="T68" s="33" t="n"/>
    </row>
    <row r="69">
      <c r="A69" s="56" t="inlineStr">
        <is>
          <t>V</t>
        </is>
      </c>
      <c r="B69" s="39" t="inlineStr">
        <is>
          <t>Vouched to source document</t>
        </is>
      </c>
      <c r="C69" s="57" t="n"/>
      <c r="D69" s="58" t="n"/>
      <c r="E69" s="33" t="n"/>
      <c r="F69" s="33" t="n"/>
      <c r="G69" s="33" t="n"/>
      <c r="H69" s="33" t="n"/>
      <c r="I69" s="33" t="n"/>
      <c r="J69" s="33" t="n"/>
      <c r="K69" s="33" t="n"/>
      <c r="L69" s="33" t="n"/>
      <c r="M69" s="33" t="n"/>
      <c r="N69" s="33" t="n"/>
      <c r="O69" s="33" t="n"/>
      <c r="P69" s="33" t="n"/>
      <c r="Q69" s="33" t="n"/>
      <c r="R69" s="33" t="n"/>
      <c r="S69" s="33" t="n"/>
      <c r="T69" s="33" t="n"/>
    </row>
    <row r="70">
      <c r="A70" s="56" t="inlineStr">
        <is>
          <t>SR</t>
        </is>
      </c>
      <c r="B70" s="39" t="inlineStr">
        <is>
          <t>Agreed to subsequent bank-cleared receipt</t>
        </is>
      </c>
      <c r="C70" s="57" t="n"/>
      <c r="D70" s="58" t="n"/>
      <c r="E70" s="33" t="n"/>
      <c r="F70" s="33" t="n"/>
      <c r="G70" s="33" t="n"/>
      <c r="H70" s="33" t="n"/>
      <c r="I70" s="33" t="n"/>
      <c r="J70" s="33" t="n"/>
      <c r="K70" s="33" t="n"/>
      <c r="L70" s="33" t="n"/>
      <c r="M70" s="33" t="n"/>
      <c r="N70" s="33" t="n"/>
      <c r="O70" s="33" t="n"/>
      <c r="P70" s="33" t="n"/>
      <c r="Q70" s="33" t="n"/>
      <c r="R70" s="33" t="n"/>
      <c r="S70" s="33" t="n"/>
      <c r="T70" s="33" t="n"/>
    </row>
    <row r="71">
      <c r="A71" s="56" t="inlineStr">
        <is>
          <t>R</t>
        </is>
      </c>
      <c r="B71" s="39" t="inlineStr">
        <is>
          <t>Recalculated independently</t>
        </is>
      </c>
      <c r="C71" s="57" t="n"/>
      <c r="D71" s="58" t="n"/>
      <c r="E71" s="33" t="n"/>
      <c r="F71" s="33" t="n"/>
      <c r="G71" s="33" t="n"/>
      <c r="H71" s="33" t="n"/>
      <c r="I71" s="33" t="n"/>
      <c r="J71" s="33" t="n"/>
      <c r="K71" s="33" t="n"/>
      <c r="L71" s="33" t="n"/>
      <c r="M71" s="33" t="n"/>
      <c r="N71" s="33" t="n"/>
      <c r="O71" s="33" t="n"/>
      <c r="P71" s="33" t="n"/>
      <c r="Q71" s="33" t="n"/>
      <c r="R71" s="33" t="n"/>
      <c r="S71" s="33" t="n"/>
      <c r="T71" s="33" t="n"/>
    </row>
    <row r="72">
      <c r="A72" s="56" t="inlineStr">
        <is>
          <t>F</t>
        </is>
      </c>
      <c r="B72" s="39" t="inlineStr">
        <is>
          <t>Footed / cross-cast</t>
        </is>
      </c>
      <c r="C72" s="57" t="n"/>
      <c r="D72" s="58" t="n"/>
      <c r="E72" s="33" t="n"/>
      <c r="F72" s="33" t="n"/>
      <c r="G72" s="33" t="n"/>
      <c r="H72" s="33" t="n"/>
      <c r="I72" s="33" t="n"/>
      <c r="J72" s="33" t="n"/>
      <c r="K72" s="33" t="n"/>
      <c r="L72" s="33" t="n"/>
      <c r="M72" s="33" t="n"/>
      <c r="N72" s="33" t="n"/>
      <c r="O72" s="33" t="n"/>
      <c r="P72" s="33" t="n"/>
      <c r="Q72" s="33" t="n"/>
      <c r="R72" s="33" t="n"/>
      <c r="S72" s="33" t="n"/>
      <c r="T72" s="33" t="n"/>
    </row>
    <row r="73">
      <c r="A73" s="56" t="inlineStr">
        <is>
          <t>T</t>
        </is>
      </c>
      <c r="B73" s="39" t="inlineStr">
        <is>
          <t>Traced to downstream record</t>
        </is>
      </c>
      <c r="C73" s="57" t="n"/>
      <c r="D73" s="58" t="n"/>
      <c r="E73" s="33" t="n"/>
      <c r="F73" s="33" t="n"/>
      <c r="G73" s="33" t="n"/>
      <c r="H73" s="33" t="n"/>
      <c r="I73" s="33" t="n"/>
      <c r="J73" s="33" t="n"/>
      <c r="K73" s="33" t="n"/>
      <c r="L73" s="33" t="n"/>
      <c r="M73" s="33" t="n"/>
      <c r="N73" s="33" t="n"/>
      <c r="O73" s="33" t="n"/>
      <c r="P73" s="33" t="n"/>
      <c r="Q73" s="33" t="n"/>
      <c r="R73" s="33" t="n"/>
      <c r="S73" s="33" t="n"/>
      <c r="T73" s="33" t="n"/>
    </row>
    <row r="74">
      <c r="A74" s="56" t="inlineStr">
        <is>
          <t>PBC</t>
        </is>
      </c>
      <c r="B74" s="39" t="inlineStr">
        <is>
          <t>Prepared by client</t>
        </is>
      </c>
      <c r="C74" s="57" t="n"/>
      <c r="D74" s="58" t="n"/>
      <c r="E74" s="33" t="n"/>
      <c r="F74" s="33" t="n"/>
      <c r="G74" s="33" t="n"/>
      <c r="H74" s="33" t="n"/>
      <c r="I74" s="33" t="n"/>
      <c r="J74" s="33" t="n"/>
      <c r="K74" s="33" t="n"/>
      <c r="L74" s="33" t="n"/>
      <c r="M74" s="33" t="n"/>
      <c r="N74" s="33" t="n"/>
      <c r="O74" s="33" t="n"/>
      <c r="P74" s="33" t="n"/>
      <c r="Q74" s="33" t="n"/>
      <c r="R74" s="33" t="n"/>
      <c r="S74" s="33" t="n"/>
      <c r="T74" s="33" t="n"/>
    </row>
    <row r="75">
      <c r="A75" s="33" t="n"/>
      <c r="B75" s="33" t="n"/>
      <c r="C75" s="33" t="n"/>
      <c r="D75" s="33" t="n"/>
      <c r="E75" s="33" t="n"/>
      <c r="F75" s="33" t="n"/>
      <c r="G75" s="33" t="n"/>
      <c r="H75" s="33" t="n"/>
      <c r="I75" s="33" t="n"/>
      <c r="J75" s="33" t="n"/>
      <c r="K75" s="33" t="n"/>
      <c r="L75" s="33" t="n"/>
      <c r="M75" s="33" t="n"/>
      <c r="N75" s="33" t="n"/>
      <c r="O75" s="33" t="n"/>
      <c r="P75" s="33" t="n"/>
      <c r="Q75" s="33" t="n"/>
      <c r="R75" s="33" t="n"/>
      <c r="S75" s="33" t="n"/>
      <c r="T75" s="33" t="n"/>
    </row>
    <row r="76">
      <c r="A76" s="35" t="inlineStr">
        <is>
          <t>Before sign-off complete Library Procedures 4-6 (support; approval &amp; SoD; accounts &amp; period).</t>
        </is>
      </c>
      <c r="B76" s="33" t="n"/>
      <c r="C76" s="33" t="n"/>
      <c r="D76" s="33" t="n"/>
      <c r="E76" s="33" t="n"/>
      <c r="F76" s="33" t="n"/>
      <c r="G76" s="33" t="n"/>
      <c r="H76" s="33" t="n"/>
      <c r="I76" s="33" t="n"/>
      <c r="J76" s="33" t="n"/>
      <c r="K76" s="33" t="n"/>
      <c r="L76" s="33" t="n"/>
      <c r="M76" s="33" t="n"/>
      <c r="N76" s="33" t="n"/>
      <c r="O76" s="33" t="n"/>
      <c r="P76" s="33" t="n"/>
      <c r="Q76" s="33" t="n"/>
      <c r="R76" s="33" t="n"/>
      <c r="S76" s="33" t="n"/>
      <c r="T76" s="33" t="n"/>
    </row>
  </sheetData>
  <autoFilter ref="A7:T58"/>
  <mergeCells count="16">
    <mergeCell ref="B72:D72"/>
    <mergeCell ref="B5:T5"/>
    <mergeCell ref="B66:D66"/>
    <mergeCell ref="B67:D67"/>
    <mergeCell ref="A63:I63"/>
    <mergeCell ref="A60:B60"/>
    <mergeCell ref="B71:D71"/>
    <mergeCell ref="A76:T76"/>
    <mergeCell ref="B73:D73"/>
    <mergeCell ref="B74:D74"/>
    <mergeCell ref="B4:T4"/>
    <mergeCell ref="B70:D70"/>
    <mergeCell ref="B68:D68"/>
    <mergeCell ref="B6:T6"/>
    <mergeCell ref="A61:B61"/>
    <mergeCell ref="B69:D69"/>
  </mergeCells>
  <printOptions horizontalCentered="0" verticalCentered="0"/>
  <pageMargins left="0.25" right="0.25" top="0.5" bottom="0.5" header="0.2" footer="0.2"/>
  <pageSetup orientation="landscape" paperSize="1" fitToHeight="0" fitToWidth="2" horizontalDpi="300" verticalDpi="300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autoPageBreaks="0" fitToPage="1"/>
  </sheetPr>
  <dimension ref="A1:J30"/>
  <sheetViews>
    <sheetView showGridLines="0" zoomScale="90" zoomScaleNormal="100" workbookViewId="0">
      <pane xSplit="1" ySplit="7" topLeftCell="B8" activePane="bottomRight" state="frozen"/>
      <selection pane="topRight"/>
      <selection pane="bottomLeft"/>
      <selection pane="bottomRight" activeCell="A4" sqref="A4:J6"/>
    </sheetView>
  </sheetViews>
  <sheetFormatPr baseColWidth="8" defaultColWidth="8.6328125" defaultRowHeight="14.5"/>
  <cols>
    <col width="25.8" bestFit="1" customWidth="1" min="1" max="1"/>
    <col width="22.4" customWidth="1" min="2" max="2"/>
    <col width="14.75" customWidth="1" min="3" max="6"/>
    <col width="37.7" customWidth="1" min="4" max="4"/>
    <col width="13.05" customWidth="1" min="5" max="5"/>
    <col width="42" customWidth="1" min="6" max="6"/>
    <col width="31.75" customWidth="1" min="7" max="7"/>
    <col width="13" customWidth="1" min="8" max="8"/>
    <col width="19.85" customWidth="1" min="9" max="9"/>
    <col width="26" customWidth="1" min="10" max="10"/>
  </cols>
  <sheetData>
    <row r="1" ht="27" customHeight="1">
      <c r="A1" s="32" t="inlineStr">
        <is>
          <t>Suspense &amp; Clearing Accounts</t>
        </is>
      </c>
      <c r="B1" s="33" t="n"/>
      <c r="C1" s="33" t="n"/>
      <c r="D1" s="33" t="n"/>
      <c r="E1" s="33" t="n"/>
      <c r="F1" s="33" t="n"/>
      <c r="G1" s="33" t="n"/>
      <c r="H1" s="33" t="n"/>
      <c r="I1" s="33" t="n"/>
      <c r="J1" s="33" t="n"/>
    </row>
    <row r="2" ht="27" customHeight="1">
      <c r="A2" s="44" t="inlineStr">
        <is>
          <t>Client / Entity</t>
        </is>
      </c>
      <c r="B2" s="34" t="inlineStr">
        <is>
          <t>Vaquite Industries, Inc.</t>
        </is>
      </c>
      <c r="C2" s="33" t="n"/>
      <c r="D2" s="44" t="inlineStr">
        <is>
          <t>Year-End</t>
        </is>
      </c>
      <c r="E2" s="45" t="n">
        <v>46022</v>
      </c>
      <c r="F2" s="33" t="n"/>
      <c r="G2" s="44" t="inlineStr">
        <is>
          <t>Currency</t>
        </is>
      </c>
      <c r="H2" s="46" t="inlineStr">
        <is>
          <t>USD</t>
        </is>
      </c>
      <c r="I2" s="33" t="n"/>
      <c r="J2" s="33" t="n"/>
    </row>
    <row r="3" ht="27" customHeight="1">
      <c r="A3" s="47" t="inlineStr">
        <is>
          <t>Performance Materiality</t>
        </is>
      </c>
      <c r="B3" s="48" t="n">
        <v>23100</v>
      </c>
      <c r="C3" s="33" t="n"/>
      <c r="D3" s="47" t="inlineStr">
        <is>
          <t>Tolerable misstatement / testing threshold</t>
        </is>
      </c>
      <c r="E3" s="48" t="n">
        <v>17400</v>
      </c>
      <c r="F3" s="33" t="n"/>
      <c r="G3" s="33" t="n"/>
      <c r="H3" s="33" t="n"/>
      <c r="I3" s="33" t="n"/>
      <c r="J3" s="33" t="n"/>
    </row>
    <row r="4" ht="27.75" customHeight="1">
      <c r="A4" s="49" t="inlineStr">
        <is>
          <t>Purpose:</t>
        </is>
      </c>
      <c r="B4" s="50" t="inlineStr">
        <is>
          <t>Investigate suspense / clearing accounts (e.g., 9000 / 2999): roll activity forward, confirm period-end balances subsequently cleared, and evaluate the nature of items parked there.</t>
        </is>
      </c>
      <c r="C4" s="51" t="n"/>
      <c r="D4" s="51" t="n"/>
      <c r="E4" s="51" t="n"/>
      <c r="F4" s="51" t="n"/>
      <c r="G4" s="51" t="n"/>
      <c r="H4" s="51" t="n"/>
      <c r="I4" s="51" t="n"/>
      <c r="J4" s="52" t="n"/>
    </row>
    <row r="5" ht="15" customHeight="1">
      <c r="A5" s="49" t="inlineStr">
        <is>
          <t>Scope:</t>
        </is>
      </c>
      <c r="B5" s="50" t="inlineStr">
        <is>
          <t>GL detail for every suspense / clearing account used in the period.</t>
        </is>
      </c>
      <c r="C5" s="51" t="n"/>
      <c r="D5" s="51" t="n"/>
      <c r="E5" s="51" t="n"/>
      <c r="F5" s="51" t="n"/>
      <c r="G5" s="51" t="n"/>
      <c r="H5" s="51" t="n"/>
      <c r="I5" s="51" t="n"/>
      <c r="J5" s="52" t="n"/>
    </row>
    <row r="6" ht="15" customHeight="1">
      <c r="A6" s="49" t="inlineStr">
        <is>
          <t>Assertions:</t>
        </is>
      </c>
      <c r="B6" s="50" t="inlineStr">
        <is>
          <t>Occurrence; Classification; Completeness</t>
        </is>
      </c>
      <c r="C6" s="51" t="n"/>
      <c r="D6" s="51" t="n"/>
      <c r="E6" s="51" t="n"/>
      <c r="F6" s="51" t="n"/>
      <c r="G6" s="51" t="n"/>
      <c r="H6" s="51" t="n"/>
      <c r="I6" s="51" t="n"/>
      <c r="J6" s="52" t="n"/>
    </row>
    <row r="7" ht="31.5" customHeight="1">
      <c r="A7" s="53" t="inlineStr">
        <is>
          <t>GL account</t>
        </is>
      </c>
      <c r="B7" s="53" t="inlineStr">
        <is>
          <t>Description</t>
        </is>
      </c>
      <c r="C7" s="53" t="inlineStr">
        <is>
          <t>Opening balance</t>
        </is>
      </c>
      <c r="D7" s="53" t="inlineStr">
        <is>
          <t>Postings in</t>
        </is>
      </c>
      <c r="E7" s="53" t="inlineStr">
        <is>
          <t>Clearings out</t>
        </is>
      </c>
      <c r="F7" s="53" t="inlineStr">
        <is>
          <t>Ending balance</t>
        </is>
      </c>
      <c r="G7" s="53" t="inlineStr">
        <is>
          <t>Subsequently cleared post-YE? (Y/N)</t>
        </is>
      </c>
      <c r="H7" s="53" t="inlineStr">
        <is>
          <t>Date cleared</t>
        </is>
      </c>
      <c r="I7" s="53" t="inlineStr">
        <is>
          <t>Aged &gt; 60 days? (Y/N)</t>
        </is>
      </c>
      <c r="J7" s="53" t="inlineStr">
        <is>
          <t>Nature / conclusion</t>
        </is>
      </c>
    </row>
    <row r="8">
      <c r="A8" s="33" t="n"/>
      <c r="B8" s="33" t="n"/>
      <c r="C8" s="61" t="inlineStr">
        <is>
          <t>TB</t>
        </is>
      </c>
      <c r="D8" s="33" t="n"/>
      <c r="E8" s="33" t="n"/>
      <c r="F8" s="61" t="inlineStr">
        <is>
          <t>F</t>
        </is>
      </c>
      <c r="G8" s="61" t="inlineStr">
        <is>
          <t>SR</t>
        </is>
      </c>
      <c r="H8" s="33" t="n"/>
      <c r="I8" s="33" t="n"/>
      <c r="J8" s="33" t="n"/>
    </row>
    <row r="9" ht="27" customHeight="1">
      <c r="A9" s="54" t="n"/>
      <c r="B9" s="54" t="n"/>
      <c r="C9" s="63" t="n"/>
      <c r="D9" s="63" t="n"/>
      <c r="E9" s="63" t="n"/>
      <c r="F9" s="64">
        <f>IF(COUNT(C9:E9)=0,"",IF(C9="",0,C9)+IF(D9="",0,D9)-IF(E9="",0,E9))</f>
        <v/>
      </c>
      <c r="G9" s="54" t="n"/>
      <c r="H9" s="54" t="n"/>
      <c r="I9" s="54" t="n"/>
      <c r="J9" s="54" t="n"/>
    </row>
    <row r="10" ht="27" customHeight="1">
      <c r="A10" s="54" t="n"/>
      <c r="B10" s="54" t="n"/>
      <c r="C10" s="63" t="n"/>
      <c r="D10" s="63" t="n"/>
      <c r="E10" s="63" t="n"/>
      <c r="F10" s="64">
        <f>IF(COUNT(C10:E10)=0,"",IF(C10="",0,C10)+IF(D10="",0,D10)-IF(E10="",0,E10))</f>
        <v/>
      </c>
      <c r="G10" s="54" t="n"/>
      <c r="H10" s="54" t="n"/>
      <c r="I10" s="54" t="n"/>
      <c r="J10" s="54" t="n"/>
    </row>
    <row r="11" ht="27" customHeight="1">
      <c r="A11" s="54" t="n"/>
      <c r="B11" s="54" t="n"/>
      <c r="C11" s="63" t="n"/>
      <c r="D11" s="63" t="n"/>
      <c r="E11" s="63" t="n"/>
      <c r="F11" s="64">
        <f>IF(COUNT(C11:E11)=0,"",IF(C11="",0,C11)+IF(D11="",0,D11)-IF(E11="",0,E11))</f>
        <v/>
      </c>
      <c r="G11" s="54" t="n"/>
      <c r="H11" s="54" t="n"/>
      <c r="I11" s="54" t="n"/>
      <c r="J11" s="54" t="n"/>
    </row>
    <row r="12" ht="27" customHeight="1">
      <c r="A12" s="54" t="n"/>
      <c r="B12" s="54" t="n"/>
      <c r="C12" s="63" t="n"/>
      <c r="D12" s="63" t="n"/>
      <c r="E12" s="63" t="n"/>
      <c r="F12" s="64">
        <f>IF(COUNT(C12:E12)=0,"",IF(C12="",0,C12)+IF(D12="",0,D12)-IF(E12="",0,E12))</f>
        <v/>
      </c>
      <c r="G12" s="54" t="n"/>
      <c r="H12" s="54" t="n"/>
      <c r="I12" s="54" t="n"/>
      <c r="J12" s="54" t="n"/>
    </row>
    <row r="13" ht="27" customHeight="1">
      <c r="A13" s="54" t="n"/>
      <c r="B13" s="54" t="n"/>
      <c r="C13" s="63" t="n"/>
      <c r="D13" s="63" t="n"/>
      <c r="E13" s="63" t="n"/>
      <c r="F13" s="64">
        <f>IF(COUNT(C13:E13)=0,"",IF(C13="",0,C13)+IF(D13="",0,D13)-IF(E13="",0,E13))</f>
        <v/>
      </c>
      <c r="G13" s="54" t="n"/>
      <c r="H13" s="54" t="n"/>
      <c r="I13" s="54" t="n"/>
      <c r="J13" s="54" t="n"/>
    </row>
    <row r="14" ht="27" customHeight="1">
      <c r="A14" s="54" t="n"/>
      <c r="B14" s="54" t="n"/>
      <c r="C14" s="63" t="n"/>
      <c r="D14" s="63" t="n"/>
      <c r="E14" s="63" t="n"/>
      <c r="F14" s="64">
        <f>IF(COUNT(C14:E14)=0,"",IF(C14="",0,C14)+IF(D14="",0,D14)-IF(E14="",0,E14))</f>
        <v/>
      </c>
      <c r="G14" s="54" t="n"/>
      <c r="H14" s="54" t="n"/>
      <c r="I14" s="54" t="n"/>
      <c r="J14" s="54" t="n"/>
    </row>
    <row r="15">
      <c r="A15" s="65" t="inlineStr">
        <is>
          <t>Total</t>
        </is>
      </c>
      <c r="B15" s="65" t="n"/>
      <c r="C15" s="67">
        <f>SUM(C9:C14)</f>
        <v/>
      </c>
      <c r="D15" s="67">
        <f>SUM(D9:D14)</f>
        <v/>
      </c>
      <c r="E15" s="67">
        <f>SUM(E9:E14)</f>
        <v/>
      </c>
      <c r="F15" s="67">
        <f>SUM(F9:F14)</f>
        <v/>
      </c>
      <c r="G15" s="65" t="n"/>
      <c r="H15" s="65" t="n"/>
      <c r="I15" s="65" t="n"/>
      <c r="J15" s="65" t="n"/>
    </row>
    <row r="16">
      <c r="A16" s="33" t="n"/>
      <c r="B16" s="33" t="n"/>
      <c r="C16" s="33" t="n"/>
      <c r="D16" s="33" t="n"/>
      <c r="E16" s="33" t="n"/>
      <c r="F16" s="33" t="n"/>
      <c r="G16" s="33" t="n"/>
      <c r="H16" s="33" t="n"/>
      <c r="I16" s="33" t="n"/>
      <c r="J16" s="33" t="n"/>
    </row>
    <row r="17" ht="27.75" customHeight="1">
      <c r="A17" s="35" t="inlineStr">
        <is>
          <t>A suspense balance at period end that does not clear shortly afterward may conceal misstatement — follow every period-end balance through to its subsequent clearing (date and destination account) and evaluate aged items. Entries selected on &lt;.2&gt; under the suspense criterion cross-reference here.</t>
        </is>
      </c>
      <c r="B17" s="33" t="n"/>
      <c r="C17" s="33" t="n"/>
      <c r="D17" s="33" t="n"/>
      <c r="E17" s="33" t="n"/>
      <c r="F17" s="33" t="n"/>
      <c r="G17" s="33" t="n"/>
      <c r="H17" s="33" t="n"/>
      <c r="I17" s="33" t="n"/>
      <c r="J17" s="33" t="n"/>
    </row>
    <row r="18">
      <c r="A18" s="33" t="n"/>
      <c r="B18" s="33" t="n"/>
      <c r="C18" s="33" t="n"/>
      <c r="D18" s="33" t="n"/>
      <c r="E18" s="33" t="n"/>
      <c r="F18" s="33" t="n"/>
      <c r="G18" s="33" t="n"/>
      <c r="H18" s="33" t="n"/>
      <c r="I18" s="33" t="n"/>
      <c r="J18" s="33" t="n"/>
    </row>
    <row r="19">
      <c r="A19" s="55" t="inlineStr">
        <is>
          <t>TM Legends</t>
        </is>
      </c>
      <c r="B19" s="33" t="n"/>
      <c r="C19" s="33" t="n"/>
      <c r="D19" s="33" t="n"/>
      <c r="E19" s="33" t="n"/>
      <c r="F19" s="33" t="n"/>
      <c r="G19" s="33" t="n"/>
      <c r="H19" s="33" t="n"/>
      <c r="I19" s="33" t="n"/>
      <c r="J19" s="33" t="n"/>
    </row>
    <row r="20">
      <c r="A20" s="56" t="inlineStr">
        <is>
          <t>TB</t>
        </is>
      </c>
      <c r="B20" s="39" t="inlineStr">
        <is>
          <t>Agreed to trial balance</t>
        </is>
      </c>
      <c r="C20" s="57" t="n"/>
      <c r="D20" s="58" t="n"/>
      <c r="E20" s="33" t="n"/>
      <c r="F20" s="33" t="n"/>
      <c r="G20" s="33" t="n"/>
      <c r="H20" s="33" t="n"/>
      <c r="I20" s="33" t="n"/>
      <c r="J20" s="33" t="n"/>
    </row>
    <row r="21">
      <c r="A21" s="56" t="inlineStr">
        <is>
          <t>GL</t>
        </is>
      </c>
      <c r="B21" s="39" t="inlineStr">
        <is>
          <t>Agreed to general ledger</t>
        </is>
      </c>
      <c r="C21" s="57" t="n"/>
      <c r="D21" s="58" t="n"/>
      <c r="E21" s="33" t="n"/>
      <c r="F21" s="33" t="n"/>
      <c r="G21" s="33" t="n"/>
      <c r="H21" s="33" t="n"/>
      <c r="I21" s="33" t="n"/>
      <c r="J21" s="33" t="n"/>
    </row>
    <row r="22">
      <c r="A22" s="56" t="inlineStr">
        <is>
          <t>CF</t>
        </is>
      </c>
      <c r="B22" s="39" t="inlineStr">
        <is>
          <t>Confirmed with third party</t>
        </is>
      </c>
      <c r="C22" s="57" t="n"/>
      <c r="D22" s="58" t="n"/>
      <c r="E22" s="33" t="n"/>
      <c r="F22" s="33" t="n"/>
      <c r="G22" s="33" t="n"/>
      <c r="H22" s="33" t="n"/>
      <c r="I22" s="33" t="n"/>
      <c r="J22" s="33" t="n"/>
    </row>
    <row r="23">
      <c r="A23" s="56" t="inlineStr">
        <is>
          <t>V</t>
        </is>
      </c>
      <c r="B23" s="39" t="inlineStr">
        <is>
          <t>Vouched to source document</t>
        </is>
      </c>
      <c r="C23" s="57" t="n"/>
      <c r="D23" s="58" t="n"/>
      <c r="E23" s="33" t="n"/>
      <c r="F23" s="33" t="n"/>
      <c r="G23" s="33" t="n"/>
      <c r="H23" s="33" t="n"/>
      <c r="I23" s="33" t="n"/>
      <c r="J23" s="33" t="n"/>
    </row>
    <row r="24">
      <c r="A24" s="56" t="inlineStr">
        <is>
          <t>SR</t>
        </is>
      </c>
      <c r="B24" s="39" t="inlineStr">
        <is>
          <t>Agreed to subsequent bank-cleared receipt</t>
        </is>
      </c>
      <c r="C24" s="57" t="n"/>
      <c r="D24" s="58" t="n"/>
      <c r="E24" s="33" t="n"/>
      <c r="F24" s="33" t="n"/>
      <c r="G24" s="33" t="n"/>
      <c r="H24" s="33" t="n"/>
      <c r="I24" s="33" t="n"/>
      <c r="J24" s="33" t="n"/>
    </row>
    <row r="25">
      <c r="A25" s="56" t="inlineStr">
        <is>
          <t>R</t>
        </is>
      </c>
      <c r="B25" s="39" t="inlineStr">
        <is>
          <t>Recalculated independently</t>
        </is>
      </c>
      <c r="C25" s="57" t="n"/>
      <c r="D25" s="58" t="n"/>
      <c r="E25" s="33" t="n"/>
      <c r="F25" s="33" t="n"/>
      <c r="G25" s="33" t="n"/>
      <c r="H25" s="33" t="n"/>
      <c r="I25" s="33" t="n"/>
      <c r="J25" s="33" t="n"/>
    </row>
    <row r="26">
      <c r="A26" s="56" t="inlineStr">
        <is>
          <t>F</t>
        </is>
      </c>
      <c r="B26" s="39" t="inlineStr">
        <is>
          <t>Footed / cross-cast</t>
        </is>
      </c>
      <c r="C26" s="57" t="n"/>
      <c r="D26" s="58" t="n"/>
      <c r="E26" s="33" t="n"/>
      <c r="F26" s="33" t="n"/>
      <c r="G26" s="33" t="n"/>
      <c r="H26" s="33" t="n"/>
      <c r="I26" s="33" t="n"/>
      <c r="J26" s="33" t="n"/>
    </row>
    <row r="27">
      <c r="A27" s="56" t="inlineStr">
        <is>
          <t>T</t>
        </is>
      </c>
      <c r="B27" s="39" t="inlineStr">
        <is>
          <t>Traced to downstream record</t>
        </is>
      </c>
      <c r="C27" s="57" t="n"/>
      <c r="D27" s="58" t="n"/>
      <c r="E27" s="33" t="n"/>
      <c r="F27" s="33" t="n"/>
      <c r="G27" s="33" t="n"/>
      <c r="H27" s="33" t="n"/>
      <c r="I27" s="33" t="n"/>
      <c r="J27" s="33" t="n"/>
    </row>
    <row r="28">
      <c r="A28" s="56" t="inlineStr">
        <is>
          <t>PBC</t>
        </is>
      </c>
      <c r="B28" s="39" t="inlineStr">
        <is>
          <t>Prepared by client</t>
        </is>
      </c>
      <c r="C28" s="57" t="n"/>
      <c r="D28" s="58" t="n"/>
      <c r="E28" s="33" t="n"/>
      <c r="F28" s="33" t="n"/>
      <c r="G28" s="33" t="n"/>
      <c r="H28" s="33" t="n"/>
      <c r="I28" s="33" t="n"/>
      <c r="J28" s="33" t="n"/>
    </row>
    <row r="29">
      <c r="A29" s="33" t="n"/>
      <c r="B29" s="33" t="n"/>
      <c r="C29" s="33" t="n"/>
      <c r="D29" s="33" t="n"/>
      <c r="E29" s="33" t="n"/>
      <c r="F29" s="33" t="n"/>
      <c r="G29" s="33" t="n"/>
      <c r="H29" s="33" t="n"/>
      <c r="I29" s="33" t="n"/>
      <c r="J29" s="33" t="n"/>
    </row>
    <row r="30" ht="27.75" customHeight="1">
      <c r="A30" s="35" t="inlineStr">
        <is>
          <t>Before sign-off complete Library Procedure 7 (suspense / clearing follow-through).</t>
        </is>
      </c>
      <c r="B30" s="33" t="n"/>
      <c r="C30" s="33" t="n"/>
      <c r="D30" s="33" t="n"/>
      <c r="E30" s="33" t="n"/>
      <c r="F30" s="33" t="n"/>
      <c r="G30" s="33" t="n"/>
      <c r="H30" s="33" t="n"/>
      <c r="I30" s="33" t="n"/>
      <c r="J30" s="33" t="n"/>
    </row>
  </sheetData>
  <mergeCells count="14">
    <mergeCell ref="B28:D28"/>
    <mergeCell ref="B5:J5"/>
    <mergeCell ref="B23:D23"/>
    <mergeCell ref="A17:J17"/>
    <mergeCell ref="B22:D22"/>
    <mergeCell ref="A30:J30"/>
    <mergeCell ref="B26:D26"/>
    <mergeCell ref="B27:D27"/>
    <mergeCell ref="B21:D21"/>
    <mergeCell ref="B4:J4"/>
    <mergeCell ref="B25:D25"/>
    <mergeCell ref="B6:J6"/>
    <mergeCell ref="B24:D24"/>
    <mergeCell ref="B20:D20"/>
  </mergeCells>
  <printOptions horizontalCentered="0" verticalCentered="0"/>
  <pageMargins left="0.25" right="0.25" top="0.5" bottom="0.5" header="0.2" footer="0.2"/>
  <pageSetup orientation="landscape" paperSize="1" fitToHeight="0" fitToWidth="1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 autoPageBreaks="0" fitToPage="1"/>
  </sheetPr>
  <dimension ref="A1:J45"/>
  <sheetViews>
    <sheetView showGridLines="0" zoomScale="90" zoomScaleNormal="100" workbookViewId="0">
      <pane xSplit="1" ySplit="7" topLeftCell="B8" activePane="bottomRight" state="frozen"/>
      <selection pane="topRight"/>
      <selection pane="bottomLeft"/>
      <selection pane="bottomRight" activeCell="A2" sqref="A2"/>
    </sheetView>
  </sheetViews>
  <sheetFormatPr baseColWidth="8" defaultColWidth="8.6328125" defaultRowHeight="14.5"/>
  <cols>
    <col width="42" bestFit="1" customWidth="1" min="1" max="1"/>
    <col width="22.4" customWidth="1" min="2" max="2"/>
    <col width="18.15" customWidth="1" min="3" max="3"/>
    <col width="37.7" customWidth="1" min="4" max="4"/>
    <col width="29.2" customWidth="1" min="5" max="5"/>
    <col width="22.4" customWidth="1" min="6" max="8"/>
    <col width="29.2" customWidth="1" min="7" max="7"/>
    <col width="20.7" customWidth="1" min="8" max="8"/>
    <col width="13" customWidth="1" min="9" max="9"/>
    <col width="26" customWidth="1" min="10" max="10"/>
  </cols>
  <sheetData>
    <row r="1" ht="17.5" customHeight="1">
      <c r="A1" s="32" t="inlineStr">
        <is>
          <t>Period-End, Post-Close &amp; Top-Side Entries</t>
        </is>
      </c>
      <c r="B1" s="33" t="n"/>
      <c r="C1" s="33" t="n"/>
      <c r="D1" s="33" t="n"/>
      <c r="E1" s="33" t="n"/>
      <c r="F1" s="33" t="n"/>
      <c r="G1" s="33" t="n"/>
      <c r="H1" s="33" t="n"/>
      <c r="I1" s="33" t="n"/>
      <c r="J1" s="33" t="n"/>
    </row>
    <row r="2" ht="27" customHeight="1">
      <c r="A2" s="44" t="inlineStr">
        <is>
          <t>Client / Entity</t>
        </is>
      </c>
      <c r="B2" s="34" t="inlineStr">
        <is>
          <t>Vaquite Industries, Inc.</t>
        </is>
      </c>
      <c r="C2" s="33" t="n"/>
      <c r="D2" s="44" t="inlineStr">
        <is>
          <t>Year-End</t>
        </is>
      </c>
      <c r="E2" s="45" t="n">
        <v>46022</v>
      </c>
      <c r="F2" s="33" t="n"/>
      <c r="G2" s="44" t="inlineStr">
        <is>
          <t>Currency</t>
        </is>
      </c>
      <c r="H2" s="46" t="inlineStr">
        <is>
          <t>USD</t>
        </is>
      </c>
      <c r="I2" s="33" t="n"/>
      <c r="J2" s="33" t="n"/>
    </row>
    <row r="3" ht="27" customHeight="1">
      <c r="A3" s="47" t="inlineStr">
        <is>
          <t>Performance Materiality</t>
        </is>
      </c>
      <c r="B3" s="48" t="n">
        <v>23100</v>
      </c>
      <c r="C3" s="33" t="n"/>
      <c r="D3" s="47" t="inlineStr">
        <is>
          <t>Tolerable misstatement / testing threshold</t>
        </is>
      </c>
      <c r="E3" s="48" t="n">
        <v>17400</v>
      </c>
      <c r="F3" s="33" t="n"/>
      <c r="G3" s="33" t="n"/>
      <c r="H3" s="33" t="n"/>
      <c r="I3" s="33" t="n"/>
      <c r="J3" s="33" t="n"/>
    </row>
    <row r="4" ht="42" customHeight="1">
      <c r="A4" s="49" t="inlineStr">
        <is>
          <t>Purpose:</t>
        </is>
      </c>
      <c r="B4" s="50" t="inlineStr">
        <is>
          <t>Test entries recorded in the final days of the period, entries posted after the close, and top-side / consolidation adjustments — the highest-risk strata for management override — including estimate entries agreed to their source schedules.</t>
        </is>
      </c>
      <c r="C4" s="51" t="n"/>
      <c r="D4" s="51" t="n"/>
      <c r="E4" s="51" t="n"/>
      <c r="F4" s="51" t="n"/>
      <c r="G4" s="51" t="n"/>
      <c r="H4" s="51" t="n"/>
      <c r="I4" s="51" t="n"/>
      <c r="J4" s="52" t="n"/>
    </row>
    <row r="5" ht="27.75" customHeight="1">
      <c r="A5" s="49" t="inlineStr">
        <is>
          <t>Scope:</t>
        </is>
      </c>
      <c r="B5" s="50" t="inlineStr">
        <is>
          <t>Entries in the period-end window, all post-close entries, all top-side adjustments, and estimate-related JEs.</t>
        </is>
      </c>
      <c r="C5" s="51" t="n"/>
      <c r="D5" s="51" t="n"/>
      <c r="E5" s="51" t="n"/>
      <c r="F5" s="51" t="n"/>
      <c r="G5" s="51" t="n"/>
      <c r="H5" s="51" t="n"/>
      <c r="I5" s="51" t="n"/>
      <c r="J5" s="52" t="n"/>
    </row>
    <row r="6" ht="15" customHeight="1">
      <c r="A6" s="49" t="inlineStr">
        <is>
          <t>Assertions:</t>
        </is>
      </c>
      <c r="B6" s="50" t="inlineStr">
        <is>
          <t>Cutoff; Accuracy; Occurrence; Authorization</t>
        </is>
      </c>
      <c r="C6" s="51" t="n"/>
      <c r="D6" s="51" t="n"/>
      <c r="E6" s="51" t="n"/>
      <c r="F6" s="51" t="n"/>
      <c r="G6" s="51" t="n"/>
      <c r="H6" s="51" t="n"/>
      <c r="I6" s="51" t="n"/>
      <c r="J6" s="52" t="n"/>
    </row>
    <row r="7">
      <c r="A7" s="59" t="inlineStr">
        <is>
          <t>A. Period-end window entries</t>
        </is>
      </c>
      <c r="B7" s="33" t="n"/>
      <c r="C7" s="33" t="n"/>
      <c r="D7" s="33" t="n"/>
      <c r="E7" s="33" t="n"/>
      <c r="F7" s="33" t="n"/>
      <c r="G7" s="33" t="n"/>
      <c r="H7" s="33" t="n"/>
      <c r="I7" s="33" t="n"/>
      <c r="J7" s="33" t="n"/>
    </row>
    <row r="8" ht="27" customHeight="1">
      <c r="A8" s="60" t="inlineStr">
        <is>
          <t>Sel #</t>
        </is>
      </c>
      <c r="B8" s="60" t="inlineStr">
        <is>
          <t>JE ref</t>
        </is>
      </c>
      <c r="C8" s="60" t="inlineStr">
        <is>
          <t>Date</t>
        </is>
      </c>
      <c r="D8" s="60" t="inlineStr">
        <is>
          <t>Amount</t>
        </is>
      </c>
      <c r="E8" s="60" t="inlineStr">
        <is>
          <t>Description / business rationale</t>
        </is>
      </c>
      <c r="F8" s="60" t="inlineStr">
        <is>
          <t>Support obtained (Y/N)</t>
        </is>
      </c>
      <c r="G8" s="60" t="inlineStr">
        <is>
          <t>Proper period (Y/N)</t>
        </is>
      </c>
      <c r="H8" s="60" t="inlineStr">
        <is>
          <t>Comments</t>
        </is>
      </c>
      <c r="I8" s="33" t="n"/>
      <c r="J8" s="33" t="n"/>
    </row>
    <row r="9">
      <c r="A9" s="70" t="n">
        <v>1</v>
      </c>
      <c r="B9" s="54" t="n"/>
      <c r="C9" s="54" t="n"/>
      <c r="D9" s="63" t="n"/>
      <c r="E9" s="54" t="n"/>
      <c r="F9" s="54" t="n"/>
      <c r="G9" s="54" t="n"/>
      <c r="H9" s="54" t="n"/>
      <c r="I9" s="33" t="n"/>
      <c r="J9" s="33" t="n"/>
    </row>
    <row r="10">
      <c r="A10" s="70" t="n">
        <v>2</v>
      </c>
      <c r="B10" s="54" t="n"/>
      <c r="C10" s="54" t="n"/>
      <c r="D10" s="63" t="n"/>
      <c r="E10" s="54" t="n"/>
      <c r="F10" s="54" t="n"/>
      <c r="G10" s="54" t="n"/>
      <c r="H10" s="54" t="n"/>
      <c r="I10" s="33" t="n"/>
      <c r="J10" s="33" t="n"/>
    </row>
    <row r="11">
      <c r="A11" s="70" t="n">
        <v>3</v>
      </c>
      <c r="B11" s="54" t="n"/>
      <c r="C11" s="54" t="n"/>
      <c r="D11" s="63" t="n"/>
      <c r="E11" s="54" t="n"/>
      <c r="F11" s="54" t="n"/>
      <c r="G11" s="54" t="n"/>
      <c r="H11" s="54" t="n"/>
      <c r="I11" s="33" t="n"/>
      <c r="J11" s="33" t="n"/>
    </row>
    <row r="12">
      <c r="A12" s="70" t="n">
        <v>4</v>
      </c>
      <c r="B12" s="54" t="n"/>
      <c r="C12" s="54" t="n"/>
      <c r="D12" s="63" t="n"/>
      <c r="E12" s="54" t="n"/>
      <c r="F12" s="54" t="n"/>
      <c r="G12" s="54" t="n"/>
      <c r="H12" s="54" t="n"/>
      <c r="I12" s="33" t="n"/>
      <c r="J12" s="33" t="n"/>
    </row>
    <row r="13">
      <c r="A13" s="70" t="n">
        <v>5</v>
      </c>
      <c r="B13" s="54" t="n"/>
      <c r="C13" s="54" t="n"/>
      <c r="D13" s="63" t="n"/>
      <c r="E13" s="54" t="n"/>
      <c r="F13" s="54" t="n"/>
      <c r="G13" s="54" t="n"/>
      <c r="H13" s="54" t="n"/>
      <c r="I13" s="33" t="n"/>
      <c r="J13" s="33" t="n"/>
    </row>
    <row r="14">
      <c r="A14" s="70" t="n">
        <v>6</v>
      </c>
      <c r="B14" s="54" t="n"/>
      <c r="C14" s="54" t="n"/>
      <c r="D14" s="63" t="n"/>
      <c r="E14" s="54" t="n"/>
      <c r="F14" s="54" t="n"/>
      <c r="G14" s="54" t="n"/>
      <c r="H14" s="54" t="n"/>
      <c r="I14" s="33" t="n"/>
      <c r="J14" s="33" t="n"/>
    </row>
    <row r="15">
      <c r="A15" s="33" t="n"/>
      <c r="B15" s="33" t="n"/>
      <c r="C15" s="33" t="n"/>
      <c r="D15" s="33" t="n"/>
      <c r="E15" s="33" t="n"/>
      <c r="F15" s="33" t="n"/>
      <c r="G15" s="33" t="n"/>
      <c r="H15" s="33" t="n"/>
      <c r="I15" s="33" t="n"/>
      <c r="J15" s="33" t="n"/>
    </row>
    <row r="16">
      <c r="A16" s="59" t="inlineStr">
        <is>
          <t>B. Post-close / top-side adjustments</t>
        </is>
      </c>
      <c r="B16" s="33" t="n"/>
      <c r="C16" s="33" t="n"/>
      <c r="D16" s="33" t="n"/>
      <c r="E16" s="33" t="n"/>
      <c r="F16" s="33" t="n"/>
      <c r="G16" s="33" t="n"/>
      <c r="H16" s="33" t="n"/>
      <c r="I16" s="33" t="n"/>
      <c r="J16" s="33" t="n"/>
    </row>
    <row r="17" ht="27" customHeight="1">
      <c r="A17" s="60" t="inlineStr">
        <is>
          <t>Sel #</t>
        </is>
      </c>
      <c r="B17" s="60" t="inlineStr">
        <is>
          <t>JE ref</t>
        </is>
      </c>
      <c r="C17" s="60" t="inlineStr">
        <is>
          <t>Posted date</t>
        </is>
      </c>
      <c r="D17" s="60" t="inlineStr">
        <is>
          <t>Effective period</t>
        </is>
      </c>
      <c r="E17" s="60" t="inlineStr">
        <is>
          <t>Top-side? (Y/N)</t>
        </is>
      </c>
      <c r="F17" s="60" t="inlineStr">
        <is>
          <t>Authorized by</t>
        </is>
      </c>
      <c r="G17" s="60" t="inlineStr">
        <is>
          <t>Impact on FS (describe)</t>
        </is>
      </c>
      <c r="H17" s="60" t="inlineStr">
        <is>
          <t>Support obtained (Y/N)</t>
        </is>
      </c>
      <c r="I17" s="60" t="inlineStr">
        <is>
          <t>Comments</t>
        </is>
      </c>
      <c r="J17" s="33" t="n"/>
    </row>
    <row r="18">
      <c r="A18" s="70" t="n">
        <v>1</v>
      </c>
      <c r="B18" s="54" t="n"/>
      <c r="C18" s="54" t="n"/>
      <c r="D18" s="54" t="n"/>
      <c r="E18" s="54" t="n"/>
      <c r="F18" s="54" t="n"/>
      <c r="G18" s="54" t="n"/>
      <c r="H18" s="54" t="n"/>
      <c r="I18" s="54" t="n"/>
      <c r="J18" s="33" t="n"/>
    </row>
    <row r="19">
      <c r="A19" s="70" t="n">
        <v>2</v>
      </c>
      <c r="B19" s="54" t="n"/>
      <c r="C19" s="54" t="n"/>
      <c r="D19" s="54" t="n"/>
      <c r="E19" s="54" t="n"/>
      <c r="F19" s="54" t="n"/>
      <c r="G19" s="54" t="n"/>
      <c r="H19" s="54" t="n"/>
      <c r="I19" s="54" t="n"/>
      <c r="J19" s="33" t="n"/>
    </row>
    <row r="20">
      <c r="A20" s="70" t="n">
        <v>3</v>
      </c>
      <c r="B20" s="54" t="n"/>
      <c r="C20" s="54" t="n"/>
      <c r="D20" s="54" t="n"/>
      <c r="E20" s="54" t="n"/>
      <c r="F20" s="54" t="n"/>
      <c r="G20" s="54" t="n"/>
      <c r="H20" s="54" t="n"/>
      <c r="I20" s="54" t="n"/>
      <c r="J20" s="33" t="n"/>
    </row>
    <row r="21">
      <c r="A21" s="70" t="n">
        <v>4</v>
      </c>
      <c r="B21" s="54" t="n"/>
      <c r="C21" s="54" t="n"/>
      <c r="D21" s="54" t="n"/>
      <c r="E21" s="54" t="n"/>
      <c r="F21" s="54" t="n"/>
      <c r="G21" s="54" t="n"/>
      <c r="H21" s="54" t="n"/>
      <c r="I21" s="54" t="n"/>
      <c r="J21" s="33" t="n"/>
    </row>
    <row r="22">
      <c r="A22" s="70" t="n">
        <v>5</v>
      </c>
      <c r="B22" s="54" t="n"/>
      <c r="C22" s="54" t="n"/>
      <c r="D22" s="54" t="n"/>
      <c r="E22" s="54" t="n"/>
      <c r="F22" s="54" t="n"/>
      <c r="G22" s="54" t="n"/>
      <c r="H22" s="54" t="n"/>
      <c r="I22" s="54" t="n"/>
      <c r="J22" s="33" t="n"/>
    </row>
    <row r="23">
      <c r="A23" s="70" t="n">
        <v>6</v>
      </c>
      <c r="B23" s="54" t="n"/>
      <c r="C23" s="54" t="n"/>
      <c r="D23" s="54" t="n"/>
      <c r="E23" s="54" t="n"/>
      <c r="F23" s="54" t="n"/>
      <c r="G23" s="54" t="n"/>
      <c r="H23" s="54" t="n"/>
      <c r="I23" s="54" t="n"/>
      <c r="J23" s="33" t="n"/>
    </row>
    <row r="24">
      <c r="A24" s="33" t="n"/>
      <c r="B24" s="33" t="n"/>
      <c r="C24" s="33" t="n"/>
      <c r="D24" s="33" t="n"/>
      <c r="E24" s="33" t="n"/>
      <c r="F24" s="33" t="n"/>
      <c r="G24" s="33" t="n"/>
      <c r="H24" s="33" t="n"/>
      <c r="I24" s="33" t="n"/>
      <c r="J24" s="33" t="n"/>
    </row>
    <row r="25" ht="27" customHeight="1">
      <c r="A25" s="59" t="inlineStr">
        <is>
          <t>C. Estimate-related entries (agree to source schedules)</t>
        </is>
      </c>
      <c r="B25" s="33" t="n"/>
      <c r="C25" s="33" t="n"/>
      <c r="D25" s="33" t="n"/>
      <c r="E25" s="33" t="n"/>
      <c r="F25" s="33" t="n"/>
      <c r="G25" s="33" t="n"/>
      <c r="H25" s="33" t="n"/>
      <c r="I25" s="33" t="n"/>
      <c r="J25" s="33" t="n"/>
    </row>
    <row r="26" ht="36.5" customHeight="1">
      <c r="A26" s="60" t="inlineStr">
        <is>
          <t>Sel #</t>
        </is>
      </c>
      <c r="B26" s="60" t="inlineStr">
        <is>
          <t>JE ref</t>
        </is>
      </c>
      <c r="C26" s="60" t="inlineStr">
        <is>
          <t>Estimate (describe)</t>
        </is>
      </c>
      <c r="D26" s="60" t="inlineStr">
        <is>
          <t>Amount</t>
        </is>
      </c>
      <c r="E26" s="60" t="inlineStr">
        <is>
          <t>Source / ERP schedule ref</t>
        </is>
      </c>
      <c r="F26" s="60" t="inlineStr">
        <is>
          <t>Agreed to schedule (Y/N)</t>
        </is>
      </c>
      <c r="G26" s="60" t="inlineStr">
        <is>
          <t>Retrospective review noted (Y/N)</t>
        </is>
      </c>
      <c r="H26" s="60" t="inlineStr">
        <is>
          <t>Comments</t>
        </is>
      </c>
      <c r="I26" s="33" t="n"/>
      <c r="J26" s="33" t="n"/>
    </row>
    <row r="27">
      <c r="A27" s="70" t="n">
        <v>1</v>
      </c>
      <c r="B27" s="54" t="n"/>
      <c r="C27" s="54" t="n"/>
      <c r="D27" s="63" t="n"/>
      <c r="E27" s="54" t="n"/>
      <c r="F27" s="54" t="n"/>
      <c r="G27" s="54" t="n"/>
      <c r="H27" s="54" t="n"/>
      <c r="I27" s="33" t="n"/>
      <c r="J27" s="33" t="n"/>
    </row>
    <row r="28">
      <c r="A28" s="70" t="n">
        <v>2</v>
      </c>
      <c r="B28" s="54" t="n"/>
      <c r="C28" s="54" t="n"/>
      <c r="D28" s="63" t="n"/>
      <c r="E28" s="54" t="n"/>
      <c r="F28" s="54" t="n"/>
      <c r="G28" s="54" t="n"/>
      <c r="H28" s="54" t="n"/>
      <c r="I28" s="33" t="n"/>
      <c r="J28" s="33" t="n"/>
    </row>
    <row r="29">
      <c r="A29" s="70" t="n">
        <v>3</v>
      </c>
      <c r="B29" s="54" t="n"/>
      <c r="C29" s="54" t="n"/>
      <c r="D29" s="63" t="n"/>
      <c r="E29" s="54" t="n"/>
      <c r="F29" s="54" t="n"/>
      <c r="G29" s="54" t="n"/>
      <c r="H29" s="54" t="n"/>
      <c r="I29" s="33" t="n"/>
      <c r="J29" s="33" t="n"/>
    </row>
    <row r="30">
      <c r="A30" s="70" t="n">
        <v>4</v>
      </c>
      <c r="B30" s="54" t="n"/>
      <c r="C30" s="54" t="n"/>
      <c r="D30" s="63" t="n"/>
      <c r="E30" s="54" t="n"/>
      <c r="F30" s="54" t="n"/>
      <c r="G30" s="54" t="n"/>
      <c r="H30" s="54" t="n"/>
      <c r="I30" s="33" t="n"/>
      <c r="J30" s="33" t="n"/>
    </row>
    <row r="31">
      <c r="A31" s="33" t="n"/>
      <c r="B31" s="33" t="n"/>
      <c r="C31" s="33" t="n"/>
      <c r="D31" s="33" t="n"/>
      <c r="E31" s="33" t="n"/>
      <c r="F31" s="33" t="n"/>
      <c r="G31" s="33" t="n"/>
      <c r="H31" s="33" t="n"/>
      <c r="I31" s="33" t="n"/>
      <c r="J31" s="33" t="n"/>
    </row>
    <row r="32" ht="27.75" customHeight="1">
      <c r="A32" s="35" t="inlineStr">
        <is>
          <t>Post-close and top-side entries bypass routine controls — test authorization and FS impact for each. Estimate entries are agreed to the supporting ERP / source schedule and feed the engagement's retrospective review of estimates for management bias (AU-C 240.32(b)(2)).</t>
        </is>
      </c>
      <c r="B32" s="33" t="n"/>
      <c r="C32" s="33" t="n"/>
      <c r="D32" s="33" t="n"/>
      <c r="E32" s="33" t="n"/>
      <c r="F32" s="33" t="n"/>
      <c r="G32" s="33" t="n"/>
      <c r="H32" s="33" t="n"/>
      <c r="I32" s="33" t="n"/>
      <c r="J32" s="33" t="n"/>
    </row>
    <row r="33">
      <c r="A33" s="33" t="n"/>
      <c r="B33" s="33" t="n"/>
      <c r="C33" s="33" t="n"/>
      <c r="D33" s="33" t="n"/>
      <c r="E33" s="33" t="n"/>
      <c r="F33" s="33" t="n"/>
      <c r="G33" s="33" t="n"/>
      <c r="H33" s="33" t="n"/>
      <c r="I33" s="33" t="n"/>
      <c r="J33" s="33" t="n"/>
    </row>
    <row r="34">
      <c r="A34" s="55" t="inlineStr">
        <is>
          <t>TM Legends</t>
        </is>
      </c>
      <c r="B34" s="33" t="n"/>
      <c r="C34" s="33" t="n"/>
      <c r="D34" s="33" t="n"/>
      <c r="E34" s="33" t="n"/>
      <c r="F34" s="33" t="n"/>
      <c r="G34" s="33" t="n"/>
      <c r="H34" s="33" t="n"/>
      <c r="I34" s="33" t="n"/>
      <c r="J34" s="33" t="n"/>
    </row>
    <row r="35">
      <c r="A35" s="56" t="inlineStr">
        <is>
          <t>TB</t>
        </is>
      </c>
      <c r="B35" s="39" t="inlineStr">
        <is>
          <t>Agreed to trial balance</t>
        </is>
      </c>
      <c r="C35" s="57" t="n"/>
      <c r="D35" s="58" t="n"/>
      <c r="E35" s="33" t="n"/>
      <c r="F35" s="33" t="n"/>
      <c r="G35" s="33" t="n"/>
      <c r="H35" s="33" t="n"/>
      <c r="I35" s="33" t="n"/>
      <c r="J35" s="33" t="n"/>
    </row>
    <row r="36">
      <c r="A36" s="56" t="inlineStr">
        <is>
          <t>GL</t>
        </is>
      </c>
      <c r="B36" s="39" t="inlineStr">
        <is>
          <t>Agreed to general ledger</t>
        </is>
      </c>
      <c r="C36" s="57" t="n"/>
      <c r="D36" s="58" t="n"/>
      <c r="E36" s="33" t="n"/>
      <c r="F36" s="33" t="n"/>
      <c r="G36" s="33" t="n"/>
      <c r="H36" s="33" t="n"/>
      <c r="I36" s="33" t="n"/>
      <c r="J36" s="33" t="n"/>
    </row>
    <row r="37">
      <c r="A37" s="56" t="inlineStr">
        <is>
          <t>CF</t>
        </is>
      </c>
      <c r="B37" s="39" t="inlineStr">
        <is>
          <t>Confirmed with third party</t>
        </is>
      </c>
      <c r="C37" s="57" t="n"/>
      <c r="D37" s="58" t="n"/>
      <c r="E37" s="33" t="n"/>
      <c r="F37" s="33" t="n"/>
      <c r="G37" s="33" t="n"/>
      <c r="H37" s="33" t="n"/>
      <c r="I37" s="33" t="n"/>
      <c r="J37" s="33" t="n"/>
    </row>
    <row r="38">
      <c r="A38" s="56" t="inlineStr">
        <is>
          <t>V</t>
        </is>
      </c>
      <c r="B38" s="39" t="inlineStr">
        <is>
          <t>Vouched to source document</t>
        </is>
      </c>
      <c r="C38" s="57" t="n"/>
      <c r="D38" s="58" t="n"/>
      <c r="E38" s="33" t="n"/>
      <c r="F38" s="33" t="n"/>
      <c r="G38" s="33" t="n"/>
      <c r="H38" s="33" t="n"/>
      <c r="I38" s="33" t="n"/>
      <c r="J38" s="33" t="n"/>
    </row>
    <row r="39">
      <c r="A39" s="56" t="inlineStr">
        <is>
          <t>SR</t>
        </is>
      </c>
      <c r="B39" s="39" t="inlineStr">
        <is>
          <t>Agreed to subsequent bank-cleared receipt</t>
        </is>
      </c>
      <c r="C39" s="57" t="n"/>
      <c r="D39" s="58" t="n"/>
      <c r="E39" s="33" t="n"/>
      <c r="F39" s="33" t="n"/>
      <c r="G39" s="33" t="n"/>
      <c r="H39" s="33" t="n"/>
      <c r="I39" s="33" t="n"/>
      <c r="J39" s="33" t="n"/>
    </row>
    <row r="40">
      <c r="A40" s="56" t="inlineStr">
        <is>
          <t>R</t>
        </is>
      </c>
      <c r="B40" s="39" t="inlineStr">
        <is>
          <t>Recalculated independently</t>
        </is>
      </c>
      <c r="C40" s="57" t="n"/>
      <c r="D40" s="58" t="n"/>
      <c r="E40" s="33" t="n"/>
      <c r="F40" s="33" t="n"/>
      <c r="G40" s="33" t="n"/>
      <c r="H40" s="33" t="n"/>
      <c r="I40" s="33" t="n"/>
      <c r="J40" s="33" t="n"/>
    </row>
    <row r="41">
      <c r="A41" s="56" t="inlineStr">
        <is>
          <t>F</t>
        </is>
      </c>
      <c r="B41" s="39" t="inlineStr">
        <is>
          <t>Footed / cross-cast</t>
        </is>
      </c>
      <c r="C41" s="57" t="n"/>
      <c r="D41" s="58" t="n"/>
      <c r="E41" s="33" t="n"/>
      <c r="F41" s="33" t="n"/>
      <c r="G41" s="33" t="n"/>
      <c r="H41" s="33" t="n"/>
      <c r="I41" s="33" t="n"/>
      <c r="J41" s="33" t="n"/>
    </row>
    <row r="42">
      <c r="A42" s="56" t="inlineStr">
        <is>
          <t>T</t>
        </is>
      </c>
      <c r="B42" s="39" t="inlineStr">
        <is>
          <t>Traced to downstream record</t>
        </is>
      </c>
      <c r="C42" s="57" t="n"/>
      <c r="D42" s="58" t="n"/>
      <c r="E42" s="33" t="n"/>
      <c r="F42" s="33" t="n"/>
      <c r="G42" s="33" t="n"/>
      <c r="H42" s="33" t="n"/>
      <c r="I42" s="33" t="n"/>
      <c r="J42" s="33" t="n"/>
    </row>
    <row r="43">
      <c r="A43" s="56" t="inlineStr">
        <is>
          <t>PBC</t>
        </is>
      </c>
      <c r="B43" s="39" t="inlineStr">
        <is>
          <t>Prepared by client</t>
        </is>
      </c>
      <c r="C43" s="57" t="n"/>
      <c r="D43" s="58" t="n"/>
      <c r="E43" s="33" t="n"/>
      <c r="F43" s="33" t="n"/>
      <c r="G43" s="33" t="n"/>
      <c r="H43" s="33" t="n"/>
      <c r="I43" s="33" t="n"/>
      <c r="J43" s="33" t="n"/>
    </row>
    <row r="44">
      <c r="A44" s="33" t="n"/>
      <c r="B44" s="33" t="n"/>
      <c r="C44" s="33" t="n"/>
      <c r="D44" s="33" t="n"/>
      <c r="E44" s="33" t="n"/>
      <c r="F44" s="33" t="n"/>
      <c r="G44" s="33" t="n"/>
      <c r="H44" s="33" t="n"/>
      <c r="I44" s="33" t="n"/>
      <c r="J44" s="33" t="n"/>
    </row>
    <row r="45" ht="27.75" customHeight="1">
      <c r="A45" s="35" t="inlineStr">
        <is>
          <t>Before sign-off complete Library Procedures 8-10 (period-end; post-close / top-side; estimate entries).</t>
        </is>
      </c>
      <c r="B45" s="33" t="n"/>
      <c r="C45" s="33" t="n"/>
      <c r="D45" s="33" t="n"/>
      <c r="E45" s="33" t="n"/>
      <c r="F45" s="33" t="n"/>
      <c r="G45" s="33" t="n"/>
      <c r="H45" s="33" t="n"/>
      <c r="I45" s="33" t="n"/>
      <c r="J45" s="33" t="n"/>
    </row>
  </sheetData>
  <mergeCells count="14">
    <mergeCell ref="B42:D42"/>
    <mergeCell ref="A45:J45"/>
    <mergeCell ref="B36:D36"/>
    <mergeCell ref="B37:D37"/>
    <mergeCell ref="B5:J5"/>
    <mergeCell ref="A32:J32"/>
    <mergeCell ref="B41:D41"/>
    <mergeCell ref="B35:D35"/>
    <mergeCell ref="B40:D40"/>
    <mergeCell ref="B38:D38"/>
    <mergeCell ref="B4:J4"/>
    <mergeCell ref="B43:D43"/>
    <mergeCell ref="B39:D39"/>
    <mergeCell ref="B6:J6"/>
  </mergeCells>
  <printOptions horizontalCentered="0" verticalCentered="0"/>
  <pageMargins left="0.25" right="0.25" top="0.5" bottom="0.5" header="0.2" footer="0.2"/>
  <pageSetup orientation="landscape" paperSize="1" fitToHeight="0" fitToWidth="1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 autoPageBreaks="0" fitToPage="1"/>
  </sheetPr>
  <dimension ref="A1:H42"/>
  <sheetViews>
    <sheetView showGridLines="0" zoomScale="90" zoomScaleNormal="100" workbookViewId="0">
      <pane ySplit="7" topLeftCell="A8" activePane="bottomLeft" state="frozen"/>
      <selection pane="bottomLeft" activeCell="A27" sqref="A27:F29"/>
    </sheetView>
  </sheetViews>
  <sheetFormatPr baseColWidth="8" defaultColWidth="8.6328125" defaultRowHeight="14.5"/>
  <cols>
    <col width="42" customWidth="1" min="1" max="1"/>
    <col width="22.4" customWidth="1" min="2" max="2"/>
    <col width="23.25" customWidth="1" min="3" max="3"/>
    <col width="37.7" customWidth="1" min="4" max="4"/>
    <col width="19.85" customWidth="1" min="5" max="5"/>
    <col width="30" customWidth="1" min="6" max="6"/>
    <col width="13" customWidth="1" min="7" max="7"/>
    <col width="13" customWidth="1" min="8" max="8"/>
  </cols>
  <sheetData>
    <row r="1" ht="27" customHeight="1">
      <c r="A1" s="32" t="inlineStr">
        <is>
          <t>JE Analytics &amp; Management-Override Conclusion</t>
        </is>
      </c>
      <c r="B1" s="33" t="n"/>
      <c r="C1" s="33" t="n"/>
      <c r="D1" s="33" t="n"/>
      <c r="E1" s="33" t="n"/>
      <c r="F1" s="33" t="n"/>
      <c r="G1" s="33" t="n"/>
      <c r="H1" s="33" t="n"/>
    </row>
    <row r="2" ht="27" customHeight="1">
      <c r="A2" s="44" t="inlineStr">
        <is>
          <t>Client / Entity</t>
        </is>
      </c>
      <c r="B2" s="34" t="inlineStr">
        <is>
          <t>Vaquite Industries, Inc.</t>
        </is>
      </c>
      <c r="C2" s="33" t="n"/>
      <c r="D2" s="44" t="inlineStr">
        <is>
          <t>Year-End</t>
        </is>
      </c>
      <c r="E2" s="45" t="n">
        <v>46022</v>
      </c>
      <c r="F2" s="33" t="n"/>
      <c r="G2" s="44" t="inlineStr">
        <is>
          <t>Currency</t>
        </is>
      </c>
      <c r="H2" s="46" t="inlineStr">
        <is>
          <t>USD</t>
        </is>
      </c>
    </row>
    <row r="3" ht="27" customHeight="1">
      <c r="A3" s="47" t="inlineStr">
        <is>
          <t>Performance Materiality</t>
        </is>
      </c>
      <c r="B3" s="48" t="n">
        <v>23100</v>
      </c>
      <c r="C3" s="33" t="n"/>
      <c r="D3" s="47" t="inlineStr">
        <is>
          <t>Tolerable misstatement / testing threshold</t>
        </is>
      </c>
      <c r="E3" s="48" t="n">
        <v>17400</v>
      </c>
      <c r="F3" s="33" t="n"/>
      <c r="G3" s="33" t="n"/>
      <c r="H3" s="33" t="n"/>
    </row>
    <row r="4" ht="27.75" customHeight="1">
      <c r="A4" s="49" t="inlineStr">
        <is>
          <t>Purpose:</t>
        </is>
      </c>
      <c r="B4" s="50" t="inlineStr">
        <is>
          <t>Complete the standard fraud-risk analytics checklist over the full population, evaluate the management-override indicators collectively, and conclude on the journal-entry work.</t>
        </is>
      </c>
      <c r="C4" s="51" t="n"/>
      <c r="D4" s="51" t="n"/>
      <c r="E4" s="51" t="n"/>
      <c r="F4" s="52" t="n"/>
      <c r="G4" s="33" t="n"/>
      <c r="H4" s="33" t="n"/>
    </row>
    <row r="5" ht="27.75" customHeight="1">
      <c r="A5" s="49" t="inlineStr">
        <is>
          <t>Scope:</t>
        </is>
      </c>
      <c r="B5" s="50" t="inlineStr">
        <is>
          <t>The full validated population; results of &lt;.2&gt;-&lt;.4&gt;; AU-C 240.32 (journal entries, estimates, significant unusual transactions).</t>
        </is>
      </c>
      <c r="C5" s="51" t="n"/>
      <c r="D5" s="51" t="n"/>
      <c r="E5" s="51" t="n"/>
      <c r="F5" s="52" t="n"/>
      <c r="G5" s="33" t="n"/>
      <c r="H5" s="33" t="n"/>
    </row>
    <row r="6" ht="15" customHeight="1">
      <c r="A6" s="49" t="inlineStr">
        <is>
          <t>Assertions:</t>
        </is>
      </c>
      <c r="B6" s="50" t="inlineStr">
        <is>
          <t>Completeness; Occurrence; Accuracy</t>
        </is>
      </c>
      <c r="C6" s="51" t="n"/>
      <c r="D6" s="51" t="n"/>
      <c r="E6" s="51" t="n"/>
      <c r="F6" s="52" t="n"/>
      <c r="G6" s="33" t="n"/>
      <c r="H6" s="33" t="n"/>
    </row>
    <row r="7" ht="27" customHeight="1">
      <c r="A7" s="59" t="inlineStr">
        <is>
          <t>A. Standard analytics checklist (population-level)</t>
        </is>
      </c>
      <c r="B7" s="33" t="n"/>
      <c r="C7" s="33" t="n"/>
      <c r="D7" s="33" t="n"/>
      <c r="E7" s="33" t="n"/>
      <c r="F7" s="33" t="n"/>
      <c r="G7" s="33" t="n"/>
      <c r="H7" s="33" t="n"/>
    </row>
    <row r="8" ht="27" customHeight="1">
      <c r="A8" s="60" t="inlineStr">
        <is>
          <t>Analytic</t>
        </is>
      </c>
      <c r="B8" s="60" t="inlineStr">
        <is>
          <t>Performed (Y/N)</t>
        </is>
      </c>
      <c r="C8" s="60" t="inlineStr">
        <is>
          <t>Result / population count</t>
        </is>
      </c>
      <c r="D8" s="60" t="inlineStr">
        <is>
          <t>Anomalies identified</t>
        </is>
      </c>
      <c r="E8" s="60" t="inlineStr">
        <is>
          <t>Follow-up (tab / ref)</t>
        </is>
      </c>
      <c r="F8" s="60" t="inlineStr">
        <is>
          <t>Comments</t>
        </is>
      </c>
      <c r="G8" s="33" t="n"/>
      <c r="H8" s="33" t="n"/>
    </row>
    <row r="9" ht="27" customHeight="1">
      <c r="A9" s="68" t="inlineStr">
        <is>
          <t>Entries by user (concentration &amp; unexpected users)</t>
        </is>
      </c>
      <c r="B9" s="54" t="n"/>
      <c r="C9" s="54" t="n"/>
      <c r="D9" s="54" t="n"/>
      <c r="E9" s="54" t="n"/>
      <c r="F9" s="54" t="n"/>
      <c r="G9" s="33" t="n"/>
      <c r="H9" s="33" t="n"/>
    </row>
    <row r="10" ht="21.75" customHeight="1">
      <c r="A10" s="68" t="inlineStr">
        <is>
          <t>Entries by hour of day (after-hours pattern)</t>
        </is>
      </c>
      <c r="B10" s="54" t="n"/>
      <c r="C10" s="54" t="n"/>
      <c r="D10" s="54" t="n"/>
      <c r="E10" s="54" t="n"/>
      <c r="F10" s="54" t="n"/>
      <c r="G10" s="33" t="n"/>
      <c r="H10" s="33" t="n"/>
    </row>
    <row r="11" ht="21.75" customHeight="1">
      <c r="A11" s="68" t="inlineStr">
        <is>
          <t>Entries by day of week (weekend pattern)</t>
        </is>
      </c>
      <c r="B11" s="54" t="n"/>
      <c r="C11" s="54" t="n"/>
      <c r="D11" s="54" t="n"/>
      <c r="E11" s="54" t="n"/>
      <c r="F11" s="54" t="n"/>
      <c r="G11" s="33" t="n"/>
      <c r="H11" s="33" t="n"/>
    </row>
    <row r="12" ht="21.75" customHeight="1">
      <c r="A12" s="68" t="inlineStr">
        <is>
          <t>Round-dollar frequency analysis</t>
        </is>
      </c>
      <c r="B12" s="54" t="n"/>
      <c r="C12" s="54" t="n"/>
      <c r="D12" s="54" t="n"/>
      <c r="E12" s="54" t="n"/>
      <c r="F12" s="54" t="n"/>
      <c r="G12" s="33" t="n"/>
      <c r="H12" s="33" t="n"/>
    </row>
    <row r="13" ht="21.75" customHeight="1">
      <c r="A13" s="68" t="inlineStr">
        <is>
          <t>Entries by source / type (manual share)</t>
        </is>
      </c>
      <c r="B13" s="54" t="n"/>
      <c r="C13" s="54" t="n"/>
      <c r="D13" s="54" t="n"/>
      <c r="E13" s="54" t="n"/>
      <c r="F13" s="54" t="n"/>
      <c r="G13" s="33" t="n"/>
      <c r="H13" s="33" t="n"/>
    </row>
    <row r="14" ht="27" customHeight="1">
      <c r="A14" s="68" t="inlineStr">
        <is>
          <t>Credits to revenue analysis (unusual credits / reversals)</t>
        </is>
      </c>
      <c r="B14" s="54" t="n"/>
      <c r="C14" s="54" t="n"/>
      <c r="D14" s="54" t="n"/>
      <c r="E14" s="54" t="n"/>
      <c r="F14" s="54" t="n"/>
      <c r="G14" s="33" t="n"/>
      <c r="H14" s="33" t="n"/>
    </row>
    <row r="15" ht="21.75" customHeight="1">
      <c r="A15" s="68" t="inlineStr">
        <is>
          <t>Postings to seldom-used accounts</t>
        </is>
      </c>
      <c r="B15" s="54" t="n"/>
      <c r="C15" s="54" t="n"/>
      <c r="D15" s="54" t="n"/>
      <c r="E15" s="54" t="n"/>
      <c r="F15" s="54" t="n"/>
      <c r="G15" s="33" t="n"/>
      <c r="H15" s="33" t="n"/>
    </row>
    <row r="16" ht="27" customHeight="1">
      <c r="A16" s="68" t="inlineStr">
        <is>
          <t>Debit / credit imbalance scan (should be none)</t>
        </is>
      </c>
      <c r="B16" s="54" t="n"/>
      <c r="C16" s="54" t="n"/>
      <c r="D16" s="54" t="n"/>
      <c r="E16" s="54" t="n"/>
      <c r="F16" s="54" t="n"/>
      <c r="G16" s="33" t="n"/>
      <c r="H16" s="33" t="n"/>
    </row>
    <row r="17">
      <c r="A17" s="33" t="n"/>
      <c r="B17" s="33" t="n"/>
      <c r="C17" s="33" t="n"/>
      <c r="D17" s="33" t="n"/>
      <c r="E17" s="33" t="n"/>
      <c r="F17" s="33" t="n"/>
      <c r="G17" s="33" t="n"/>
      <c r="H17" s="33" t="n"/>
    </row>
    <row r="18">
      <c r="A18" s="59" t="inlineStr">
        <is>
          <t>B. Management-override evaluation</t>
        </is>
      </c>
      <c r="B18" s="33" t="n"/>
      <c r="C18" s="33" t="n"/>
      <c r="D18" s="33" t="n"/>
      <c r="E18" s="33" t="n"/>
      <c r="F18" s="33" t="n"/>
      <c r="G18" s="33" t="n"/>
      <c r="H18" s="33" t="n"/>
    </row>
    <row r="19" ht="21.75" customHeight="1">
      <c r="A19" s="60" t="inlineStr">
        <is>
          <t>Indicator / result</t>
        </is>
      </c>
      <c r="B19" s="60" t="inlineStr">
        <is>
          <t>Result</t>
        </is>
      </c>
      <c r="C19" s="60" t="inlineStr">
        <is>
          <t>Basis (tab)</t>
        </is>
      </c>
      <c r="D19" s="60" t="inlineStr">
        <is>
          <t>Conclusion</t>
        </is>
      </c>
      <c r="E19" s="33" t="n"/>
      <c r="F19" s="33" t="n"/>
      <c r="G19" s="33" t="n"/>
      <c r="H19" s="33" t="n"/>
    </row>
    <row r="20" ht="21.75" customHeight="1">
      <c r="A20" s="68" t="inlineStr">
        <is>
          <t>SoD conflicts identified (per &lt;.2&gt;)</t>
        </is>
      </c>
      <c r="B20" s="54" t="n"/>
      <c r="C20" s="70" t="inlineStr">
        <is>
          <t>&lt;.2&gt;</t>
        </is>
      </c>
      <c r="D20" s="54" t="n"/>
      <c r="E20" s="33" t="n"/>
      <c r="F20" s="33" t="n"/>
      <c r="G20" s="33" t="n"/>
      <c r="H20" s="33" t="n"/>
    </row>
    <row r="21" ht="27" customHeight="1">
      <c r="A21" s="68" t="inlineStr">
        <is>
          <t>Top-side / post-close entries tested without exception</t>
        </is>
      </c>
      <c r="B21" s="54" t="n"/>
      <c r="C21" s="70" t="inlineStr">
        <is>
          <t>&lt;.4&gt;</t>
        </is>
      </c>
      <c r="D21" s="54" t="n"/>
      <c r="E21" s="33" t="n"/>
      <c r="F21" s="33" t="n"/>
      <c r="G21" s="33" t="n"/>
      <c r="H21" s="33" t="n"/>
    </row>
    <row r="22" ht="21.75" customHeight="1">
      <c r="A22" s="68" t="inlineStr">
        <is>
          <t>Suspense balances cleared subsequently</t>
        </is>
      </c>
      <c r="B22" s="54" t="n"/>
      <c r="C22" s="70" t="inlineStr">
        <is>
          <t>&lt;.3&gt;</t>
        </is>
      </c>
      <c r="D22" s="54" t="n"/>
      <c r="E22" s="33" t="n"/>
      <c r="F22" s="33" t="n"/>
      <c r="G22" s="33" t="n"/>
      <c r="H22" s="33" t="n"/>
    </row>
    <row r="23" ht="27" customHeight="1">
      <c r="A23" s="68" t="inlineStr">
        <is>
          <t>Estimate entries agreed to source; no bias indicators</t>
        </is>
      </c>
      <c r="B23" s="54" t="n"/>
      <c r="C23" s="70" t="inlineStr">
        <is>
          <t>&lt;.4&gt;</t>
        </is>
      </c>
      <c r="D23" s="54" t="n"/>
      <c r="E23" s="33" t="n"/>
      <c r="F23" s="33" t="n"/>
      <c r="G23" s="33" t="n"/>
      <c r="H23" s="33" t="n"/>
    </row>
    <row r="24" ht="27" customHeight="1">
      <c r="A24" s="68" t="inlineStr">
        <is>
          <t>Risk-criteria counts consistent with expectations</t>
        </is>
      </c>
      <c r="B24" s="54" t="n"/>
      <c r="C24" s="70" t="inlineStr">
        <is>
          <t>&lt;.1&gt;</t>
        </is>
      </c>
      <c r="D24" s="54" t="n"/>
      <c r="E24" s="33" t="n"/>
      <c r="F24" s="33" t="n"/>
      <c r="G24" s="33" t="n"/>
      <c r="H24" s="33" t="n"/>
    </row>
    <row r="25">
      <c r="A25" s="33" t="n"/>
      <c r="B25" s="33" t="n"/>
      <c r="C25" s="33" t="n"/>
      <c r="D25" s="33" t="n"/>
      <c r="E25" s="33" t="n"/>
      <c r="F25" s="33" t="n"/>
      <c r="G25" s="33" t="n"/>
      <c r="H25" s="33" t="n"/>
    </row>
    <row r="26">
      <c r="A26" s="59" t="inlineStr">
        <is>
          <t>C. Overall conclusion</t>
        </is>
      </c>
      <c r="B26" s="33" t="n"/>
      <c r="C26" s="33" t="n"/>
      <c r="D26" s="33" t="n"/>
      <c r="E26" s="33" t="n"/>
      <c r="F26" s="33" t="n"/>
      <c r="G26" s="33" t="n"/>
      <c r="H26" s="33" t="n"/>
    </row>
    <row r="27" ht="27" customHeight="1">
      <c r="A27" s="74" t="inlineStr">
        <is>
          <t>[State the conclusion on the completeness of the population (per the companion workpaper), the results of risk-based testing, and whether the journal-entry work identified indicators of management override or material misstatement.]</t>
        </is>
      </c>
      <c r="B27" s="33" t="n"/>
      <c r="C27" s="33" t="n"/>
      <c r="D27" s="33" t="n"/>
      <c r="E27" s="33" t="n"/>
      <c r="F27" s="33" t="n"/>
      <c r="G27" s="33" t="n"/>
      <c r="H27" s="33" t="n"/>
    </row>
    <row r="28" ht="18" customHeight="1">
      <c r="A28" s="33" t="n"/>
      <c r="B28" s="33" t="n"/>
      <c r="C28" s="33" t="n"/>
      <c r="D28" s="33" t="n"/>
      <c r="E28" s="33" t="n"/>
      <c r="F28" s="33" t="n"/>
      <c r="G28" s="33" t="n"/>
      <c r="H28" s="33" t="n"/>
    </row>
    <row r="29" ht="18" customHeight="1">
      <c r="A29" s="33" t="n"/>
      <c r="B29" s="33" t="n"/>
      <c r="C29" s="33" t="n"/>
      <c r="D29" s="33" t="n"/>
      <c r="E29" s="33" t="n"/>
      <c r="F29" s="33" t="n"/>
      <c r="G29" s="33" t="n"/>
      <c r="H29" s="33" t="n"/>
    </row>
    <row r="30">
      <c r="A30" s="33" t="n"/>
      <c r="B30" s="33" t="n"/>
      <c r="C30" s="33" t="n"/>
      <c r="D30" s="33" t="n"/>
      <c r="E30" s="33" t="n"/>
      <c r="F30" s="33" t="n"/>
      <c r="G30" s="33" t="n"/>
      <c r="H30" s="33" t="n"/>
    </row>
    <row r="31">
      <c r="A31" s="55" t="inlineStr">
        <is>
          <t>TM Legends</t>
        </is>
      </c>
      <c r="B31" s="33" t="n"/>
      <c r="C31" s="33" t="n"/>
      <c r="D31" s="33" t="n"/>
      <c r="E31" s="33" t="n"/>
      <c r="F31" s="33" t="n"/>
      <c r="G31" s="33" t="n"/>
      <c r="H31" s="33" t="n"/>
    </row>
    <row r="32">
      <c r="A32" s="56" t="inlineStr">
        <is>
          <t>TB</t>
        </is>
      </c>
      <c r="B32" s="39" t="inlineStr">
        <is>
          <t>Agreed to trial balance</t>
        </is>
      </c>
      <c r="C32" s="57" t="n"/>
      <c r="D32" s="58" t="n"/>
      <c r="E32" s="33" t="n"/>
      <c r="F32" s="33" t="n"/>
      <c r="G32" s="33" t="n"/>
      <c r="H32" s="33" t="n"/>
    </row>
    <row r="33">
      <c r="A33" s="56" t="inlineStr">
        <is>
          <t>GL</t>
        </is>
      </c>
      <c r="B33" s="39" t="inlineStr">
        <is>
          <t>Agreed to general ledger</t>
        </is>
      </c>
      <c r="C33" s="57" t="n"/>
      <c r="D33" s="58" t="n"/>
      <c r="E33" s="33" t="n"/>
      <c r="F33" s="33" t="n"/>
      <c r="G33" s="33" t="n"/>
      <c r="H33" s="33" t="n"/>
    </row>
    <row r="34">
      <c r="A34" s="56" t="inlineStr">
        <is>
          <t>CF</t>
        </is>
      </c>
      <c r="B34" s="39" t="inlineStr">
        <is>
          <t>Confirmed with third party</t>
        </is>
      </c>
      <c r="C34" s="57" t="n"/>
      <c r="D34" s="58" t="n"/>
      <c r="E34" s="33" t="n"/>
      <c r="F34" s="33" t="n"/>
      <c r="G34" s="33" t="n"/>
      <c r="H34" s="33" t="n"/>
    </row>
    <row r="35">
      <c r="A35" s="56" t="inlineStr">
        <is>
          <t>V</t>
        </is>
      </c>
      <c r="B35" s="39" t="inlineStr">
        <is>
          <t>Vouched to source document</t>
        </is>
      </c>
      <c r="C35" s="57" t="n"/>
      <c r="D35" s="58" t="n"/>
      <c r="E35" s="33" t="n"/>
      <c r="F35" s="33" t="n"/>
      <c r="G35" s="33" t="n"/>
      <c r="H35" s="33" t="n"/>
    </row>
    <row r="36">
      <c r="A36" s="56" t="inlineStr">
        <is>
          <t>SR</t>
        </is>
      </c>
      <c r="B36" s="39" t="inlineStr">
        <is>
          <t>Agreed to subsequent bank-cleared receipt</t>
        </is>
      </c>
      <c r="C36" s="57" t="n"/>
      <c r="D36" s="58" t="n"/>
      <c r="E36" s="33" t="n"/>
      <c r="F36" s="33" t="n"/>
      <c r="G36" s="33" t="n"/>
      <c r="H36" s="33" t="n"/>
    </row>
    <row r="37">
      <c r="A37" s="56" t="inlineStr">
        <is>
          <t>R</t>
        </is>
      </c>
      <c r="B37" s="39" t="inlineStr">
        <is>
          <t>Recalculated independently</t>
        </is>
      </c>
      <c r="C37" s="57" t="n"/>
      <c r="D37" s="58" t="n"/>
      <c r="E37" s="33" t="n"/>
      <c r="F37" s="33" t="n"/>
      <c r="G37" s="33" t="n"/>
      <c r="H37" s="33" t="n"/>
    </row>
    <row r="38">
      <c r="A38" s="56" t="inlineStr">
        <is>
          <t>F</t>
        </is>
      </c>
      <c r="B38" s="39" t="inlineStr">
        <is>
          <t>Footed / cross-cast</t>
        </is>
      </c>
      <c r="C38" s="57" t="n"/>
      <c r="D38" s="58" t="n"/>
      <c r="E38" s="33" t="n"/>
      <c r="F38" s="33" t="n"/>
      <c r="G38" s="33" t="n"/>
      <c r="H38" s="33" t="n"/>
    </row>
    <row r="39">
      <c r="A39" s="56" t="inlineStr">
        <is>
          <t>T</t>
        </is>
      </c>
      <c r="B39" s="39" t="inlineStr">
        <is>
          <t>Traced to downstream record</t>
        </is>
      </c>
      <c r="C39" s="57" t="n"/>
      <c r="D39" s="58" t="n"/>
      <c r="E39" s="33" t="n"/>
      <c r="F39" s="33" t="n"/>
      <c r="G39" s="33" t="n"/>
      <c r="H39" s="33" t="n"/>
    </row>
    <row r="40">
      <c r="A40" s="56" t="inlineStr">
        <is>
          <t>PBC</t>
        </is>
      </c>
      <c r="B40" s="39" t="inlineStr">
        <is>
          <t>Prepared by client</t>
        </is>
      </c>
      <c r="C40" s="57" t="n"/>
      <c r="D40" s="58" t="n"/>
      <c r="E40" s="33" t="n"/>
      <c r="F40" s="33" t="n"/>
      <c r="G40" s="33" t="n"/>
      <c r="H40" s="33" t="n"/>
    </row>
    <row r="41">
      <c r="A41" s="33" t="n"/>
      <c r="B41" s="33" t="n"/>
      <c r="C41" s="33" t="n"/>
      <c r="D41" s="33" t="n"/>
      <c r="E41" s="33" t="n"/>
      <c r="F41" s="33" t="n"/>
      <c r="G41" s="33" t="n"/>
      <c r="H41" s="33" t="n"/>
    </row>
    <row r="42" ht="27.75" customHeight="1">
      <c r="A42" s="35" t="inlineStr">
        <is>
          <t>Before sign-off complete Library Procedures 11-12 (analytics checklist; override evaluation &amp; conclusion).</t>
        </is>
      </c>
      <c r="B42" s="33" t="n"/>
      <c r="C42" s="33" t="n"/>
      <c r="D42" s="33" t="n"/>
      <c r="E42" s="33" t="n"/>
      <c r="F42" s="33" t="n"/>
      <c r="G42" s="33" t="n"/>
      <c r="H42" s="33" t="n"/>
    </row>
  </sheetData>
  <mergeCells count="14">
    <mergeCell ref="B33:D33"/>
    <mergeCell ref="B4:F4"/>
    <mergeCell ref="B36:D36"/>
    <mergeCell ref="B37:D37"/>
    <mergeCell ref="A42:F42"/>
    <mergeCell ref="A27:F29"/>
    <mergeCell ref="B6:F6"/>
    <mergeCell ref="B35:D35"/>
    <mergeCell ref="B32:D32"/>
    <mergeCell ref="B5:F5"/>
    <mergeCell ref="B40:D40"/>
    <mergeCell ref="B39:D39"/>
    <mergeCell ref="B38:D38"/>
    <mergeCell ref="B34:D34"/>
  </mergeCells>
  <printOptions horizontalCentered="0" verticalCentered="0"/>
  <pageMargins left="0.25" right="0.25" top="0.5" bottom="0.5" header="0.2" footer="0.2"/>
  <pageSetup orientation="portrait" paperSize="1" fitToHeight="0" fitToWidth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 autoPageBreaks="0" fitToPage="1"/>
  </sheetPr>
  <dimension ref="A1:B21"/>
  <sheetViews>
    <sheetView showGridLines="0" zoomScale="90" zoomScaleNormal="10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6" customWidth="1" min="1" max="1"/>
    <col width="90" customWidth="1" min="2" max="2"/>
  </cols>
  <sheetData>
    <row r="1">
      <c r="A1" s="75" t="inlineStr">
        <is>
          <t>AUTHORITATIVE PLANNING CONTEXT</t>
        </is>
      </c>
      <c r="B1" s="33" t="n"/>
    </row>
    <row r="2">
      <c r="A2" s="33" t="inlineStr">
        <is>
          <t>Field</t>
        </is>
      </c>
      <c r="B2" s="33" t="inlineStr">
        <is>
          <t>Value</t>
        </is>
      </c>
    </row>
    <row r="3">
      <c r="A3" s="33" t="inlineStr">
        <is>
          <t>Entity Name</t>
        </is>
      </c>
      <c r="B3" s="75" t="inlineStr">
        <is>
          <t>Vaquite Industries, Inc.</t>
        </is>
      </c>
    </row>
    <row r="4">
      <c r="A4" s="75" t="inlineStr">
        <is>
          <t>Financial Statement Date</t>
        </is>
      </c>
      <c r="B4" s="76" t="n">
        <v>46022</v>
      </c>
    </row>
    <row r="5">
      <c r="A5" s="75" t="inlineStr">
        <is>
          <t>Reporting Currency</t>
        </is>
      </c>
      <c r="B5" s="33" t="inlineStr">
        <is>
          <t>USD</t>
        </is>
      </c>
    </row>
    <row r="6">
      <c r="A6" s="75" t="inlineStr">
        <is>
          <t>Overall Materiality</t>
        </is>
      </c>
      <c r="B6" s="77" t="n">
        <v>30700</v>
      </c>
    </row>
    <row r="7">
      <c r="A7" s="75" t="inlineStr">
        <is>
          <t>Performance Materiality</t>
        </is>
      </c>
      <c r="B7" s="77" t="n">
        <v>23100</v>
      </c>
    </row>
    <row r="8">
      <c r="A8" s="75" t="inlineStr">
        <is>
          <t>Tolerable Misstatement</t>
        </is>
      </c>
      <c r="B8" s="77" t="n">
        <v>17400</v>
      </c>
    </row>
    <row r="9">
      <c r="A9" s="75" t="inlineStr">
        <is>
          <t>Individually Significant Threshold</t>
        </is>
      </c>
      <c r="B9" s="77" t="n">
        <v>11600</v>
      </c>
    </row>
    <row r="10">
      <c r="A10" s="33" t="inlineStr">
        <is>
          <t>Posting Threshold</t>
        </is>
      </c>
      <c r="B10" s="77" t="n">
        <v>1000</v>
      </c>
    </row>
    <row r="11">
      <c r="A11" s="75" t="inlineStr">
        <is>
          <t>Clearly Trivial Threshold</t>
        </is>
      </c>
      <c r="B11" s="77" t="n">
        <v>1000</v>
      </c>
    </row>
    <row r="12">
      <c r="A12" s="75" t="inlineStr">
        <is>
          <t>Analytical Precision</t>
        </is>
      </c>
      <c r="B12" s="77" t="n">
        <v>17400</v>
      </c>
    </row>
    <row r="13">
      <c r="A13" s="33" t="n"/>
      <c r="B13" s="33" t="n"/>
    </row>
    <row r="14">
      <c r="A14" s="75" t="inlineStr">
        <is>
          <t>Bound planning records</t>
        </is>
      </c>
      <c r="B14" s="33" t="inlineStr">
        <is>
          <t>Canonical IDs</t>
        </is>
      </c>
    </row>
    <row r="15">
      <c r="A15" s="33" t="inlineStr">
        <is>
          <t>Sampling plan ID</t>
        </is>
      </c>
      <c r="B15" s="75" t="inlineStr">
        <is>
          <t>SAMPLE-Journal reference Entries</t>
        </is>
      </c>
    </row>
    <row r="16" ht="120" customHeight="1">
      <c r="A16" s="33" t="inlineStr">
        <is>
          <t>Selection IDs</t>
        </is>
      </c>
      <c r="B16" s="75" t="inlineStr">
        <is>
          <t>PROC-JE-DETAIL:JE-085102940103; PROC-JE-DETAIL:JE-139167068663; PROC-JE-DETAIL:JE-992269394291; PROC-JE-DETAIL:JE-984221759990; PROC-JE-DETAIL:JE-600320151871; PROC-JE-DETAIL:JE-198579629438; PROC-JE-DETAIL:JE-379966536746; PROC-JE-DETAIL:JE-624688309272; PROC-JE-DETAIL:JE-728268018571; PROC-JE-DETAIL:JE-931765189677; PROC-JE-DETAIL:JE-625295569030; PROC-JE-DETAIL:JE-407957338458; PROC-JE-DETAIL:JE-799228077702; PROC-JE-DETAIL:JE-936447559033; PROC-JE-DETAIL:JE-082977448539; PROC-JE-DETAIL:JE-285291614009; PROC-JE-DETAIL:JE-216024621390; PROC-JE-DETAIL:JE-848724818005; PROC-JE-DETAIL:JE-925358893980; PROC-JE-DETAIL:JE-021884483216; PROC-JE-DETAIL:JE-044537042499; PROC-JE-DETAIL:JE-774395178203; PROC-JE-DETAIL:JE-673999247931; PROC-JE-DETAIL:JE-893012074590; PROC-JE-DETAIL:JE-519111788663; PROC-JE-DETAIL:JE-127350236535; PROC-JE-DETAIL:JE-087273535146; PROC-JE-DETAIL:JE-009740336455; PROC-JE-DETAIL:JE-220317226047; PROC-JE-DETAIL:JE-054168989150; PROC-JE-DETAIL:JE-599669063665; PROC-JE-DETAIL:JE-004883272130; PROC-JE-DETAIL:JE-040970179948; PROC-JE-DETAIL:JE-152471452668; PROC-JE-DETAIL:JE-241788646794; PROC-JE-DETAIL:JE-509321346264; PROC-JE-DETAIL:JE-875484864225; PROC-JE-DETAIL:JE-935976594398; PROC-JE-DETAIL:JE-205944301428; PROC-JE-DETAIL:JE-563252502475; PROC-JE-DETAIL:JE-218595262341; PROC-JE-DETAIL:JE-818598185224; PROC-JE-DETAIL:JE-328394736604; PROC-JE-DETAIL:JE-264102997754; PROC-JE-DETAIL:JE-830558785077; PROC-JE-DETAIL:JE-360474940358; PROC-JE-DETAIL:JE-895449487915; PROC-JE-DETAIL:JE-561104137237; PROC-JE-DETAIL:JE-901261825639; PROC-JE-DETAIL:JE-691511765501</t>
        </is>
      </c>
    </row>
    <row r="17">
      <c r="A17" s="75" t="inlineStr">
        <is>
          <t>Selection requirements</t>
        </is>
      </c>
      <c r="B17" s="75" t="inlineStr">
        <is>
          <t>qualitative mandatory items; individually significant items</t>
        </is>
      </c>
    </row>
    <row r="18" ht="27" customHeight="1">
      <c r="A18" s="33" t="inlineStr">
        <is>
          <t>Procedure IDs</t>
        </is>
      </c>
      <c r="B18" s="75" t="inlineStr">
        <is>
          <t>PROC-Journal reference Entries; RESP-MANAGEMENT-OVERRIDE-JE; RESP-MANAGEMENT-OVERRIDE-UNPREDICTABLE</t>
        </is>
      </c>
    </row>
    <row r="19" ht="27" customHeight="1">
      <c r="A19" s="75" t="inlineStr">
        <is>
          <t>Procedure window IDs</t>
        </is>
      </c>
      <c r="B19" s="75" t="inlineStr">
        <is>
          <t>WIN-Journal reference Entry Period; WIN-Journal reference Entry Period; WIN-Journal reference Entry Period</t>
        </is>
      </c>
    </row>
    <row r="20">
      <c r="A20" s="75" t="inlineStr">
        <is>
          <t>Significant-risk response IDs</t>
        </is>
      </c>
      <c r="B20" s="75" t="inlineStr">
        <is>
          <t>RESP-MANAGEMENT-OVERRIDE-JE; RESP-MANAGEMENT-OVERRIDE-UNPREDICTABLE</t>
        </is>
      </c>
    </row>
    <row r="21">
      <c r="A21" s="75" t="inlineStr">
        <is>
          <t>Audit team assignments</t>
        </is>
      </c>
      <c r="B21" s="75" t="inlineStr">
        <is>
          <t>preparer: Audit Senior 80A0; reviewer: Audit Manager 403F</t>
        </is>
      </c>
    </row>
  </sheetData>
  <printOptions horizontalCentered="0" verticalCentered="0"/>
  <pageMargins left="0.25" right="0.25" top="0.5" bottom="0.5" header="0.2" footer="0.2"/>
  <pageSetup orientation="portrait" paperSize="1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autoPageBreaks="0" fitToPage="1"/>
  </sheetPr>
  <dimension ref="A1:F12"/>
  <sheetViews>
    <sheetView showGridLines="0" zoomScale="90" zoomScaleNormal="10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42" customWidth="1" min="2" max="2"/>
    <col width="8.5" customWidth="1" min="3" max="3"/>
    <col width="25" customWidth="1" min="4" max="4"/>
    <col width="34" customWidth="1" min="5" max="5"/>
    <col width="8.5" customWidth="1" min="6" max="6"/>
  </cols>
  <sheetData>
    <row r="1" ht="24" customHeight="1">
      <c r="A1" s="78" t="inlineStr">
        <is>
          <t>WORKPAPER COMPLETION AND SIGN-OFF</t>
        </is>
      </c>
      <c r="B1" s="33" t="n"/>
      <c r="C1" s="33" t="n"/>
      <c r="D1" s="33" t="n"/>
      <c r="E1" s="33" t="n"/>
      <c r="F1" s="33" t="n"/>
    </row>
    <row r="2">
      <c r="A2" s="33" t="n"/>
      <c r="B2" s="33" t="n"/>
      <c r="C2" s="33" t="n"/>
      <c r="D2" s="33" t="n"/>
      <c r="E2" s="33" t="n"/>
      <c r="F2" s="33" t="n"/>
    </row>
    <row r="3" ht="27" customHeight="1">
      <c r="A3" s="33" t="inlineStr">
        <is>
          <t>Workpaper</t>
        </is>
      </c>
      <c r="B3" s="75" t="inlineStr">
        <is>
          <t>journal_entries/journal_entries_risk_testing_workpaper.xlsx</t>
        </is>
      </c>
      <c r="C3" s="33" t="n"/>
      <c r="D3" s="33" t="n"/>
      <c r="E3" s="33" t="n"/>
      <c r="F3" s="33" t="n"/>
    </row>
    <row r="4">
      <c r="A4" s="75" t="inlineStr">
        <is>
          <t>Required completion stage</t>
        </is>
      </c>
      <c r="B4" s="33" t="inlineStr">
        <is>
          <t>prepared</t>
        </is>
      </c>
      <c r="C4" s="33" t="n"/>
      <c r="D4" s="33" t="inlineStr">
        <is>
          <t>Contract version</t>
        </is>
      </c>
      <c r="E4" s="75" t="inlineStr">
        <is>
          <t>workpaper-signoff-v2.1.0</t>
        </is>
      </c>
      <c r="F4" s="33" t="n"/>
    </row>
    <row r="5">
      <c r="A5" s="33" t="n"/>
      <c r="B5" s="33" t="n"/>
      <c r="C5" s="33" t="n"/>
      <c r="D5" s="33" t="n"/>
      <c r="E5" s="33" t="n"/>
      <c r="F5" s="33" t="n"/>
    </row>
    <row r="6">
      <c r="A6" s="79" t="inlineStr">
        <is>
          <t>Assigned preparer</t>
        </is>
      </c>
      <c r="B6" s="80" t="inlineStr">
        <is>
          <t>Audit Senior 80A0</t>
        </is>
      </c>
      <c r="C6" s="33" t="n"/>
      <c r="D6" s="79" t="inlineStr">
        <is>
          <t>Assigned reviewer</t>
        </is>
      </c>
      <c r="E6" s="81" t="inlineStr">
        <is>
          <t>Audit Manager 403F</t>
        </is>
      </c>
      <c r="F6" s="33" t="n"/>
    </row>
    <row r="7">
      <c r="A7" s="79" t="inlineStr">
        <is>
          <t>Preparation state</t>
        </is>
      </c>
      <c r="B7" s="80" t="inlineStr">
        <is>
          <t>Unsigned</t>
        </is>
      </c>
      <c r="C7" s="33" t="n"/>
      <c r="D7" s="79" t="inlineStr">
        <is>
          <t>Review state</t>
        </is>
      </c>
      <c r="E7" s="80" t="inlineStr">
        <is>
          <t>Unsigned</t>
        </is>
      </c>
      <c r="F7" s="33" t="n"/>
    </row>
    <row r="8">
      <c r="A8" s="79" t="inlineStr">
        <is>
          <t>Prepared by</t>
        </is>
      </c>
      <c r="B8" s="80" t="n"/>
      <c r="C8" s="33" t="n"/>
      <c r="D8" s="79" t="inlineStr">
        <is>
          <t>Reviewed by</t>
        </is>
      </c>
      <c r="E8" s="80" t="n"/>
      <c r="F8" s="33" t="n"/>
    </row>
    <row r="9">
      <c r="A9" s="79" t="inlineStr">
        <is>
          <t>Preparation date</t>
        </is>
      </c>
      <c r="B9" s="82" t="n"/>
      <c r="C9" s="33" t="n"/>
      <c r="D9" s="79" t="inlineStr">
        <is>
          <t>Review date</t>
        </is>
      </c>
      <c r="E9" s="82" t="n"/>
      <c r="F9" s="33" t="n"/>
    </row>
    <row r="10">
      <c r="A10" s="33" t="n"/>
      <c r="B10" s="33" t="n"/>
      <c r="C10" s="33" t="n"/>
      <c r="D10" s="33" t="n"/>
      <c r="E10" s="33" t="n"/>
      <c r="F10" s="33" t="n"/>
    </row>
    <row r="11">
      <c r="A11" s="33" t="n"/>
      <c r="B11" s="33" t="n"/>
      <c r="C11" s="33" t="n"/>
      <c r="D11" s="33" t="n"/>
      <c r="E11" s="33" t="n"/>
      <c r="F11" s="33" t="n"/>
    </row>
    <row r="12" ht="50" customHeight="1">
      <c r="A12" s="83" t="inlineStr">
        <is>
          <t>Assignment identifies responsibility but is not sign-off. The assigned preparer records Prepared, their exact assigned identity, and the date only after all applicable procedures and exceptions are dispositioned. Leave review Unsigned unless the task expressly requires a separate review stage. Preparation and review bind to the external content/dependency digest; any substantive workbook or dependency change supersedes both records.</t>
        </is>
      </c>
      <c r="B12" s="33" t="n"/>
      <c r="C12" s="33" t="n"/>
      <c r="D12" s="33" t="n"/>
      <c r="E12" s="33" t="n"/>
      <c r="F12" s="33" t="n"/>
    </row>
  </sheetData>
  <mergeCells count="2">
    <mergeCell ref="A1:F1"/>
    <mergeCell ref="A12:F12"/>
  </mergeCells>
  <dataValidations count="2">
    <dataValidation sqref="B7" showDropDown="0" showInputMessage="0" showErrorMessage="0" allowBlank="0" type="list">
      <formula1>"Unsigned,Prepared,Superseded"</formula1>
    </dataValidation>
    <dataValidation sqref="E7" showDropDown="0" showInputMessage="0" showErrorMessage="0" allowBlank="0" type="list">
      <formula1>"Unsigned,Reviewed,Superseded"</formula1>
    </dataValidation>
  </dataValidations>
  <printOptions horizontalCentered="0" verticalCentered="0"/>
  <pageMargins left="0.25" right="0.25" top="0.5" bottom="0.5" header="0.2" footer="0.2"/>
  <pageSetup orientation="portrait" paperSize="1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2026-07-03T11:43:52Z</dcterms:created>
  <dcterms:modified xmlns:dcterms="http://purl.org/dc/terms/" xmlns:xsi="http://www.w3.org/2001/XMLSchema-instance" xsi:type="dcterms:W3CDTF">2026-07-03T14:29:10Z</dcterms:modified>
  <cp:lastModifiedBy>jerry.huang@modusaudit.com</cp:lastModifiedBy>
  <cp:revision>0</cp:revision>
</cp:coreProperties>
</file>