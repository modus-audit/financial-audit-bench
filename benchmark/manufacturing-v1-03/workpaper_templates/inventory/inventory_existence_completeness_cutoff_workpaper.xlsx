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6" activeTab="8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Inventory Lead Sheet" sheetId="3" state="visible" r:id="rId3"/>
    <sheet xmlns:r="http://schemas.openxmlformats.org/officeDocument/2006/relationships" name="&lt;.2&gt; Inventory Reconciliation" sheetId="4" state="visible" r:id="rId4"/>
    <sheet xmlns:r="http://schemas.openxmlformats.org/officeDocument/2006/relationships" name="&lt;.3&gt; Physical Count" sheetId="5" state="visible" r:id="rId5"/>
    <sheet xmlns:r="http://schemas.openxmlformats.org/officeDocument/2006/relationships" name="&lt;.4&gt; Count Timing Bridge" sheetId="6" state="visible" r:id="rId6"/>
    <sheet xmlns:r="http://schemas.openxmlformats.org/officeDocument/2006/relationships" name="&lt;.5&gt; Third-Party Confirmation" sheetId="7" state="visible" r:id="rId7"/>
    <sheet xmlns:r="http://schemas.openxmlformats.org/officeDocument/2006/relationships" name="&lt;.6&gt; Purchases Completeness" sheetId="8" state="visible" r:id="rId8"/>
    <sheet xmlns:r="http://schemas.openxmlformats.org/officeDocument/2006/relationships" name="&lt;.7&gt; Cutoff Testing" sheetId="9" state="visible" r:id="rId9"/>
    <sheet xmlns:r="http://schemas.openxmlformats.org/officeDocument/2006/relationships" name="Planning Context" sheetId="10" state="visible" r:id="rId10"/>
    <sheet xmlns:r="http://schemas.openxmlformats.org/officeDocument/2006/relationships" name="Workpaper Sign-off" sheetId="11" state="visible" r:id="rId11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INVENTORY_LEAD_SHEET_ENTITY_NAME">'&lt;.1&gt; Inventory Lead Sheet'!$B$2</definedName>
    <definedName name="WP_PLAN_S003_1_INVENTORY_LEAD_SHEET_FINANCIAL_STATEMENT_DATE">'&lt;.1&gt; Inventory Lead Sheet'!$E$2</definedName>
    <definedName name="WP_PLAN_S003_1_INVENTORY_LEAD_SHEET_REPORTING_CURRENCY">'&lt;.1&gt; Inventory Lead Sheet'!$H$2</definedName>
    <definedName name="WP_PLAN_S003_1_INVENTORY_LEAD_SHEET_PERFORMANCE_MATERIALITY">'&lt;.1&gt; Inventory Lead Sheet'!$B$3</definedName>
    <definedName name="WP_PLAN_S003_1_INVENTORY_LEAD_SHEET_TOLERABLE_MISSTATEMENT">'&lt;.1&gt; Inventory Lead Sheet'!$E$3</definedName>
    <definedName name="WP_PLAN_S004_2_INVENTORY_RECONCILIATION_ENTITY_NAME">'&lt;.2&gt; Inventory Reconciliation'!$B$2</definedName>
    <definedName name="WP_PLAN_S004_2_INVENTORY_RECONCILIATION_FINANCIAL_STATEMENT_DATE">'&lt;.2&gt; Inventory Reconciliation'!$E$2</definedName>
    <definedName name="WP_PLAN_S004_2_INVENTORY_RECONCILIATION_REPORTING_CURRENCY">'&lt;.2&gt; Inventory Reconciliation'!$H$2</definedName>
    <definedName name="WP_PLAN_S004_2_INVENTORY_RECONCILIATION_PERFORMANCE_MATERIALITY">'&lt;.2&gt; Inventory Reconciliation'!$B$3</definedName>
    <definedName name="WP_PLAN_S004_2_INVENTORY_RECONCILIATION_TOLERABLE_MISSTATEMENT">'&lt;.2&gt; Inventory Reconciliation'!$E$3</definedName>
    <definedName name="WP_PLAN_S005_3_PHYSICAL_COUNT_ENTITY_NAME">'&lt;.3&gt; Physical Count'!$B$2</definedName>
    <definedName name="WP_PLAN_S005_3_PHYSICAL_COUNT_FINANCIAL_STATEMENT_DATE">'&lt;.3&gt; Physical Count'!$E$2</definedName>
    <definedName name="WP_PLAN_S005_3_PHYSICAL_COUNT_REPORTING_CURRENCY">'&lt;.3&gt; Physical Count'!$H$2</definedName>
    <definedName name="WP_PLAN_S005_3_PHYSICAL_COUNT_PERFORMANCE_MATERIALITY">'&lt;.3&gt; Physical Count'!$B$3</definedName>
    <definedName name="WP_PLAN_S005_3_PHYSICAL_COUNT_TOLERABLE_MISSTATEMENT">'&lt;.3&gt; Physical Count'!$E$3</definedName>
    <definedName name="WP_PLAN_S006_4_COUNT_TIMING_BRIDGE_ENTITY_NAME">'&lt;.4&gt; Count Timing Bridge'!$B$2</definedName>
    <definedName name="WP_PLAN_S006_4_COUNT_TIMING_BRIDGE_REPORTING_CURRENCY">'&lt;.4&gt; Count Timing Bridge'!$H$2</definedName>
    <definedName name="WP_PLAN_S006_4_COUNT_TIMING_BRIDGE_PERFORMANCE_MATERIALITY">'&lt;.4&gt; Count Timing Bridge'!$B$3</definedName>
    <definedName name="WP_PLAN_S006_4_COUNT_TIMING_BRIDGE_TOLERABLE_MISSTATEMENT">'&lt;.4&gt; Count Timing Bridge'!$E$3</definedName>
    <definedName name="WP_PLAN_S006_4_COUNT_TIMING_BRIDGE_FINANCIAL_STATEMENT_DATE">'&lt;.4&gt; Count Timing Bridge'!$E$7</definedName>
    <definedName name="WP_PLAN_S007_5_THIRD_PARTY_CONFIRMATION_ENTITY_NAME">'&lt;.5&gt; Third-Party Confirmation'!$B$2</definedName>
    <definedName name="WP_PLAN_S007_5_THIRD_PARTY_CONFIRMATION_FINANCIAL_STATEMENT_DATE">'&lt;.5&gt; Third-Party Confirmation'!$E$2</definedName>
    <definedName name="WP_PLAN_S007_5_THIRD_PARTY_CONFIRMATION_REPORTING_CURRENCY">'&lt;.5&gt; Third-Party Confirmation'!$H$2</definedName>
    <definedName name="WP_PLAN_S007_5_THIRD_PARTY_CONFIRMATION_PERFORMANCE_MATERIALITY">'&lt;.5&gt; Third-Party Confirmation'!$B$3</definedName>
    <definedName name="WP_PLAN_S007_5_THIRD_PARTY_CONFIRMATION_TOLERABLE_MISSTATEMENT">'&lt;.5&gt; Third-Party Confirmation'!$E$3</definedName>
    <definedName name="WP_PLAN_S008_6_PURCHASES_COMPLETENESS_ENTITY_NAME">'&lt;.6&gt; Purchases Completeness'!$B$2</definedName>
    <definedName name="WP_PLAN_S008_6_PURCHASES_COMPLETENESS_FINANCIAL_STATEMENT_DATE">'&lt;.6&gt; Purchases Completeness'!$E$2</definedName>
    <definedName name="WP_PLAN_S008_6_PURCHASES_COMPLETENESS_REPORTING_CURRENCY">'&lt;.6&gt; Purchases Completeness'!$H$2</definedName>
    <definedName name="WP_PLAN_S008_6_PURCHASES_COMPLETENESS_PERFORMANCE_MATERIALITY">'&lt;.6&gt; Purchases Completeness'!$B$3</definedName>
    <definedName name="WP_PLAN_S008_6_PURCHASES_COMPLETENESS_TOLERABLE_MISSTATEMENT">'&lt;.6&gt; Purchases Completeness'!$E$3</definedName>
    <definedName name="WP_PLAN_S009_7_CUTOFF_TESTING_ENTITY_NAME">'&lt;.7&gt; Cutoff Testing'!$B$2</definedName>
    <definedName name="WP_PLAN_S009_7_CUTOFF_TESTING_FINANCIAL_STATEMENT_DATE">'&lt;.7&gt; Cutoff Testing'!$E$2</definedName>
    <definedName name="WP_PLAN_S009_7_CUTOFF_TESTING_REPORTING_CURRENCY">'&lt;.7&gt; Cutoff Testing'!$H$2</definedName>
    <definedName name="WP_PLAN_S009_7_CUTOFF_TESTING_PERFORMANCE_MATERIALITY">'&lt;.7&gt; Cutoff Testing'!$B$3</definedName>
    <definedName name="WP_PLAN_S009_7_CUTOFF_TESTING_TOLERABLE_MISSTATEMENT">'&lt;.7&gt; Cutoff Testing'!$E$3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Procedures'!$A$13</definedName>
    <definedName name="WP_PROC_004_REQUIREMENT">'Library Procedures'!$B$13</definedName>
    <definedName name="WP_PROC_004_EXECUTION_STATE">'Library Procedures'!$C$13</definedName>
    <definedName name="WP_PROC_004_EVIDENCE_STATE">'Library Procedures'!$D$13</definedName>
    <definedName name="WP_PROC_004_RESULT_STATE">'Library Procedures'!$E$13</definedName>
    <definedName name="WP_PROC_004_ISSUE_STATE">'Library Procedures'!$F$13</definedName>
    <definedName name="WP_PROC_004_SIGNOFF_STATE">'Library Procedures'!$G$13</definedName>
    <definedName name="WP_PROC_004_DERIVED_OUTCOME">'Library Procedures'!$H$13</definedName>
    <definedName name="WP_PROC_004_PROCEDURE">'Library Procedures'!$I$13</definedName>
    <definedName name="WP_PROC_004_ASSERTION_S">'Library Procedures'!$J$13</definedName>
    <definedName name="WP_PROC_004_W_P_REF">'Library Procedures'!$K$13</definedName>
    <definedName name="WP_PROC_004_PERFORMED_BY">'Library Procedures'!$L$13</definedName>
    <definedName name="WP_PROC_004_DATE">'Library Procedures'!$M$13</definedName>
    <definedName name="WP_PROC_004_REASON_CODE">'Library Procedures'!$N$13</definedName>
    <definedName name="WP_PROC_004_SOURCE_FACT_EVIDENCE">'Library Procedures'!$O$13</definedName>
    <definedName name="WP_PROC_004_ISSUE_DEPENDENCY_IDS">'Library Procedures'!$P$13</definedName>
    <definedName name="WP_PROC_004_COMMENT_WORK_PERFORMED">'Library Procedures'!$Q$13</definedName>
    <definedName name="WP_PROC_005_APPLICABILITY">'Library Procedures'!$A$14</definedName>
    <definedName name="WP_PROC_005_REQUIREMENT">'Library Procedures'!$B$14</definedName>
    <definedName name="WP_PROC_005_EXECUTION_STATE">'Library Procedures'!$C$14</definedName>
    <definedName name="WP_PROC_005_EVIDENCE_STATE">'Library Procedures'!$D$14</definedName>
    <definedName name="WP_PROC_005_RESULT_STATE">'Library Procedures'!$E$14</definedName>
    <definedName name="WP_PROC_005_ISSUE_STATE">'Library Procedures'!$F$14</definedName>
    <definedName name="WP_PROC_005_SIGNOFF_STATE">'Library Procedures'!$G$14</definedName>
    <definedName name="WP_PROC_005_DERIVED_OUTCOME">'Library Procedures'!$H$14</definedName>
    <definedName name="WP_PROC_005_PROCEDURE">'Library Procedures'!$I$14</definedName>
    <definedName name="WP_PROC_005_ASSERTION_S">'Library Procedures'!$J$14</definedName>
    <definedName name="WP_PROC_005_W_P_REF">'Library Procedures'!$K$14</definedName>
    <definedName name="WP_PROC_005_PERFORMED_BY">'Library Procedures'!$L$14</definedName>
    <definedName name="WP_PROC_005_DATE">'Library Procedures'!$M$14</definedName>
    <definedName name="WP_PROC_005_REASON_CODE">'Library Procedures'!$N$14</definedName>
    <definedName name="WP_PROC_005_SOURCE_FACT_EVIDENCE">'Library Procedures'!$O$14</definedName>
    <definedName name="WP_PROC_005_ISSUE_DEPENDENCY_IDS">'Library Procedures'!$P$14</definedName>
    <definedName name="WP_PROC_005_COMMENT_WORK_PERFORMED">'Library Procedures'!$Q$14</definedName>
    <definedName name="WP_PROC_006_APPLICABILITY">'Library Procedures'!$A$16</definedName>
    <definedName name="WP_PROC_006_REQUIREMENT">'Library Procedures'!$B$16</definedName>
    <definedName name="WP_PROC_006_EXECUTION_STATE">'Library Procedures'!$C$16</definedName>
    <definedName name="WP_PROC_006_EVIDENCE_STATE">'Library Procedures'!$D$16</definedName>
    <definedName name="WP_PROC_006_RESULT_STATE">'Library Procedures'!$E$16</definedName>
    <definedName name="WP_PROC_006_ISSUE_STATE">'Library Procedures'!$F$16</definedName>
    <definedName name="WP_PROC_006_SIGNOFF_STATE">'Library Procedures'!$G$16</definedName>
    <definedName name="WP_PROC_006_DERIVED_OUTCOME">'Library Procedures'!$H$16</definedName>
    <definedName name="WP_PROC_006_PROCEDURE">'Library Procedures'!$I$16</definedName>
    <definedName name="WP_PROC_006_ASSERTION_S">'Library Procedures'!$J$16</definedName>
    <definedName name="WP_PROC_006_W_P_REF">'Library Procedures'!$K$16</definedName>
    <definedName name="WP_PROC_006_PERFORMED_BY">'Library Procedures'!$L$16</definedName>
    <definedName name="WP_PROC_006_DATE">'Library Procedures'!$M$16</definedName>
    <definedName name="WP_PROC_006_REASON_CODE">'Library Procedures'!$N$16</definedName>
    <definedName name="WP_PROC_006_SOURCE_FACT_EVIDENCE">'Library Procedures'!$O$16</definedName>
    <definedName name="WP_PROC_006_ISSUE_DEPENDENCY_IDS">'Library Procedures'!$P$16</definedName>
    <definedName name="WP_PROC_006_COMMENT_WORK_PERFORMED">'Library Procedures'!$Q$16</definedName>
    <definedName name="WP_PROC_007_APPLICABILITY">'Library Procedures'!$A$17</definedName>
    <definedName name="WP_PROC_007_REQUIREMENT">'Library Procedures'!$B$17</definedName>
    <definedName name="WP_PROC_007_EXECUTION_STATE">'Library Procedures'!$C$17</definedName>
    <definedName name="WP_PROC_007_EVIDENCE_STATE">'Library Procedures'!$D$17</definedName>
    <definedName name="WP_PROC_007_RESULT_STATE">'Library Procedures'!$E$17</definedName>
    <definedName name="WP_PROC_007_ISSUE_STATE">'Library Procedures'!$F$17</definedName>
    <definedName name="WP_PROC_007_SIGNOFF_STATE">'Library Procedures'!$G$17</definedName>
    <definedName name="WP_PROC_007_DERIVED_OUTCOME">'Library Procedures'!$H$17</definedName>
    <definedName name="WP_PROC_007_PROCEDURE">'Library Procedures'!$I$17</definedName>
    <definedName name="WP_PROC_007_ASSERTION_S">'Library Procedures'!$J$17</definedName>
    <definedName name="WP_PROC_007_W_P_REF">'Library Procedures'!$K$17</definedName>
    <definedName name="WP_PROC_007_PERFORMED_BY">'Library Procedures'!$L$17</definedName>
    <definedName name="WP_PROC_007_DATE">'Library Procedures'!$M$17</definedName>
    <definedName name="WP_PROC_007_REASON_CODE">'Library Procedures'!$N$17</definedName>
    <definedName name="WP_PROC_007_SOURCE_FACT_EVIDENCE">'Library Procedures'!$O$17</definedName>
    <definedName name="WP_PROC_007_ISSUE_DEPENDENCY_IDS">'Library Procedures'!$P$17</definedName>
    <definedName name="WP_PROC_007_COMMENT_WORK_PERFORMED">'Library Procedures'!$Q$17</definedName>
    <definedName name="WP_PROC_008_APPLICABILITY">'Library Procedures'!$A$18</definedName>
    <definedName name="WP_PROC_008_REQUIREMENT">'Library Procedures'!$B$18</definedName>
    <definedName name="WP_PROC_008_EXECUTION_STATE">'Library Procedures'!$C$18</definedName>
    <definedName name="WP_PROC_008_EVIDENCE_STATE">'Library Procedures'!$D$18</definedName>
    <definedName name="WP_PROC_008_RESULT_STATE">'Library Procedures'!$E$18</definedName>
    <definedName name="WP_PROC_008_ISSUE_STATE">'Library Procedures'!$F$18</definedName>
    <definedName name="WP_PROC_008_SIGNOFF_STATE">'Library Procedures'!$G$18</definedName>
    <definedName name="WP_PROC_008_DERIVED_OUTCOME">'Library Procedures'!$H$18</definedName>
    <definedName name="WP_PROC_008_PROCEDURE">'Library Procedures'!$I$18</definedName>
    <definedName name="WP_PROC_008_ASSERTION_S">'Library Procedures'!$J$18</definedName>
    <definedName name="WP_PROC_008_W_P_REF">'Library Procedures'!$K$18</definedName>
    <definedName name="WP_PROC_008_PERFORMED_BY">'Library Procedures'!$L$18</definedName>
    <definedName name="WP_PROC_008_DATE">'Library Procedures'!$M$18</definedName>
    <definedName name="WP_PROC_008_REASON_CODE">'Library Procedures'!$N$18</definedName>
    <definedName name="WP_PROC_008_SOURCE_FACT_EVIDENCE">'Library Procedures'!$O$18</definedName>
    <definedName name="WP_PROC_008_ISSUE_DEPENDENCY_IDS">'Library Procedures'!$P$18</definedName>
    <definedName name="WP_PROC_008_COMMENT_WORK_PERFORMED">'Library Procedures'!$Q$18</definedName>
    <definedName name="WP_PROC_009_APPLICABILITY">'Library Procedures'!$A$20</definedName>
    <definedName name="WP_PROC_009_REQUIREMENT">'Library Procedures'!$B$20</definedName>
    <definedName name="WP_PROC_009_EXECUTION_STATE">'Library Procedures'!$C$20</definedName>
    <definedName name="WP_PROC_009_EVIDENCE_STATE">'Library Procedures'!$D$20</definedName>
    <definedName name="WP_PROC_009_RESULT_STATE">'Library Procedures'!$E$20</definedName>
    <definedName name="WP_PROC_009_ISSUE_STATE">'Library Procedures'!$F$20</definedName>
    <definedName name="WP_PROC_009_SIGNOFF_STATE">'Library Procedures'!$G$20</definedName>
    <definedName name="WP_PROC_009_DERIVED_OUTCOME">'Library Procedures'!$H$20</definedName>
    <definedName name="WP_PROC_009_PROCEDURE">'Library Procedures'!$I$20</definedName>
    <definedName name="WP_PROC_009_ASSERTION_S">'Library Procedures'!$J$20</definedName>
    <definedName name="WP_PROC_009_W_P_REF">'Library Procedures'!$K$20</definedName>
    <definedName name="WP_PROC_009_PERFORMED_BY">'Library Procedures'!$L$20</definedName>
    <definedName name="WP_PROC_009_DATE">'Library Procedures'!$M$20</definedName>
    <definedName name="WP_PROC_009_REASON_CODE">'Library Procedures'!$N$20</definedName>
    <definedName name="WP_PROC_009_SOURCE_FACT_EVIDENCE">'Library Procedures'!$O$20</definedName>
    <definedName name="WP_PROC_009_ISSUE_DEPENDENCY_IDS">'Library Procedures'!$P$20</definedName>
    <definedName name="WP_PROC_009_COMMENT_WORK_PERFORMED">'Library Procedures'!$Q$20</definedName>
    <definedName name="WP_PROC_010_APPLICABILITY">'Library Procedures'!$A$22</definedName>
    <definedName name="WP_PROC_010_REQUIREMENT">'Library Procedures'!$B$22</definedName>
    <definedName name="WP_PROC_010_EXECUTION_STATE">'Library Procedures'!$C$22</definedName>
    <definedName name="WP_PROC_010_EVIDENCE_STATE">'Library Procedures'!$D$22</definedName>
    <definedName name="WP_PROC_010_RESULT_STATE">'Library Procedures'!$E$22</definedName>
    <definedName name="WP_PROC_010_ISSUE_STATE">'Library Procedures'!$F$22</definedName>
    <definedName name="WP_PROC_010_SIGNOFF_STATE">'Library Procedures'!$G$22</definedName>
    <definedName name="WP_PROC_010_DERIVED_OUTCOME">'Library Procedures'!$H$22</definedName>
    <definedName name="WP_PROC_010_PROCEDURE">'Library Procedures'!$I$22</definedName>
    <definedName name="WP_PROC_010_ASSERTION_S">'Library Procedures'!$J$22</definedName>
    <definedName name="WP_PROC_010_W_P_REF">'Library Procedures'!$K$22</definedName>
    <definedName name="WP_PROC_010_PERFORMED_BY">'Library Procedures'!$L$22</definedName>
    <definedName name="WP_PROC_010_DATE">'Library Procedures'!$M$22</definedName>
    <definedName name="WP_PROC_010_REASON_CODE">'Library Procedures'!$N$22</definedName>
    <definedName name="WP_PROC_010_SOURCE_FACT_EVIDENCE">'Library Procedures'!$O$22</definedName>
    <definedName name="WP_PROC_010_ISSUE_DEPENDENCY_IDS">'Library Procedures'!$P$22</definedName>
    <definedName name="WP_PROC_010_COMMENT_WORK_PERFORMED">'Library Procedures'!$Q$22</definedName>
    <definedName name="WP_PROC_011_APPLICABILITY">'Library Procedures'!$A$24</definedName>
    <definedName name="WP_PROC_011_REQUIREMENT">'Library Procedures'!$B$24</definedName>
    <definedName name="WP_PROC_011_EXECUTION_STATE">'Library Procedures'!$C$24</definedName>
    <definedName name="WP_PROC_011_EVIDENCE_STATE">'Library Procedures'!$D$24</definedName>
    <definedName name="WP_PROC_011_RESULT_STATE">'Library Procedures'!$E$24</definedName>
    <definedName name="WP_PROC_011_ISSUE_STATE">'Library Procedures'!$F$24</definedName>
    <definedName name="WP_PROC_011_SIGNOFF_STATE">'Library Procedures'!$G$24</definedName>
    <definedName name="WP_PROC_011_DERIVED_OUTCOME">'Library Procedures'!$H$24</definedName>
    <definedName name="WP_PROC_011_PROCEDURE">'Library Procedures'!$I$24</definedName>
    <definedName name="WP_PROC_011_ASSERTION_S">'Library Procedures'!$J$24</definedName>
    <definedName name="WP_PROC_011_W_P_REF">'Library Procedures'!$K$24</definedName>
    <definedName name="WP_PROC_011_PERFORMED_BY">'Library Procedures'!$L$24</definedName>
    <definedName name="WP_PROC_011_DATE">'Library Procedures'!$M$24</definedName>
    <definedName name="WP_PROC_011_REASON_CODE">'Library Procedures'!$N$24</definedName>
    <definedName name="WP_PROC_011_SOURCE_FACT_EVIDENCE">'Library Procedures'!$O$24</definedName>
    <definedName name="WP_PROC_011_ISSUE_DEPENDENCY_IDS">'Library Procedures'!$P$24</definedName>
    <definedName name="WP_PROC_011_COMMENT_WORK_PERFORMED">'Library Procedures'!$Q$24</definedName>
    <definedName name="WP_PROC_012_APPLICABILITY">'Library Procedures'!$A$25</definedName>
    <definedName name="WP_PROC_012_REQUIREMENT">'Library Procedures'!$B$25</definedName>
    <definedName name="WP_PROC_012_EXECUTION_STATE">'Library Procedures'!$C$25</definedName>
    <definedName name="WP_PROC_012_EVIDENCE_STATE">'Library Procedures'!$D$25</definedName>
    <definedName name="WP_PROC_012_RESULT_STATE">'Library Procedures'!$E$25</definedName>
    <definedName name="WP_PROC_012_ISSUE_STATE">'Library Procedures'!$F$25</definedName>
    <definedName name="WP_PROC_012_SIGNOFF_STATE">'Library Procedures'!$G$25</definedName>
    <definedName name="WP_PROC_012_DERIVED_OUTCOME">'Library Procedures'!$H$25</definedName>
    <definedName name="WP_PROC_012_PROCEDURE">'Library Procedures'!$I$25</definedName>
    <definedName name="WP_PROC_012_ASSERTION_S">'Library Procedures'!$J$25</definedName>
    <definedName name="WP_PROC_012_W_P_REF">'Library Procedures'!$K$25</definedName>
    <definedName name="WP_PROC_012_PERFORMED_BY">'Library Procedures'!$L$25</definedName>
    <definedName name="WP_PROC_012_DATE">'Library Procedures'!$M$25</definedName>
    <definedName name="WP_PROC_012_REASON_CODE">'Library Procedures'!$N$25</definedName>
    <definedName name="WP_PROC_012_SOURCE_FACT_EVIDENCE">'Library Procedures'!$O$25</definedName>
    <definedName name="WP_PROC_012_ISSUE_DEPENDENCY_IDS">'Library Procedures'!$P$25</definedName>
    <definedName name="WP_PROC_012_COMMENT_WORK_PERFORMED">'Library Procedures'!$Q$25</definedName>
    <definedName name="WP_PROC_013_APPLICABILITY">'Library Procedures'!$A$27</definedName>
    <definedName name="WP_PROC_013_REQUIREMENT">'Library Procedures'!$B$27</definedName>
    <definedName name="WP_PROC_013_EXECUTION_STATE">'Library Procedures'!$C$27</definedName>
    <definedName name="WP_PROC_013_EVIDENCE_STATE">'Library Procedures'!$D$27</definedName>
    <definedName name="WP_PROC_013_RESULT_STATE">'Library Procedures'!$E$27</definedName>
    <definedName name="WP_PROC_013_ISSUE_STATE">'Library Procedures'!$F$27</definedName>
    <definedName name="WP_PROC_013_SIGNOFF_STATE">'Library Procedures'!$G$27</definedName>
    <definedName name="WP_PROC_013_DERIVED_OUTCOME">'Library Procedures'!$H$27</definedName>
    <definedName name="WP_PROC_013_PROCEDURE">'Library Procedures'!$I$27</definedName>
    <definedName name="WP_PROC_013_ASSERTION_S">'Library Procedures'!$J$27</definedName>
    <definedName name="WP_PROC_013_W_P_REF">'Library Procedures'!$K$27</definedName>
    <definedName name="WP_PROC_013_PERFORMED_BY">'Library Procedures'!$L$27</definedName>
    <definedName name="WP_PROC_013_DATE">'Library Procedures'!$M$27</definedName>
    <definedName name="WP_PROC_013_REASON_CODE">'Library Procedures'!$N$27</definedName>
    <definedName name="WP_PROC_013_SOURCE_FACT_EVIDENCE">'Library Procedures'!$O$27</definedName>
    <definedName name="WP_PROC_013_ISSUE_DEPENDENCY_IDS">'Library Procedures'!$P$27</definedName>
    <definedName name="WP_PROC_013_COMMENT_WORK_PERFORMED">'Library Procedures'!$Q$27</definedName>
    <definedName name="WP_PROC_014_APPLICABILITY">'Library Procedures'!$A$28</definedName>
    <definedName name="WP_PROC_014_REQUIREMENT">'Library Procedures'!$B$28</definedName>
    <definedName name="WP_PROC_014_EXECUTION_STATE">'Library Procedures'!$C$28</definedName>
    <definedName name="WP_PROC_014_EVIDENCE_STATE">'Library Procedures'!$D$28</definedName>
    <definedName name="WP_PROC_014_RESULT_STATE">'Library Procedures'!$E$28</definedName>
    <definedName name="WP_PROC_014_ISSUE_STATE">'Library Procedures'!$F$28</definedName>
    <definedName name="WP_PROC_014_SIGNOFF_STATE">'Library Procedures'!$G$28</definedName>
    <definedName name="WP_PROC_014_DERIVED_OUTCOME">'Library Procedures'!$H$28</definedName>
    <definedName name="WP_PROC_014_PROCEDURE">'Library Procedures'!$I$28</definedName>
    <definedName name="WP_PROC_014_ASSERTION_S">'Library Procedures'!$J$28</definedName>
    <definedName name="WP_PROC_014_W_P_REF">'Library Procedures'!$K$28</definedName>
    <definedName name="WP_PROC_014_PERFORMED_BY">'Library Procedures'!$L$28</definedName>
    <definedName name="WP_PROC_014_DATE">'Library Procedures'!$M$28</definedName>
    <definedName name="WP_PROC_014_REASON_CODE">'Library Procedures'!$N$28</definedName>
    <definedName name="WP_PROC_014_SOURCE_FACT_EVIDENCE">'Library Procedures'!$O$28</definedName>
    <definedName name="WP_PROC_014_ISSUE_DEPENDENCY_IDS">'Library Procedures'!$P$28</definedName>
    <definedName name="WP_PROC_014_COMMENT_WORK_PERFORMED">'Library Procedures'!$Q$28</definedName>
    <definedName name="WP_PROC_015_APPLICABILITY">'Library Procedures'!$A$29</definedName>
    <definedName name="WP_PROC_015_REQUIREMENT">'Library Procedures'!$B$29</definedName>
    <definedName name="WP_PROC_015_EXECUTION_STATE">'Library Procedures'!$C$29</definedName>
    <definedName name="WP_PROC_015_EVIDENCE_STATE">'Library Procedures'!$D$29</definedName>
    <definedName name="WP_PROC_015_RESULT_STATE">'Library Procedures'!$E$29</definedName>
    <definedName name="WP_PROC_015_ISSUE_STATE">'Library Procedures'!$F$29</definedName>
    <definedName name="WP_PROC_015_SIGNOFF_STATE">'Library Procedures'!$G$29</definedName>
    <definedName name="WP_PROC_015_DERIVED_OUTCOME">'Library Procedures'!$H$29</definedName>
    <definedName name="WP_PROC_015_PROCEDURE">'Library Procedures'!$I$29</definedName>
    <definedName name="WP_PROC_015_ASSERTION_S">'Library Procedures'!$J$29</definedName>
    <definedName name="WP_PROC_015_W_P_REF">'Library Procedures'!$K$29</definedName>
    <definedName name="WP_PROC_015_PERFORMED_BY">'Library Procedures'!$L$29</definedName>
    <definedName name="WP_PROC_015_DATE">'Library Procedures'!$M$29</definedName>
    <definedName name="WP_PROC_015_REASON_CODE">'Library Procedures'!$N$29</definedName>
    <definedName name="WP_PROC_015_SOURCE_FACT_EVIDENCE">'Library Procedures'!$O$29</definedName>
    <definedName name="WP_PROC_015_ISSUE_DEPENDENCY_IDS">'Library Procedures'!$P$29</definedName>
    <definedName name="WP_PROC_015_COMMENT_WORK_PERFORMED">'Library Procedures'!$Q$29</definedName>
    <definedName name="WP_PROC_016_APPLICABILITY">'Library Procedures'!$A$31</definedName>
    <definedName name="WP_PROC_016_REQUIREMENT">'Library Procedures'!$B$31</definedName>
    <definedName name="WP_PROC_016_EXECUTION_STATE">'Library Procedures'!$C$31</definedName>
    <definedName name="WP_PROC_016_EVIDENCE_STATE">'Library Procedures'!$D$31</definedName>
    <definedName name="WP_PROC_016_RESULT_STATE">'Library Procedures'!$E$31</definedName>
    <definedName name="WP_PROC_016_ISSUE_STATE">'Library Procedures'!$F$31</definedName>
    <definedName name="WP_PROC_016_SIGNOFF_STATE">'Library Procedures'!$G$31</definedName>
    <definedName name="WP_PROC_016_DERIVED_OUTCOME">'Library Procedures'!$H$31</definedName>
    <definedName name="WP_PROC_016_PROCEDURE">'Library Procedures'!$I$31</definedName>
    <definedName name="WP_PROC_016_ASSERTION_S">'Library Procedures'!$J$31</definedName>
    <definedName name="WP_PROC_016_W_P_REF">'Library Procedures'!$K$31</definedName>
    <definedName name="WP_PROC_016_PERFORMED_BY">'Library Procedures'!$L$31</definedName>
    <definedName name="WP_PROC_016_DATE">'Library Procedures'!$M$31</definedName>
    <definedName name="WP_PROC_016_REASON_CODE">'Library Procedures'!$N$31</definedName>
    <definedName name="WP_PROC_016_SOURCE_FACT_EVIDENCE">'Library Procedures'!$O$31</definedName>
    <definedName name="WP_PROC_016_ISSUE_DEPENDENCY_IDS">'Library Procedures'!$P$31</definedName>
    <definedName name="WP_PROC_016_COMMENT_WORK_PERFORMED">'Library Procedures'!$Q$31</definedName>
    <definedName name="WP_PROC_017_APPLICABILITY">'Library Procedures'!$A$32</definedName>
    <definedName name="WP_PROC_017_REQUIREMENT">'Library Procedures'!$B$32</definedName>
    <definedName name="WP_PROC_017_EXECUTION_STATE">'Library Procedures'!$C$32</definedName>
    <definedName name="WP_PROC_017_EVIDENCE_STATE">'Library Procedures'!$D$32</definedName>
    <definedName name="WP_PROC_017_RESULT_STATE">'Library Procedures'!$E$32</definedName>
    <definedName name="WP_PROC_017_ISSUE_STATE">'Library Procedures'!$F$32</definedName>
    <definedName name="WP_PROC_017_SIGNOFF_STATE">'Library Procedures'!$G$32</definedName>
    <definedName name="WP_PROC_017_DERIVED_OUTCOME">'Library Procedures'!$H$32</definedName>
    <definedName name="WP_PROC_017_PROCEDURE">'Library Procedures'!$I$32</definedName>
    <definedName name="WP_PROC_017_ASSERTION_S">'Library Procedures'!$J$32</definedName>
    <definedName name="WP_PROC_017_W_P_REF">'Library Procedures'!$K$32</definedName>
    <definedName name="WP_PROC_017_PERFORMED_BY">'Library Procedures'!$L$32</definedName>
    <definedName name="WP_PROC_017_DATE">'Library Procedures'!$M$32</definedName>
    <definedName name="WP_PROC_017_REASON_CODE">'Library Procedures'!$N$32</definedName>
    <definedName name="WP_PROC_017_SOURCE_FACT_EVIDENCE">'Library Procedures'!$O$32</definedName>
    <definedName name="WP_PROC_017_ISSUE_DEPENDENCY_IDS">'Library Procedures'!$P$32</definedName>
    <definedName name="WP_PROC_017_COMMENT_WORK_PERFORMED">'Library Procedures'!$Q$32</definedName>
    <definedName name="WP_PROC_018_APPLICABILITY">'Library Procedures'!$A$34</definedName>
    <definedName name="WP_PROC_018_REQUIREMENT">'Library Procedures'!$B$34</definedName>
    <definedName name="WP_PROC_018_EXECUTION_STATE">'Library Procedures'!$C$34</definedName>
    <definedName name="WP_PROC_018_EVIDENCE_STATE">'Library Procedures'!$D$34</definedName>
    <definedName name="WP_PROC_018_RESULT_STATE">'Library Procedures'!$E$34</definedName>
    <definedName name="WP_PROC_018_ISSUE_STATE">'Library Procedures'!$F$34</definedName>
    <definedName name="WP_PROC_018_SIGNOFF_STATE">'Library Procedures'!$G$34</definedName>
    <definedName name="WP_PROC_018_DERIVED_OUTCOME">'Library Procedures'!$H$34</definedName>
    <definedName name="WP_PROC_018_PROCEDURE">'Library Procedures'!$I$34</definedName>
    <definedName name="WP_PROC_018_ASSERTION_S">'Library Procedures'!$J$34</definedName>
    <definedName name="WP_PROC_018_W_P_REF">'Library Procedures'!$K$34</definedName>
    <definedName name="WP_PROC_018_PERFORMED_BY">'Library Procedures'!$L$34</definedName>
    <definedName name="WP_PROC_018_DATE">'Library Procedures'!$M$34</definedName>
    <definedName name="WP_PROC_018_REASON_CODE">'Library Procedures'!$N$34</definedName>
    <definedName name="WP_PROC_018_SOURCE_FACT_EVIDENCE">'Library Procedures'!$O$34</definedName>
    <definedName name="WP_PROC_018_ISSUE_DEPENDENCY_IDS">'Library Procedures'!$P$34</definedName>
    <definedName name="WP_PROC_018_COMMENT_WORK_PERFORMED">'Library Procedures'!$Q$34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WP_INPUT_S006_313DF9582E2C">'&lt;.4&gt; Count Timing Bridge'!$H$7</definedName>
    <definedName name="_xlnm._FilterDatabase" localSheetId="0" hidden="1">'Library Procedures'!$A$6:$Q$34</definedName>
    <definedName name="_xlnm.Print_Titles" localSheetId="0">'Library Procedures'!$1:$6</definedName>
    <definedName name="_xlnm.Print_Area" localSheetId="0">'Library Procedures'!$A$1:$Q$34</definedName>
    <definedName name="_xlnm.Print_Area" localSheetId="1">'&lt;.0&gt; Source Index'!$A$1:$H$32</definedName>
    <definedName name="_xlnm.Print_Area" localSheetId="2">'&lt;.1&gt; Inventory Lead Sheet'!$A$1:$I$36</definedName>
    <definedName name="_xlnm.Print_Titles" localSheetId="3">'&lt;.2&gt; Inventory Reconciliation'!$1:$7</definedName>
    <definedName name="_xlnm.Print_Area" localSheetId="3">'&lt;.2&gt; Inventory Reconciliation'!$A$1:$H$42</definedName>
    <definedName name="_xlnm.Print_Titles" localSheetId="4">'&lt;.3&gt; Physical Count'!$1:$7</definedName>
    <definedName name="_xlnm.Print_Area" localSheetId="4">'&lt;.3&gt; Physical Count'!$A$1:$I$90</definedName>
    <definedName name="_xlnm.Print_Titles" localSheetId="5">'&lt;.4&gt; Count Timing Bridge'!$1:$7</definedName>
    <definedName name="_xlnm.Print_Area" localSheetId="5">'&lt;.4&gt; Count Timing Bridge'!$A$1:$I$41</definedName>
    <definedName name="_xlnm.Print_Area" localSheetId="6">'&lt;.5&gt; Third-Party Confirmation'!$A$1:$N$32</definedName>
    <definedName name="_xlnm.Print_Titles" localSheetId="7">'&lt;.6&gt; Purchases Completeness'!$1:$7</definedName>
    <definedName name="_xlnm.Print_Area" localSheetId="7">'&lt;.6&gt; Purchases Completeness'!$A$1:$I$47</definedName>
    <definedName name="_xlnm.Print_Titles" localSheetId="8">'&lt;.7&gt; Cutoff Testing'!$1:$7</definedName>
    <definedName name="_xlnm.Print_Area" localSheetId="8">'&lt;.7&gt; Cutoff Testing'!$A$1:$J$67</definedName>
    <definedName name="_xlnm.Print_Area" localSheetId="9">'Planning Context'!$A$1:$B$21</definedName>
    <definedName name="_xlnm.Print_Area" localSheetId="10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40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b val="1"/>
      <color rgb="FFFFFFFF"/>
      <sz val="9"/>
    </font>
    <font>
      <name val="Georgia"/>
      <b val="1"/>
      <color rgb="FFFFFFFF"/>
      <sz val="8.5"/>
    </font>
    <font>
      <name val="Georgia"/>
      <color rgb="FF1A1A1A"/>
      <sz val="9"/>
    </font>
    <font>
      <name val="Georgia"/>
      <b val="1"/>
      <color rgb="FF1A1A1A"/>
      <sz val="9"/>
    </font>
    <font>
      <name val="Georgia"/>
      <color rgb="FF6E6E6E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A32020"/>
      <sz val="10"/>
    </font>
    <font>
      <name val="SourceSans3"/>
      <b val="1"/>
      <color rgb="FFFFFFFF"/>
      <sz val="8.5"/>
    </font>
    <font>
      <name val="SourceSans3"/>
      <color rgb="FF1A1A1A"/>
      <sz val="9"/>
    </font>
    <font>
      <name val="SourceSans3"/>
      <b val="1"/>
      <color rgb="FF1A1A1A"/>
      <sz val="9"/>
    </font>
    <font>
      <name val="SourceSans3"/>
      <color rgb="FF6E6E6E"/>
      <sz val="9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9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FFA32020"/>
      </patternFill>
    </fill>
    <fill>
      <patternFill patternType="solid">
        <fgColor rgb="FFF4DCDC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11" fillId="2" borderId="1" pivotButton="0" quotePrefix="0" xfId="0"/>
    <xf numFmtId="0" fontId="2" fillId="3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3" fillId="0" borderId="1" pivotButton="0" quotePrefix="0" xfId="0"/>
    <xf numFmtId="10" fontId="3" fillId="0" borderId="1" pivotButton="0" quotePrefix="0" xfId="0"/>
    <xf numFmtId="0" fontId="9" fillId="3" borderId="1" pivotButton="0" quotePrefix="0" xfId="0"/>
    <xf numFmtId="4" fontId="9" fillId="3" borderId="1" pivotButton="0" quotePrefix="0" xfId="0"/>
    <xf numFmtId="0" fontId="2" fillId="0" borderId="1" pivotButton="0" quotePrefix="0" xfId="0"/>
    <xf numFmtId="4" fontId="2" fillId="3" borderId="1" pivotButton="0" quotePrefix="0" xfId="0"/>
    <xf numFmtId="0" fontId="10" fillId="0" borderId="0" pivotButton="0" quotePrefix="0" xfId="0"/>
    <xf numFmtId="0" fontId="3" fillId="0" borderId="1" applyAlignment="1" pivotButton="0" quotePrefix="0" xfId="0">
      <alignment horizontal="center" vertical="center"/>
    </xf>
    <xf numFmtId="3" fontId="3" fillId="0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0" borderId="3" pivotButton="0" quotePrefix="0" xfId="0"/>
    <xf numFmtId="0" fontId="3" fillId="0" borderId="3" pivotButton="0" quotePrefix="0" xfId="0"/>
    <xf numFmtId="0" fontId="1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2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3" fillId="0" borderId="1" applyAlignment="1" pivotButton="0" quotePrefix="0" xfId="0">
      <alignment horizontal="center" vertical="center"/>
    </xf>
    <xf numFmtId="0" fontId="13" fillId="0" borderId="1" pivotButton="0" quotePrefix="0" xfId="0"/>
    <xf numFmtId="0" fontId="1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14" fillId="5" borderId="1" applyAlignment="1" pivotButton="0" quotePrefix="0" xfId="0">
      <alignment horizontal="center" vertical="center"/>
    </xf>
    <xf numFmtId="0" fontId="13" fillId="5" borderId="1" pivotButton="0" quotePrefix="0" xfId="0"/>
    <xf numFmtId="0" fontId="14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4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0" fillId="0" borderId="0" pivotButton="0" quotePrefix="0" xfId="0"/>
    <xf numFmtId="0" fontId="15" fillId="0" borderId="0" applyAlignment="1" pivotButton="0" quotePrefix="0" xfId="0">
      <alignment wrapText="1"/>
    </xf>
    <xf numFmtId="0" fontId="15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vertical="top" wrapText="1"/>
    </xf>
    <xf numFmtId="0" fontId="24" fillId="0" borderId="0" pivotButton="0" quotePrefix="0" xfId="0"/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23" fillId="2" borderId="1" applyAlignment="1" pivotButton="0" quotePrefix="0" xfId="0">
      <alignment horizontal="left" vertical="center" wrapText="1"/>
    </xf>
    <xf numFmtId="0" fontId="23" fillId="2" borderId="1" pivotButton="0" quotePrefix="0" xfId="0"/>
    <xf numFmtId="0" fontId="23" fillId="2" borderId="0" pivotButton="0" quotePrefix="0" xfId="0"/>
    <xf numFmtId="0" fontId="21" fillId="0" borderId="1" applyAlignment="1" pivotButton="0" quotePrefix="0" xfId="0">
      <alignment vertical="top" wrapText="1"/>
    </xf>
    <xf numFmtId="0" fontId="24" fillId="0" borderId="1" applyAlignment="1" pivotButton="0" quotePrefix="0" xfId="0">
      <alignment vertical="top" wrapText="1"/>
    </xf>
    <xf numFmtId="165" fontId="24" fillId="0" borderId="1" applyAlignment="1" pivotButton="0" quotePrefix="0" xfId="0">
      <alignment vertical="top" wrapText="1"/>
    </xf>
    <xf numFmtId="0" fontId="23" fillId="2" borderId="0" applyAlignment="1" pivotButton="0" quotePrefix="0" xfId="0">
      <alignment vertical="top" wrapText="1"/>
    </xf>
    <xf numFmtId="0" fontId="20" fillId="0" borderId="0" pivotButton="0" quotePrefix="0" xfId="0"/>
    <xf numFmtId="0" fontId="25" fillId="0" borderId="0" pivotButton="0" quotePrefix="0" xfId="0"/>
    <xf numFmtId="165" fontId="21" fillId="0" borderId="0" pivotButton="0" quotePrefix="0" xfId="0"/>
    <xf numFmtId="0" fontId="21" fillId="0" borderId="0" pivotButton="0" quotePrefix="0" xfId="0"/>
    <xf numFmtId="0" fontId="25" fillId="0" borderId="0" applyAlignment="1" pivotButton="0" quotePrefix="0" xfId="0">
      <alignment vertical="top" wrapText="1"/>
    </xf>
    <xf numFmtId="4" fontId="21" fillId="0" borderId="0" pivotButton="0" quotePrefix="0" xfId="0"/>
    <xf numFmtId="0" fontId="26" fillId="0" borderId="2" pivotButton="0" quotePrefix="0" xfId="0"/>
    <xf numFmtId="0" fontId="21" fillId="0" borderId="2" applyAlignment="1" pivotButton="0" quotePrefix="0" xfId="0">
      <alignment horizontal="left" vertical="center" wrapText="1"/>
    </xf>
    <xf numFmtId="0" fontId="24" fillId="0" borderId="10" pivotButton="0" quotePrefix="0" xfId="0"/>
    <xf numFmtId="0" fontId="24" fillId="0" borderId="11" pivotButton="0" quotePrefix="0" xfId="0"/>
    <xf numFmtId="0" fontId="27" fillId="2" borderId="3" applyAlignment="1" pivotButton="0" quotePrefix="0" xfId="0">
      <alignment horizontal="center" vertical="center" wrapText="1"/>
    </xf>
    <xf numFmtId="0" fontId="21" fillId="0" borderId="1" pivotButton="0" quotePrefix="0" xfId="0"/>
    <xf numFmtId="0" fontId="26" fillId="0" borderId="0" pivotButton="0" quotePrefix="0" xfId="0"/>
    <xf numFmtId="0" fontId="28" fillId="0" borderId="1" applyAlignment="1" pivotButton="0" quotePrefix="0" xfId="0">
      <alignment horizontal="center" vertical="center"/>
    </xf>
    <xf numFmtId="0" fontId="24" fillId="0" borderId="6" pivotButton="0" quotePrefix="0" xfId="0"/>
    <xf numFmtId="0" fontId="24" fillId="0" borderId="7" pivotButton="0" quotePrefix="0" xfId="0"/>
    <xf numFmtId="0" fontId="21" fillId="0" borderId="0" applyAlignment="1" pivotButton="0" quotePrefix="0" xfId="0">
      <alignment horizontal="left" vertical="center" wrapText="1"/>
    </xf>
    <xf numFmtId="0" fontId="27" fillId="2" borderId="1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4" fontId="21" fillId="0" borderId="1" pivotButton="0" quotePrefix="0" xfId="0"/>
    <xf numFmtId="4" fontId="21" fillId="0" borderId="1" applyAlignment="1" pivotButton="0" quotePrefix="0" xfId="0">
      <alignment vertical="top" wrapText="1"/>
    </xf>
    <xf numFmtId="10" fontId="21" fillId="0" borderId="1" applyAlignment="1" pivotButton="0" quotePrefix="0" xfId="0">
      <alignment vertical="top" wrapText="1"/>
    </xf>
    <xf numFmtId="0" fontId="30" fillId="3" borderId="1" pivotButton="0" quotePrefix="0" xfId="0"/>
    <xf numFmtId="4" fontId="30" fillId="3" borderId="1" pivotButton="0" quotePrefix="0" xfId="0"/>
    <xf numFmtId="0" fontId="25" fillId="0" borderId="1" applyAlignment="1" pivotButton="0" quotePrefix="0" xfId="0">
      <alignment vertical="top" wrapText="1"/>
    </xf>
    <xf numFmtId="4" fontId="25" fillId="3" borderId="1" pivotButton="0" quotePrefix="0" xfId="0"/>
    <xf numFmtId="0" fontId="31" fillId="0" borderId="0" applyAlignment="1" pivotButton="0" quotePrefix="0" xfId="0">
      <alignment vertical="top" wrapText="1"/>
    </xf>
    <xf numFmtId="0" fontId="21" fillId="0" borderId="1" applyAlignment="1" pivotButton="0" quotePrefix="0" xfId="0">
      <alignment horizontal="center" vertical="center"/>
    </xf>
    <xf numFmtId="3" fontId="21" fillId="0" borderId="1" pivotButton="0" quotePrefix="0" xfId="0"/>
    <xf numFmtId="3" fontId="21" fillId="0" borderId="1" applyAlignment="1" pivotButton="0" quotePrefix="0" xfId="0">
      <alignment vertical="top" wrapText="1"/>
    </xf>
    <xf numFmtId="0" fontId="25" fillId="3" borderId="1" applyAlignment="1" pivotButton="0" quotePrefix="0" xfId="0">
      <alignment vertical="top" wrapText="1"/>
    </xf>
    <xf numFmtId="0" fontId="25" fillId="3" borderId="1" applyAlignment="1" pivotButton="0" quotePrefix="0" xfId="0">
      <alignment horizontal="center" vertical="center" wrapText="1"/>
    </xf>
    <xf numFmtId="0" fontId="25" fillId="3" borderId="1" pivotButton="0" quotePrefix="0" xfId="0"/>
    <xf numFmtId="165" fontId="21" fillId="0" borderId="3" pivotButton="0" quotePrefix="0" xfId="0"/>
    <xf numFmtId="0" fontId="21" fillId="0" borderId="3" applyAlignment="1" pivotButton="0" quotePrefix="0" xfId="0">
      <alignment vertical="top" wrapText="1"/>
    </xf>
    <xf numFmtId="0" fontId="24" fillId="0" borderId="13" pivotButton="0" quotePrefix="0" xfId="0"/>
    <xf numFmtId="0" fontId="32" fillId="4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left" vertical="center" wrapText="1"/>
    </xf>
    <xf numFmtId="0" fontId="33" fillId="0" borderId="1" applyAlignment="1" pivotButton="0" quotePrefix="0" xfId="0">
      <alignment horizontal="center" vertical="center"/>
    </xf>
    <xf numFmtId="0" fontId="33" fillId="0" borderId="1" pivotButton="0" quotePrefix="0" xfId="0"/>
    <xf numFmtId="0" fontId="34" fillId="5" borderId="1" applyAlignment="1" pivotButton="0" quotePrefix="0" xfId="0">
      <alignment horizontal="left" vertical="center" wrapText="1"/>
    </xf>
    <xf numFmtId="0" fontId="34" fillId="5" borderId="1" applyAlignment="1" pivotButton="0" quotePrefix="0" xfId="0">
      <alignment horizontal="center" vertical="center"/>
    </xf>
    <xf numFmtId="0" fontId="33" fillId="5" borderId="1" pivotButton="0" quotePrefix="0" xfId="0"/>
    <xf numFmtId="0" fontId="3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center" vertical="center"/>
    </xf>
    <xf numFmtId="0" fontId="33" fillId="0" borderId="0" pivotButton="0" quotePrefix="0" xfId="0"/>
    <xf numFmtId="0" fontId="35" fillId="0" borderId="0" applyAlignment="1" pivotButton="0" quotePrefix="0" xfId="0">
      <alignment vertical="top" wrapText="1"/>
    </xf>
    <xf numFmtId="0" fontId="35" fillId="0" borderId="0" applyAlignment="1" pivotButton="0" quotePrefix="0" xfId="0">
      <alignment wrapText="1"/>
    </xf>
    <xf numFmtId="0" fontId="24" fillId="0" borderId="0" applyAlignment="1" pivotButton="0" quotePrefix="0" xfId="0">
      <alignment vertical="top" wrapText="1"/>
    </xf>
    <xf numFmtId="165" fontId="24" fillId="0" borderId="0" pivotButton="0" quotePrefix="0" xfId="0"/>
    <xf numFmtId="4" fontId="24" fillId="0" borderId="0" pivotButton="0" quotePrefix="0" xfId="0"/>
    <xf numFmtId="0" fontId="36" fillId="6" borderId="0" applyAlignment="1" pivotButton="0" quotePrefix="0" xfId="0">
      <alignment horizontal="left" vertical="center" wrapText="1"/>
    </xf>
    <xf numFmtId="0" fontId="37" fillId="7" borderId="14" pivotButton="0" quotePrefix="0" xfId="0"/>
    <xf numFmtId="0" fontId="38" fillId="0" borderId="14" pivotButton="0" quotePrefix="0" xfId="0"/>
    <xf numFmtId="0" fontId="38" fillId="0" borderId="14" applyAlignment="1" pivotButton="0" quotePrefix="0" xfId="0">
      <alignment vertical="top" wrapText="1"/>
    </xf>
    <xf numFmtId="165" fontId="38" fillId="0" borderId="14" pivotButton="0" quotePrefix="0" xfId="0"/>
    <xf numFmtId="0" fontId="39" fillId="8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34"/>
  <sheetViews>
    <sheetView showGridLines="0" zoomScale="90" zoomScaleNormal="100" workbookViewId="0">
      <pane xSplit="8" ySplit="6" topLeftCell="I7" activePane="bottomRight" state="frozen"/>
      <selection pane="topRight"/>
      <selection pane="bottomLeft"/>
      <selection pane="bottomRight" activeCell="A3" sqref="A3"/>
    </sheetView>
  </sheetViews>
  <sheetFormatPr baseColWidth="8" defaultColWidth="8.6328125" defaultRowHeight="14.5"/>
  <cols>
    <col width="42" customWidth="1" style="49" min="1" max="1"/>
    <col width="15" customWidth="1" style="49" min="2" max="2"/>
    <col width="15" customWidth="1" style="49" min="3" max="3"/>
    <col width="17" customWidth="1" style="49" min="4" max="4"/>
    <col width="18" customWidth="1" style="49" min="5" max="5"/>
    <col width="14" customWidth="1" style="49" min="6" max="6"/>
    <col width="14" customWidth="1" style="49" min="7" max="7"/>
    <col width="42" customWidth="1" style="49" min="8" max="8"/>
    <col width="88" customWidth="1" style="49" min="9" max="9"/>
    <col width="34.3" customWidth="1" style="49" min="10" max="10"/>
    <col width="14" customWidth="1" style="49" min="11" max="11"/>
    <col width="18" customWidth="1" style="49" min="12" max="12"/>
    <col width="14" customWidth="1" style="49" min="13" max="13"/>
    <col width="18" customWidth="1" style="49" min="14" max="14"/>
    <col width="34" customWidth="1" style="49" min="15" max="15"/>
    <col width="42" customWidth="1" style="49" min="16" max="16"/>
    <col width="64" customWidth="1" style="49" min="17" max="17"/>
  </cols>
  <sheetData>
    <row r="1" ht="27" customHeight="1" s="49">
      <c r="A1" s="54" t="inlineStr">
        <is>
          <t>Inventory (Existence, Completeness &amp; Cutoff) — Library of Audit Procedures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55" t="n"/>
      <c r="P1" s="55" t="n"/>
      <c r="Q1" s="55" t="n"/>
    </row>
    <row r="2">
      <c r="A2" s="56" t="inlineStr">
        <is>
          <t>Client / Entity: Vaquite Industries, Inc.</t>
        </is>
      </c>
      <c r="B2" s="55" t="n"/>
      <c r="C2" s="55" t="n"/>
      <c r="D2" s="55" t="n"/>
      <c r="E2" s="55" t="n"/>
      <c r="F2" s="55" t="n"/>
      <c r="G2" s="55" t="n"/>
      <c r="H2" s="55" t="n"/>
      <c r="I2" s="55" t="n"/>
      <c r="J2" s="55" t="n"/>
      <c r="K2" s="55" t="n"/>
      <c r="L2" s="55" t="n"/>
      <c r="M2" s="55" t="n"/>
      <c r="N2" s="55" t="n"/>
      <c r="O2" s="55" t="n"/>
      <c r="P2" s="55" t="n"/>
      <c r="Q2" s="55" t="n"/>
    </row>
    <row r="3" ht="40.5" customHeight="1" s="49">
      <c r="A3" s="56" t="inlineStr">
        <is>
          <t>Prepared by: Audit Senior 80A0 (assigned)      Reviewed by: Audit Manager 403F (assigned)</t>
        </is>
      </c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</row>
    <row r="4" ht="25.5" customHeight="1" s="49">
      <c r="A4" s="57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55" t="n"/>
      <c r="C4" s="55" t="n"/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</row>
    <row r="5">
      <c r="A5" s="55" t="n"/>
      <c r="B5" s="55" t="n"/>
      <c r="C5" s="55" t="n"/>
      <c r="D5" s="55" t="n"/>
      <c r="E5" s="55" t="n"/>
      <c r="F5" s="55" t="n"/>
      <c r="G5" s="55" t="n"/>
      <c r="H5" s="55" t="n"/>
      <c r="I5" s="55" t="n"/>
      <c r="J5" s="55" t="n"/>
      <c r="K5" s="55" t="n"/>
      <c r="L5" s="55" t="n"/>
      <c r="M5" s="55" t="n"/>
      <c r="N5" s="55" t="n"/>
      <c r="O5" s="55" t="n"/>
      <c r="P5" s="55" t="n"/>
      <c r="Q5" s="55" t="n"/>
    </row>
    <row r="6" ht="19.5" customHeight="1" s="49">
      <c r="A6" s="58" t="inlineStr">
        <is>
          <t>Applicability</t>
        </is>
      </c>
      <c r="B6" s="58" t="inlineStr">
        <is>
          <t>Requirement</t>
        </is>
      </c>
      <c r="C6" s="58" t="inlineStr">
        <is>
          <t>Execution state</t>
        </is>
      </c>
      <c r="D6" s="58" t="inlineStr">
        <is>
          <t>Evidence state</t>
        </is>
      </c>
      <c r="E6" s="58" t="inlineStr">
        <is>
          <t>Result state</t>
        </is>
      </c>
      <c r="F6" s="58" t="inlineStr">
        <is>
          <t>Issue state</t>
        </is>
      </c>
      <c r="G6" s="58" t="inlineStr">
        <is>
          <t>Signoff state</t>
        </is>
      </c>
      <c r="H6" s="58" t="inlineStr">
        <is>
          <t>Derived outcome</t>
        </is>
      </c>
      <c r="I6" s="58" t="inlineStr">
        <is>
          <t>Procedure</t>
        </is>
      </c>
      <c r="J6" s="58" t="inlineStr">
        <is>
          <t>Assertion(s)</t>
        </is>
      </c>
      <c r="K6" s="58" t="inlineStr">
        <is>
          <t>W/P Ref</t>
        </is>
      </c>
      <c r="L6" s="58" t="inlineStr">
        <is>
          <t>Performed by</t>
        </is>
      </c>
      <c r="M6" s="58" t="inlineStr">
        <is>
          <t>Date</t>
        </is>
      </c>
      <c r="N6" s="58" t="inlineStr">
        <is>
          <t>Reason code</t>
        </is>
      </c>
      <c r="O6" s="58" t="inlineStr">
        <is>
          <t>Source fact / evidence</t>
        </is>
      </c>
      <c r="P6" s="58" t="inlineStr">
        <is>
          <t>Issue / dependency IDs</t>
        </is>
      </c>
      <c r="Q6" s="58" t="inlineStr">
        <is>
          <t>Comment / Work performed</t>
        </is>
      </c>
    </row>
    <row r="7">
      <c r="A7" s="59" t="n"/>
      <c r="B7" s="55" t="n"/>
      <c r="C7" s="55" t="n"/>
      <c r="D7" s="55" t="n"/>
      <c r="E7" s="55" t="n"/>
      <c r="F7" s="55" t="n"/>
      <c r="G7" s="55" t="n"/>
      <c r="H7" s="55" t="n"/>
      <c r="I7" s="60" t="inlineStr">
        <is>
          <t>&lt;.0&gt; Source Index</t>
        </is>
      </c>
      <c r="J7" s="55" t="n"/>
      <c r="K7" s="55" t="n"/>
      <c r="L7" s="55" t="n"/>
      <c r="M7" s="55" t="n"/>
      <c r="N7" s="55" t="n"/>
      <c r="O7" s="55" t="n"/>
      <c r="P7" s="55" t="n"/>
      <c r="Q7" s="55" t="n"/>
    </row>
    <row r="8" ht="120" customHeight="1" s="49">
      <c r="A8" s="61" t="inlineStr">
        <is>
          <t>Applicable</t>
        </is>
      </c>
      <c r="B8" s="61" t="inlineStr">
        <is>
          <t>Required</t>
        </is>
      </c>
      <c r="C8" s="61" t="inlineStr">
        <is>
          <t>Not Started</t>
        </is>
      </c>
      <c r="D8" s="61" t="inlineStr">
        <is>
          <t>Missing</t>
        </is>
      </c>
      <c r="E8" s="61" t="inlineStr">
        <is>
          <t>Unable to Conclude</t>
        </is>
      </c>
      <c r="F8" s="61" t="inlineStr">
        <is>
          <t>None</t>
        </is>
      </c>
      <c r="G8" s="62" t="inlineStr">
        <is>
          <t>Unsigned</t>
        </is>
      </c>
      <c r="H8" s="62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62" t="inlineStr">
        <is>
          <t>1. Obtain and index all inventory PBC sources (perpetual listing, GL detail, count instructions / sheets / tags, purchase listing &amp; GRNs, shipping documents, 3PL statements, bridge-period activity); document limitations.</t>
        </is>
      </c>
      <c r="J8" s="62" t="inlineStr">
        <is>
          <t>Completeness</t>
        </is>
      </c>
      <c r="K8" s="62" t="inlineStr">
        <is>
          <t>&lt;.0&gt;</t>
        </is>
      </c>
      <c r="L8" s="62" t="n"/>
      <c r="M8" s="63" t="n"/>
      <c r="N8" s="62" t="n"/>
      <c r="O8" s="62" t="n"/>
      <c r="P8" s="62" t="inlineStr">
        <is>
          <t>PROC:PROC-INVENTORY; PROC:RESP-INVENTORY-INVENTORY</t>
        </is>
      </c>
      <c r="Q8" s="62" t="n"/>
    </row>
    <row r="9">
      <c r="A9" s="59" t="n"/>
      <c r="B9" s="55" t="n"/>
      <c r="C9" s="55" t="n"/>
      <c r="D9" s="55" t="n"/>
      <c r="E9" s="55" t="n"/>
      <c r="F9" s="55" t="n"/>
      <c r="G9" s="55" t="n"/>
      <c r="H9" s="55" t="n"/>
      <c r="I9" s="64" t="inlineStr">
        <is>
          <t>&lt;.1&gt; Inventory Lead Sheet</t>
        </is>
      </c>
      <c r="J9" s="55" t="n"/>
      <c r="K9" s="55" t="n"/>
      <c r="L9" s="55" t="n"/>
      <c r="M9" s="55" t="n"/>
      <c r="N9" s="55" t="n"/>
      <c r="O9" s="55" t="n"/>
      <c r="P9" s="55" t="n"/>
      <c r="Q9" s="55" t="n"/>
    </row>
    <row r="10" ht="120" customHeight="1" s="49">
      <c r="A10" s="61" t="inlineStr">
        <is>
          <t>Applicable</t>
        </is>
      </c>
      <c r="B10" s="61" t="inlineStr">
        <is>
          <t>Required</t>
        </is>
      </c>
      <c r="C10" s="61" t="inlineStr">
        <is>
          <t>Not Started</t>
        </is>
      </c>
      <c r="D10" s="61" t="inlineStr">
        <is>
          <t>Missing</t>
        </is>
      </c>
      <c r="E10" s="61" t="inlineStr">
        <is>
          <t>Unable to Conclude</t>
        </is>
      </c>
      <c r="F10" s="61" t="inlineStr">
        <is>
          <t>None</t>
        </is>
      </c>
      <c r="G10" s="62" t="inlineStr">
        <is>
          <t>Unsigned</t>
        </is>
      </c>
      <c r="H10" s="62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62" t="inlineStr">
        <is>
          <t>2. Agree inventory by category — gross, reserve and net — to the trial balance and general ledger, and foot the lead sheet.</t>
        </is>
      </c>
      <c r="J10" s="62" t="inlineStr">
        <is>
          <t>Existence; Completeness</t>
        </is>
      </c>
      <c r="K10" s="62" t="inlineStr">
        <is>
          <t>&lt;.1&gt;</t>
        </is>
      </c>
      <c r="L10" s="62" t="n"/>
      <c r="M10" s="63" t="n"/>
      <c r="N10" s="62" t="n"/>
      <c r="O10" s="62" t="n"/>
      <c r="P10" s="62" t="inlineStr">
        <is>
          <t>PROC:PROC-INVENTORY; PROC:RESP-INVENTORY-INVENTORY</t>
        </is>
      </c>
      <c r="Q10" s="62" t="n"/>
    </row>
    <row r="11" ht="120" customHeight="1" s="49">
      <c r="A11" s="61" t="inlineStr">
        <is>
          <t>Applicable</t>
        </is>
      </c>
      <c r="B11" s="61" t="inlineStr">
        <is>
          <t>Required</t>
        </is>
      </c>
      <c r="C11" s="61" t="inlineStr">
        <is>
          <t>Not Started</t>
        </is>
      </c>
      <c r="D11" s="61" t="inlineStr">
        <is>
          <t>Missing</t>
        </is>
      </c>
      <c r="E11" s="61" t="inlineStr">
        <is>
          <t>Unable to Conclude</t>
        </is>
      </c>
      <c r="F11" s="61" t="inlineStr">
        <is>
          <t>None</t>
        </is>
      </c>
      <c r="G11" s="62" t="inlineStr">
        <is>
          <t>Unsigned</t>
        </is>
      </c>
      <c r="H11" s="62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62" t="inlineStr">
        <is>
          <t>3. Flag the cost method per category with a policy-consistency check, and apply the population control: only inventory GL accounts (1016, 1017, 1018, 1014, 1019) roll into the lead — exclude / reclassify commingled P&amp;L accounts.</t>
        </is>
      </c>
      <c r="J11" s="62" t="inlineStr">
        <is>
          <t>Classification; Valuation &amp; Allocation</t>
        </is>
      </c>
      <c r="K11" s="62" t="inlineStr">
        <is>
          <t>&lt;.1&gt;/&lt;.2&gt;</t>
        </is>
      </c>
      <c r="L11" s="62" t="n"/>
      <c r="M11" s="63" t="n"/>
      <c r="N11" s="62" t="n"/>
      <c r="O11" s="62" t="n"/>
      <c r="P11" s="62" t="inlineStr">
        <is>
          <t>PROC:PROC-INVENTORY; PROC:RESP-INVENTORY-INVENTORY</t>
        </is>
      </c>
      <c r="Q11" s="62" t="n"/>
    </row>
    <row r="12">
      <c r="A12" s="59" t="n"/>
      <c r="B12" s="55" t="n"/>
      <c r="C12" s="55" t="n"/>
      <c r="D12" s="55" t="n"/>
      <c r="E12" s="55" t="n"/>
      <c r="F12" s="55" t="n"/>
      <c r="G12" s="55" t="n"/>
      <c r="H12" s="55" t="n"/>
      <c r="I12" s="64" t="inlineStr">
        <is>
          <t>&lt;.2&gt; Inventory Reconciliation</t>
        </is>
      </c>
      <c r="J12" s="55" t="n"/>
      <c r="K12" s="55" t="n"/>
      <c r="L12" s="55" t="n"/>
      <c r="M12" s="55" t="n"/>
      <c r="N12" s="55" t="n"/>
      <c r="O12" s="55" t="n"/>
      <c r="P12" s="55" t="n"/>
      <c r="Q12" s="55" t="n"/>
    </row>
    <row r="13" ht="120" customHeight="1" s="49">
      <c r="A13" s="61" t="inlineStr">
        <is>
          <t>Applicable</t>
        </is>
      </c>
      <c r="B13" s="61" t="inlineStr">
        <is>
          <t>Required</t>
        </is>
      </c>
      <c r="C13" s="61" t="inlineStr">
        <is>
          <t>Not Started</t>
        </is>
      </c>
      <c r="D13" s="61" t="inlineStr">
        <is>
          <t>Missing</t>
        </is>
      </c>
      <c r="E13" s="61" t="inlineStr">
        <is>
          <t>Unable to Conclude</t>
        </is>
      </c>
      <c r="F13" s="61" t="inlineStr">
        <is>
          <t>None</t>
        </is>
      </c>
      <c r="G13" s="62" t="inlineStr">
        <is>
          <t>Unsigned</t>
        </is>
      </c>
      <c r="H13" s="62">
        <f>IF(A13="Not Applicable - Fact Driven",IF(AND(C13="Not Performed",D13="Not Required",OR(F13="None",F13="Resolved",F13="Passed"),OR(G13="Prepared",G13="Reviewed"),LEFT(O13,6)="FACT:/",Q13&lt;&gt;""),"Valid N/A","Blocked"),IF(AND(B13="Recommended",C13="Not Performed",D13="Not Required",OR(F13="None",F13="Resolved",F13="Passed")),"Recommended - Not Performed",IF(C13&lt;&gt;"Performed","Open - "&amp;C13,IF(D13&lt;&gt;"Sufficient","Open - "&amp;D13&amp;" Evidence",IF(E13="Unable to Conclude","Open - Unable to Conclude",IF(AND(E13="Exception Identified",ISERROR(SEARCH("ISSUE:",P13))),"Open - Missing Issue ID",IF(AND(F13="Open",ISERROR(SEARCH("ISSUE:",P13))),"Open - Missing Issue ID",IF(OR(F13="Open",F13="Superseded"),"Open - "&amp;F13&amp;" Issue",IF(AND(E13="Exception Identified",NOT(OR(F13="Adjusted",F13="Passed",F13="Resolved"))),"Open - Undispositioned Exception",IF(OR(G13="Prepared",G13="Reviewed"),"Passed","Open - Unsigned"))))))))))</f>
        <v/>
      </c>
      <c r="I13" s="62" t="inlineStr">
        <is>
          <t>4. Reconcile the perpetual listing / valuation report to the GL and trial balance by category; isolate and exclude non-inventory (P&amp;L) accounts and align listing category labels to the GL accounts.</t>
        </is>
      </c>
      <c r="J13" s="62" t="inlineStr">
        <is>
          <t>Completeness; Accuracy; Classification</t>
        </is>
      </c>
      <c r="K13" s="62" t="inlineStr">
        <is>
          <t>&lt;.2&gt;</t>
        </is>
      </c>
      <c r="L13" s="62" t="n"/>
      <c r="M13" s="63" t="n"/>
      <c r="N13" s="62" t="n"/>
      <c r="O13" s="62" t="n"/>
      <c r="P13" s="62" t="inlineStr">
        <is>
          <t>PROC:PROC-INVENTORY; PROC:RESP-INVENTORY-INVENTORY</t>
        </is>
      </c>
      <c r="Q13" s="62" t="n"/>
    </row>
    <row r="14" ht="120" customHeight="1" s="49">
      <c r="A14" s="61" t="inlineStr">
        <is>
          <t>Applicable</t>
        </is>
      </c>
      <c r="B14" s="61" t="inlineStr">
        <is>
          <t>Required</t>
        </is>
      </c>
      <c r="C14" s="61" t="inlineStr">
        <is>
          <t>Not Started</t>
        </is>
      </c>
      <c r="D14" s="61" t="inlineStr">
        <is>
          <t>Missing</t>
        </is>
      </c>
      <c r="E14" s="61" t="inlineStr">
        <is>
          <t>Unable to Conclude</t>
        </is>
      </c>
      <c r="F14" s="61" t="inlineStr">
        <is>
          <t>None</t>
        </is>
      </c>
      <c r="G14" s="62" t="inlineStr">
        <is>
          <t>Unsigned</t>
        </is>
      </c>
      <c r="H14" s="62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62" t="inlineStr">
        <is>
          <t>5. Prove completeness by rollforward — opening (= PY TB) + purchases − relief to COGS ± adjustments = closing — and investigate the difference; tie the purchases line to the purchase listing.</t>
        </is>
      </c>
      <c r="J14" s="62" t="inlineStr">
        <is>
          <t>Completeness; Accuracy</t>
        </is>
      </c>
      <c r="K14" s="62" t="inlineStr">
        <is>
          <t>&lt;.2&gt;/&lt;.6&gt;</t>
        </is>
      </c>
      <c r="L14" s="62" t="n"/>
      <c r="M14" s="63" t="n"/>
      <c r="N14" s="62" t="n"/>
      <c r="O14" s="62" t="n"/>
      <c r="P14" s="62" t="inlineStr">
        <is>
          <t>PROC:PROC-INVENTORY; PROC:RESP-INVENTORY-INVENTORY; WINDOW:WIN-INVENTORY-CUTOFF</t>
        </is>
      </c>
      <c r="Q14" s="62" t="n"/>
    </row>
    <row r="15">
      <c r="A15" s="59" t="n"/>
      <c r="B15" s="55" t="n"/>
      <c r="C15" s="55" t="n"/>
      <c r="D15" s="55" t="n"/>
      <c r="E15" s="55" t="n"/>
      <c r="F15" s="55" t="n"/>
      <c r="G15" s="55" t="n"/>
      <c r="H15" s="55" t="n"/>
      <c r="I15" s="64" t="inlineStr">
        <is>
          <t>&lt;.3&gt; Physical Count</t>
        </is>
      </c>
      <c r="J15" s="55" t="n"/>
      <c r="K15" s="55" t="n"/>
      <c r="L15" s="55" t="n"/>
      <c r="M15" s="55" t="n"/>
      <c r="N15" s="55" t="n"/>
      <c r="O15" s="55" t="n"/>
      <c r="P15" s="55" t="n"/>
      <c r="Q15" s="55" t="n"/>
    </row>
    <row r="16" ht="120" customHeight="1" s="49">
      <c r="A16" s="61" t="inlineStr">
        <is>
          <t>Applicable</t>
        </is>
      </c>
      <c r="B16" s="61" t="inlineStr">
        <is>
          <t>Required</t>
        </is>
      </c>
      <c r="C16" s="61" t="inlineStr">
        <is>
          <t>Not Started</t>
        </is>
      </c>
      <c r="D16" s="61" t="inlineStr">
        <is>
          <t>Missing</t>
        </is>
      </c>
      <c r="E16" s="61" t="inlineStr">
        <is>
          <t>Unable to Conclude</t>
        </is>
      </c>
      <c r="F16" s="61" t="inlineStr">
        <is>
          <t>None</t>
        </is>
      </c>
      <c r="G16" s="62" t="inlineStr">
        <is>
          <t>Unsigned</t>
        </is>
      </c>
      <c r="H16" s="62">
        <f>IF(A16="Not Applicable - Fact Driven",IF(AND(C16="Not Performed",D16="Not Required",OR(F16="None",F16="Resolved",F16="Passed"),OR(G16="Prepared",G16="Reviewed"),LEFT(O16,6)="FACT:/",Q16&lt;&gt;""),"Valid N/A","Blocked"),IF(AND(B16="Recommended",C16="Not Performed",D16="Not Required",OR(F16="None",F16="Resolved",F16="Passed")),"Recommended - Not Performed",IF(C16&lt;&gt;"Performed","Open - "&amp;C16,IF(D16&lt;&gt;"Sufficient","Open - "&amp;D16&amp;" Evidence",IF(E16="Unable to Conclude","Open - Unable to Conclude",IF(AND(E16="Exception Identified",ISERROR(SEARCH("ISSUE:",P16))),"Open - Missing Issue ID",IF(AND(F16="Open",ISERROR(SEARCH("ISSUE:",P16))),"Open - Missing Issue ID",IF(OR(F16="Open",F16="Superseded"),"Open - "&amp;F16&amp;" Issue",IF(AND(E16="Exception Identified",NOT(OR(F16="Adjusted",F16="Passed",F16="Resolved"))),"Open - Undispositioned Exception",IF(OR(G16="Prepared",G16="Reviewed"),"Passed","Open - Unsigned"))))))))))</f>
        <v/>
      </c>
      <c r="I16" s="62" t="inlineStr">
        <is>
          <t>6. Observe / evaluate the physical count — instructions, tag control, movement freeze and cutoff during the count — and document attendance or the basis for reliance.</t>
        </is>
      </c>
      <c r="J16" s="62" t="inlineStr">
        <is>
          <t>Existence; Completeness</t>
        </is>
      </c>
      <c r="K16" s="62" t="inlineStr">
        <is>
          <t>&lt;.3&gt;</t>
        </is>
      </c>
      <c r="L16" s="62" t="n"/>
      <c r="M16" s="63" t="n"/>
      <c r="N16" s="62" t="n"/>
      <c r="O16" s="62" t="n"/>
      <c r="P16" s="62" t="inlineStr">
        <is>
          <t>PROC:PROC-INVENTORY; PROC:RESP-INVENTORY-INVENTORY; WINDOW:WIN-INVENTORY-CUTOFF</t>
        </is>
      </c>
      <c r="Q16" s="62" t="n"/>
    </row>
    <row r="17" ht="120" customHeight="1" s="49">
      <c r="A17" s="61" t="inlineStr">
        <is>
          <t>Applicable</t>
        </is>
      </c>
      <c r="B17" s="61" t="inlineStr">
        <is>
          <t>Required</t>
        </is>
      </c>
      <c r="C17" s="61" t="inlineStr">
        <is>
          <t>Not Started</t>
        </is>
      </c>
      <c r="D17" s="61" t="inlineStr">
        <is>
          <t>Missing</t>
        </is>
      </c>
      <c r="E17" s="61" t="inlineStr">
        <is>
          <t>Unable to Conclude</t>
        </is>
      </c>
      <c r="F17" s="61" t="inlineStr">
        <is>
          <t>None</t>
        </is>
      </c>
      <c r="G17" s="62" t="inlineStr">
        <is>
          <t>Unsigned</t>
        </is>
      </c>
      <c r="H17" s="62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62" t="inlineStr">
        <is>
          <t>7. Existence direction: select at least 30 items from the LISTING and agree to the FLOOR count; investigate and resolve every difference.</t>
        </is>
      </c>
      <c r="J17" s="62" t="inlineStr">
        <is>
          <t>Existence; Accuracy</t>
        </is>
      </c>
      <c r="K17" s="62" t="inlineStr">
        <is>
          <t>&lt;.3&gt;</t>
        </is>
      </c>
      <c r="L17" s="62" t="n"/>
      <c r="M17" s="63" t="n"/>
      <c r="N17" s="62" t="n"/>
      <c r="O17" s="62" t="n"/>
      <c r="P17" s="62" t="inlineStr">
        <is>
          <t>PROC:PROC-INVENTORY; PROC:RESP-INVENTORY-INVENTORY</t>
        </is>
      </c>
      <c r="Q17" s="62" t="n"/>
    </row>
    <row r="18" ht="120" customHeight="1" s="49">
      <c r="A18" s="61" t="inlineStr">
        <is>
          <t>Applicable</t>
        </is>
      </c>
      <c r="B18" s="61" t="inlineStr">
        <is>
          <t>Required</t>
        </is>
      </c>
      <c r="C18" s="61" t="inlineStr">
        <is>
          <t>Not Started</t>
        </is>
      </c>
      <c r="D18" s="61" t="inlineStr">
        <is>
          <t>Missing</t>
        </is>
      </c>
      <c r="E18" s="61" t="inlineStr">
        <is>
          <t>Unable to Conclude</t>
        </is>
      </c>
      <c r="F18" s="61" t="inlineStr">
        <is>
          <t>None</t>
        </is>
      </c>
      <c r="G18" s="62" t="inlineStr">
        <is>
          <t>Unsigned</t>
        </is>
      </c>
      <c r="H18" s="62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62" t="inlineStr">
        <is>
          <t>8. Completeness direction: select at least 30 items / tags from the FLOOR and trace into the final LISTING; investigate and resolve every difference.</t>
        </is>
      </c>
      <c r="J18" s="62" t="inlineStr">
        <is>
          <t>Completeness; Accuracy</t>
        </is>
      </c>
      <c r="K18" s="62" t="inlineStr">
        <is>
          <t>&lt;.3&gt;</t>
        </is>
      </c>
      <c r="L18" s="62" t="n"/>
      <c r="M18" s="63" t="n"/>
      <c r="N18" s="62" t="n"/>
      <c r="O18" s="62" t="n"/>
      <c r="P18" s="62" t="inlineStr">
        <is>
          <t>PROC:PROC-INVENTORY; PROC:RESP-INVENTORY-INVENTORY</t>
        </is>
      </c>
      <c r="Q18" s="62" t="n"/>
    </row>
    <row r="19">
      <c r="A19" s="59" t="n"/>
      <c r="B19" s="55" t="n"/>
      <c r="C19" s="55" t="n"/>
      <c r="D19" s="55" t="n"/>
      <c r="E19" s="55" t="n"/>
      <c r="F19" s="55" t="n"/>
      <c r="G19" s="55" t="n"/>
      <c r="H19" s="55" t="n"/>
      <c r="I19" s="64" t="inlineStr">
        <is>
          <t>&lt;.4&gt; Count Timing Bridge</t>
        </is>
      </c>
      <c r="J19" s="55" t="n"/>
      <c r="K19" s="55" t="n"/>
      <c r="L19" s="55" t="n"/>
      <c r="M19" s="55" t="n"/>
      <c r="N19" s="55" t="n"/>
      <c r="O19" s="55" t="n"/>
      <c r="P19" s="55" t="n"/>
      <c r="Q19" s="55" t="n"/>
    </row>
    <row r="20" ht="120" customHeight="1" s="49">
      <c r="A20" s="61" t="inlineStr">
        <is>
          <t>Applicable</t>
        </is>
      </c>
      <c r="B20" s="61" t="inlineStr">
        <is>
          <t>Required</t>
        </is>
      </c>
      <c r="C20" s="61" t="inlineStr">
        <is>
          <t>Not Started</t>
        </is>
      </c>
      <c r="D20" s="61" t="inlineStr">
        <is>
          <t>Missing</t>
        </is>
      </c>
      <c r="E20" s="61" t="inlineStr">
        <is>
          <t>Unable to Conclude</t>
        </is>
      </c>
      <c r="F20" s="61" t="inlineStr">
        <is>
          <t>None</t>
        </is>
      </c>
      <c r="G20" s="62" t="inlineStr">
        <is>
          <t>Unsigned</t>
        </is>
      </c>
      <c r="H20" s="62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62" t="inlineStr">
        <is>
          <t>9. Where the count is not at year-end, bridge counted quantities to the year-end listing — rollforward (count before YE: count + receipts − issues = YE qty) or rollback (count after YE: reverse) — and test the bridge-period receipts and issues to GRNs / shipping documents.</t>
        </is>
      </c>
      <c r="J20" s="62" t="inlineStr">
        <is>
          <t>Existence; Completeness; Cutoff</t>
        </is>
      </c>
      <c r="K20" s="62" t="inlineStr">
        <is>
          <t>&lt;.4&gt;</t>
        </is>
      </c>
      <c r="L20" s="62" t="n"/>
      <c r="M20" s="63" t="n"/>
      <c r="N20" s="62" t="n"/>
      <c r="O20" s="62" t="n"/>
      <c r="P20" s="62" t="inlineStr">
        <is>
          <t>PROC:PROC-INVENTORY; PROC:RESP-INVENTORY-INVENTORY; WINDOW:WIN-INVENTORY-CUTOFF</t>
        </is>
      </c>
      <c r="Q20" s="62" t="n"/>
    </row>
    <row r="21">
      <c r="A21" s="59" t="n"/>
      <c r="B21" s="55" t="n"/>
      <c r="C21" s="55" t="n"/>
      <c r="D21" s="55" t="n"/>
      <c r="E21" s="55" t="n"/>
      <c r="F21" s="55" t="n"/>
      <c r="G21" s="55" t="n"/>
      <c r="H21" s="55" t="n"/>
      <c r="I21" s="64" t="inlineStr">
        <is>
          <t>&lt;.5&gt; Third-Party Confirmation</t>
        </is>
      </c>
      <c r="J21" s="55" t="n"/>
      <c r="K21" s="55" t="n"/>
      <c r="L21" s="55" t="n"/>
      <c r="M21" s="55" t="n"/>
      <c r="N21" s="55" t="n"/>
      <c r="O21" s="55" t="n"/>
      <c r="P21" s="55" t="n"/>
      <c r="Q21" s="55" t="n"/>
    </row>
    <row r="22" ht="120" customHeight="1" s="49">
      <c r="A22" s="61" t="inlineStr">
        <is>
          <t>Applicable</t>
        </is>
      </c>
      <c r="B22" s="61" t="inlineStr">
        <is>
          <t>Required</t>
        </is>
      </c>
      <c r="C22" s="61" t="inlineStr">
        <is>
          <t>Not Started</t>
        </is>
      </c>
      <c r="D22" s="61" t="inlineStr">
        <is>
          <t>Missing</t>
        </is>
      </c>
      <c r="E22" s="61" t="inlineStr">
        <is>
          <t>Unable to Conclude</t>
        </is>
      </c>
      <c r="F22" s="61" t="inlineStr">
        <is>
          <t>None</t>
        </is>
      </c>
      <c r="G22" s="62" t="inlineStr">
        <is>
          <t>Unsigned</t>
        </is>
      </c>
      <c r="H22" s="62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62" t="inlineStr">
        <is>
          <t>10. Confirm inventory held by third parties (3PLs, consignees, offsite warehouses) directly with the custodian — controlled process, authenticity testing for electronic replies — and perform alternative procedures (observation at the location, custodian statements, subsequent movements) for non-replies.</t>
        </is>
      </c>
      <c r="J22" s="62" t="inlineStr">
        <is>
          <t>Existence; Rights &amp; Obligations</t>
        </is>
      </c>
      <c r="K22" s="62" t="inlineStr">
        <is>
          <t>&lt;.5&gt;</t>
        </is>
      </c>
      <c r="L22" s="62" t="n"/>
      <c r="M22" s="63" t="n"/>
      <c r="N22" s="62" t="n"/>
      <c r="O22" s="62" t="n"/>
      <c r="P22" s="62" t="inlineStr">
        <is>
          <t>PROC:PROC-INVENTORY; PROC:RESP-INVENTORY-INVENTORY; WINDOW:WIN-INVENTORY-CUTOFF</t>
        </is>
      </c>
      <c r="Q22" s="62" t="n"/>
    </row>
    <row r="23">
      <c r="A23" s="59" t="n"/>
      <c r="B23" s="55" t="n"/>
      <c r="C23" s="55" t="n"/>
      <c r="D23" s="55" t="n"/>
      <c r="E23" s="55" t="n"/>
      <c r="F23" s="55" t="n"/>
      <c r="G23" s="55" t="n"/>
      <c r="H23" s="55" t="n"/>
      <c r="I23" s="64" t="inlineStr">
        <is>
          <t>&lt;.6&gt; Purchases Completeness &amp; GRN</t>
        </is>
      </c>
      <c r="J23" s="55" t="n"/>
      <c r="K23" s="55" t="n"/>
      <c r="L23" s="55" t="n"/>
      <c r="M23" s="55" t="n"/>
      <c r="N23" s="55" t="n"/>
      <c r="O23" s="55" t="n"/>
      <c r="P23" s="55" t="n"/>
      <c r="Q23" s="55" t="n"/>
    </row>
    <row r="24" ht="120" customHeight="1" s="49">
      <c r="A24" s="61" t="inlineStr">
        <is>
          <t>Applicable</t>
        </is>
      </c>
      <c r="B24" s="61" t="inlineStr">
        <is>
          <t>Required</t>
        </is>
      </c>
      <c r="C24" s="61" t="inlineStr">
        <is>
          <t>Not Started</t>
        </is>
      </c>
      <c r="D24" s="61" t="inlineStr">
        <is>
          <t>Missing</t>
        </is>
      </c>
      <c r="E24" s="61" t="inlineStr">
        <is>
          <t>Unable to Conclude</t>
        </is>
      </c>
      <c r="F24" s="61" t="inlineStr">
        <is>
          <t>None</t>
        </is>
      </c>
      <c r="G24" s="62" t="inlineStr">
        <is>
          <t>Unsigned</t>
        </is>
      </c>
      <c r="H24" s="62">
        <f>IF(A24="Not Applicable - Fact Driven",IF(AND(C24="Not Performed",D24="Not Required",OR(F24="None",F24="Resolved",F24="Passed"),OR(G24="Prepared",G24="Reviewed"),LEFT(O24,6)="FACT:/",Q24&lt;&gt;""),"Valid N/A","Blocked"),IF(AND(B24="Recommended",C24="Not Performed",D24="Not Required",OR(F24="None",F24="Resolved",F24="Passed")),"Recommended - Not Performed",IF(C24&lt;&gt;"Performed","Open - "&amp;C24,IF(D24&lt;&gt;"Sufficient","Open - "&amp;D24&amp;" Evidence",IF(E24="Unable to Conclude","Open - Unable to Conclude",IF(AND(E24="Exception Identified",ISERROR(SEARCH("ISSUE:",P24))),"Open - Missing Issue ID",IF(AND(F24="Open",ISERROR(SEARCH("ISSUE:",P24))),"Open - Missing Issue ID",IF(OR(F24="Open",F24="Superseded"),"Open - "&amp;F24&amp;" Issue",IF(AND(E24="Exception Identified",NOT(OR(F24="Adjusted",F24="Passed",F24="Resolved"))),"Open - Undispositioned Exception",IF(OR(G24="Prepared",G24="Reviewed"),"Passed","Open - Unsigned"))))))))))</f>
        <v/>
      </c>
      <c r="I24" s="62" t="inlineStr">
        <is>
          <t>11. Tie the purchase listing to the &lt;.2&gt; rollforward purchases line and to the GL, and investigate differences.</t>
        </is>
      </c>
      <c r="J24" s="62" t="inlineStr">
        <is>
          <t>Completeness; Accuracy</t>
        </is>
      </c>
      <c r="K24" s="62" t="inlineStr">
        <is>
          <t>&lt;.6&gt;/&lt;.2&gt;</t>
        </is>
      </c>
      <c r="L24" s="62" t="n"/>
      <c r="M24" s="63" t="n"/>
      <c r="N24" s="62" t="n"/>
      <c r="O24" s="62" t="n"/>
      <c r="P24" s="62" t="inlineStr">
        <is>
          <t>PROC:PROC-INVENTORY; PROC:RESP-INVENTORY-INVENTORY; WINDOW:WIN-INVENTORY-CUTOFF</t>
        </is>
      </c>
      <c r="Q24" s="62" t="n"/>
    </row>
    <row r="25" ht="120" customHeight="1" s="49">
      <c r="A25" s="61" t="inlineStr">
        <is>
          <t>Applicable</t>
        </is>
      </c>
      <c r="B25" s="61" t="inlineStr">
        <is>
          <t>Required</t>
        </is>
      </c>
      <c r="C25" s="61" t="inlineStr">
        <is>
          <t>Not Started</t>
        </is>
      </c>
      <c r="D25" s="61" t="inlineStr">
        <is>
          <t>Missing</t>
        </is>
      </c>
      <c r="E25" s="61" t="inlineStr">
        <is>
          <t>Unable to Conclude</t>
        </is>
      </c>
      <c r="F25" s="61" t="inlineStr">
        <is>
          <t>None</t>
        </is>
      </c>
      <c r="G25" s="62" t="inlineStr">
        <is>
          <t>Unsigned</t>
        </is>
      </c>
      <c r="H25" s="62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62" t="inlineStr">
        <is>
          <t>12. Select purchases from the listing and agree the purchase / receipt date to the goods-received note (GRN); investigate date mismatches as potential period errors.</t>
        </is>
      </c>
      <c r="J25" s="62" t="inlineStr">
        <is>
          <t>Cutoff; Accuracy</t>
        </is>
      </c>
      <c r="K25" s="62" t="inlineStr">
        <is>
          <t>&lt;.6&gt;/&lt;.7&gt;</t>
        </is>
      </c>
      <c r="L25" s="62" t="n"/>
      <c r="M25" s="63" t="n"/>
      <c r="N25" s="62" t="n"/>
      <c r="O25" s="62" t="n"/>
      <c r="P25" s="62" t="inlineStr">
        <is>
          <t>PROC:PROC-INVENTORY; PROC:RESP-INVENTORY-INVENTORY</t>
        </is>
      </c>
      <c r="Q25" s="62" t="n"/>
    </row>
    <row r="26">
      <c r="A26" s="59" t="n"/>
      <c r="B26" s="55" t="n"/>
      <c r="C26" s="55" t="n"/>
      <c r="D26" s="55" t="n"/>
      <c r="E26" s="55" t="n"/>
      <c r="F26" s="55" t="n"/>
      <c r="G26" s="55" t="n"/>
      <c r="H26" s="55" t="n"/>
      <c r="I26" s="64" t="inlineStr">
        <is>
          <t>&lt;.7&gt; Cutoff Testing</t>
        </is>
      </c>
      <c r="J26" s="55" t="n"/>
      <c r="K26" s="55" t="n"/>
      <c r="L26" s="55" t="n"/>
      <c r="M26" s="55" t="n"/>
      <c r="N26" s="55" t="n"/>
      <c r="O26" s="55" t="n"/>
      <c r="P26" s="55" t="n"/>
      <c r="Q26" s="55" t="n"/>
    </row>
    <row r="27" ht="120" customHeight="1" s="49">
      <c r="A27" s="61" t="inlineStr">
        <is>
          <t>Applicable</t>
        </is>
      </c>
      <c r="B27" s="61" t="inlineStr">
        <is>
          <t>Required</t>
        </is>
      </c>
      <c r="C27" s="61" t="inlineStr">
        <is>
          <t>Not Started</t>
        </is>
      </c>
      <c r="D27" s="61" t="inlineStr">
        <is>
          <t>Missing</t>
        </is>
      </c>
      <c r="E27" s="61" t="inlineStr">
        <is>
          <t>Unable to Conclude</t>
        </is>
      </c>
      <c r="F27" s="61" t="inlineStr">
        <is>
          <t>None</t>
        </is>
      </c>
      <c r="G27" s="62" t="inlineStr">
        <is>
          <t>Unsigned</t>
        </is>
      </c>
      <c r="H27" s="62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62" t="inlineStr">
        <is>
          <t>13. Assess cutoff risk (in-transit volume, FOB shipping-point terms, 3PL locations, period-end activity spikes, manual logs) and scale the extent of testing.</t>
        </is>
      </c>
      <c r="J27" s="62" t="inlineStr">
        <is>
          <t>Cutoff</t>
        </is>
      </c>
      <c r="K27" s="62" t="inlineStr">
        <is>
          <t>&lt;.7&gt;</t>
        </is>
      </c>
      <c r="L27" s="62" t="n"/>
      <c r="M27" s="63" t="n"/>
      <c r="N27" s="62" t="n"/>
      <c r="O27" s="62" t="n"/>
      <c r="P27" s="62" t="inlineStr">
        <is>
          <t>PROC:PROC-INVENTORY; PROC:RESP-INVENTORY-INVENTORY; WINDOW:WIN-INVENTORY-CUTOFF</t>
        </is>
      </c>
      <c r="Q27" s="62" t="n"/>
    </row>
    <row r="28" ht="120" customHeight="1" s="49">
      <c r="A28" s="61" t="inlineStr">
        <is>
          <t>Applicable</t>
        </is>
      </c>
      <c r="B28" s="61" t="inlineStr">
        <is>
          <t>Required</t>
        </is>
      </c>
      <c r="C28" s="61" t="inlineStr">
        <is>
          <t>Not Started</t>
        </is>
      </c>
      <c r="D28" s="61" t="inlineStr">
        <is>
          <t>Missing</t>
        </is>
      </c>
      <c r="E28" s="61" t="inlineStr">
        <is>
          <t>Unable to Conclude</t>
        </is>
      </c>
      <c r="F28" s="61" t="inlineStr">
        <is>
          <t>None</t>
        </is>
      </c>
      <c r="G28" s="62" t="inlineStr">
        <is>
          <t>Unsigned</t>
        </is>
      </c>
      <c r="H28" s="62">
        <f>IF(A28="Not Applicable - Fact Driven",IF(AND(C28="Not Performed",D28="Not Required",OR(F28="None",F28="Resolved",F28="Passed"),OR(G28="Prepared",G28="Reviewed"),LEFT(O28,6)="FACT:/",Q28&lt;&gt;""),"Valid N/A","Blocked"),IF(AND(B28="Recommended",C28="Not Performed",D28="Not Required",OR(F28="None",F28="Resolved",F28="Passed")),"Recommended - Not Performed",IF(C28&lt;&gt;"Performed","Open - "&amp;C28,IF(D28&lt;&gt;"Sufficient","Open - "&amp;D28&amp;" Evidence",IF(E28="Unable to Conclude","Open - Unable to Conclude",IF(AND(E28="Exception Identified",ISERROR(SEARCH("ISSUE:",P28))),"Open - Missing Issue ID",IF(AND(F28="Open",ISERROR(SEARCH("ISSUE:",P28))),"Open - Missing Issue ID",IF(OR(F28="Open",F28="Superseded"),"Open - "&amp;F28&amp;" Issue",IF(AND(E28="Exception Identified",NOT(OR(F28="Adjusted",F28="Passed",F28="Resolved"))),"Open - Undispositioned Exception",IF(OR(G28="Prepared",G28="Reviewed"),"Passed","Open - Unsigned"))))))))))</f>
        <v/>
      </c>
      <c r="I28" s="62" t="inlineStr">
        <is>
          <t>14. Test receiving and shipping cutoff in both directions — the last 5 GRNs / BOLs before and the first 5 after year-end — confirming each is recorded in the proper period (inventory and the related payable / sale).</t>
        </is>
      </c>
      <c r="J28" s="62" t="inlineStr">
        <is>
          <t>Cutoff; Completeness; Existence</t>
        </is>
      </c>
      <c r="K28" s="62" t="inlineStr">
        <is>
          <t>&lt;.7&gt;</t>
        </is>
      </c>
      <c r="L28" s="62" t="n"/>
      <c r="M28" s="63" t="n"/>
      <c r="N28" s="62" t="n"/>
      <c r="O28" s="62" t="n"/>
      <c r="P28" s="62" t="inlineStr">
        <is>
          <t>PROC:PROC-INVENTORY; PROC:RESP-INVENTORY-INVENTORY; WINDOW:WIN-INVENTORY-CUTOFF</t>
        </is>
      </c>
      <c r="Q28" s="62" t="n"/>
    </row>
    <row r="29" ht="120" customHeight="1" s="49">
      <c r="A29" s="61" t="inlineStr">
        <is>
          <t>Applicable</t>
        </is>
      </c>
      <c r="B29" s="61" t="inlineStr">
        <is>
          <t>Required</t>
        </is>
      </c>
      <c r="C29" s="61" t="inlineStr">
        <is>
          <t>Not Started</t>
        </is>
      </c>
      <c r="D29" s="61" t="inlineStr">
        <is>
          <t>Missing</t>
        </is>
      </c>
      <c r="E29" s="61" t="inlineStr">
        <is>
          <t>Unable to Conclude</t>
        </is>
      </c>
      <c r="F29" s="61" t="inlineStr">
        <is>
          <t>None</t>
        </is>
      </c>
      <c r="G29" s="62" t="inlineStr">
        <is>
          <t>Unsigned</t>
        </is>
      </c>
      <c r="H29" s="62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62" t="inlineStr">
        <is>
          <t>15. Evaluate in-transit inventory by shipping terms — FOB shipping-point purchases in transit belong in inventory; FOB destination do not — and conclude on title at year-end.</t>
        </is>
      </c>
      <c r="J29" s="62" t="inlineStr">
        <is>
          <t>Cutoff; Rights &amp; Obligations</t>
        </is>
      </c>
      <c r="K29" s="62" t="inlineStr">
        <is>
          <t>&lt;.7&gt;</t>
        </is>
      </c>
      <c r="L29" s="62" t="n"/>
      <c r="M29" s="63" t="n"/>
      <c r="N29" s="62" t="n"/>
      <c r="O29" s="62" t="n"/>
      <c r="P29" s="62" t="inlineStr">
        <is>
          <t>PROC:PROC-INVENTORY; PROC:RESP-INVENTORY-INVENTORY</t>
        </is>
      </c>
      <c r="Q29" s="62" t="n"/>
    </row>
    <row r="30">
      <c r="A30" s="59" t="n"/>
      <c r="B30" s="55" t="n"/>
      <c r="C30" s="55" t="n"/>
      <c r="D30" s="55" t="n"/>
      <c r="E30" s="55" t="n"/>
      <c r="F30" s="55" t="n"/>
      <c r="G30" s="55" t="n"/>
      <c r="H30" s="55" t="n"/>
      <c r="I30" s="64" t="inlineStr">
        <is>
          <t>Documentation &amp; Review</t>
        </is>
      </c>
      <c r="J30" s="55" t="n"/>
      <c r="K30" s="55" t="n"/>
      <c r="L30" s="55" t="n"/>
      <c r="M30" s="55" t="n"/>
      <c r="N30" s="55" t="n"/>
      <c r="O30" s="55" t="n"/>
      <c r="P30" s="55" t="n"/>
      <c r="Q30" s="55" t="n"/>
    </row>
    <row r="31" ht="120" customHeight="1" s="49">
      <c r="A31" s="61" t="inlineStr">
        <is>
          <t>Applicable</t>
        </is>
      </c>
      <c r="B31" s="61" t="inlineStr">
        <is>
          <t>Required</t>
        </is>
      </c>
      <c r="C31" s="61" t="inlineStr">
        <is>
          <t>Not Started</t>
        </is>
      </c>
      <c r="D31" s="61" t="inlineStr">
        <is>
          <t>Missing</t>
        </is>
      </c>
      <c r="E31" s="61" t="inlineStr">
        <is>
          <t>Unable to Conclude</t>
        </is>
      </c>
      <c r="F31" s="61" t="inlineStr">
        <is>
          <t>None</t>
        </is>
      </c>
      <c r="G31" s="62" t="inlineStr">
        <is>
          <t>Unsigned</t>
        </is>
      </c>
      <c r="H31" s="62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62" t="inlineStr">
        <is>
          <t>16. Cross-reference each procedure to its workpaper tab and link it to the relevant assertion(s).</t>
        </is>
      </c>
      <c r="J31" s="62" t="inlineStr">
        <is>
          <t>Overall</t>
        </is>
      </c>
      <c r="K31" s="62" t="inlineStr">
        <is>
          <t>&lt;.0&gt;-&lt;.7&gt;</t>
        </is>
      </c>
      <c r="L31" s="62" t="n"/>
      <c r="M31" s="63" t="n"/>
      <c r="N31" s="62" t="n"/>
      <c r="O31" s="62" t="n"/>
      <c r="P31" s="62" t="inlineStr">
        <is>
          <t>PROC:PROC-INVENTORY; PROC:RESP-INVENTORY-INVENTORY</t>
        </is>
      </c>
      <c r="Q31" s="62" t="n"/>
    </row>
    <row r="32" ht="120" customHeight="1" s="49">
      <c r="A32" s="61" t="inlineStr">
        <is>
          <t>Applicable</t>
        </is>
      </c>
      <c r="B32" s="61" t="inlineStr">
        <is>
          <t>Required</t>
        </is>
      </c>
      <c r="C32" s="61" t="inlineStr">
        <is>
          <t>Not Started</t>
        </is>
      </c>
      <c r="D32" s="61" t="inlineStr">
        <is>
          <t>Missing</t>
        </is>
      </c>
      <c r="E32" s="61" t="inlineStr">
        <is>
          <t>Unable to Conclude</t>
        </is>
      </c>
      <c r="F32" s="61" t="inlineStr">
        <is>
          <t>None</t>
        </is>
      </c>
      <c r="G32" s="62" t="inlineStr">
        <is>
          <t>Unsigned</t>
        </is>
      </c>
      <c r="H32" s="62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62" t="inlineStr">
        <is>
          <t>17. Verify lead, reconciliation, rollforward and exception-count formulas foot correctly and the workbook source trail is complete.</t>
        </is>
      </c>
      <c r="J32" s="62" t="inlineStr">
        <is>
          <t>Accuracy; Completeness</t>
        </is>
      </c>
      <c r="K32" s="62" t="inlineStr">
        <is>
          <t>&lt;.1&gt;/&lt;.2&gt;</t>
        </is>
      </c>
      <c r="L32" s="62" t="n"/>
      <c r="M32" s="63" t="n"/>
      <c r="N32" s="62" t="n"/>
      <c r="O32" s="62" t="n"/>
      <c r="P32" s="62" t="inlineStr">
        <is>
          <t>PROC:PROC-INVENTORY; PROC:RESP-INVENTORY-INVENTORY; WINDOW:WIN-INVENTORY-CUTOFF</t>
        </is>
      </c>
      <c r="Q32" s="62" t="n"/>
    </row>
    <row r="33">
      <c r="A33" s="59" t="n"/>
      <c r="B33" s="55" t="n"/>
      <c r="C33" s="55" t="n"/>
      <c r="D33" s="55" t="n"/>
      <c r="E33" s="55" t="n"/>
      <c r="F33" s="55" t="n"/>
      <c r="G33" s="55" t="n"/>
      <c r="H33" s="55" t="n"/>
      <c r="I33" s="60" t="inlineStr">
        <is>
          <t>Conclusion</t>
        </is>
      </c>
      <c r="J33" s="55" t="n"/>
      <c r="K33" s="55" t="n"/>
      <c r="L33" s="55" t="n"/>
      <c r="M33" s="55" t="n"/>
      <c r="N33" s="55" t="n"/>
      <c r="O33" s="55" t="n"/>
      <c r="P33" s="55" t="n"/>
      <c r="Q33" s="55" t="n"/>
    </row>
    <row r="34" ht="120" customHeight="1" s="49">
      <c r="A34" s="61" t="inlineStr">
        <is>
          <t>Applicable</t>
        </is>
      </c>
      <c r="B34" s="61" t="inlineStr">
        <is>
          <t>Required</t>
        </is>
      </c>
      <c r="C34" s="61" t="inlineStr">
        <is>
          <t>Not Started</t>
        </is>
      </c>
      <c r="D34" s="61" t="inlineStr">
        <is>
          <t>Missing</t>
        </is>
      </c>
      <c r="E34" s="61" t="inlineStr">
        <is>
          <t>Unable to Conclude</t>
        </is>
      </c>
      <c r="F34" s="61" t="inlineStr">
        <is>
          <t>None</t>
        </is>
      </c>
      <c r="G34" s="62" t="inlineStr">
        <is>
          <t>Unsigned</t>
        </is>
      </c>
      <c r="H34" s="62">
        <f>IF(A34="Not Applicable - Fact Driven",IF(AND(C34="Not Performed",D34="Not Required",OR(F34="None",F34="Resolved",F34="Passed"),OR(G34="Prepared",G34="Reviewed"),LEFT(O34,6)="FACT:/",Q34&lt;&gt;""),"Valid N/A","Blocked"),IF(AND(B34="Recommended",C34="Not Performed",D34="Not Required",OR(F34="None",F34="Resolved",F34="Passed")),"Recommended - Not Performed",IF(C34&lt;&gt;"Performed","Open - "&amp;C34,IF(D34&lt;&gt;"Sufficient","Open - "&amp;D34&amp;" Evidence",IF(E34="Unable to Conclude","Open - Unable to Conclude",IF(AND(E34="Exception Identified",ISERROR(SEARCH("ISSUE:",P34))),"Open - Missing Issue ID",IF(AND(F34="Open",ISERROR(SEARCH("ISSUE:",P34))),"Open - Missing Issue ID",IF(OR(F34="Open",F34="Superseded"),"Open - "&amp;F34&amp;" Issue",IF(AND(E34="Exception Identified",NOT(OR(F34="Adjusted",F34="Passed",F34="Resolved"))),"Open - Undispositioned Exception",IF(OR(G34="Prepared",G34="Reviewed"),"Passed","Open - Unsigned"))))))))))</f>
        <v/>
      </c>
      <c r="I34" s="62" t="inlineStr">
        <is>
          <t>18. All planned existence, completeness and cutoff procedures above were performed; results support the recorded inventory quantities and population, subject to documented open items. Costing and valuation are concluded on the companion Costing &amp; Valuation workpaper.</t>
        </is>
      </c>
      <c r="J34" s="62" t="inlineStr">
        <is>
          <t>Overall</t>
        </is>
      </c>
      <c r="K34" s="62" t="inlineStr">
        <is>
          <t>&lt;.0&gt;-&lt;.7&gt;</t>
        </is>
      </c>
      <c r="L34" s="62" t="n"/>
      <c r="M34" s="63" t="n"/>
      <c r="N34" s="62" t="n"/>
      <c r="O34" s="62" t="n"/>
      <c r="P34" s="62" t="inlineStr">
        <is>
          <t>PROC:PROC-INVENTORY; PROC:RESP-INVENTORY-INVENTORY; WINDOW:WIN-INVENTORY-CUTOFF</t>
        </is>
      </c>
      <c r="Q34" s="62" t="n"/>
    </row>
  </sheetData>
  <autoFilter ref="A6:Q34"/>
  <mergeCells count="11">
    <mergeCell ref="I15:Q15"/>
    <mergeCell ref="I7:Q7"/>
    <mergeCell ref="I30:Q30"/>
    <mergeCell ref="I19:Q19"/>
    <mergeCell ref="I33:Q33"/>
    <mergeCell ref="A4:Q4"/>
    <mergeCell ref="I23:Q23"/>
    <mergeCell ref="I26:Q26"/>
    <mergeCell ref="I9:Q9"/>
    <mergeCell ref="I21:Q21"/>
    <mergeCell ref="I12:Q12"/>
  </mergeCells>
  <conditionalFormatting sqref="A8:Q34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3 A14 A16 A17 A18 A20 A22 A24 A25 A27 A28 A29 A31 A32 A34" showDropDown="0" showInputMessage="0" showErrorMessage="0" allowBlank="0" type="list">
      <formula1>"Applicable,Not Applicable - Fact Driven"</formula1>
    </dataValidation>
    <dataValidation sqref="B8 B10 B11 B13 B14 B16 B17 B18 B20 B22 B24 B25 B27 B28 B29 B31 B32 B34" showDropDown="0" showInputMessage="0" showErrorMessage="0" allowBlank="0" type="list">
      <formula1>"Required,Recommended"</formula1>
    </dataValidation>
    <dataValidation sqref="C8 C10 C11 C13 C14 C16 C17 C18 C20 C22 C24 C25 C27 C28 C29 C31 C32 C34" showDropDown="0" showInputMessage="0" showErrorMessage="0" allowBlank="0" type="list">
      <formula1>"Not Started,In Progress,Performed,Not Performed"</formula1>
    </dataValidation>
    <dataValidation sqref="D8 D10 D11 D13 D14 D16 D17 D18 D20 D22 D24 D25 D27 D28 D29 D31 D32 D34" showDropDown="0" showInputMessage="0" showErrorMessage="0" allowBlank="0" type="list">
      <formula1>"Sufficient,Missing,Unreadable,Unreliable,Contradictory,Not Required"</formula1>
    </dataValidation>
    <dataValidation sqref="E8 E10 E11 E13 E14 E16 E17 E18 E20 E22 E24 E25 E27 E28 E29 E31 E32 E34" showDropDown="0" showInputMessage="0" showErrorMessage="0" allowBlank="0" type="list">
      <formula1>"No Exception,Exception Identified,Unable to Conclude"</formula1>
    </dataValidation>
    <dataValidation sqref="F8 F10 F11 F13 F14 F16 F17 F18 F20 F22 F24 F25 F27 F28 F29 F31 F32 F34" showDropDown="0" showInputMessage="0" showErrorMessage="0" allowBlank="0" type="list">
      <formula1>"None,Open,Adjusted,Passed,Resolved,Superseded"</formula1>
    </dataValidation>
    <dataValidation sqref="G8 G10 G11 G13 G14 G16 G17 G18 G20 G22 G24 G25 G27 G28 G29 G31 G32 G34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4" sqref="A4"/>
    </sheetView>
  </sheetViews>
  <sheetFormatPr baseColWidth="8" defaultColWidth="8.6328125" defaultRowHeight="14.5"/>
  <cols>
    <col width="21.90625" bestFit="1" customWidth="1" style="49" min="1" max="1"/>
    <col width="38" customWidth="1" style="49" min="2" max="2"/>
    <col width="20" customWidth="1" style="49" min="3" max="3"/>
    <col width="37.7" customWidth="1" style="49" min="4" max="4"/>
    <col width="12" customWidth="1" style="49" min="5" max="5"/>
    <col width="24" customWidth="1" style="49" min="6" max="6"/>
    <col width="34" customWidth="1" style="49" min="7" max="7"/>
    <col width="13" customWidth="1" style="49" min="8" max="8"/>
  </cols>
  <sheetData>
    <row r="1" ht="17.5" customHeight="1" s="49">
      <c r="A1" s="65" t="inlineStr">
        <is>
          <t>Source Index</t>
        </is>
      </c>
      <c r="B1" s="55" t="n"/>
      <c r="C1" s="55" t="n"/>
      <c r="D1" s="55" t="n"/>
      <c r="E1" s="55" t="n"/>
      <c r="F1" s="55" t="n"/>
      <c r="G1" s="55" t="n"/>
      <c r="H1" s="55" t="n"/>
    </row>
    <row r="2">
      <c r="A2" s="66" t="inlineStr">
        <is>
          <t>Client / Entity</t>
        </is>
      </c>
      <c r="B2" s="56" t="inlineStr">
        <is>
          <t>Vaquite Industries, Inc.</t>
        </is>
      </c>
      <c r="C2" s="55" t="n"/>
      <c r="D2" s="66" t="inlineStr">
        <is>
          <t>Year-End</t>
        </is>
      </c>
      <c r="E2" s="67" t="n">
        <v>46022</v>
      </c>
      <c r="F2" s="55" t="n"/>
      <c r="G2" s="66" t="inlineStr">
        <is>
          <t>Currency</t>
        </is>
      </c>
      <c r="H2" s="68" t="inlineStr">
        <is>
          <t>USD</t>
        </is>
      </c>
    </row>
    <row r="3" ht="27" customHeight="1" s="49">
      <c r="A3" s="69" t="inlineStr">
        <is>
          <t>Performance Materiality</t>
        </is>
      </c>
      <c r="B3" s="70" t="n">
        <v>23100</v>
      </c>
      <c r="C3" s="55" t="n"/>
      <c r="D3" s="69" t="inlineStr">
        <is>
          <t>Tolerable misstatement / testing threshold</t>
        </is>
      </c>
      <c r="E3" s="70" t="n">
        <v>17400</v>
      </c>
      <c r="F3" s="55" t="n"/>
      <c r="G3" s="55" t="n"/>
      <c r="H3" s="55" t="n"/>
    </row>
    <row r="4" ht="27.75" customHeight="1" s="49">
      <c r="A4" s="71" t="inlineStr">
        <is>
          <t>Purpose:</t>
        </is>
      </c>
      <c r="B4" s="72" t="inlineStr">
        <is>
          <t>Map every inventory PBC source and its limitations so the evidence trail is complete and traceable.</t>
        </is>
      </c>
      <c r="C4" s="73" t="n"/>
      <c r="D4" s="73" t="n"/>
      <c r="E4" s="73" t="n"/>
      <c r="F4" s="73" t="n"/>
      <c r="G4" s="74" t="n"/>
      <c r="H4" s="55" t="n"/>
    </row>
    <row r="5" ht="42" customHeight="1" s="49">
      <c r="A5" s="71" t="inlineStr">
        <is>
          <t>Scope:</t>
        </is>
      </c>
      <c r="B5" s="72" t="inlineStr">
        <is>
          <t>Inventory listing / perpetual records, GL detail, count instructions / sheets / tags, purchase listing &amp; GRNs, shipping documents, 3PL statements &amp; confirmations, bridge-period activity reports.</t>
        </is>
      </c>
      <c r="C5" s="73" t="n"/>
      <c r="D5" s="73" t="n"/>
      <c r="E5" s="73" t="n"/>
      <c r="F5" s="73" t="n"/>
      <c r="G5" s="74" t="n"/>
      <c r="H5" s="55" t="n"/>
    </row>
    <row r="6" ht="15" customHeight="1" s="49">
      <c r="A6" s="71" t="inlineStr">
        <is>
          <t>Assertions:</t>
        </is>
      </c>
      <c r="B6" s="72" t="inlineStr">
        <is>
          <t>Completeness</t>
        </is>
      </c>
      <c r="C6" s="73" t="n"/>
      <c r="D6" s="73" t="n"/>
      <c r="E6" s="73" t="n"/>
      <c r="F6" s="73" t="n"/>
      <c r="G6" s="74" t="n"/>
      <c r="H6" s="55" t="n"/>
    </row>
    <row r="7" ht="30" customHeight="1" s="49">
      <c r="A7" s="75" t="inlineStr">
        <is>
          <t>Ref</t>
        </is>
      </c>
      <c r="B7" s="75" t="inlineStr">
        <is>
          <t>Source document / PBC</t>
        </is>
      </c>
      <c r="C7" s="75" t="inlineStr">
        <is>
          <t>Provided by</t>
        </is>
      </c>
      <c r="D7" s="75" t="inlineStr">
        <is>
          <t>Date received</t>
        </is>
      </c>
      <c r="E7" s="75" t="inlineStr">
        <is>
          <t>Format</t>
        </is>
      </c>
      <c r="F7" s="75" t="inlineStr">
        <is>
          <t>Used in tab(s)</t>
        </is>
      </c>
      <c r="G7" s="75" t="inlineStr">
        <is>
          <t>Limitations / notes</t>
        </is>
      </c>
      <c r="H7" s="55" t="n"/>
    </row>
    <row r="8">
      <c r="A8" s="76" t="n"/>
      <c r="B8" s="76" t="n"/>
      <c r="C8" s="76" t="n"/>
      <c r="D8" s="76" t="n"/>
      <c r="E8" s="76" t="n"/>
      <c r="F8" s="76" t="n"/>
      <c r="G8" s="76" t="n"/>
      <c r="H8" s="55" t="n"/>
    </row>
    <row r="9">
      <c r="A9" s="76" t="n"/>
      <c r="B9" s="76" t="n"/>
      <c r="C9" s="76" t="n"/>
      <c r="D9" s="76" t="n"/>
      <c r="E9" s="76" t="n"/>
      <c r="F9" s="76" t="n"/>
      <c r="G9" s="76" t="n"/>
      <c r="H9" s="55" t="n"/>
    </row>
    <row r="10">
      <c r="A10" s="76" t="n"/>
      <c r="B10" s="76" t="n"/>
      <c r="C10" s="76" t="n"/>
      <c r="D10" s="76" t="n"/>
      <c r="E10" s="76" t="n"/>
      <c r="F10" s="76" t="n"/>
      <c r="G10" s="76" t="n"/>
      <c r="H10" s="55" t="n"/>
    </row>
    <row r="11">
      <c r="A11" s="76" t="n"/>
      <c r="B11" s="76" t="n"/>
      <c r="C11" s="76" t="n"/>
      <c r="D11" s="76" t="n"/>
      <c r="E11" s="76" t="n"/>
      <c r="F11" s="76" t="n"/>
      <c r="G11" s="76" t="n"/>
      <c r="H11" s="55" t="n"/>
    </row>
    <row r="12">
      <c r="A12" s="76" t="n"/>
      <c r="B12" s="76" t="n"/>
      <c r="C12" s="76" t="n"/>
      <c r="D12" s="76" t="n"/>
      <c r="E12" s="76" t="n"/>
      <c r="F12" s="76" t="n"/>
      <c r="G12" s="76" t="n"/>
      <c r="H12" s="55" t="n"/>
    </row>
    <row r="13">
      <c r="A13" s="76" t="n"/>
      <c r="B13" s="76" t="n"/>
      <c r="C13" s="76" t="n"/>
      <c r="D13" s="76" t="n"/>
      <c r="E13" s="76" t="n"/>
      <c r="F13" s="76" t="n"/>
      <c r="G13" s="76" t="n"/>
      <c r="H13" s="55" t="n"/>
    </row>
    <row r="14">
      <c r="A14" s="76" t="n"/>
      <c r="B14" s="76" t="n"/>
      <c r="C14" s="76" t="n"/>
      <c r="D14" s="76" t="n"/>
      <c r="E14" s="76" t="n"/>
      <c r="F14" s="76" t="n"/>
      <c r="G14" s="76" t="n"/>
      <c r="H14" s="55" t="n"/>
    </row>
    <row r="15">
      <c r="A15" s="76" t="n"/>
      <c r="B15" s="76" t="n"/>
      <c r="C15" s="76" t="n"/>
      <c r="D15" s="76" t="n"/>
      <c r="E15" s="76" t="n"/>
      <c r="F15" s="76" t="n"/>
      <c r="G15" s="76" t="n"/>
      <c r="H15" s="55" t="n"/>
    </row>
    <row r="16">
      <c r="A16" s="76" t="n"/>
      <c r="B16" s="76" t="n"/>
      <c r="C16" s="76" t="n"/>
      <c r="D16" s="76" t="n"/>
      <c r="E16" s="76" t="n"/>
      <c r="F16" s="76" t="n"/>
      <c r="G16" s="76" t="n"/>
      <c r="H16" s="55" t="n"/>
    </row>
    <row r="17">
      <c r="A17" s="76" t="n"/>
      <c r="B17" s="76" t="n"/>
      <c r="C17" s="76" t="n"/>
      <c r="D17" s="76" t="n"/>
      <c r="E17" s="76" t="n"/>
      <c r="F17" s="76" t="n"/>
      <c r="G17" s="76" t="n"/>
      <c r="H17" s="55" t="n"/>
    </row>
    <row r="18">
      <c r="A18" s="76" t="n"/>
      <c r="B18" s="76" t="n"/>
      <c r="C18" s="76" t="n"/>
      <c r="D18" s="76" t="n"/>
      <c r="E18" s="76" t="n"/>
      <c r="F18" s="76" t="n"/>
      <c r="G18" s="76" t="n"/>
      <c r="H18" s="55" t="n"/>
    </row>
    <row r="19">
      <c r="A19" s="76" t="n"/>
      <c r="B19" s="76" t="n"/>
      <c r="C19" s="76" t="n"/>
      <c r="D19" s="76" t="n"/>
      <c r="E19" s="76" t="n"/>
      <c r="F19" s="76" t="n"/>
      <c r="G19" s="76" t="n"/>
      <c r="H19" s="55" t="n"/>
    </row>
    <row r="20">
      <c r="A20" s="55" t="n"/>
      <c r="B20" s="55" t="n"/>
      <c r="C20" s="55" t="n"/>
      <c r="D20" s="55" t="n"/>
      <c r="E20" s="55" t="n"/>
      <c r="F20" s="55" t="n"/>
      <c r="G20" s="55" t="n"/>
      <c r="H20" s="55" t="n"/>
    </row>
    <row r="21">
      <c r="A21" s="77" t="inlineStr">
        <is>
          <t>TM Legends</t>
        </is>
      </c>
      <c r="B21" s="55" t="n"/>
      <c r="C21" s="55" t="n"/>
      <c r="D21" s="55" t="n"/>
      <c r="E21" s="55" t="n"/>
      <c r="F21" s="55" t="n"/>
      <c r="G21" s="55" t="n"/>
      <c r="H21" s="55" t="n"/>
    </row>
    <row r="22">
      <c r="A22" s="78" t="inlineStr">
        <is>
          <t>TB</t>
        </is>
      </c>
      <c r="B22" s="61" t="inlineStr">
        <is>
          <t>Agreed to trial balance</t>
        </is>
      </c>
      <c r="C22" s="79" t="n"/>
      <c r="D22" s="80" t="n"/>
      <c r="E22" s="55" t="n"/>
      <c r="F22" s="55" t="n"/>
      <c r="G22" s="55" t="n"/>
      <c r="H22" s="55" t="n"/>
    </row>
    <row r="23">
      <c r="A23" s="78" t="inlineStr">
        <is>
          <t>GL</t>
        </is>
      </c>
      <c r="B23" s="61" t="inlineStr">
        <is>
          <t>Agreed to general ledger</t>
        </is>
      </c>
      <c r="C23" s="79" t="n"/>
      <c r="D23" s="80" t="n"/>
      <c r="E23" s="55" t="n"/>
      <c r="F23" s="55" t="n"/>
      <c r="G23" s="55" t="n"/>
      <c r="H23" s="55" t="n"/>
    </row>
    <row r="24">
      <c r="A24" s="78" t="inlineStr">
        <is>
          <t>CF</t>
        </is>
      </c>
      <c r="B24" s="61" t="inlineStr">
        <is>
          <t>Confirmed with third party</t>
        </is>
      </c>
      <c r="C24" s="79" t="n"/>
      <c r="D24" s="80" t="n"/>
      <c r="E24" s="55" t="n"/>
      <c r="F24" s="55" t="n"/>
      <c r="G24" s="55" t="n"/>
      <c r="H24" s="55" t="n"/>
    </row>
    <row r="25">
      <c r="A25" s="78" t="inlineStr">
        <is>
          <t>V</t>
        </is>
      </c>
      <c r="B25" s="61" t="inlineStr">
        <is>
          <t>Vouched to source document</t>
        </is>
      </c>
      <c r="C25" s="79" t="n"/>
      <c r="D25" s="80" t="n"/>
      <c r="E25" s="55" t="n"/>
      <c r="F25" s="55" t="n"/>
      <c r="G25" s="55" t="n"/>
      <c r="H25" s="55" t="n"/>
    </row>
    <row r="26">
      <c r="A26" s="78" t="inlineStr">
        <is>
          <t>SR</t>
        </is>
      </c>
      <c r="B26" s="61" t="inlineStr">
        <is>
          <t>Agreed to subsequent bank-cleared receipt</t>
        </is>
      </c>
      <c r="C26" s="79" t="n"/>
      <c r="D26" s="80" t="n"/>
      <c r="E26" s="55" t="n"/>
      <c r="F26" s="55" t="n"/>
      <c r="G26" s="55" t="n"/>
      <c r="H26" s="55" t="n"/>
    </row>
    <row r="27">
      <c r="A27" s="78" t="inlineStr">
        <is>
          <t>R</t>
        </is>
      </c>
      <c r="B27" s="61" t="inlineStr">
        <is>
          <t>Recalculated independently</t>
        </is>
      </c>
      <c r="C27" s="79" t="n"/>
      <c r="D27" s="80" t="n"/>
      <c r="E27" s="55" t="n"/>
      <c r="F27" s="55" t="n"/>
      <c r="G27" s="55" t="n"/>
      <c r="H27" s="55" t="n"/>
    </row>
    <row r="28">
      <c r="A28" s="78" t="inlineStr">
        <is>
          <t>F</t>
        </is>
      </c>
      <c r="B28" s="61" t="inlineStr">
        <is>
          <t>Footed / cross-cast</t>
        </is>
      </c>
      <c r="C28" s="79" t="n"/>
      <c r="D28" s="80" t="n"/>
      <c r="E28" s="55" t="n"/>
      <c r="F28" s="55" t="n"/>
      <c r="G28" s="55" t="n"/>
      <c r="H28" s="55" t="n"/>
    </row>
    <row r="29">
      <c r="A29" s="78" t="inlineStr">
        <is>
          <t>T</t>
        </is>
      </c>
      <c r="B29" s="61" t="inlineStr">
        <is>
          <t>Traced to downstream record</t>
        </is>
      </c>
      <c r="C29" s="79" t="n"/>
      <c r="D29" s="80" t="n"/>
      <c r="E29" s="55" t="n"/>
      <c r="F29" s="55" t="n"/>
      <c r="G29" s="55" t="n"/>
      <c r="H29" s="55" t="n"/>
    </row>
    <row r="30">
      <c r="A30" s="78" t="inlineStr">
        <is>
          <t>PBC</t>
        </is>
      </c>
      <c r="B30" s="61" t="inlineStr">
        <is>
          <t>Prepared by client</t>
        </is>
      </c>
      <c r="C30" s="79" t="n"/>
      <c r="D30" s="80" t="n"/>
      <c r="E30" s="55" t="n"/>
      <c r="F30" s="55" t="n"/>
      <c r="G30" s="55" t="n"/>
      <c r="H30" s="55" t="n"/>
    </row>
    <row r="31">
      <c r="A31" s="55" t="n"/>
      <c r="B31" s="55" t="n"/>
      <c r="C31" s="55" t="n"/>
      <c r="D31" s="55" t="n"/>
      <c r="E31" s="55" t="n"/>
      <c r="F31" s="55" t="n"/>
      <c r="G31" s="55" t="n"/>
      <c r="H31" s="55" t="n"/>
    </row>
    <row r="32" ht="27.75" customHeight="1" s="49">
      <c r="A32" s="57" t="inlineStr">
        <is>
          <t>Before sign-off complete Library Procedure 1 (source completeness &amp; limitations).</t>
        </is>
      </c>
      <c r="B32" s="55" t="n"/>
      <c r="C32" s="55" t="n"/>
      <c r="D32" s="55" t="n"/>
      <c r="E32" s="55" t="n"/>
      <c r="F32" s="55" t="n"/>
      <c r="G32" s="55" t="n"/>
      <c r="H32" s="55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I36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C7" sqref="C7"/>
    </sheetView>
  </sheetViews>
  <sheetFormatPr baseColWidth="8" defaultColWidth="8.6328125" defaultRowHeight="14.5"/>
  <cols>
    <col width="28.35" customWidth="1" style="49" min="1" max="1"/>
    <col width="42" customWidth="1" style="49" min="2" max="2"/>
    <col width="39.4" customWidth="1" style="49" min="3" max="3"/>
    <col width="37.7" customWidth="1" style="49" min="4" max="4"/>
    <col width="15" customWidth="1" style="49" min="5" max="6"/>
    <col width="13" customWidth="1" style="49" min="6" max="6"/>
    <col width="30.9" customWidth="1" style="49" min="7" max="7"/>
    <col width="34.3" customWidth="1" style="49" min="8" max="8"/>
    <col width="26" customWidth="1" style="49" min="9" max="9"/>
  </cols>
  <sheetData>
    <row r="1" ht="17.5" customHeight="1" s="49">
      <c r="A1" s="54" t="inlineStr">
        <is>
          <t>Inventory Lead Sheet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</row>
    <row r="2">
      <c r="A2" s="66" t="inlineStr">
        <is>
          <t>Client / Entity</t>
        </is>
      </c>
      <c r="B2" s="56" t="inlineStr">
        <is>
          <t>Vaquite Industries, Inc.</t>
        </is>
      </c>
      <c r="C2" s="55" t="n"/>
      <c r="D2" s="66" t="inlineStr">
        <is>
          <t>Year-End</t>
        </is>
      </c>
      <c r="E2" s="67" t="n">
        <v>46022</v>
      </c>
      <c r="F2" s="55" t="n"/>
      <c r="G2" s="66" t="inlineStr">
        <is>
          <t>Currency</t>
        </is>
      </c>
      <c r="H2" s="68" t="inlineStr">
        <is>
          <t>USD</t>
        </is>
      </c>
      <c r="I2" s="55" t="n"/>
    </row>
    <row r="3" ht="27" customHeight="1" s="49">
      <c r="A3" s="69" t="inlineStr">
        <is>
          <t>Performance Materiality</t>
        </is>
      </c>
      <c r="B3" s="70" t="n">
        <v>23100</v>
      </c>
      <c r="C3" s="55" t="n"/>
      <c r="D3" s="69" t="inlineStr">
        <is>
          <t>Tolerable misstatement / testing threshold</t>
        </is>
      </c>
      <c r="E3" s="70" t="n">
        <v>17400</v>
      </c>
      <c r="F3" s="55" t="n"/>
      <c r="G3" s="55" t="n"/>
      <c r="H3" s="55" t="n"/>
      <c r="I3" s="55" t="n"/>
    </row>
    <row r="4" ht="27.75" customHeight="1" s="49">
      <c r="A4" s="77" t="inlineStr">
        <is>
          <t>Purpose:</t>
        </is>
      </c>
      <c r="B4" s="81" t="inlineStr">
        <is>
          <t>Summarize inventory by category, tie gross, reserve and net to the trial balance, and flag the cost method per category with a policy-consistency check.</t>
        </is>
      </c>
      <c r="C4" s="55" t="n"/>
      <c r="D4" s="55" t="n"/>
      <c r="E4" s="55" t="n"/>
      <c r="F4" s="55" t="n"/>
      <c r="G4" s="55" t="n"/>
      <c r="H4" s="55" t="n"/>
      <c r="I4" s="55" t="n"/>
    </row>
    <row r="5" ht="27.75" customHeight="1" s="49">
      <c r="A5" s="77" t="inlineStr">
        <is>
          <t>Scope:</t>
        </is>
      </c>
      <c r="B5" s="81" t="inlineStr">
        <is>
          <t>inventory GL accounts (1016, 1017, 1018, 1014, 1019) — raw materials, WIP, finished goods, in-transit, reserve. Non-inventory (P&amp;L) accounts must NOT appear in the population.</t>
        </is>
      </c>
      <c r="C5" s="55" t="n"/>
      <c r="D5" s="55" t="n"/>
      <c r="E5" s="55" t="n"/>
      <c r="F5" s="55" t="n"/>
      <c r="G5" s="55" t="n"/>
      <c r="H5" s="55" t="n"/>
      <c r="I5" s="55" t="n"/>
    </row>
    <row r="6" ht="15" customHeight="1" s="49">
      <c r="A6" s="77" t="inlineStr">
        <is>
          <t>Assertions:</t>
        </is>
      </c>
      <c r="B6" s="81" t="inlineStr">
        <is>
          <t>Existence; Completeness; Valuation &amp; Allocation; Rights &amp; Obligations; Classification</t>
        </is>
      </c>
      <c r="C6" s="55" t="n"/>
      <c r="D6" s="55" t="n"/>
      <c r="E6" s="55" t="n"/>
      <c r="F6" s="55" t="n"/>
      <c r="G6" s="55" t="n"/>
      <c r="H6" s="55" t="n"/>
      <c r="I6" s="55" t="n"/>
    </row>
    <row r="7" ht="30" customHeight="1" s="49">
      <c r="A7" s="82" t="inlineStr">
        <is>
          <t>Category</t>
        </is>
      </c>
      <c r="B7" s="82" t="inlineStr">
        <is>
          <t>GL Account</t>
        </is>
      </c>
      <c r="C7" s="82" t="inlineStr">
        <is>
          <t>Cost method (standard / weighted avg / FIFO)</t>
        </is>
      </c>
      <c r="D7" s="82" t="inlineStr">
        <is>
          <t>Policy-consistent? (Y/N)</t>
        </is>
      </c>
      <c r="E7" s="82" t="inlineStr">
        <is>
          <t>CY Balance</t>
        </is>
      </c>
      <c r="F7" s="82" t="inlineStr">
        <is>
          <t>PY Balance</t>
        </is>
      </c>
      <c r="G7" s="82" t="inlineStr">
        <is>
          <t>Difference</t>
        </is>
      </c>
      <c r="H7" s="82" t="inlineStr">
        <is>
          <t>% Change</t>
        </is>
      </c>
      <c r="I7" s="82" t="inlineStr">
        <is>
          <t>Source / Comments</t>
        </is>
      </c>
    </row>
    <row r="8">
      <c r="A8" s="55" t="n"/>
      <c r="B8" s="55" t="n"/>
      <c r="C8" s="55" t="n"/>
      <c r="D8" s="55" t="n"/>
      <c r="E8" s="83" t="inlineStr">
        <is>
          <t>TB</t>
        </is>
      </c>
      <c r="F8" s="83" t="inlineStr">
        <is>
          <t>PY</t>
        </is>
      </c>
      <c r="G8" s="83" t="inlineStr">
        <is>
          <t>R</t>
        </is>
      </c>
      <c r="H8" s="55" t="n"/>
      <c r="I8" s="55" t="n"/>
    </row>
    <row r="9">
      <c r="A9" s="76" t="inlineStr">
        <is>
          <t>Raw materials</t>
        </is>
      </c>
      <c r="B9" s="61" t="inlineStr">
        <is>
          <t>1016 - Inventory - raw materials</t>
        </is>
      </c>
      <c r="C9" s="76" t="n"/>
      <c r="D9" s="76" t="n"/>
      <c r="E9" s="84" t="n"/>
      <c r="F9" s="84" t="n"/>
      <c r="G9" s="85">
        <f>IF(AND(E9="",F9=""),"",E9-F9)</f>
        <v/>
      </c>
      <c r="H9" s="86">
        <f>IF(OR(F9="",F9=0),"",(E9-F9)/F9)</f>
        <v/>
      </c>
      <c r="I9" s="76" t="n"/>
    </row>
    <row r="10" ht="27" customHeight="1" s="49">
      <c r="A10" s="76" t="inlineStr">
        <is>
          <t>Work in process</t>
        </is>
      </c>
      <c r="B10" s="61" t="inlineStr">
        <is>
          <t>1017 - Inventory - work in process</t>
        </is>
      </c>
      <c r="C10" s="76" t="n"/>
      <c r="D10" s="76" t="n"/>
      <c r="E10" s="84" t="n"/>
      <c r="F10" s="84" t="n"/>
      <c r="G10" s="85">
        <f>IF(AND(E10="",F10=""),"",E10-F10)</f>
        <v/>
      </c>
      <c r="H10" s="86">
        <f>IF(OR(F10="",F10=0),"",(E10-F10)/F10)</f>
        <v/>
      </c>
      <c r="I10" s="76" t="n"/>
    </row>
    <row r="11" ht="27" customHeight="1" s="49">
      <c r="A11" s="76" t="inlineStr">
        <is>
          <t>Finished goods</t>
        </is>
      </c>
      <c r="B11" s="61" t="inlineStr">
        <is>
          <t>1018 - Inventory - finished goods</t>
        </is>
      </c>
      <c r="C11" s="76" t="n"/>
      <c r="D11" s="76" t="n"/>
      <c r="E11" s="84" t="n"/>
      <c r="F11" s="84" t="n"/>
      <c r="G11" s="85">
        <f>IF(AND(E11="",F11=""),"",E11-F11)</f>
        <v/>
      </c>
      <c r="H11" s="86">
        <f>IF(OR(F11="",F11=0),"",(E11-F11)/F11)</f>
        <v/>
      </c>
      <c r="I11" s="76" t="n"/>
    </row>
    <row r="12" ht="27" customHeight="1" s="49">
      <c r="A12" s="76" t="inlineStr">
        <is>
          <t>In transit</t>
        </is>
      </c>
      <c r="B12" s="61" t="inlineStr">
        <is>
          <t>1014 - Inventory in transit</t>
        </is>
      </c>
      <c r="C12" s="76" t="n"/>
      <c r="D12" s="76" t="n"/>
      <c r="E12" s="84" t="n"/>
      <c r="F12" s="84" t="n"/>
      <c r="G12" s="85">
        <f>IF(AND(E12="",F12=""),"",E12-F12)</f>
        <v/>
      </c>
      <c r="H12" s="86">
        <f>IF(OR(F12="",F12=0),"",(E12-F12)/F12)</f>
        <v/>
      </c>
      <c r="I12" s="76" t="n"/>
    </row>
    <row r="13" ht="27" customHeight="1" s="49">
      <c r="A13" s="76" t="n"/>
      <c r="B13" s="76" t="n"/>
      <c r="C13" s="76" t="n"/>
      <c r="D13" s="76" t="n"/>
      <c r="E13" s="84" t="n"/>
      <c r="F13" s="84" t="n"/>
      <c r="G13" s="85">
        <f>IF(AND(E13="",F13=""),"",E13-F13)</f>
        <v/>
      </c>
      <c r="H13" s="86">
        <f>IF(OR(F13="",F13=0),"",(E13-F13)/F13)</f>
        <v/>
      </c>
      <c r="I13" s="76" t="n"/>
    </row>
    <row r="14" ht="27" customHeight="1" s="49">
      <c r="A14" s="76" t="n"/>
      <c r="B14" s="76" t="n"/>
      <c r="C14" s="76" t="n"/>
      <c r="D14" s="76" t="n"/>
      <c r="E14" s="84" t="n"/>
      <c r="F14" s="84" t="n"/>
      <c r="G14" s="85">
        <f>IF(AND(E14="",F14=""),"",E14-F14)</f>
        <v/>
      </c>
      <c r="H14" s="86">
        <f>IF(OR(F14="",F14=0),"",(E14-F14)/F14)</f>
        <v/>
      </c>
      <c r="I14" s="76" t="n"/>
    </row>
    <row r="15" ht="27" customHeight="1" s="49">
      <c r="A15" s="76" t="n"/>
      <c r="B15" s="76" t="n"/>
      <c r="C15" s="76" t="n"/>
      <c r="D15" s="76" t="n"/>
      <c r="E15" s="84" t="n"/>
      <c r="F15" s="84" t="n"/>
      <c r="G15" s="85">
        <f>IF(AND(E15="",F15=""),"",E15-F15)</f>
        <v/>
      </c>
      <c r="H15" s="86">
        <f>IF(OR(F15="",F15=0),"",(E15-F15)/F15)</f>
        <v/>
      </c>
      <c r="I15" s="76" t="n"/>
    </row>
    <row r="16" ht="27" customHeight="1" s="49">
      <c r="A16" s="76" t="n"/>
      <c r="B16" s="76" t="n"/>
      <c r="C16" s="76" t="n"/>
      <c r="D16" s="76" t="n"/>
      <c r="E16" s="84" t="n"/>
      <c r="F16" s="84" t="n"/>
      <c r="G16" s="85">
        <f>IF(AND(E16="",F16=""),"",E16-F16)</f>
        <v/>
      </c>
      <c r="H16" s="86">
        <f>IF(OR(F16="",F16=0),"",(E16-F16)/F16)</f>
        <v/>
      </c>
      <c r="I16" s="76" t="n"/>
    </row>
    <row r="17">
      <c r="A17" s="87" t="inlineStr">
        <is>
          <t>Gross inventory</t>
        </is>
      </c>
      <c r="B17" s="87" t="n"/>
      <c r="C17" s="87" t="n"/>
      <c r="D17" s="87" t="n"/>
      <c r="E17" s="88">
        <f>SUM(E9:E16)</f>
        <v/>
      </c>
      <c r="F17" s="88">
        <f>SUM(F9:F16)</f>
        <v/>
      </c>
      <c r="G17" s="88">
        <f>SUM(G9:G16)</f>
        <v/>
      </c>
      <c r="H17" s="87" t="n"/>
      <c r="I17" s="87" t="n"/>
    </row>
    <row r="18" ht="27" customHeight="1" s="49">
      <c r="A18" s="61" t="inlineStr">
        <is>
          <t>Less: inventory reserve</t>
        </is>
      </c>
      <c r="B18" s="61" t="inlineStr">
        <is>
          <t>1019 - Reserve for excess and obsolete inventory</t>
        </is>
      </c>
      <c r="C18" s="76" t="n"/>
      <c r="D18" s="76" t="n"/>
      <c r="E18" s="84" t="n"/>
      <c r="F18" s="76" t="n"/>
      <c r="G18" s="76" t="n"/>
      <c r="H18" s="76" t="n"/>
      <c r="I18" s="76" t="n"/>
    </row>
    <row r="19">
      <c r="A19" s="89" t="inlineStr">
        <is>
          <t>Net inventory (= TB)</t>
        </is>
      </c>
      <c r="B19" s="76" t="n"/>
      <c r="C19" s="76" t="n"/>
      <c r="D19" s="76" t="n"/>
      <c r="E19" s="90">
        <f>E17-E18</f>
        <v/>
      </c>
      <c r="F19" s="76" t="n"/>
      <c r="G19" s="76" t="n"/>
      <c r="H19" s="76" t="n"/>
      <c r="I19" s="76" t="n"/>
    </row>
    <row r="20" ht="27" customHeight="1" s="49">
      <c r="A20" s="61" t="inlineStr">
        <is>
          <t>Net inventory per trial balance</t>
        </is>
      </c>
      <c r="B20" s="76" t="n"/>
      <c r="C20" s="76" t="n"/>
      <c r="D20" s="76" t="n"/>
      <c r="E20" s="84" t="n"/>
      <c r="F20" s="76" t="n"/>
      <c r="G20" s="76" t="n"/>
      <c r="H20" s="76" t="n"/>
      <c r="I20" s="76" t="n"/>
    </row>
    <row r="21">
      <c r="A21" s="89" t="inlineStr">
        <is>
          <t>Difference (should be 0)</t>
        </is>
      </c>
      <c r="B21" s="76" t="n"/>
      <c r="C21" s="76" t="n"/>
      <c r="D21" s="76" t="n"/>
      <c r="E21" s="90">
        <f>E19-E20</f>
        <v/>
      </c>
      <c r="F21" s="76" t="n"/>
      <c r="G21" s="76" t="n"/>
      <c r="H21" s="76" t="n"/>
      <c r="I21" s="76" t="n"/>
    </row>
    <row r="22">
      <c r="A22" s="55" t="n"/>
      <c r="B22" s="55" t="n"/>
      <c r="C22" s="55" t="n"/>
      <c r="D22" s="55" t="n"/>
      <c r="E22" s="55" t="n"/>
      <c r="F22" s="55" t="n"/>
      <c r="G22" s="55" t="n"/>
      <c r="H22" s="55" t="n"/>
      <c r="I22" s="55" t="n"/>
    </row>
    <row r="23" ht="27.75" customHeight="1" s="49">
      <c r="A23" s="57" t="inlineStr">
        <is>
          <t>Population control: only inventory GL accounts (1016, 1017, 1018, 1014, 1019) may roll into this lead. Any P&amp;L account (e.g., 6001/6005) commingled in the client listing is excluded on &lt;.2&gt; and reclassified. Where more than one cost method appears within a category, flag the policy-consistency column and resolve on the Costing &amp; Valuation workpaper.</t>
        </is>
      </c>
      <c r="B23" s="55" t="n"/>
      <c r="C23" s="55" t="n"/>
      <c r="D23" s="55" t="n"/>
      <c r="E23" s="55" t="n"/>
      <c r="F23" s="55" t="n"/>
      <c r="G23" s="55" t="n"/>
      <c r="H23" s="55" t="n"/>
      <c r="I23" s="55" t="n"/>
    </row>
    <row r="24">
      <c r="A24" s="55" t="n"/>
      <c r="B24" s="55" t="n"/>
      <c r="C24" s="55" t="n"/>
      <c r="D24" s="55" t="n"/>
      <c r="E24" s="55" t="n"/>
      <c r="F24" s="55" t="n"/>
      <c r="G24" s="55" t="n"/>
      <c r="H24" s="55" t="n"/>
      <c r="I24" s="55" t="n"/>
    </row>
    <row r="25">
      <c r="A25" s="77" t="inlineStr">
        <is>
          <t>TM Legends</t>
        </is>
      </c>
      <c r="B25" s="55" t="n"/>
      <c r="C25" s="55" t="n"/>
      <c r="D25" s="55" t="n"/>
      <c r="E25" s="55" t="n"/>
      <c r="F25" s="55" t="n"/>
      <c r="G25" s="55" t="n"/>
      <c r="H25" s="55" t="n"/>
      <c r="I25" s="55" t="n"/>
    </row>
    <row r="26">
      <c r="A26" s="78" t="inlineStr">
        <is>
          <t>TB</t>
        </is>
      </c>
      <c r="B26" s="61" t="inlineStr">
        <is>
          <t>Agreed to trial balance</t>
        </is>
      </c>
      <c r="C26" s="79" t="n"/>
      <c r="D26" s="80" t="n"/>
      <c r="E26" s="55" t="n"/>
      <c r="F26" s="55" t="n"/>
      <c r="G26" s="55" t="n"/>
      <c r="H26" s="55" t="n"/>
      <c r="I26" s="55" t="n"/>
    </row>
    <row r="27">
      <c r="A27" s="78" t="inlineStr">
        <is>
          <t>GL</t>
        </is>
      </c>
      <c r="B27" s="61" t="inlineStr">
        <is>
          <t>Agreed to general ledger</t>
        </is>
      </c>
      <c r="C27" s="79" t="n"/>
      <c r="D27" s="80" t="n"/>
      <c r="E27" s="55" t="n"/>
      <c r="F27" s="55" t="n"/>
      <c r="G27" s="55" t="n"/>
      <c r="H27" s="55" t="n"/>
      <c r="I27" s="55" t="n"/>
    </row>
    <row r="28">
      <c r="A28" s="78" t="inlineStr">
        <is>
          <t>CF</t>
        </is>
      </c>
      <c r="B28" s="61" t="inlineStr">
        <is>
          <t>Confirmed with third party</t>
        </is>
      </c>
      <c r="C28" s="79" t="n"/>
      <c r="D28" s="80" t="n"/>
      <c r="E28" s="55" t="n"/>
      <c r="F28" s="55" t="n"/>
      <c r="G28" s="55" t="n"/>
      <c r="H28" s="55" t="n"/>
      <c r="I28" s="55" t="n"/>
    </row>
    <row r="29">
      <c r="A29" s="78" t="inlineStr">
        <is>
          <t>V</t>
        </is>
      </c>
      <c r="B29" s="61" t="inlineStr">
        <is>
          <t>Vouched to source document</t>
        </is>
      </c>
      <c r="C29" s="79" t="n"/>
      <c r="D29" s="80" t="n"/>
      <c r="E29" s="55" t="n"/>
      <c r="F29" s="55" t="n"/>
      <c r="G29" s="55" t="n"/>
      <c r="H29" s="55" t="n"/>
      <c r="I29" s="55" t="n"/>
    </row>
    <row r="30">
      <c r="A30" s="78" t="inlineStr">
        <is>
          <t>SR</t>
        </is>
      </c>
      <c r="B30" s="61" t="inlineStr">
        <is>
          <t>Agreed to subsequent bank-cleared receipt</t>
        </is>
      </c>
      <c r="C30" s="79" t="n"/>
      <c r="D30" s="80" t="n"/>
      <c r="E30" s="55" t="n"/>
      <c r="F30" s="55" t="n"/>
      <c r="G30" s="55" t="n"/>
      <c r="H30" s="55" t="n"/>
      <c r="I30" s="55" t="n"/>
    </row>
    <row r="31">
      <c r="A31" s="78" t="inlineStr">
        <is>
          <t>R</t>
        </is>
      </c>
      <c r="B31" s="61" t="inlineStr">
        <is>
          <t>Recalculated independently</t>
        </is>
      </c>
      <c r="C31" s="79" t="n"/>
      <c r="D31" s="80" t="n"/>
      <c r="E31" s="55" t="n"/>
      <c r="F31" s="55" t="n"/>
      <c r="G31" s="55" t="n"/>
      <c r="H31" s="55" t="n"/>
      <c r="I31" s="55" t="n"/>
    </row>
    <row r="32">
      <c r="A32" s="78" t="inlineStr">
        <is>
          <t>F</t>
        </is>
      </c>
      <c r="B32" s="61" t="inlineStr">
        <is>
          <t>Footed / cross-cast</t>
        </is>
      </c>
      <c r="C32" s="79" t="n"/>
      <c r="D32" s="80" t="n"/>
      <c r="E32" s="55" t="n"/>
      <c r="F32" s="55" t="n"/>
      <c r="G32" s="55" t="n"/>
      <c r="H32" s="55" t="n"/>
      <c r="I32" s="55" t="n"/>
    </row>
    <row r="33">
      <c r="A33" s="78" t="inlineStr">
        <is>
          <t>T</t>
        </is>
      </c>
      <c r="B33" s="61" t="inlineStr">
        <is>
          <t>Traced to downstream record</t>
        </is>
      </c>
      <c r="C33" s="79" t="n"/>
      <c r="D33" s="80" t="n"/>
      <c r="E33" s="55" t="n"/>
      <c r="F33" s="55" t="n"/>
      <c r="G33" s="55" t="n"/>
      <c r="H33" s="55" t="n"/>
      <c r="I33" s="55" t="n"/>
    </row>
    <row r="34">
      <c r="A34" s="78" t="inlineStr">
        <is>
          <t>PBC</t>
        </is>
      </c>
      <c r="B34" s="61" t="inlineStr">
        <is>
          <t>Prepared by client</t>
        </is>
      </c>
      <c r="C34" s="79" t="n"/>
      <c r="D34" s="80" t="n"/>
      <c r="E34" s="55" t="n"/>
      <c r="F34" s="55" t="n"/>
      <c r="G34" s="55" t="n"/>
      <c r="H34" s="55" t="n"/>
      <c r="I34" s="55" t="n"/>
    </row>
    <row r="35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</row>
    <row r="36" ht="27.75" customHeight="1" s="49">
      <c r="A36" s="57" t="inlineStr">
        <is>
          <t>Before sign-off complete Library Procedures 2-3 (lead tie-out; cost-method &amp; population-control flags).</t>
        </is>
      </c>
      <c r="B36" s="55" t="n"/>
      <c r="C36" s="55" t="n"/>
      <c r="D36" s="55" t="n"/>
      <c r="E36" s="55" t="n"/>
      <c r="F36" s="55" t="n"/>
      <c r="G36" s="55" t="n"/>
      <c r="H36" s="55" t="n"/>
      <c r="I36" s="55" t="n"/>
    </row>
  </sheetData>
  <mergeCells count="14">
    <mergeCell ref="B33:D33"/>
    <mergeCell ref="B28:D28"/>
    <mergeCell ref="B31:D31"/>
    <mergeCell ref="B6:I6"/>
    <mergeCell ref="A36:I36"/>
    <mergeCell ref="B32:D32"/>
    <mergeCell ref="B26:D26"/>
    <mergeCell ref="B27:D27"/>
    <mergeCell ref="A23:I23"/>
    <mergeCell ref="B5:I5"/>
    <mergeCell ref="B30:D30"/>
    <mergeCell ref="B29:D29"/>
    <mergeCell ref="B4:I4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H42"/>
  <sheetViews>
    <sheetView showGridLines="0" zoomScale="90" zoomScaleNormal="100" workbookViewId="0">
      <pane ySplit="7" topLeftCell="A8" activePane="bottomLeft" state="frozen"/>
      <selection pane="bottomLeft" activeCell="A4" sqref="A4:G6"/>
    </sheetView>
  </sheetViews>
  <sheetFormatPr baseColWidth="8" defaultColWidth="8.6328125" defaultRowHeight="14.5"/>
  <cols>
    <col width="42" customWidth="1" style="49" min="1" max="1"/>
    <col width="22.4" customWidth="1" style="49" min="2" max="3"/>
    <col width="13.05" customWidth="1" style="49" min="3" max="3"/>
    <col width="37.7" customWidth="1" style="49" min="4" max="4"/>
    <col width="35.15" customWidth="1" style="49" min="5" max="5"/>
    <col width="15" customWidth="1" style="49" min="6" max="6"/>
    <col width="26" customWidth="1" style="49" min="7" max="7"/>
    <col width="13" customWidth="1" style="49" min="8" max="8"/>
  </cols>
  <sheetData>
    <row r="1" ht="17.5" customHeight="1" s="49">
      <c r="A1" s="54" t="inlineStr">
        <is>
          <t>Inventory Reconciliation</t>
        </is>
      </c>
      <c r="B1" s="55" t="n"/>
      <c r="C1" s="55" t="n"/>
      <c r="D1" s="55" t="n"/>
      <c r="E1" s="55" t="n"/>
      <c r="F1" s="55" t="n"/>
      <c r="G1" s="55" t="n"/>
      <c r="H1" s="55" t="n"/>
    </row>
    <row r="2" ht="27" customHeight="1" s="49">
      <c r="A2" s="66" t="inlineStr">
        <is>
          <t>Client / Entity</t>
        </is>
      </c>
      <c r="B2" s="56" t="inlineStr">
        <is>
          <t>Vaquite Industries, Inc.</t>
        </is>
      </c>
      <c r="C2" s="55" t="n"/>
      <c r="D2" s="66" t="inlineStr">
        <is>
          <t>Year-End</t>
        </is>
      </c>
      <c r="E2" s="67" t="n">
        <v>46022</v>
      </c>
      <c r="F2" s="55" t="n"/>
      <c r="G2" s="66" t="inlineStr">
        <is>
          <t>Currency</t>
        </is>
      </c>
      <c r="H2" s="68" t="inlineStr">
        <is>
          <t>USD</t>
        </is>
      </c>
    </row>
    <row r="3" ht="27" customHeight="1" s="49">
      <c r="A3" s="69" t="inlineStr">
        <is>
          <t>Performance Materiality</t>
        </is>
      </c>
      <c r="B3" s="70" t="n">
        <v>23100</v>
      </c>
      <c r="C3" s="55" t="n"/>
      <c r="D3" s="69" t="inlineStr">
        <is>
          <t>Tolerable misstatement / testing threshold</t>
        </is>
      </c>
      <c r="E3" s="70" t="n">
        <v>17400</v>
      </c>
      <c r="F3" s="55" t="n"/>
      <c r="G3" s="55" t="n"/>
      <c r="H3" s="55" t="n"/>
    </row>
    <row r="4" ht="27.75" customHeight="1" s="49">
      <c r="A4" s="71" t="inlineStr">
        <is>
          <t>Purpose:</t>
        </is>
      </c>
      <c r="B4" s="72" t="inlineStr">
        <is>
          <t>Reconcile the perpetual listing / valuation report to the GL and trial balance by category, exclude non-inventory accounts, and prove completeness by rollforward.</t>
        </is>
      </c>
      <c r="C4" s="73" t="n"/>
      <c r="D4" s="73" t="n"/>
      <c r="E4" s="73" t="n"/>
      <c r="F4" s="73" t="n"/>
      <c r="G4" s="74" t="n"/>
      <c r="H4" s="55" t="n"/>
    </row>
    <row r="5" ht="27.75" customHeight="1" s="49">
      <c r="A5" s="71" t="inlineStr">
        <is>
          <t>Scope:</t>
        </is>
      </c>
      <c r="B5" s="72" t="inlineStr">
        <is>
          <t>The full client listing (including any commingled P&amp;L accounts, which are isolated and excluded) and the inventory GL.</t>
        </is>
      </c>
      <c r="C5" s="73" t="n"/>
      <c r="D5" s="73" t="n"/>
      <c r="E5" s="73" t="n"/>
      <c r="F5" s="73" t="n"/>
      <c r="G5" s="74" t="n"/>
      <c r="H5" s="55" t="n"/>
    </row>
    <row r="6" ht="15" customHeight="1" s="49">
      <c r="A6" s="71" t="inlineStr">
        <is>
          <t>Assertions:</t>
        </is>
      </c>
      <c r="B6" s="72" t="inlineStr">
        <is>
          <t>Completeness; Accuracy; Classification</t>
        </is>
      </c>
      <c r="C6" s="73" t="n"/>
      <c r="D6" s="73" t="n"/>
      <c r="E6" s="73" t="n"/>
      <c r="F6" s="73" t="n"/>
      <c r="G6" s="74" t="n"/>
      <c r="H6" s="55" t="n"/>
    </row>
    <row r="7">
      <c r="A7" s="91" t="inlineStr">
        <is>
          <t>A. Listing-to-GL reconciliation by category</t>
        </is>
      </c>
      <c r="B7" s="55" t="n"/>
      <c r="C7" s="55" t="n"/>
      <c r="D7" s="55" t="n"/>
      <c r="E7" s="55" t="n"/>
      <c r="F7" s="55" t="n"/>
      <c r="G7" s="55" t="n"/>
      <c r="H7" s="55" t="n"/>
    </row>
    <row r="8" ht="27" customHeight="1" s="49">
      <c r="A8" s="82" t="inlineStr">
        <is>
          <t>Category / GL account</t>
        </is>
      </c>
      <c r="B8" s="82" t="inlineStr">
        <is>
          <t>Per listing</t>
        </is>
      </c>
      <c r="C8" s="82" t="inlineStr">
        <is>
          <t>Per GL / TB</t>
        </is>
      </c>
      <c r="D8" s="82" t="inlineStr">
        <is>
          <t>Difference</t>
        </is>
      </c>
      <c r="E8" s="82" t="inlineStr">
        <is>
          <t>Reconciling / excluded items (describe)</t>
        </is>
      </c>
      <c r="F8" s="82" t="inlineStr">
        <is>
          <t>Excluded amount</t>
        </is>
      </c>
      <c r="G8" s="82" t="inlineStr">
        <is>
          <t>Comments</t>
        </is>
      </c>
      <c r="H8" s="55" t="n"/>
    </row>
    <row r="9">
      <c r="A9" s="55" t="n"/>
      <c r="B9" s="83" t="inlineStr">
        <is>
          <t>PBC</t>
        </is>
      </c>
      <c r="C9" s="83" t="inlineStr">
        <is>
          <t>TB</t>
        </is>
      </c>
      <c r="D9" s="83" t="inlineStr">
        <is>
          <t>R</t>
        </is>
      </c>
      <c r="E9" s="55" t="n"/>
      <c r="F9" s="55" t="n"/>
      <c r="G9" s="55" t="n"/>
      <c r="H9" s="55" t="n"/>
    </row>
    <row r="10">
      <c r="A10" s="61" t="inlineStr">
        <is>
          <t>1016 - Inventory - raw materials</t>
        </is>
      </c>
      <c r="B10" s="84" t="n"/>
      <c r="C10" s="84" t="n"/>
      <c r="D10" s="85">
        <f>IF(AND(B10="",C10=""),"",B10-C10)</f>
        <v/>
      </c>
      <c r="E10" s="76" t="n"/>
      <c r="F10" s="84" t="n"/>
      <c r="G10" s="76" t="n"/>
      <c r="H10" s="55" t="n"/>
    </row>
    <row r="11">
      <c r="A11" s="61" t="inlineStr">
        <is>
          <t>1017 - Inventory - work in process</t>
        </is>
      </c>
      <c r="B11" s="84" t="n"/>
      <c r="C11" s="84" t="n"/>
      <c r="D11" s="85">
        <f>IF(AND(B11="",C11=""),"",B11-C11)</f>
        <v/>
      </c>
      <c r="E11" s="76" t="n"/>
      <c r="F11" s="84" t="n"/>
      <c r="G11" s="76" t="n"/>
      <c r="H11" s="55" t="n"/>
    </row>
    <row r="12">
      <c r="A12" s="61" t="inlineStr">
        <is>
          <t>1018 - Inventory - finished goods</t>
        </is>
      </c>
      <c r="B12" s="84" t="n"/>
      <c r="C12" s="84" t="n"/>
      <c r="D12" s="85">
        <f>IF(AND(B12="",C12=""),"",B12-C12)</f>
        <v/>
      </c>
      <c r="E12" s="76" t="n"/>
      <c r="F12" s="84" t="n"/>
      <c r="G12" s="76" t="n"/>
      <c r="H12" s="55" t="n"/>
    </row>
    <row r="13">
      <c r="A13" s="61" t="inlineStr">
        <is>
          <t>1014 - Inventory in transit</t>
        </is>
      </c>
      <c r="B13" s="84" t="n"/>
      <c r="C13" s="84" t="n"/>
      <c r="D13" s="85">
        <f>IF(AND(B13="",C13=""),"",B13-C13)</f>
        <v/>
      </c>
      <c r="E13" s="76" t="n"/>
      <c r="F13" s="84" t="n"/>
      <c r="G13" s="76" t="n"/>
      <c r="H13" s="55" t="n"/>
    </row>
    <row r="14" ht="27" customHeight="1" s="49">
      <c r="A14" s="61" t="inlineStr">
        <is>
          <t>1019 - Reserve for excess and obsolete inventory</t>
        </is>
      </c>
      <c r="B14" s="84" t="n"/>
      <c r="C14" s="84" t="n"/>
      <c r="D14" s="85">
        <f>IF(AND(B14="",C14=""),"",B14-C14)</f>
        <v/>
      </c>
      <c r="E14" s="76" t="n"/>
      <c r="F14" s="84" t="n"/>
      <c r="G14" s="76" t="n"/>
      <c r="H14" s="55" t="n"/>
    </row>
    <row r="15">
      <c r="A15" s="76" t="n"/>
      <c r="B15" s="84" t="n"/>
      <c r="C15" s="84" t="n"/>
      <c r="D15" s="85">
        <f>IF(AND(B15="",C15=""),"",B15-C15)</f>
        <v/>
      </c>
      <c r="E15" s="76" t="n"/>
      <c r="F15" s="84" t="n"/>
      <c r="G15" s="76" t="n"/>
      <c r="H15" s="55" t="n"/>
    </row>
    <row r="16">
      <c r="A16" s="76" t="n"/>
      <c r="B16" s="84" t="n"/>
      <c r="C16" s="84" t="n"/>
      <c r="D16" s="85">
        <f>IF(AND(B16="",C16=""),"",B16-C16)</f>
        <v/>
      </c>
      <c r="E16" s="76" t="n"/>
      <c r="F16" s="84" t="n"/>
      <c r="G16" s="76" t="n"/>
      <c r="H16" s="55" t="n"/>
    </row>
    <row r="17">
      <c r="A17" s="87" t="inlineStr">
        <is>
          <t>Total</t>
        </is>
      </c>
      <c r="B17" s="88">
        <f>SUM(B10:B16)</f>
        <v/>
      </c>
      <c r="C17" s="88">
        <f>SUM(C10:C16)</f>
        <v/>
      </c>
      <c r="D17" s="88">
        <f>SUM(D10:D16)</f>
        <v/>
      </c>
      <c r="E17" s="87" t="n"/>
      <c r="F17" s="88">
        <f>SUM(F10:F16)</f>
        <v/>
      </c>
      <c r="G17" s="87" t="n"/>
      <c r="H17" s="55" t="n"/>
    </row>
    <row r="18">
      <c r="A18" s="55" t="n"/>
      <c r="B18" s="55" t="n"/>
      <c r="C18" s="55" t="n"/>
      <c r="D18" s="55" t="n"/>
      <c r="E18" s="55" t="n"/>
      <c r="F18" s="55" t="n"/>
      <c r="G18" s="55" t="n"/>
      <c r="H18" s="55" t="n"/>
    </row>
    <row r="19" ht="27" customHeight="1" s="49">
      <c r="A19" s="91" t="inlineStr">
        <is>
          <t>B. Completeness rollforward (opening + purchases − relief = closing)</t>
        </is>
      </c>
      <c r="B19" s="55" t="n"/>
      <c r="C19" s="55" t="n"/>
      <c r="D19" s="55" t="n"/>
      <c r="E19" s="55" t="n"/>
      <c r="F19" s="55" t="n"/>
      <c r="G19" s="55" t="n"/>
      <c r="H19" s="55" t="n"/>
    </row>
    <row r="20">
      <c r="A20" s="55" t="n"/>
      <c r="B20" s="55" t="n"/>
      <c r="C20" s="55" t="n"/>
      <c r="D20" s="55" t="n"/>
      <c r="E20" s="55" t="n"/>
      <c r="F20" s="55" t="n"/>
      <c r="G20" s="55" t="n"/>
      <c r="H20" s="55" t="n"/>
    </row>
    <row r="21">
      <c r="A21" s="61" t="inlineStr">
        <is>
          <t>Opening inventory (= PY TB)</t>
        </is>
      </c>
      <c r="B21" s="84" t="n"/>
      <c r="C21" s="55" t="n"/>
      <c r="D21" s="55" t="n"/>
      <c r="E21" s="55" t="n"/>
      <c r="F21" s="55" t="n"/>
      <c r="G21" s="55" t="n"/>
      <c r="H21" s="55" t="n"/>
    </row>
    <row r="22" ht="27" customHeight="1" s="49">
      <c r="A22" s="61" t="inlineStr">
        <is>
          <t>Add: purchases / production input (per purchase listing)</t>
        </is>
      </c>
      <c r="B22" s="84" t="n"/>
      <c r="C22" s="55" t="n"/>
      <c r="D22" s="55" t="n"/>
      <c r="E22" s="55" t="n"/>
      <c r="F22" s="55" t="n"/>
      <c r="G22" s="55" t="n"/>
      <c r="H22" s="55" t="n"/>
    </row>
    <row r="23">
      <c r="A23" s="61" t="inlineStr">
        <is>
          <t>Less: relief to COGS / cost of sales</t>
        </is>
      </c>
      <c r="B23" s="84" t="n"/>
      <c r="C23" s="55" t="n"/>
      <c r="D23" s="55" t="n"/>
      <c r="E23" s="55" t="n"/>
      <c r="F23" s="55" t="n"/>
      <c r="G23" s="55" t="n"/>
      <c r="H23" s="55" t="n"/>
    </row>
    <row r="24" ht="27" customHeight="1" s="49">
      <c r="A24" s="61" t="inlineStr">
        <is>
          <t>Add/(less): adjustments / write-offs / count corrections</t>
        </is>
      </c>
      <c r="B24" s="84" t="n"/>
      <c r="C24" s="55" t="n"/>
      <c r="D24" s="55" t="n"/>
      <c r="E24" s="55" t="n"/>
      <c r="F24" s="55" t="n"/>
      <c r="G24" s="55" t="n"/>
      <c r="H24" s="55" t="n"/>
    </row>
    <row r="25">
      <c r="A25" s="89" t="inlineStr">
        <is>
          <t>Expected closing inventory</t>
        </is>
      </c>
      <c r="B25" s="90">
        <f>B21+B22-B23+B24</f>
        <v/>
      </c>
      <c r="C25" s="55" t="n"/>
      <c r="D25" s="55" t="n"/>
      <c r="E25" s="55" t="n"/>
      <c r="F25" s="55" t="n"/>
      <c r="G25" s="55" t="n"/>
      <c r="H25" s="55" t="n"/>
    </row>
    <row r="26">
      <c r="A26" s="61" t="inlineStr">
        <is>
          <t>Closing inventory per listing / TB</t>
        </is>
      </c>
      <c r="B26" s="84" t="n"/>
      <c r="C26" s="55" t="n"/>
      <c r="D26" s="55" t="n"/>
      <c r="E26" s="55" t="n"/>
      <c r="F26" s="55" t="n"/>
      <c r="G26" s="55" t="n"/>
      <c r="H26" s="55" t="n"/>
    </row>
    <row r="27">
      <c r="A27" s="89" t="inlineStr">
        <is>
          <t>Difference (investigate)</t>
        </is>
      </c>
      <c r="B27" s="90">
        <f>B25-B26</f>
        <v/>
      </c>
      <c r="C27" s="55" t="n"/>
      <c r="D27" s="55" t="n"/>
      <c r="E27" s="55" t="n"/>
      <c r="F27" s="55" t="n"/>
      <c r="G27" s="55" t="n"/>
      <c r="H27" s="55" t="n"/>
    </row>
    <row r="28">
      <c r="A28" s="55" t="n"/>
      <c r="B28" s="55" t="n"/>
      <c r="C28" s="55" t="n"/>
      <c r="D28" s="55" t="n"/>
      <c r="E28" s="55" t="n"/>
      <c r="F28" s="55" t="n"/>
      <c r="G28" s="55" t="n"/>
      <c r="H28" s="55" t="n"/>
    </row>
    <row r="29" ht="27.75" customHeight="1" s="49">
      <c r="A29" s="57" t="inlineStr">
        <is>
          <t>The rollforward proves the purchase listing is complete against the inventory movement: opening + purchases − relief ± adjustments must equal closing. The purchases figure here ties to the purchase listing tested on &lt;.6&gt;; relief ties to COGS.</t>
        </is>
      </c>
      <c r="B29" s="55" t="n"/>
      <c r="C29" s="55" t="n"/>
      <c r="D29" s="55" t="n"/>
      <c r="E29" s="55" t="n"/>
      <c r="F29" s="55" t="n"/>
      <c r="G29" s="55" t="n"/>
      <c r="H29" s="55" t="n"/>
    </row>
    <row r="30">
      <c r="A30" s="55" t="n"/>
      <c r="B30" s="55" t="n"/>
      <c r="C30" s="55" t="n"/>
      <c r="D30" s="55" t="n"/>
      <c r="E30" s="55" t="n"/>
      <c r="F30" s="55" t="n"/>
      <c r="G30" s="55" t="n"/>
      <c r="H30" s="55" t="n"/>
    </row>
    <row r="31">
      <c r="A31" s="77" t="inlineStr">
        <is>
          <t>TM Legends</t>
        </is>
      </c>
      <c r="B31" s="55" t="n"/>
      <c r="C31" s="55" t="n"/>
      <c r="D31" s="55" t="n"/>
      <c r="E31" s="55" t="n"/>
      <c r="F31" s="55" t="n"/>
      <c r="G31" s="55" t="n"/>
      <c r="H31" s="55" t="n"/>
    </row>
    <row r="32">
      <c r="A32" s="78" t="inlineStr">
        <is>
          <t>TB</t>
        </is>
      </c>
      <c r="B32" s="61" t="inlineStr">
        <is>
          <t>Agreed to trial balance</t>
        </is>
      </c>
      <c r="C32" s="79" t="n"/>
      <c r="D32" s="80" t="n"/>
      <c r="E32" s="55" t="n"/>
      <c r="F32" s="55" t="n"/>
      <c r="G32" s="55" t="n"/>
      <c r="H32" s="55" t="n"/>
    </row>
    <row r="33">
      <c r="A33" s="78" t="inlineStr">
        <is>
          <t>GL</t>
        </is>
      </c>
      <c r="B33" s="61" t="inlineStr">
        <is>
          <t>Agreed to general ledger</t>
        </is>
      </c>
      <c r="C33" s="79" t="n"/>
      <c r="D33" s="80" t="n"/>
      <c r="E33" s="55" t="n"/>
      <c r="F33" s="55" t="n"/>
      <c r="G33" s="55" t="n"/>
      <c r="H33" s="55" t="n"/>
    </row>
    <row r="34">
      <c r="A34" s="78" t="inlineStr">
        <is>
          <t>CF</t>
        </is>
      </c>
      <c r="B34" s="61" t="inlineStr">
        <is>
          <t>Confirmed with third party</t>
        </is>
      </c>
      <c r="C34" s="79" t="n"/>
      <c r="D34" s="80" t="n"/>
      <c r="E34" s="55" t="n"/>
      <c r="F34" s="55" t="n"/>
      <c r="G34" s="55" t="n"/>
      <c r="H34" s="55" t="n"/>
    </row>
    <row r="35">
      <c r="A35" s="78" t="inlineStr">
        <is>
          <t>V</t>
        </is>
      </c>
      <c r="B35" s="61" t="inlineStr">
        <is>
          <t>Vouched to source document</t>
        </is>
      </c>
      <c r="C35" s="79" t="n"/>
      <c r="D35" s="80" t="n"/>
      <c r="E35" s="55" t="n"/>
      <c r="F35" s="55" t="n"/>
      <c r="G35" s="55" t="n"/>
      <c r="H35" s="55" t="n"/>
    </row>
    <row r="36">
      <c r="A36" s="78" t="inlineStr">
        <is>
          <t>SR</t>
        </is>
      </c>
      <c r="B36" s="61" t="inlineStr">
        <is>
          <t>Agreed to subsequent bank-cleared receipt</t>
        </is>
      </c>
      <c r="C36" s="79" t="n"/>
      <c r="D36" s="80" t="n"/>
      <c r="E36" s="55" t="n"/>
      <c r="F36" s="55" t="n"/>
      <c r="G36" s="55" t="n"/>
      <c r="H36" s="55" t="n"/>
    </row>
    <row r="37">
      <c r="A37" s="78" t="inlineStr">
        <is>
          <t>R</t>
        </is>
      </c>
      <c r="B37" s="61" t="inlineStr">
        <is>
          <t>Recalculated independently</t>
        </is>
      </c>
      <c r="C37" s="79" t="n"/>
      <c r="D37" s="80" t="n"/>
      <c r="E37" s="55" t="n"/>
      <c r="F37" s="55" t="n"/>
      <c r="G37" s="55" t="n"/>
      <c r="H37" s="55" t="n"/>
    </row>
    <row r="38">
      <c r="A38" s="78" t="inlineStr">
        <is>
          <t>F</t>
        </is>
      </c>
      <c r="B38" s="61" t="inlineStr">
        <is>
          <t>Footed / cross-cast</t>
        </is>
      </c>
      <c r="C38" s="79" t="n"/>
      <c r="D38" s="80" t="n"/>
      <c r="E38" s="55" t="n"/>
      <c r="F38" s="55" t="n"/>
      <c r="G38" s="55" t="n"/>
      <c r="H38" s="55" t="n"/>
    </row>
    <row r="39">
      <c r="A39" s="78" t="inlineStr">
        <is>
          <t>T</t>
        </is>
      </c>
      <c r="B39" s="61" t="inlineStr">
        <is>
          <t>Traced to downstream record</t>
        </is>
      </c>
      <c r="C39" s="79" t="n"/>
      <c r="D39" s="80" t="n"/>
      <c r="E39" s="55" t="n"/>
      <c r="F39" s="55" t="n"/>
      <c r="G39" s="55" t="n"/>
      <c r="H39" s="55" t="n"/>
    </row>
    <row r="40">
      <c r="A40" s="78" t="inlineStr">
        <is>
          <t>PBC</t>
        </is>
      </c>
      <c r="B40" s="61" t="inlineStr">
        <is>
          <t>Prepared by client</t>
        </is>
      </c>
      <c r="C40" s="79" t="n"/>
      <c r="D40" s="80" t="n"/>
      <c r="E40" s="55" t="n"/>
      <c r="F40" s="55" t="n"/>
      <c r="G40" s="55" t="n"/>
      <c r="H40" s="55" t="n"/>
    </row>
    <row r="41">
      <c r="A41" s="55" t="n"/>
      <c r="B41" s="55" t="n"/>
      <c r="C41" s="55" t="n"/>
      <c r="D41" s="55" t="n"/>
      <c r="E41" s="55" t="n"/>
      <c r="F41" s="55" t="n"/>
      <c r="G41" s="55" t="n"/>
      <c r="H41" s="55" t="n"/>
    </row>
    <row r="42" ht="27.75" customHeight="1" s="49">
      <c r="A42" s="57" t="inlineStr">
        <is>
          <t>Before sign-off complete Library Procedures 4-5 (listing-to-GL reconciliation &amp; exclusions; completeness rollforward).</t>
        </is>
      </c>
      <c r="B42" s="55" t="n"/>
      <c r="C42" s="55" t="n"/>
      <c r="D42" s="55" t="n"/>
      <c r="E42" s="55" t="n"/>
      <c r="F42" s="55" t="n"/>
      <c r="G42" s="55" t="n"/>
      <c r="H42" s="55" t="n"/>
    </row>
  </sheetData>
  <mergeCells count="14">
    <mergeCell ref="B33:D33"/>
    <mergeCell ref="B36:D36"/>
    <mergeCell ref="B37:D37"/>
    <mergeCell ref="B5:G5"/>
    <mergeCell ref="B35:D35"/>
    <mergeCell ref="B32:D32"/>
    <mergeCell ref="B40:D40"/>
    <mergeCell ref="B4:G4"/>
    <mergeCell ref="A29:G29"/>
    <mergeCell ref="A42:G42"/>
    <mergeCell ref="B39:D39"/>
    <mergeCell ref="B38:D38"/>
    <mergeCell ref="B34:D3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I9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4" sqref="A4"/>
    </sheetView>
  </sheetViews>
  <sheetFormatPr baseColWidth="8" defaultColWidth="8.6328125" defaultRowHeight="14.5"/>
  <cols>
    <col width="42" bestFit="1" customWidth="1" style="49" min="1" max="1"/>
    <col width="22.4" customWidth="1" style="49" min="2" max="2"/>
    <col width="24" customWidth="1" style="49" min="3" max="3"/>
    <col width="37.7" customWidth="1" style="49" min="4" max="4"/>
    <col width="38.55" customWidth="1" style="49" min="5" max="6"/>
    <col width="19.85" customWidth="1" style="49" min="6" max="6"/>
    <col width="30.9" customWidth="1" style="49" min="7" max="7"/>
    <col width="23.25" customWidth="1" style="49" min="8" max="8"/>
    <col width="26" customWidth="1" style="49" min="9" max="9"/>
  </cols>
  <sheetData>
    <row r="1" ht="17.5" customHeight="1" s="49">
      <c r="A1" s="54" t="inlineStr">
        <is>
          <t>Physical Count — Two-Direction Testing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</row>
    <row r="2" ht="27" customHeight="1" s="49">
      <c r="A2" s="66" t="inlineStr">
        <is>
          <t>Client / Entity</t>
        </is>
      </c>
      <c r="B2" s="56" t="inlineStr">
        <is>
          <t>Vaquite Industries, Inc.</t>
        </is>
      </c>
      <c r="C2" s="55" t="n"/>
      <c r="D2" s="66" t="inlineStr">
        <is>
          <t>Year-End</t>
        </is>
      </c>
      <c r="E2" s="67" t="n">
        <v>46022</v>
      </c>
      <c r="F2" s="55" t="n"/>
      <c r="G2" s="66" t="inlineStr">
        <is>
          <t>Currency</t>
        </is>
      </c>
      <c r="H2" s="68" t="inlineStr">
        <is>
          <t>USD</t>
        </is>
      </c>
      <c r="I2" s="55" t="n"/>
    </row>
    <row r="3" ht="27" customHeight="1" s="49">
      <c r="A3" s="69" t="inlineStr">
        <is>
          <t>Performance Materiality</t>
        </is>
      </c>
      <c r="B3" s="70" t="n">
        <v>23100</v>
      </c>
      <c r="C3" s="55" t="n"/>
      <c r="D3" s="69" t="inlineStr">
        <is>
          <t>Tolerable misstatement / testing threshold</t>
        </is>
      </c>
      <c r="E3" s="70" t="n">
        <v>17400</v>
      </c>
      <c r="F3" s="55" t="n"/>
      <c r="G3" s="55" t="n"/>
      <c r="H3" s="55" t="n"/>
      <c r="I3" s="55" t="n"/>
    </row>
    <row r="4" ht="27.75" customHeight="1" s="49">
      <c r="A4" s="71" t="inlineStr">
        <is>
          <t>Purpose:</t>
        </is>
      </c>
      <c r="B4" s="72" t="inlineStr">
        <is>
          <t>Test the physical count in both directions: existence (listing → floor) and completeness (floor → listing), at least 30 selections each direction.</t>
        </is>
      </c>
      <c r="C4" s="73" t="n"/>
      <c r="D4" s="73" t="n"/>
      <c r="E4" s="73" t="n"/>
      <c r="F4" s="73" t="n"/>
      <c r="G4" s="73" t="n"/>
      <c r="H4" s="73" t="n"/>
      <c r="I4" s="74" t="n"/>
    </row>
    <row r="5" ht="27.75" customHeight="1" s="49">
      <c r="A5" s="71" t="inlineStr">
        <is>
          <t>Scope:</t>
        </is>
      </c>
      <c r="B5" s="72" t="inlineStr">
        <is>
          <t>The physical count (observed or client-performed with auditor test counts). Sample floor: 30 items per direction regardless of population.</t>
        </is>
      </c>
      <c r="C5" s="73" t="n"/>
      <c r="D5" s="73" t="n"/>
      <c r="E5" s="73" t="n"/>
      <c r="F5" s="73" t="n"/>
      <c r="G5" s="73" t="n"/>
      <c r="H5" s="73" t="n"/>
      <c r="I5" s="74" t="n"/>
    </row>
    <row r="6" ht="15" customHeight="1" s="49">
      <c r="A6" s="71" t="inlineStr">
        <is>
          <t>Assertions:</t>
        </is>
      </c>
      <c r="B6" s="72" t="inlineStr">
        <is>
          <t>Existence; Completeness; Accuracy</t>
        </is>
      </c>
      <c r="C6" s="73" t="n"/>
      <c r="D6" s="73" t="n"/>
      <c r="E6" s="73" t="n"/>
      <c r="F6" s="73" t="n"/>
      <c r="G6" s="73" t="n"/>
      <c r="H6" s="73" t="n"/>
      <c r="I6" s="74" t="n"/>
    </row>
    <row r="7" ht="27" customHeight="1" s="49">
      <c r="A7" s="91" t="inlineStr">
        <is>
          <t>A. Existence — from the LISTING to the FLOOR (≥ 30 selections)</t>
        </is>
      </c>
      <c r="B7" s="55" t="n"/>
      <c r="C7" s="55" t="n"/>
      <c r="D7" s="55" t="n"/>
      <c r="E7" s="55" t="n"/>
      <c r="F7" s="55" t="n"/>
      <c r="G7" s="55" t="n"/>
      <c r="H7" s="55" t="n"/>
      <c r="I7" s="55" t="n"/>
    </row>
    <row r="8" ht="25.5" customHeight="1" s="49">
      <c r="A8" s="82" t="inlineStr">
        <is>
          <t>Sel #</t>
        </is>
      </c>
      <c r="B8" s="82" t="inlineStr">
        <is>
          <t>Item / SKU</t>
        </is>
      </c>
      <c r="C8" s="82" t="inlineStr">
        <is>
          <t>Description</t>
        </is>
      </c>
      <c r="D8" s="82" t="inlineStr">
        <is>
          <t>Location / bin</t>
        </is>
      </c>
      <c r="E8" s="82" t="inlineStr">
        <is>
          <t>Qty per listing</t>
        </is>
      </c>
      <c r="F8" s="82" t="inlineStr">
        <is>
          <t>Qty counted (floor)</t>
        </is>
      </c>
      <c r="G8" s="82" t="inlineStr">
        <is>
          <t>Difference</t>
        </is>
      </c>
      <c r="H8" s="82" t="inlineStr">
        <is>
          <t>Resolved (Y/N)</t>
        </is>
      </c>
      <c r="I8" s="82" t="inlineStr">
        <is>
          <t>Comments</t>
        </is>
      </c>
    </row>
    <row r="9">
      <c r="A9" s="55" t="n"/>
      <c r="B9" s="55" t="n"/>
      <c r="C9" s="55" t="n"/>
      <c r="D9" s="55" t="n"/>
      <c r="E9" s="83" t="inlineStr">
        <is>
          <t>PBC</t>
        </is>
      </c>
      <c r="F9" s="83" t="inlineStr">
        <is>
          <t>V</t>
        </is>
      </c>
      <c r="G9" s="83" t="inlineStr">
        <is>
          <t>R</t>
        </is>
      </c>
      <c r="H9" s="55" t="n"/>
      <c r="I9" s="55" t="n"/>
    </row>
    <row r="10" ht="27" customHeight="1" s="49">
      <c r="A10" s="92" t="n">
        <v>1</v>
      </c>
      <c r="B10" s="76" t="n"/>
      <c r="C10" s="76" t="n"/>
      <c r="D10" s="76" t="n"/>
      <c r="E10" s="93" t="n"/>
      <c r="F10" s="93" t="n"/>
      <c r="G10" s="94">
        <f>IF(AND(E10="",F10=""),"",E10-F10)</f>
        <v/>
      </c>
      <c r="H10" s="76" t="n"/>
      <c r="I10" s="76" t="n"/>
    </row>
    <row r="11" ht="27" customHeight="1" s="49">
      <c r="A11" s="92" t="n">
        <v>2</v>
      </c>
      <c r="B11" s="76" t="n"/>
      <c r="C11" s="76" t="n"/>
      <c r="D11" s="76" t="n"/>
      <c r="E11" s="93" t="n"/>
      <c r="F11" s="93" t="n"/>
      <c r="G11" s="94">
        <f>IF(AND(E11="",F11=""),"",E11-F11)</f>
        <v/>
      </c>
      <c r="H11" s="76" t="n"/>
      <c r="I11" s="76" t="n"/>
    </row>
    <row r="12" ht="27" customHeight="1" s="49">
      <c r="A12" s="92" t="n">
        <v>3</v>
      </c>
      <c r="B12" s="76" t="n"/>
      <c r="C12" s="76" t="n"/>
      <c r="D12" s="76" t="n"/>
      <c r="E12" s="93" t="n"/>
      <c r="F12" s="93" t="n"/>
      <c r="G12" s="94">
        <f>IF(AND(E12="",F12=""),"",E12-F12)</f>
        <v/>
      </c>
      <c r="H12" s="76" t="n"/>
      <c r="I12" s="76" t="n"/>
    </row>
    <row r="13" ht="27" customHeight="1" s="49">
      <c r="A13" s="92" t="n">
        <v>4</v>
      </c>
      <c r="B13" s="76" t="n"/>
      <c r="C13" s="76" t="n"/>
      <c r="D13" s="76" t="n"/>
      <c r="E13" s="93" t="n"/>
      <c r="F13" s="93" t="n"/>
      <c r="G13" s="94">
        <f>IF(AND(E13="",F13=""),"",E13-F13)</f>
        <v/>
      </c>
      <c r="H13" s="76" t="n"/>
      <c r="I13" s="76" t="n"/>
    </row>
    <row r="14" ht="27" customHeight="1" s="49">
      <c r="A14" s="92" t="n">
        <v>5</v>
      </c>
      <c r="B14" s="76" t="n"/>
      <c r="C14" s="76" t="n"/>
      <c r="D14" s="76" t="n"/>
      <c r="E14" s="93" t="n"/>
      <c r="F14" s="93" t="n"/>
      <c r="G14" s="94">
        <f>IF(AND(E14="",F14=""),"",E14-F14)</f>
        <v/>
      </c>
      <c r="H14" s="76" t="n"/>
      <c r="I14" s="76" t="n"/>
    </row>
    <row r="15" ht="27" customHeight="1" s="49">
      <c r="A15" s="92" t="n">
        <v>6</v>
      </c>
      <c r="B15" s="76" t="n"/>
      <c r="C15" s="76" t="n"/>
      <c r="D15" s="76" t="n"/>
      <c r="E15" s="93" t="n"/>
      <c r="F15" s="93" t="n"/>
      <c r="G15" s="94">
        <f>IF(AND(E15="",F15=""),"",E15-F15)</f>
        <v/>
      </c>
      <c r="H15" s="76" t="n"/>
      <c r="I15" s="76" t="n"/>
    </row>
    <row r="16" ht="27" customHeight="1" s="49">
      <c r="A16" s="92" t="n">
        <v>7</v>
      </c>
      <c r="B16" s="76" t="n"/>
      <c r="C16" s="76" t="n"/>
      <c r="D16" s="76" t="n"/>
      <c r="E16" s="93" t="n"/>
      <c r="F16" s="93" t="n"/>
      <c r="G16" s="94">
        <f>IF(AND(E16="",F16=""),"",E16-F16)</f>
        <v/>
      </c>
      <c r="H16" s="76" t="n"/>
      <c r="I16" s="76" t="n"/>
    </row>
    <row r="17" ht="27" customHeight="1" s="49">
      <c r="A17" s="92" t="n">
        <v>8</v>
      </c>
      <c r="B17" s="76" t="n"/>
      <c r="C17" s="76" t="n"/>
      <c r="D17" s="76" t="n"/>
      <c r="E17" s="93" t="n"/>
      <c r="F17" s="93" t="n"/>
      <c r="G17" s="94">
        <f>IF(AND(E17="",F17=""),"",E17-F17)</f>
        <v/>
      </c>
      <c r="H17" s="76" t="n"/>
      <c r="I17" s="76" t="n"/>
    </row>
    <row r="18" ht="27" customHeight="1" s="49">
      <c r="A18" s="92" t="n">
        <v>9</v>
      </c>
      <c r="B18" s="76" t="n"/>
      <c r="C18" s="76" t="n"/>
      <c r="D18" s="76" t="n"/>
      <c r="E18" s="93" t="n"/>
      <c r="F18" s="93" t="n"/>
      <c r="G18" s="94">
        <f>IF(AND(E18="",F18=""),"",E18-F18)</f>
        <v/>
      </c>
      <c r="H18" s="76" t="n"/>
      <c r="I18" s="76" t="n"/>
    </row>
    <row r="19" ht="27" customHeight="1" s="49">
      <c r="A19" s="92" t="n">
        <v>10</v>
      </c>
      <c r="B19" s="76" t="n"/>
      <c r="C19" s="76" t="n"/>
      <c r="D19" s="76" t="n"/>
      <c r="E19" s="93" t="n"/>
      <c r="F19" s="93" t="n"/>
      <c r="G19" s="94">
        <f>IF(AND(E19="",F19=""),"",E19-F19)</f>
        <v/>
      </c>
      <c r="H19" s="76" t="n"/>
      <c r="I19" s="76" t="n"/>
    </row>
    <row r="20" ht="27" customHeight="1" s="49">
      <c r="A20" s="92" t="n">
        <v>11</v>
      </c>
      <c r="B20" s="76" t="n"/>
      <c r="C20" s="76" t="n"/>
      <c r="D20" s="76" t="n"/>
      <c r="E20" s="93" t="n"/>
      <c r="F20" s="93" t="n"/>
      <c r="G20" s="94">
        <f>IF(AND(E20="",F20=""),"",E20-F20)</f>
        <v/>
      </c>
      <c r="H20" s="76" t="n"/>
      <c r="I20" s="76" t="n"/>
    </row>
    <row r="21" ht="27" customHeight="1" s="49">
      <c r="A21" s="92" t="n">
        <v>12</v>
      </c>
      <c r="B21" s="76" t="n"/>
      <c r="C21" s="76" t="n"/>
      <c r="D21" s="76" t="n"/>
      <c r="E21" s="93" t="n"/>
      <c r="F21" s="93" t="n"/>
      <c r="G21" s="94">
        <f>IF(AND(E21="",F21=""),"",E21-F21)</f>
        <v/>
      </c>
      <c r="H21" s="76" t="n"/>
      <c r="I21" s="76" t="n"/>
    </row>
    <row r="22" ht="27" customHeight="1" s="49">
      <c r="A22" s="92" t="n">
        <v>13</v>
      </c>
      <c r="B22" s="76" t="n"/>
      <c r="C22" s="76" t="n"/>
      <c r="D22" s="76" t="n"/>
      <c r="E22" s="93" t="n"/>
      <c r="F22" s="93" t="n"/>
      <c r="G22" s="94">
        <f>IF(AND(E22="",F22=""),"",E22-F22)</f>
        <v/>
      </c>
      <c r="H22" s="76" t="n"/>
      <c r="I22" s="76" t="n"/>
    </row>
    <row r="23" ht="27" customHeight="1" s="49">
      <c r="A23" s="92" t="n">
        <v>14</v>
      </c>
      <c r="B23" s="76" t="n"/>
      <c r="C23" s="76" t="n"/>
      <c r="D23" s="76" t="n"/>
      <c r="E23" s="93" t="n"/>
      <c r="F23" s="93" t="n"/>
      <c r="G23" s="94">
        <f>IF(AND(E23="",F23=""),"",E23-F23)</f>
        <v/>
      </c>
      <c r="H23" s="76" t="n"/>
      <c r="I23" s="76" t="n"/>
    </row>
    <row r="24" ht="27" customHeight="1" s="49">
      <c r="A24" s="92" t="n">
        <v>15</v>
      </c>
      <c r="B24" s="76" t="n"/>
      <c r="C24" s="76" t="n"/>
      <c r="D24" s="76" t="n"/>
      <c r="E24" s="93" t="n"/>
      <c r="F24" s="93" t="n"/>
      <c r="G24" s="94">
        <f>IF(AND(E24="",F24=""),"",E24-F24)</f>
        <v/>
      </c>
      <c r="H24" s="76" t="n"/>
      <c r="I24" s="76" t="n"/>
    </row>
    <row r="25" ht="27" customHeight="1" s="49">
      <c r="A25" s="92" t="n">
        <v>16</v>
      </c>
      <c r="B25" s="76" t="n"/>
      <c r="C25" s="76" t="n"/>
      <c r="D25" s="76" t="n"/>
      <c r="E25" s="93" t="n"/>
      <c r="F25" s="93" t="n"/>
      <c r="G25" s="94">
        <f>IF(AND(E25="",F25=""),"",E25-F25)</f>
        <v/>
      </c>
      <c r="H25" s="76" t="n"/>
      <c r="I25" s="76" t="n"/>
    </row>
    <row r="26" ht="27" customHeight="1" s="49">
      <c r="A26" s="92" t="n">
        <v>17</v>
      </c>
      <c r="B26" s="76" t="n"/>
      <c r="C26" s="76" t="n"/>
      <c r="D26" s="76" t="n"/>
      <c r="E26" s="93" t="n"/>
      <c r="F26" s="93" t="n"/>
      <c r="G26" s="94">
        <f>IF(AND(E26="",F26=""),"",E26-F26)</f>
        <v/>
      </c>
      <c r="H26" s="76" t="n"/>
      <c r="I26" s="76" t="n"/>
    </row>
    <row r="27" ht="27" customHeight="1" s="49">
      <c r="A27" s="92" t="n">
        <v>18</v>
      </c>
      <c r="B27" s="76" t="n"/>
      <c r="C27" s="76" t="n"/>
      <c r="D27" s="76" t="n"/>
      <c r="E27" s="93" t="n"/>
      <c r="F27" s="93" t="n"/>
      <c r="G27" s="94">
        <f>IF(AND(E27="",F27=""),"",E27-F27)</f>
        <v/>
      </c>
      <c r="H27" s="76" t="n"/>
      <c r="I27" s="76" t="n"/>
    </row>
    <row r="28" ht="27" customHeight="1" s="49">
      <c r="A28" s="92" t="n">
        <v>19</v>
      </c>
      <c r="B28" s="76" t="n"/>
      <c r="C28" s="76" t="n"/>
      <c r="D28" s="76" t="n"/>
      <c r="E28" s="93" t="n"/>
      <c r="F28" s="93" t="n"/>
      <c r="G28" s="94">
        <f>IF(AND(E28="",F28=""),"",E28-F28)</f>
        <v/>
      </c>
      <c r="H28" s="76" t="n"/>
      <c r="I28" s="76" t="n"/>
    </row>
    <row r="29" ht="27" customHeight="1" s="49">
      <c r="A29" s="92" t="n">
        <v>20</v>
      </c>
      <c r="B29" s="76" t="n"/>
      <c r="C29" s="76" t="n"/>
      <c r="D29" s="76" t="n"/>
      <c r="E29" s="93" t="n"/>
      <c r="F29" s="93" t="n"/>
      <c r="G29" s="94">
        <f>IF(AND(E29="",F29=""),"",E29-F29)</f>
        <v/>
      </c>
      <c r="H29" s="76" t="n"/>
      <c r="I29" s="76" t="n"/>
    </row>
    <row r="30" ht="27" customHeight="1" s="49">
      <c r="A30" s="92" t="n">
        <v>21</v>
      </c>
      <c r="B30" s="76" t="n"/>
      <c r="C30" s="76" t="n"/>
      <c r="D30" s="76" t="n"/>
      <c r="E30" s="93" t="n"/>
      <c r="F30" s="93" t="n"/>
      <c r="G30" s="94">
        <f>IF(AND(E30="",F30=""),"",E30-F30)</f>
        <v/>
      </c>
      <c r="H30" s="76" t="n"/>
      <c r="I30" s="76" t="n"/>
    </row>
    <row r="31" ht="27" customHeight="1" s="49">
      <c r="A31" s="92" t="n">
        <v>22</v>
      </c>
      <c r="B31" s="76" t="n"/>
      <c r="C31" s="76" t="n"/>
      <c r="D31" s="76" t="n"/>
      <c r="E31" s="93" t="n"/>
      <c r="F31" s="93" t="n"/>
      <c r="G31" s="94">
        <f>IF(AND(E31="",F31=""),"",E31-F31)</f>
        <v/>
      </c>
      <c r="H31" s="76" t="n"/>
      <c r="I31" s="76" t="n"/>
    </row>
    <row r="32" ht="27" customHeight="1" s="49">
      <c r="A32" s="92" t="n">
        <v>23</v>
      </c>
      <c r="B32" s="76" t="n"/>
      <c r="C32" s="76" t="n"/>
      <c r="D32" s="76" t="n"/>
      <c r="E32" s="93" t="n"/>
      <c r="F32" s="93" t="n"/>
      <c r="G32" s="94">
        <f>IF(AND(E32="",F32=""),"",E32-F32)</f>
        <v/>
      </c>
      <c r="H32" s="76" t="n"/>
      <c r="I32" s="76" t="n"/>
    </row>
    <row r="33" ht="27" customHeight="1" s="49">
      <c r="A33" s="92" t="n">
        <v>24</v>
      </c>
      <c r="B33" s="76" t="n"/>
      <c r="C33" s="76" t="n"/>
      <c r="D33" s="76" t="n"/>
      <c r="E33" s="93" t="n"/>
      <c r="F33" s="93" t="n"/>
      <c r="G33" s="94">
        <f>IF(AND(E33="",F33=""),"",E33-F33)</f>
        <v/>
      </c>
      <c r="H33" s="76" t="n"/>
      <c r="I33" s="76" t="n"/>
    </row>
    <row r="34" ht="27" customHeight="1" s="49">
      <c r="A34" s="92" t="n">
        <v>25</v>
      </c>
      <c r="B34" s="76" t="n"/>
      <c r="C34" s="76" t="n"/>
      <c r="D34" s="76" t="n"/>
      <c r="E34" s="93" t="n"/>
      <c r="F34" s="93" t="n"/>
      <c r="G34" s="94">
        <f>IF(AND(E34="",F34=""),"",E34-F34)</f>
        <v/>
      </c>
      <c r="H34" s="76" t="n"/>
      <c r="I34" s="76" t="n"/>
    </row>
    <row r="35" ht="27" customHeight="1" s="49">
      <c r="A35" s="92" t="n">
        <v>26</v>
      </c>
      <c r="B35" s="76" t="n"/>
      <c r="C35" s="76" t="n"/>
      <c r="D35" s="76" t="n"/>
      <c r="E35" s="93" t="n"/>
      <c r="F35" s="93" t="n"/>
      <c r="G35" s="94">
        <f>IF(AND(E35="",F35=""),"",E35-F35)</f>
        <v/>
      </c>
      <c r="H35" s="76" t="n"/>
      <c r="I35" s="76" t="n"/>
    </row>
    <row r="36" ht="27" customHeight="1" s="49">
      <c r="A36" s="92" t="n">
        <v>27</v>
      </c>
      <c r="B36" s="76" t="n"/>
      <c r="C36" s="76" t="n"/>
      <c r="D36" s="76" t="n"/>
      <c r="E36" s="93" t="n"/>
      <c r="F36" s="93" t="n"/>
      <c r="G36" s="94">
        <f>IF(AND(E36="",F36=""),"",E36-F36)</f>
        <v/>
      </c>
      <c r="H36" s="76" t="n"/>
      <c r="I36" s="76" t="n"/>
    </row>
    <row r="37" ht="27" customHeight="1" s="49">
      <c r="A37" s="92" t="n">
        <v>28</v>
      </c>
      <c r="B37" s="76" t="n"/>
      <c r="C37" s="76" t="n"/>
      <c r="D37" s="76" t="n"/>
      <c r="E37" s="93" t="n"/>
      <c r="F37" s="93" t="n"/>
      <c r="G37" s="94">
        <f>IF(AND(E37="",F37=""),"",E37-F37)</f>
        <v/>
      </c>
      <c r="H37" s="76" t="n"/>
      <c r="I37" s="76" t="n"/>
    </row>
    <row r="38" ht="27" customHeight="1" s="49">
      <c r="A38" s="92" t="n">
        <v>29</v>
      </c>
      <c r="B38" s="76" t="n"/>
      <c r="C38" s="76" t="n"/>
      <c r="D38" s="76" t="n"/>
      <c r="E38" s="93" t="n"/>
      <c r="F38" s="93" t="n"/>
      <c r="G38" s="94">
        <f>IF(AND(E38="",F38=""),"",E38-F38)</f>
        <v/>
      </c>
      <c r="H38" s="76" t="n"/>
      <c r="I38" s="76" t="n"/>
    </row>
    <row r="39" ht="27" customHeight="1" s="49">
      <c r="A39" s="92" t="n">
        <v>30</v>
      </c>
      <c r="B39" s="76" t="n"/>
      <c r="C39" s="76" t="n"/>
      <c r="D39" s="76" t="n"/>
      <c r="E39" s="93" t="n"/>
      <c r="F39" s="93" t="n"/>
      <c r="G39" s="94">
        <f>IF(AND(E39="",F39=""),"",E39-F39)</f>
        <v/>
      </c>
      <c r="H39" s="76" t="n"/>
      <c r="I39" s="76" t="n"/>
    </row>
    <row r="40" ht="27" customHeight="1" s="49">
      <c r="A40" s="95" t="inlineStr">
        <is>
          <t>Count of exceptions (existence)</t>
        </is>
      </c>
      <c r="B40" s="79" t="n"/>
      <c r="C40" s="79" t="n"/>
      <c r="D40" s="80" t="n"/>
      <c r="E40" s="96">
        <f>COUNTIF(G10:G39,"&lt;&gt;0")-COUNTBLANK(G10:G39)</f>
        <v/>
      </c>
      <c r="F40" s="97" t="n"/>
      <c r="G40" s="97" t="n"/>
      <c r="H40" s="97" t="n"/>
      <c r="I40" s="97" t="n"/>
    </row>
    <row r="41">
      <c r="A41" s="55" t="n"/>
      <c r="B41" s="55" t="n"/>
      <c r="C41" s="55" t="n"/>
      <c r="D41" s="55" t="n"/>
      <c r="E41" s="55" t="n"/>
      <c r="F41" s="55" t="n"/>
      <c r="G41" s="55" t="n"/>
      <c r="H41" s="55" t="n"/>
      <c r="I41" s="55" t="n"/>
    </row>
    <row r="42" ht="27" customHeight="1" s="49">
      <c r="A42" s="91" t="inlineStr">
        <is>
          <t>B. Completeness — from the FLOOR to the LISTING (≥ 30 selections)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</row>
    <row r="43" ht="30" customHeight="1" s="49">
      <c r="A43" s="82" t="inlineStr">
        <is>
          <t>Sel #</t>
        </is>
      </c>
      <c r="B43" s="82" t="inlineStr">
        <is>
          <t>Tag / count sheet #</t>
        </is>
      </c>
      <c r="C43" s="82" t="inlineStr">
        <is>
          <t>Item / SKU &amp; description</t>
        </is>
      </c>
      <c r="D43" s="82" t="inlineStr">
        <is>
          <t>Location / bin</t>
        </is>
      </c>
      <c r="E43" s="82" t="inlineStr">
        <is>
          <t>Qty counted (floor)</t>
        </is>
      </c>
      <c r="F43" s="82" t="inlineStr">
        <is>
          <t>Qty per final listing</t>
        </is>
      </c>
      <c r="G43" s="82" t="inlineStr">
        <is>
          <t>Difference</t>
        </is>
      </c>
      <c r="H43" s="82" t="inlineStr">
        <is>
          <t>Included in listing (Y/N)</t>
        </is>
      </c>
      <c r="I43" s="82" t="inlineStr">
        <is>
          <t>Comments</t>
        </is>
      </c>
    </row>
    <row r="44">
      <c r="A44" s="55" t="n"/>
      <c r="B44" s="55" t="n"/>
      <c r="C44" s="55" t="n"/>
      <c r="D44" s="55" t="n"/>
      <c r="E44" s="83" t="inlineStr">
        <is>
          <t>V</t>
        </is>
      </c>
      <c r="F44" s="83" t="inlineStr">
        <is>
          <t>T</t>
        </is>
      </c>
      <c r="G44" s="83" t="inlineStr">
        <is>
          <t>R</t>
        </is>
      </c>
      <c r="H44" s="55" t="n"/>
      <c r="I44" s="55" t="n"/>
    </row>
    <row r="45" ht="27" customHeight="1" s="49">
      <c r="A45" s="92" t="n">
        <v>1</v>
      </c>
      <c r="B45" s="76" t="n"/>
      <c r="C45" s="76" t="n"/>
      <c r="D45" s="76" t="n"/>
      <c r="E45" s="93" t="n"/>
      <c r="F45" s="93" t="n"/>
      <c r="G45" s="94">
        <f>IF(AND(E45="",F45=""),"",E45-F45)</f>
        <v/>
      </c>
      <c r="H45" s="76" t="n"/>
      <c r="I45" s="76" t="n"/>
    </row>
    <row r="46" ht="27" customHeight="1" s="49">
      <c r="A46" s="92" t="n">
        <v>2</v>
      </c>
      <c r="B46" s="76" t="n"/>
      <c r="C46" s="76" t="n"/>
      <c r="D46" s="76" t="n"/>
      <c r="E46" s="93" t="n"/>
      <c r="F46" s="93" t="n"/>
      <c r="G46" s="94">
        <f>IF(AND(E46="",F46=""),"",E46-F46)</f>
        <v/>
      </c>
      <c r="H46" s="76" t="n"/>
      <c r="I46" s="76" t="n"/>
    </row>
    <row r="47" ht="27" customHeight="1" s="49">
      <c r="A47" s="92" t="n">
        <v>3</v>
      </c>
      <c r="B47" s="76" t="n"/>
      <c r="C47" s="76" t="n"/>
      <c r="D47" s="76" t="n"/>
      <c r="E47" s="93" t="n"/>
      <c r="F47" s="93" t="n"/>
      <c r="G47" s="94">
        <f>IF(AND(E47="",F47=""),"",E47-F47)</f>
        <v/>
      </c>
      <c r="H47" s="76" t="n"/>
      <c r="I47" s="76" t="n"/>
    </row>
    <row r="48" ht="27" customHeight="1" s="49">
      <c r="A48" s="92" t="n">
        <v>4</v>
      </c>
      <c r="B48" s="76" t="n"/>
      <c r="C48" s="76" t="n"/>
      <c r="D48" s="76" t="n"/>
      <c r="E48" s="93" t="n"/>
      <c r="F48" s="93" t="n"/>
      <c r="G48" s="94">
        <f>IF(AND(E48="",F48=""),"",E48-F48)</f>
        <v/>
      </c>
      <c r="H48" s="76" t="n"/>
      <c r="I48" s="76" t="n"/>
    </row>
    <row r="49" ht="27" customHeight="1" s="49">
      <c r="A49" s="92" t="n">
        <v>5</v>
      </c>
      <c r="B49" s="76" t="n"/>
      <c r="C49" s="76" t="n"/>
      <c r="D49" s="76" t="n"/>
      <c r="E49" s="93" t="n"/>
      <c r="F49" s="93" t="n"/>
      <c r="G49" s="94">
        <f>IF(AND(E49="",F49=""),"",E49-F49)</f>
        <v/>
      </c>
      <c r="H49" s="76" t="n"/>
      <c r="I49" s="76" t="n"/>
    </row>
    <row r="50" ht="27" customHeight="1" s="49">
      <c r="A50" s="92" t="n">
        <v>6</v>
      </c>
      <c r="B50" s="76" t="n"/>
      <c r="C50" s="76" t="n"/>
      <c r="D50" s="76" t="n"/>
      <c r="E50" s="93" t="n"/>
      <c r="F50" s="93" t="n"/>
      <c r="G50" s="94">
        <f>IF(AND(E50="",F50=""),"",E50-F50)</f>
        <v/>
      </c>
      <c r="H50" s="76" t="n"/>
      <c r="I50" s="76" t="n"/>
    </row>
    <row r="51" ht="27" customHeight="1" s="49">
      <c r="A51" s="92" t="n">
        <v>7</v>
      </c>
      <c r="B51" s="76" t="n"/>
      <c r="C51" s="76" t="n"/>
      <c r="D51" s="76" t="n"/>
      <c r="E51" s="93" t="n"/>
      <c r="F51" s="93" t="n"/>
      <c r="G51" s="94">
        <f>IF(AND(E51="",F51=""),"",E51-F51)</f>
        <v/>
      </c>
      <c r="H51" s="76" t="n"/>
      <c r="I51" s="76" t="n"/>
    </row>
    <row r="52" ht="27" customHeight="1" s="49">
      <c r="A52" s="92" t="n">
        <v>8</v>
      </c>
      <c r="B52" s="76" t="n"/>
      <c r="C52" s="76" t="n"/>
      <c r="D52" s="76" t="n"/>
      <c r="E52" s="93" t="n"/>
      <c r="F52" s="93" t="n"/>
      <c r="G52" s="94">
        <f>IF(AND(E52="",F52=""),"",E52-F52)</f>
        <v/>
      </c>
      <c r="H52" s="76" t="n"/>
      <c r="I52" s="76" t="n"/>
    </row>
    <row r="53" ht="27" customHeight="1" s="49">
      <c r="A53" s="92" t="n">
        <v>9</v>
      </c>
      <c r="B53" s="76" t="n"/>
      <c r="C53" s="76" t="n"/>
      <c r="D53" s="76" t="n"/>
      <c r="E53" s="93" t="n"/>
      <c r="F53" s="93" t="n"/>
      <c r="G53" s="94">
        <f>IF(AND(E53="",F53=""),"",E53-F53)</f>
        <v/>
      </c>
      <c r="H53" s="76" t="n"/>
      <c r="I53" s="76" t="n"/>
    </row>
    <row r="54" ht="27" customHeight="1" s="49">
      <c r="A54" s="92" t="n">
        <v>10</v>
      </c>
      <c r="B54" s="76" t="n"/>
      <c r="C54" s="76" t="n"/>
      <c r="D54" s="76" t="n"/>
      <c r="E54" s="93" t="n"/>
      <c r="F54" s="93" t="n"/>
      <c r="G54" s="94">
        <f>IF(AND(E54="",F54=""),"",E54-F54)</f>
        <v/>
      </c>
      <c r="H54" s="76" t="n"/>
      <c r="I54" s="76" t="n"/>
    </row>
    <row r="55" ht="27" customHeight="1" s="49">
      <c r="A55" s="92" t="n">
        <v>11</v>
      </c>
      <c r="B55" s="76" t="n"/>
      <c r="C55" s="76" t="n"/>
      <c r="D55" s="76" t="n"/>
      <c r="E55" s="93" t="n"/>
      <c r="F55" s="93" t="n"/>
      <c r="G55" s="94">
        <f>IF(AND(E55="",F55=""),"",E55-F55)</f>
        <v/>
      </c>
      <c r="H55" s="76" t="n"/>
      <c r="I55" s="76" t="n"/>
    </row>
    <row r="56" ht="27" customHeight="1" s="49">
      <c r="A56" s="92" t="n">
        <v>12</v>
      </c>
      <c r="B56" s="76" t="n"/>
      <c r="C56" s="76" t="n"/>
      <c r="D56" s="76" t="n"/>
      <c r="E56" s="93" t="n"/>
      <c r="F56" s="93" t="n"/>
      <c r="G56" s="94">
        <f>IF(AND(E56="",F56=""),"",E56-F56)</f>
        <v/>
      </c>
      <c r="H56" s="76" t="n"/>
      <c r="I56" s="76" t="n"/>
    </row>
    <row r="57" ht="27" customHeight="1" s="49">
      <c r="A57" s="92" t="n">
        <v>13</v>
      </c>
      <c r="B57" s="76" t="n"/>
      <c r="C57" s="76" t="n"/>
      <c r="D57" s="76" t="n"/>
      <c r="E57" s="93" t="n"/>
      <c r="F57" s="93" t="n"/>
      <c r="G57" s="94">
        <f>IF(AND(E57="",F57=""),"",E57-F57)</f>
        <v/>
      </c>
      <c r="H57" s="76" t="n"/>
      <c r="I57" s="76" t="n"/>
    </row>
    <row r="58" ht="27" customHeight="1" s="49">
      <c r="A58" s="92" t="n">
        <v>14</v>
      </c>
      <c r="B58" s="76" t="n"/>
      <c r="C58" s="76" t="n"/>
      <c r="D58" s="76" t="n"/>
      <c r="E58" s="93" t="n"/>
      <c r="F58" s="93" t="n"/>
      <c r="G58" s="94">
        <f>IF(AND(E58="",F58=""),"",E58-F58)</f>
        <v/>
      </c>
      <c r="H58" s="76" t="n"/>
      <c r="I58" s="76" t="n"/>
    </row>
    <row r="59" ht="27" customHeight="1" s="49">
      <c r="A59" s="92" t="n">
        <v>15</v>
      </c>
      <c r="B59" s="76" t="n"/>
      <c r="C59" s="76" t="n"/>
      <c r="D59" s="76" t="n"/>
      <c r="E59" s="93" t="n"/>
      <c r="F59" s="93" t="n"/>
      <c r="G59" s="94">
        <f>IF(AND(E59="",F59=""),"",E59-F59)</f>
        <v/>
      </c>
      <c r="H59" s="76" t="n"/>
      <c r="I59" s="76" t="n"/>
    </row>
    <row r="60" ht="27" customHeight="1" s="49">
      <c r="A60" s="92" t="n">
        <v>16</v>
      </c>
      <c r="B60" s="76" t="n"/>
      <c r="C60" s="76" t="n"/>
      <c r="D60" s="76" t="n"/>
      <c r="E60" s="93" t="n"/>
      <c r="F60" s="93" t="n"/>
      <c r="G60" s="94">
        <f>IF(AND(E60="",F60=""),"",E60-F60)</f>
        <v/>
      </c>
      <c r="H60" s="76" t="n"/>
      <c r="I60" s="76" t="n"/>
    </row>
    <row r="61" ht="27" customHeight="1" s="49">
      <c r="A61" s="92" t="n">
        <v>17</v>
      </c>
      <c r="B61" s="76" t="n"/>
      <c r="C61" s="76" t="n"/>
      <c r="D61" s="76" t="n"/>
      <c r="E61" s="93" t="n"/>
      <c r="F61" s="93" t="n"/>
      <c r="G61" s="94">
        <f>IF(AND(E61="",F61=""),"",E61-F61)</f>
        <v/>
      </c>
      <c r="H61" s="76" t="n"/>
      <c r="I61" s="76" t="n"/>
    </row>
    <row r="62" ht="27" customHeight="1" s="49">
      <c r="A62" s="92" t="n">
        <v>18</v>
      </c>
      <c r="B62" s="76" t="n"/>
      <c r="C62" s="76" t="n"/>
      <c r="D62" s="76" t="n"/>
      <c r="E62" s="93" t="n"/>
      <c r="F62" s="93" t="n"/>
      <c r="G62" s="94">
        <f>IF(AND(E62="",F62=""),"",E62-F62)</f>
        <v/>
      </c>
      <c r="H62" s="76" t="n"/>
      <c r="I62" s="76" t="n"/>
    </row>
    <row r="63" ht="27" customHeight="1" s="49">
      <c r="A63" s="92" t="n">
        <v>19</v>
      </c>
      <c r="B63" s="76" t="n"/>
      <c r="C63" s="76" t="n"/>
      <c r="D63" s="76" t="n"/>
      <c r="E63" s="93" t="n"/>
      <c r="F63" s="93" t="n"/>
      <c r="G63" s="94">
        <f>IF(AND(E63="",F63=""),"",E63-F63)</f>
        <v/>
      </c>
      <c r="H63" s="76" t="n"/>
      <c r="I63" s="76" t="n"/>
    </row>
    <row r="64" ht="27" customHeight="1" s="49">
      <c r="A64" s="92" t="n">
        <v>20</v>
      </c>
      <c r="B64" s="76" t="n"/>
      <c r="C64" s="76" t="n"/>
      <c r="D64" s="76" t="n"/>
      <c r="E64" s="93" t="n"/>
      <c r="F64" s="93" t="n"/>
      <c r="G64" s="94">
        <f>IF(AND(E64="",F64=""),"",E64-F64)</f>
        <v/>
      </c>
      <c r="H64" s="76" t="n"/>
      <c r="I64" s="76" t="n"/>
    </row>
    <row r="65" ht="27" customHeight="1" s="49">
      <c r="A65" s="92" t="n">
        <v>21</v>
      </c>
      <c r="B65" s="76" t="n"/>
      <c r="C65" s="76" t="n"/>
      <c r="D65" s="76" t="n"/>
      <c r="E65" s="93" t="n"/>
      <c r="F65" s="93" t="n"/>
      <c r="G65" s="94">
        <f>IF(AND(E65="",F65=""),"",E65-F65)</f>
        <v/>
      </c>
      <c r="H65" s="76" t="n"/>
      <c r="I65" s="76" t="n"/>
    </row>
    <row r="66" ht="27" customHeight="1" s="49">
      <c r="A66" s="92" t="n">
        <v>22</v>
      </c>
      <c r="B66" s="76" t="n"/>
      <c r="C66" s="76" t="n"/>
      <c r="D66" s="76" t="n"/>
      <c r="E66" s="93" t="n"/>
      <c r="F66" s="93" t="n"/>
      <c r="G66" s="94">
        <f>IF(AND(E66="",F66=""),"",E66-F66)</f>
        <v/>
      </c>
      <c r="H66" s="76" t="n"/>
      <c r="I66" s="76" t="n"/>
    </row>
    <row r="67" ht="27" customHeight="1" s="49">
      <c r="A67" s="92" t="n">
        <v>23</v>
      </c>
      <c r="B67" s="76" t="n"/>
      <c r="C67" s="76" t="n"/>
      <c r="D67" s="76" t="n"/>
      <c r="E67" s="93" t="n"/>
      <c r="F67" s="93" t="n"/>
      <c r="G67" s="94">
        <f>IF(AND(E67="",F67=""),"",E67-F67)</f>
        <v/>
      </c>
      <c r="H67" s="76" t="n"/>
      <c r="I67" s="76" t="n"/>
    </row>
    <row r="68" ht="27" customHeight="1" s="49">
      <c r="A68" s="92" t="n">
        <v>24</v>
      </c>
      <c r="B68" s="76" t="n"/>
      <c r="C68" s="76" t="n"/>
      <c r="D68" s="76" t="n"/>
      <c r="E68" s="93" t="n"/>
      <c r="F68" s="93" t="n"/>
      <c r="G68" s="94">
        <f>IF(AND(E68="",F68=""),"",E68-F68)</f>
        <v/>
      </c>
      <c r="H68" s="76" t="n"/>
      <c r="I68" s="76" t="n"/>
    </row>
    <row r="69" ht="27" customHeight="1" s="49">
      <c r="A69" s="92" t="n">
        <v>25</v>
      </c>
      <c r="B69" s="76" t="n"/>
      <c r="C69" s="76" t="n"/>
      <c r="D69" s="76" t="n"/>
      <c r="E69" s="93" t="n"/>
      <c r="F69" s="93" t="n"/>
      <c r="G69" s="94">
        <f>IF(AND(E69="",F69=""),"",E69-F69)</f>
        <v/>
      </c>
      <c r="H69" s="76" t="n"/>
      <c r="I69" s="76" t="n"/>
    </row>
    <row r="70" ht="27" customHeight="1" s="49">
      <c r="A70" s="92" t="n">
        <v>26</v>
      </c>
      <c r="B70" s="76" t="n"/>
      <c r="C70" s="76" t="n"/>
      <c r="D70" s="76" t="n"/>
      <c r="E70" s="93" t="n"/>
      <c r="F70" s="93" t="n"/>
      <c r="G70" s="94">
        <f>IF(AND(E70="",F70=""),"",E70-F70)</f>
        <v/>
      </c>
      <c r="H70" s="76" t="n"/>
      <c r="I70" s="76" t="n"/>
    </row>
    <row r="71" ht="27" customHeight="1" s="49">
      <c r="A71" s="92" t="n">
        <v>27</v>
      </c>
      <c r="B71" s="76" t="n"/>
      <c r="C71" s="76" t="n"/>
      <c r="D71" s="76" t="n"/>
      <c r="E71" s="93" t="n"/>
      <c r="F71" s="93" t="n"/>
      <c r="G71" s="94">
        <f>IF(AND(E71="",F71=""),"",E71-F71)</f>
        <v/>
      </c>
      <c r="H71" s="76" t="n"/>
      <c r="I71" s="76" t="n"/>
    </row>
    <row r="72" ht="27" customHeight="1" s="49">
      <c r="A72" s="92" t="n">
        <v>28</v>
      </c>
      <c r="B72" s="76" t="n"/>
      <c r="C72" s="76" t="n"/>
      <c r="D72" s="76" t="n"/>
      <c r="E72" s="93" t="n"/>
      <c r="F72" s="93" t="n"/>
      <c r="G72" s="94">
        <f>IF(AND(E72="",F72=""),"",E72-F72)</f>
        <v/>
      </c>
      <c r="H72" s="76" t="n"/>
      <c r="I72" s="76" t="n"/>
    </row>
    <row r="73" ht="27" customHeight="1" s="49">
      <c r="A73" s="92" t="n">
        <v>29</v>
      </c>
      <c r="B73" s="76" t="n"/>
      <c r="C73" s="76" t="n"/>
      <c r="D73" s="76" t="n"/>
      <c r="E73" s="93" t="n"/>
      <c r="F73" s="93" t="n"/>
      <c r="G73" s="94">
        <f>IF(AND(E73="",F73=""),"",E73-F73)</f>
        <v/>
      </c>
      <c r="H73" s="76" t="n"/>
      <c r="I73" s="76" t="n"/>
    </row>
    <row r="74" ht="27" customHeight="1" s="49">
      <c r="A74" s="92" t="n">
        <v>30</v>
      </c>
      <c r="B74" s="76" t="n"/>
      <c r="C74" s="76" t="n"/>
      <c r="D74" s="76" t="n"/>
      <c r="E74" s="93" t="n"/>
      <c r="F74" s="93" t="n"/>
      <c r="G74" s="94">
        <f>IF(AND(E74="",F74=""),"",E74-F74)</f>
        <v/>
      </c>
      <c r="H74" s="76" t="n"/>
      <c r="I74" s="76" t="n"/>
    </row>
    <row r="75" ht="27" customHeight="1" s="49">
      <c r="A75" s="95" t="inlineStr">
        <is>
          <t>Count of exceptions (completeness)</t>
        </is>
      </c>
      <c r="B75" s="79" t="n"/>
      <c r="C75" s="79" t="n"/>
      <c r="D75" s="80" t="n"/>
      <c r="E75" s="96">
        <f>COUNTIF(G45:G74,"&lt;&gt;0")-COUNTBLANK(G45:G74)</f>
        <v/>
      </c>
      <c r="F75" s="97" t="n"/>
      <c r="G75" s="97" t="n"/>
      <c r="H75" s="97" t="n"/>
      <c r="I75" s="97" t="n"/>
    </row>
    <row r="76">
      <c r="A76" s="55" t="n"/>
      <c r="B76" s="55" t="n"/>
      <c r="C76" s="55" t="n"/>
      <c r="D76" s="55" t="n"/>
      <c r="E76" s="55" t="n"/>
      <c r="F76" s="55" t="n"/>
      <c r="G76" s="55" t="n"/>
      <c r="H76" s="55" t="n"/>
      <c r="I76" s="55" t="n"/>
    </row>
    <row r="77" ht="27.75" customHeight="1" s="49">
      <c r="A77" s="57" t="inlineStr">
        <is>
          <t>Both directions are required regardless of population size: listing → floor proves recorded items EXIST; floor → listing proves counted items are COMPLETELY included. Document count instructions, controls observed (tags, cutoff during count, movement freeze) and the resolution of every difference (recount / listing correction).</t>
        </is>
      </c>
      <c r="B77" s="55" t="n"/>
      <c r="C77" s="55" t="n"/>
      <c r="D77" s="55" t="n"/>
      <c r="E77" s="55" t="n"/>
      <c r="F77" s="55" t="n"/>
      <c r="G77" s="55" t="n"/>
      <c r="H77" s="55" t="n"/>
      <c r="I77" s="55" t="n"/>
    </row>
    <row r="78">
      <c r="A78" s="55" t="n"/>
      <c r="B78" s="55" t="n"/>
      <c r="C78" s="55" t="n"/>
      <c r="D78" s="55" t="n"/>
      <c r="E78" s="55" t="n"/>
      <c r="F78" s="55" t="n"/>
      <c r="G78" s="55" t="n"/>
      <c r="H78" s="55" t="n"/>
      <c r="I78" s="55" t="n"/>
    </row>
    <row r="79">
      <c r="A79" s="77" t="inlineStr">
        <is>
          <t>TM Legends</t>
        </is>
      </c>
      <c r="B79" s="55" t="n"/>
      <c r="C79" s="55" t="n"/>
      <c r="D79" s="55" t="n"/>
      <c r="E79" s="55" t="n"/>
      <c r="F79" s="55" t="n"/>
      <c r="G79" s="55" t="n"/>
      <c r="H79" s="55" t="n"/>
      <c r="I79" s="55" t="n"/>
    </row>
    <row r="80">
      <c r="A80" s="78" t="inlineStr">
        <is>
          <t>TB</t>
        </is>
      </c>
      <c r="B80" s="61" t="inlineStr">
        <is>
          <t>Agreed to trial balance</t>
        </is>
      </c>
      <c r="C80" s="79" t="n"/>
      <c r="D80" s="80" t="n"/>
      <c r="E80" s="55" t="n"/>
      <c r="F80" s="55" t="n"/>
      <c r="G80" s="55" t="n"/>
      <c r="H80" s="55" t="n"/>
      <c r="I80" s="55" t="n"/>
    </row>
    <row r="81">
      <c r="A81" s="78" t="inlineStr">
        <is>
          <t>GL</t>
        </is>
      </c>
      <c r="B81" s="61" t="inlineStr">
        <is>
          <t>Agreed to general ledger</t>
        </is>
      </c>
      <c r="C81" s="79" t="n"/>
      <c r="D81" s="80" t="n"/>
      <c r="E81" s="55" t="n"/>
      <c r="F81" s="55" t="n"/>
      <c r="G81" s="55" t="n"/>
      <c r="H81" s="55" t="n"/>
      <c r="I81" s="55" t="n"/>
    </row>
    <row r="82">
      <c r="A82" s="78" t="inlineStr">
        <is>
          <t>CF</t>
        </is>
      </c>
      <c r="B82" s="61" t="inlineStr">
        <is>
          <t>Confirmed with third party</t>
        </is>
      </c>
      <c r="C82" s="79" t="n"/>
      <c r="D82" s="80" t="n"/>
      <c r="E82" s="55" t="n"/>
      <c r="F82" s="55" t="n"/>
      <c r="G82" s="55" t="n"/>
      <c r="H82" s="55" t="n"/>
      <c r="I82" s="55" t="n"/>
    </row>
    <row r="83">
      <c r="A83" s="78" t="inlineStr">
        <is>
          <t>V</t>
        </is>
      </c>
      <c r="B83" s="61" t="inlineStr">
        <is>
          <t>Vouched to source document</t>
        </is>
      </c>
      <c r="C83" s="79" t="n"/>
      <c r="D83" s="80" t="n"/>
      <c r="E83" s="55" t="n"/>
      <c r="F83" s="55" t="n"/>
      <c r="G83" s="55" t="n"/>
      <c r="H83" s="55" t="n"/>
      <c r="I83" s="55" t="n"/>
    </row>
    <row r="84">
      <c r="A84" s="78" t="inlineStr">
        <is>
          <t>SR</t>
        </is>
      </c>
      <c r="B84" s="61" t="inlineStr">
        <is>
          <t>Agreed to subsequent bank-cleared receipt</t>
        </is>
      </c>
      <c r="C84" s="79" t="n"/>
      <c r="D84" s="80" t="n"/>
      <c r="E84" s="55" t="n"/>
      <c r="F84" s="55" t="n"/>
      <c r="G84" s="55" t="n"/>
      <c r="H84" s="55" t="n"/>
      <c r="I84" s="55" t="n"/>
    </row>
    <row r="85">
      <c r="A85" s="78" t="inlineStr">
        <is>
          <t>R</t>
        </is>
      </c>
      <c r="B85" s="61" t="inlineStr">
        <is>
          <t>Recalculated independently</t>
        </is>
      </c>
      <c r="C85" s="79" t="n"/>
      <c r="D85" s="80" t="n"/>
      <c r="E85" s="55" t="n"/>
      <c r="F85" s="55" t="n"/>
      <c r="G85" s="55" t="n"/>
      <c r="H85" s="55" t="n"/>
      <c r="I85" s="55" t="n"/>
    </row>
    <row r="86">
      <c r="A86" s="78" t="inlineStr">
        <is>
          <t>F</t>
        </is>
      </c>
      <c r="B86" s="61" t="inlineStr">
        <is>
          <t>Footed / cross-cast</t>
        </is>
      </c>
      <c r="C86" s="79" t="n"/>
      <c r="D86" s="80" t="n"/>
      <c r="E86" s="55" t="n"/>
      <c r="F86" s="55" t="n"/>
      <c r="G86" s="55" t="n"/>
      <c r="H86" s="55" t="n"/>
      <c r="I86" s="55" t="n"/>
    </row>
    <row r="87">
      <c r="A87" s="78" t="inlineStr">
        <is>
          <t>T</t>
        </is>
      </c>
      <c r="B87" s="61" t="inlineStr">
        <is>
          <t>Traced to downstream record</t>
        </is>
      </c>
      <c r="C87" s="79" t="n"/>
      <c r="D87" s="80" t="n"/>
      <c r="E87" s="55" t="n"/>
      <c r="F87" s="55" t="n"/>
      <c r="G87" s="55" t="n"/>
      <c r="H87" s="55" t="n"/>
      <c r="I87" s="55" t="n"/>
    </row>
    <row r="88">
      <c r="A88" s="78" t="inlineStr">
        <is>
          <t>PBC</t>
        </is>
      </c>
      <c r="B88" s="61" t="inlineStr">
        <is>
          <t>Prepared by client</t>
        </is>
      </c>
      <c r="C88" s="79" t="n"/>
      <c r="D88" s="80" t="n"/>
      <c r="E88" s="55" t="n"/>
      <c r="F88" s="55" t="n"/>
      <c r="G88" s="55" t="n"/>
      <c r="H88" s="55" t="n"/>
      <c r="I88" s="55" t="n"/>
    </row>
    <row r="89">
      <c r="A89" s="55" t="n"/>
      <c r="B89" s="55" t="n"/>
      <c r="C89" s="55" t="n"/>
      <c r="D89" s="55" t="n"/>
      <c r="E89" s="55" t="n"/>
      <c r="F89" s="55" t="n"/>
      <c r="G89" s="55" t="n"/>
      <c r="H89" s="55" t="n"/>
      <c r="I89" s="55" t="n"/>
    </row>
    <row r="90" ht="27.75" customHeight="1" s="49">
      <c r="A90" s="57" t="inlineStr">
        <is>
          <t>Before sign-off complete Library Procedures 6-8 (count observation &amp; controls; existence direction; completeness direction).</t>
        </is>
      </c>
      <c r="B90" s="55" t="n"/>
      <c r="C90" s="55" t="n"/>
      <c r="D90" s="55" t="n"/>
      <c r="E90" s="55" t="n"/>
      <c r="F90" s="55" t="n"/>
      <c r="G90" s="55" t="n"/>
      <c r="H90" s="55" t="n"/>
      <c r="I90" s="55" t="n"/>
    </row>
  </sheetData>
  <mergeCells count="16">
    <mergeCell ref="A40:D40"/>
    <mergeCell ref="A75:D75"/>
    <mergeCell ref="A90:I90"/>
    <mergeCell ref="B80:D80"/>
    <mergeCell ref="B85:D85"/>
    <mergeCell ref="B6:I6"/>
    <mergeCell ref="B84:D84"/>
    <mergeCell ref="B88:D88"/>
    <mergeCell ref="B5:I5"/>
    <mergeCell ref="B82:D82"/>
    <mergeCell ref="B83:D83"/>
    <mergeCell ref="A77:I77"/>
    <mergeCell ref="B86:D86"/>
    <mergeCell ref="B87:D87"/>
    <mergeCell ref="B4:I4"/>
    <mergeCell ref="B81:D81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I41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7" sqref="A7"/>
    </sheetView>
  </sheetViews>
  <sheetFormatPr baseColWidth="8" defaultColWidth="8.6328125" defaultRowHeight="14.5"/>
  <cols>
    <col width="39.4" customWidth="1" style="49" min="1" max="1"/>
    <col width="24" customWidth="1" style="49" min="2" max="2"/>
    <col width="13" customWidth="1" style="49" min="3" max="5"/>
    <col width="37.7" customWidth="1" style="49" min="4" max="4"/>
    <col width="35.15" customWidth="1" style="49" min="5" max="5"/>
    <col width="38.55" customWidth="1" style="49" min="6" max="7"/>
    <col width="17.3" customWidth="1" style="49" min="7" max="7"/>
    <col width="30.9" customWidth="1" style="49" min="8" max="8"/>
    <col width="26" customWidth="1" style="49" min="9" max="9"/>
  </cols>
  <sheetData>
    <row r="1" ht="27" customHeight="1" s="49">
      <c r="A1" s="54" t="inlineStr">
        <is>
          <t>Count Timing Bridge — Rollforward / Rollback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</row>
    <row r="2">
      <c r="A2" s="66" t="inlineStr">
        <is>
          <t>Client / Entity</t>
        </is>
      </c>
      <c r="B2" s="56" t="inlineStr">
        <is>
          <t>Vaquite Industries, Inc.</t>
        </is>
      </c>
      <c r="C2" s="55" t="n"/>
      <c r="D2" s="66" t="inlineStr">
        <is>
          <t>Year-End</t>
        </is>
      </c>
      <c r="E2" s="67" t="n">
        <v>46022</v>
      </c>
      <c r="F2" s="55" t="n"/>
      <c r="G2" s="66" t="inlineStr">
        <is>
          <t>Currency</t>
        </is>
      </c>
      <c r="H2" s="68" t="inlineStr">
        <is>
          <t>USD</t>
        </is>
      </c>
      <c r="I2" s="55" t="n"/>
    </row>
    <row r="3" ht="27" customHeight="1" s="49">
      <c r="A3" s="69" t="inlineStr">
        <is>
          <t>Performance Materiality</t>
        </is>
      </c>
      <c r="B3" s="70" t="n">
        <v>23100</v>
      </c>
      <c r="C3" s="55" t="n"/>
      <c r="D3" s="69" t="inlineStr">
        <is>
          <t>Tolerable misstatement / testing threshold</t>
        </is>
      </c>
      <c r="E3" s="70" t="n">
        <v>17400</v>
      </c>
      <c r="F3" s="55" t="n"/>
      <c r="G3" s="55" t="n"/>
      <c r="H3" s="55" t="n"/>
      <c r="I3" s="55" t="n"/>
    </row>
    <row r="4" ht="42" customHeight="1" s="49">
      <c r="A4" s="71" t="inlineStr">
        <is>
          <t>Purpose:</t>
        </is>
      </c>
      <c r="B4" s="72" t="inlineStr">
        <is>
          <t>Where the physical count is not at year-end, bridge the counted quantities to the year-end listing: rollforward (count before YE) or rollback (count after YE) using bridge-period receipts and issues.</t>
        </is>
      </c>
      <c r="C4" s="73" t="n"/>
      <c r="D4" s="73" t="n"/>
      <c r="E4" s="73" t="n"/>
      <c r="F4" s="73" t="n"/>
      <c r="G4" s="73" t="n"/>
      <c r="H4" s="73" t="n"/>
      <c r="I4" s="74" t="n"/>
    </row>
    <row r="5" ht="27.75" customHeight="1" s="49">
      <c r="A5" s="71" t="inlineStr">
        <is>
          <t>Scope:</t>
        </is>
      </c>
      <c r="B5" s="72" t="inlineStr">
        <is>
          <t>Bridge-period activity (receipts / GRNs and issues / shipments) between the count date and year-end for the counted items.</t>
        </is>
      </c>
      <c r="C5" s="73" t="n"/>
      <c r="D5" s="73" t="n"/>
      <c r="E5" s="73" t="n"/>
      <c r="F5" s="73" t="n"/>
      <c r="G5" s="73" t="n"/>
      <c r="H5" s="73" t="n"/>
      <c r="I5" s="74" t="n"/>
    </row>
    <row r="6" ht="15" customHeight="1" s="49">
      <c r="A6" s="71" t="inlineStr">
        <is>
          <t>Assertions:</t>
        </is>
      </c>
      <c r="B6" s="72" t="inlineStr">
        <is>
          <t>Existence; Completeness; Cutoff; Accuracy</t>
        </is>
      </c>
      <c r="C6" s="73" t="n"/>
      <c r="D6" s="73" t="n"/>
      <c r="E6" s="73" t="n"/>
      <c r="F6" s="73" t="n"/>
      <c r="G6" s="73" t="n"/>
      <c r="H6" s="73" t="n"/>
      <c r="I6" s="74" t="n"/>
    </row>
    <row r="7">
      <c r="A7" s="66" t="inlineStr">
        <is>
          <t>Count date</t>
        </is>
      </c>
      <c r="B7" s="98" t="n">
        <v>46022</v>
      </c>
      <c r="C7" s="55" t="n"/>
      <c r="D7" s="66" t="inlineStr">
        <is>
          <t>Year-end</t>
        </is>
      </c>
      <c r="E7" s="98" t="n">
        <v>46022</v>
      </c>
      <c r="F7" s="55" t="n"/>
      <c r="G7" s="66" t="inlineStr">
        <is>
          <t>Direction</t>
        </is>
      </c>
      <c r="H7" s="99" t="inlineStr">
        <is>
          <t>[Rollforward / Rollback]</t>
        </is>
      </c>
      <c r="I7" s="100" t="n"/>
    </row>
    <row r="8">
      <c r="A8" s="55" t="n"/>
      <c r="B8" s="55" t="n"/>
      <c r="C8" s="55" t="n"/>
      <c r="D8" s="55" t="n"/>
      <c r="E8" s="55" t="n"/>
      <c r="F8" s="55" t="n"/>
      <c r="G8" s="55" t="n"/>
      <c r="H8" s="55" t="n"/>
      <c r="I8" s="55" t="n"/>
    </row>
    <row r="9" ht="31.5" customHeight="1" s="49">
      <c r="A9" s="82" t="inlineStr">
        <is>
          <t>Sel #</t>
        </is>
      </c>
      <c r="B9" s="82" t="inlineStr">
        <is>
          <t>Item / SKU &amp; description</t>
        </is>
      </c>
      <c r="C9" s="82" t="inlineStr">
        <is>
          <t>Qty at count</t>
        </is>
      </c>
      <c r="D9" s="82" t="inlineStr">
        <is>
          <t>(+) Receipts in bridge period</t>
        </is>
      </c>
      <c r="E9" s="82" t="inlineStr">
        <is>
          <t>(−) Issues / shipments in bridge period</t>
        </is>
      </c>
      <c r="F9" s="82" t="inlineStr">
        <is>
          <t>Expected qty at YE</t>
        </is>
      </c>
      <c r="G9" s="82" t="inlineStr">
        <is>
          <t>Qty per YE listing</t>
        </is>
      </c>
      <c r="H9" s="82" t="inlineStr">
        <is>
          <t>Difference</t>
        </is>
      </c>
      <c r="I9" s="82" t="inlineStr">
        <is>
          <t>Comments</t>
        </is>
      </c>
    </row>
    <row r="10">
      <c r="A10" s="55" t="n"/>
      <c r="B10" s="55" t="n"/>
      <c r="C10" s="83" t="inlineStr">
        <is>
          <t>V</t>
        </is>
      </c>
      <c r="D10" s="83" t="inlineStr">
        <is>
          <t>V</t>
        </is>
      </c>
      <c r="E10" s="83" t="inlineStr">
        <is>
          <t>V</t>
        </is>
      </c>
      <c r="F10" s="83" t="inlineStr">
        <is>
          <t>R</t>
        </is>
      </c>
      <c r="G10" s="55" t="n"/>
      <c r="H10" s="55" t="n"/>
      <c r="I10" s="55" t="n"/>
    </row>
    <row r="11" ht="27" customHeight="1" s="49">
      <c r="A11" s="92" t="n">
        <v>1</v>
      </c>
      <c r="B11" s="76" t="n"/>
      <c r="C11" s="93" t="n"/>
      <c r="D11" s="93" t="n"/>
      <c r="E11" s="93" t="n"/>
      <c r="F11" s="94">
        <f>IF(COUNT(C11:E11)=0,"",C11+D11-E11)</f>
        <v/>
      </c>
      <c r="G11" s="93" t="n"/>
      <c r="H11" s="94">
        <f>IF(AND(F11="",G11=""),"",F11-G11)</f>
        <v/>
      </c>
      <c r="I11" s="76" t="n"/>
    </row>
    <row r="12" ht="27" customHeight="1" s="49">
      <c r="A12" s="92" t="n">
        <v>2</v>
      </c>
      <c r="B12" s="76" t="n"/>
      <c r="C12" s="93" t="n"/>
      <c r="D12" s="93" t="n"/>
      <c r="E12" s="93" t="n"/>
      <c r="F12" s="94">
        <f>IF(COUNT(C12:E12)=0,"",C12+D12-E12)</f>
        <v/>
      </c>
      <c r="G12" s="93" t="n"/>
      <c r="H12" s="94">
        <f>IF(AND(F12="",G12=""),"",F12-G12)</f>
        <v/>
      </c>
      <c r="I12" s="76" t="n"/>
    </row>
    <row r="13" ht="27" customHeight="1" s="49">
      <c r="A13" s="92" t="n">
        <v>3</v>
      </c>
      <c r="B13" s="76" t="n"/>
      <c r="C13" s="93" t="n"/>
      <c r="D13" s="93" t="n"/>
      <c r="E13" s="93" t="n"/>
      <c r="F13" s="94">
        <f>IF(COUNT(C13:E13)=0,"",C13+D13-E13)</f>
        <v/>
      </c>
      <c r="G13" s="93" t="n"/>
      <c r="H13" s="94">
        <f>IF(AND(F13="",G13=""),"",F13-G13)</f>
        <v/>
      </c>
      <c r="I13" s="76" t="n"/>
    </row>
    <row r="14" ht="27" customHeight="1" s="49">
      <c r="A14" s="92" t="n">
        <v>4</v>
      </c>
      <c r="B14" s="76" t="n"/>
      <c r="C14" s="93" t="n"/>
      <c r="D14" s="93" t="n"/>
      <c r="E14" s="93" t="n"/>
      <c r="F14" s="94">
        <f>IF(COUNT(C14:E14)=0,"",C14+D14-E14)</f>
        <v/>
      </c>
      <c r="G14" s="93" t="n"/>
      <c r="H14" s="94">
        <f>IF(AND(F14="",G14=""),"",F14-G14)</f>
        <v/>
      </c>
      <c r="I14" s="76" t="n"/>
    </row>
    <row r="15" ht="27" customHeight="1" s="49">
      <c r="A15" s="92" t="n">
        <v>5</v>
      </c>
      <c r="B15" s="76" t="n"/>
      <c r="C15" s="93" t="n"/>
      <c r="D15" s="93" t="n"/>
      <c r="E15" s="93" t="n"/>
      <c r="F15" s="94">
        <f>IF(COUNT(C15:E15)=0,"",C15+D15-E15)</f>
        <v/>
      </c>
      <c r="G15" s="93" t="n"/>
      <c r="H15" s="94">
        <f>IF(AND(F15="",G15=""),"",F15-G15)</f>
        <v/>
      </c>
      <c r="I15" s="76" t="n"/>
    </row>
    <row r="16" ht="27" customHeight="1" s="49">
      <c r="A16" s="92" t="n">
        <v>6</v>
      </c>
      <c r="B16" s="76" t="n"/>
      <c r="C16" s="93" t="n"/>
      <c r="D16" s="93" t="n"/>
      <c r="E16" s="93" t="n"/>
      <c r="F16" s="94">
        <f>IF(COUNT(C16:E16)=0,"",C16+D16-E16)</f>
        <v/>
      </c>
      <c r="G16" s="93" t="n"/>
      <c r="H16" s="94">
        <f>IF(AND(F16="",G16=""),"",F16-G16)</f>
        <v/>
      </c>
      <c r="I16" s="76" t="n"/>
    </row>
    <row r="17" ht="27" customHeight="1" s="49">
      <c r="A17" s="92" t="n">
        <v>7</v>
      </c>
      <c r="B17" s="76" t="n"/>
      <c r="C17" s="93" t="n"/>
      <c r="D17" s="93" t="n"/>
      <c r="E17" s="93" t="n"/>
      <c r="F17" s="94">
        <f>IF(COUNT(C17:E17)=0,"",C17+D17-E17)</f>
        <v/>
      </c>
      <c r="G17" s="93" t="n"/>
      <c r="H17" s="94">
        <f>IF(AND(F17="",G17=""),"",F17-G17)</f>
        <v/>
      </c>
      <c r="I17" s="76" t="n"/>
    </row>
    <row r="18" ht="27" customHeight="1" s="49">
      <c r="A18" s="92" t="n">
        <v>8</v>
      </c>
      <c r="B18" s="76" t="n"/>
      <c r="C18" s="93" t="n"/>
      <c r="D18" s="93" t="n"/>
      <c r="E18" s="93" t="n"/>
      <c r="F18" s="94">
        <f>IF(COUNT(C18:E18)=0,"",C18+D18-E18)</f>
        <v/>
      </c>
      <c r="G18" s="93" t="n"/>
      <c r="H18" s="94">
        <f>IF(AND(F18="",G18=""),"",F18-G18)</f>
        <v/>
      </c>
      <c r="I18" s="76" t="n"/>
    </row>
    <row r="19" ht="27" customHeight="1" s="49">
      <c r="A19" s="92" t="n">
        <v>9</v>
      </c>
      <c r="B19" s="76" t="n"/>
      <c r="C19" s="93" t="n"/>
      <c r="D19" s="93" t="n"/>
      <c r="E19" s="93" t="n"/>
      <c r="F19" s="94">
        <f>IF(COUNT(C19:E19)=0,"",C19+D19-E19)</f>
        <v/>
      </c>
      <c r="G19" s="93" t="n"/>
      <c r="H19" s="94">
        <f>IF(AND(F19="",G19=""),"",F19-G19)</f>
        <v/>
      </c>
      <c r="I19" s="76" t="n"/>
    </row>
    <row r="20" ht="27" customHeight="1" s="49">
      <c r="A20" s="92" t="n">
        <v>10</v>
      </c>
      <c r="B20" s="76" t="n"/>
      <c r="C20" s="93" t="n"/>
      <c r="D20" s="93" t="n"/>
      <c r="E20" s="93" t="n"/>
      <c r="F20" s="94">
        <f>IF(COUNT(C20:E20)=0,"",C20+D20-E20)</f>
        <v/>
      </c>
      <c r="G20" s="93" t="n"/>
      <c r="H20" s="94">
        <f>IF(AND(F20="",G20=""),"",F20-G20)</f>
        <v/>
      </c>
      <c r="I20" s="76" t="n"/>
    </row>
    <row r="21" ht="27" customHeight="1" s="49">
      <c r="A21" s="92" t="n">
        <v>11</v>
      </c>
      <c r="B21" s="76" t="n"/>
      <c r="C21" s="93" t="n"/>
      <c r="D21" s="93" t="n"/>
      <c r="E21" s="93" t="n"/>
      <c r="F21" s="94">
        <f>IF(COUNT(C21:E21)=0,"",C21+D21-E21)</f>
        <v/>
      </c>
      <c r="G21" s="93" t="n"/>
      <c r="H21" s="94">
        <f>IF(AND(F21="",G21=""),"",F21-G21)</f>
        <v/>
      </c>
      <c r="I21" s="76" t="n"/>
    </row>
    <row r="22" ht="27" customHeight="1" s="49">
      <c r="A22" s="92" t="n">
        <v>12</v>
      </c>
      <c r="B22" s="76" t="n"/>
      <c r="C22" s="93" t="n"/>
      <c r="D22" s="93" t="n"/>
      <c r="E22" s="93" t="n"/>
      <c r="F22" s="94">
        <f>IF(COUNT(C22:E22)=0,"",C22+D22-E22)</f>
        <v/>
      </c>
      <c r="G22" s="93" t="n"/>
      <c r="H22" s="94">
        <f>IF(AND(F22="",G22=""),"",F22-G22)</f>
        <v/>
      </c>
      <c r="I22" s="76" t="n"/>
    </row>
    <row r="23" ht="27" customHeight="1" s="49">
      <c r="A23" s="92" t="n">
        <v>13</v>
      </c>
      <c r="B23" s="76" t="n"/>
      <c r="C23" s="93" t="n"/>
      <c r="D23" s="93" t="n"/>
      <c r="E23" s="93" t="n"/>
      <c r="F23" s="94">
        <f>IF(COUNT(C23:E23)=0,"",C23+D23-E23)</f>
        <v/>
      </c>
      <c r="G23" s="93" t="n"/>
      <c r="H23" s="94">
        <f>IF(AND(F23="",G23=""),"",F23-G23)</f>
        <v/>
      </c>
      <c r="I23" s="76" t="n"/>
    </row>
    <row r="24" ht="27" customHeight="1" s="49">
      <c r="A24" s="92" t="n">
        <v>14</v>
      </c>
      <c r="B24" s="76" t="n"/>
      <c r="C24" s="93" t="n"/>
      <c r="D24" s="93" t="n"/>
      <c r="E24" s="93" t="n"/>
      <c r="F24" s="94">
        <f>IF(COUNT(C24:E24)=0,"",C24+D24-E24)</f>
        <v/>
      </c>
      <c r="G24" s="93" t="n"/>
      <c r="H24" s="94">
        <f>IF(AND(F24="",G24=""),"",F24-G24)</f>
        <v/>
      </c>
      <c r="I24" s="76" t="n"/>
    </row>
    <row r="25" ht="27" customHeight="1" s="49">
      <c r="A25" s="92" t="n">
        <v>15</v>
      </c>
      <c r="B25" s="76" t="n"/>
      <c r="C25" s="93" t="n"/>
      <c r="D25" s="93" t="n"/>
      <c r="E25" s="93" t="n"/>
      <c r="F25" s="94">
        <f>IF(COUNT(C25:E25)=0,"",C25+D25-E25)</f>
        <v/>
      </c>
      <c r="G25" s="93" t="n"/>
      <c r="H25" s="94">
        <f>IF(AND(F25="",G25=""),"",F25-G25)</f>
        <v/>
      </c>
      <c r="I25" s="76" t="n"/>
    </row>
    <row r="26" ht="27" customHeight="1" s="49">
      <c r="A26" s="95" t="inlineStr">
        <is>
          <t>Exceptions (non-zero differences)</t>
        </is>
      </c>
      <c r="B26" s="79" t="n"/>
      <c r="C26" s="79" t="n"/>
      <c r="D26" s="79" t="n"/>
      <c r="E26" s="80" t="n"/>
      <c r="F26" s="96">
        <f>COUNTIF(H11:H25,"&lt;&gt;0")-COUNTBLANK(H11:H25)</f>
        <v/>
      </c>
      <c r="G26" s="97" t="n"/>
      <c r="H26" s="97" t="n"/>
      <c r="I26" s="97" t="n"/>
    </row>
    <row r="27">
      <c r="A27" s="55" t="n"/>
      <c r="B27" s="55" t="n"/>
      <c r="C27" s="55" t="n"/>
      <c r="D27" s="55" t="n"/>
      <c r="E27" s="55" t="n"/>
      <c r="F27" s="55" t="n"/>
      <c r="G27" s="55" t="n"/>
      <c r="H27" s="55" t="n"/>
      <c r="I27" s="55" t="n"/>
    </row>
    <row r="28" ht="27.75" customHeight="1" s="49">
      <c r="A28" s="57" t="inlineStr">
        <is>
          <t>Rollforward (count BEFORE year-end): count qty + receipts − issues = expected YE qty, agreed to the YE listing. Rollback (count AFTER year-end): the same bridge run in reverse — YE listing + post-YE receipts − post-YE issues should equal the counted qty. Test the bridge-period activity itself (GRNs / shipping docs) and evaluate controls over movements during the gap.</t>
        </is>
      </c>
      <c r="B28" s="55" t="n"/>
      <c r="C28" s="55" t="n"/>
      <c r="D28" s="55" t="n"/>
      <c r="E28" s="55" t="n"/>
      <c r="F28" s="55" t="n"/>
      <c r="G28" s="55" t="n"/>
      <c r="H28" s="55" t="n"/>
      <c r="I28" s="55" t="n"/>
    </row>
    <row r="29">
      <c r="A29" s="55" t="n"/>
      <c r="B29" s="55" t="n"/>
      <c r="C29" s="55" t="n"/>
      <c r="D29" s="55" t="n"/>
      <c r="E29" s="55" t="n"/>
      <c r="F29" s="55" t="n"/>
      <c r="G29" s="55" t="n"/>
      <c r="H29" s="55" t="n"/>
      <c r="I29" s="55" t="n"/>
    </row>
    <row r="30">
      <c r="A30" s="77" t="inlineStr">
        <is>
          <t>TM Legends</t>
        </is>
      </c>
      <c r="B30" s="55" t="n"/>
      <c r="C30" s="55" t="n"/>
      <c r="D30" s="55" t="n"/>
      <c r="E30" s="55" t="n"/>
      <c r="F30" s="55" t="n"/>
      <c r="G30" s="55" t="n"/>
      <c r="H30" s="55" t="n"/>
      <c r="I30" s="55" t="n"/>
    </row>
    <row r="31">
      <c r="A31" s="78" t="inlineStr">
        <is>
          <t>TB</t>
        </is>
      </c>
      <c r="B31" s="61" t="inlineStr">
        <is>
          <t>Agreed to trial balance</t>
        </is>
      </c>
      <c r="C31" s="79" t="n"/>
      <c r="D31" s="80" t="n"/>
      <c r="E31" s="55" t="n"/>
      <c r="F31" s="55" t="n"/>
      <c r="G31" s="55" t="n"/>
      <c r="H31" s="55" t="n"/>
      <c r="I31" s="55" t="n"/>
    </row>
    <row r="32">
      <c r="A32" s="78" t="inlineStr">
        <is>
          <t>GL</t>
        </is>
      </c>
      <c r="B32" s="61" t="inlineStr">
        <is>
          <t>Agreed to general ledger</t>
        </is>
      </c>
      <c r="C32" s="79" t="n"/>
      <c r="D32" s="80" t="n"/>
      <c r="E32" s="55" t="n"/>
      <c r="F32" s="55" t="n"/>
      <c r="G32" s="55" t="n"/>
      <c r="H32" s="55" t="n"/>
      <c r="I32" s="55" t="n"/>
    </row>
    <row r="33">
      <c r="A33" s="78" t="inlineStr">
        <is>
          <t>CF</t>
        </is>
      </c>
      <c r="B33" s="61" t="inlineStr">
        <is>
          <t>Confirmed with third party</t>
        </is>
      </c>
      <c r="C33" s="79" t="n"/>
      <c r="D33" s="80" t="n"/>
      <c r="E33" s="55" t="n"/>
      <c r="F33" s="55" t="n"/>
      <c r="G33" s="55" t="n"/>
      <c r="H33" s="55" t="n"/>
      <c r="I33" s="55" t="n"/>
    </row>
    <row r="34">
      <c r="A34" s="78" t="inlineStr">
        <is>
          <t>V</t>
        </is>
      </c>
      <c r="B34" s="61" t="inlineStr">
        <is>
          <t>Vouched to source document</t>
        </is>
      </c>
      <c r="C34" s="79" t="n"/>
      <c r="D34" s="80" t="n"/>
      <c r="E34" s="55" t="n"/>
      <c r="F34" s="55" t="n"/>
      <c r="G34" s="55" t="n"/>
      <c r="H34" s="55" t="n"/>
      <c r="I34" s="55" t="n"/>
    </row>
    <row r="35">
      <c r="A35" s="78" t="inlineStr">
        <is>
          <t>SR</t>
        </is>
      </c>
      <c r="B35" s="61" t="inlineStr">
        <is>
          <t>Agreed to subsequent bank-cleared receipt</t>
        </is>
      </c>
      <c r="C35" s="79" t="n"/>
      <c r="D35" s="80" t="n"/>
      <c r="E35" s="55" t="n"/>
      <c r="F35" s="55" t="n"/>
      <c r="G35" s="55" t="n"/>
      <c r="H35" s="55" t="n"/>
      <c r="I35" s="55" t="n"/>
    </row>
    <row r="36">
      <c r="A36" s="78" t="inlineStr">
        <is>
          <t>R</t>
        </is>
      </c>
      <c r="B36" s="61" t="inlineStr">
        <is>
          <t>Recalculated independently</t>
        </is>
      </c>
      <c r="C36" s="79" t="n"/>
      <c r="D36" s="80" t="n"/>
      <c r="E36" s="55" t="n"/>
      <c r="F36" s="55" t="n"/>
      <c r="G36" s="55" t="n"/>
      <c r="H36" s="55" t="n"/>
      <c r="I36" s="55" t="n"/>
    </row>
    <row r="37">
      <c r="A37" s="78" t="inlineStr">
        <is>
          <t>F</t>
        </is>
      </c>
      <c r="B37" s="61" t="inlineStr">
        <is>
          <t>Footed / cross-cast</t>
        </is>
      </c>
      <c r="C37" s="79" t="n"/>
      <c r="D37" s="80" t="n"/>
      <c r="E37" s="55" t="n"/>
      <c r="F37" s="55" t="n"/>
      <c r="G37" s="55" t="n"/>
      <c r="H37" s="55" t="n"/>
      <c r="I37" s="55" t="n"/>
    </row>
    <row r="38">
      <c r="A38" s="78" t="inlineStr">
        <is>
          <t>T</t>
        </is>
      </c>
      <c r="B38" s="61" t="inlineStr">
        <is>
          <t>Traced to downstream record</t>
        </is>
      </c>
      <c r="C38" s="79" t="n"/>
      <c r="D38" s="80" t="n"/>
      <c r="E38" s="55" t="n"/>
      <c r="F38" s="55" t="n"/>
      <c r="G38" s="55" t="n"/>
      <c r="H38" s="55" t="n"/>
      <c r="I38" s="55" t="n"/>
    </row>
    <row r="39">
      <c r="A39" s="78" t="inlineStr">
        <is>
          <t>PBC</t>
        </is>
      </c>
      <c r="B39" s="61" t="inlineStr">
        <is>
          <t>Prepared by client</t>
        </is>
      </c>
      <c r="C39" s="79" t="n"/>
      <c r="D39" s="80" t="n"/>
      <c r="E39" s="55" t="n"/>
      <c r="F39" s="55" t="n"/>
      <c r="G39" s="55" t="n"/>
      <c r="H39" s="55" t="n"/>
      <c r="I39" s="55" t="n"/>
    </row>
    <row r="40">
      <c r="A40" s="55" t="n"/>
      <c r="B40" s="55" t="n"/>
      <c r="C40" s="55" t="n"/>
      <c r="D40" s="55" t="n"/>
      <c r="E40" s="55" t="n"/>
      <c r="F40" s="55" t="n"/>
      <c r="G40" s="55" t="n"/>
      <c r="H40" s="55" t="n"/>
      <c r="I40" s="55" t="n"/>
    </row>
    <row r="41" ht="27.75" customHeight="1" s="49">
      <c r="A41" s="57" t="inlineStr">
        <is>
          <t>Before sign-off complete Library Procedure 9 (count-timing bridge &amp; bridge-activity testing).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</row>
  </sheetData>
  <mergeCells count="16">
    <mergeCell ref="B33:D33"/>
    <mergeCell ref="A41:I41"/>
    <mergeCell ref="B36:D36"/>
    <mergeCell ref="B37:D37"/>
    <mergeCell ref="A26:E26"/>
    <mergeCell ref="B31:D31"/>
    <mergeCell ref="A28:I28"/>
    <mergeCell ref="B6:I6"/>
    <mergeCell ref="H7:I7"/>
    <mergeCell ref="B35:D35"/>
    <mergeCell ref="B32:D32"/>
    <mergeCell ref="B5:I5"/>
    <mergeCell ref="B39:D39"/>
    <mergeCell ref="B38:D38"/>
    <mergeCell ref="B4:I4"/>
    <mergeCell ref="B34:D34"/>
  </mergeCells>
  <dataValidations count="1">
    <dataValidation sqref="H7" showDropDown="0" showInputMessage="0" showErrorMessage="0" allowBlank="0" type="list">
      <formula1>"Rollforward,Rollback,Not applicable - count at year-end"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N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4" sqref="A4"/>
    </sheetView>
  </sheetViews>
  <sheetFormatPr baseColWidth="8" defaultColWidth="8.6328125" defaultRowHeight="14.5"/>
  <cols>
    <col width="42" customWidth="1" style="49" min="1" max="1"/>
    <col width="40.25" customWidth="1" style="49" min="2" max="2"/>
    <col width="13.05" customWidth="1" style="49" min="3" max="3"/>
    <col width="37.7" customWidth="1" style="49" min="4" max="4"/>
    <col width="13.05" customWidth="1" style="49" min="5" max="5"/>
    <col width="15.6" customWidth="1" style="49" min="6" max="6"/>
    <col width="30.9" customWidth="1" style="49" min="7" max="8"/>
    <col width="13" customWidth="1" style="49" min="8" max="8"/>
    <col width="16.45" customWidth="1" style="49" min="9" max="9"/>
    <col width="21.55" customWidth="1" style="49" min="10" max="10"/>
    <col width="39.4" customWidth="1" style="49" min="11" max="11"/>
    <col width="23.25" customWidth="1" style="49" min="12" max="12"/>
    <col width="32.59999999999999" customWidth="1" style="49" min="13" max="13"/>
    <col width="24" customWidth="1" style="49" min="14" max="14"/>
  </cols>
  <sheetData>
    <row r="1" ht="17.5" customHeight="1" s="49">
      <c r="A1" s="54" t="inlineStr">
        <is>
          <t>Third-Party Inventory Confirmation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</row>
    <row r="2">
      <c r="A2" s="66" t="inlineStr">
        <is>
          <t>Client / Entity</t>
        </is>
      </c>
      <c r="B2" s="56" t="inlineStr">
        <is>
          <t>Vaquite Industries, Inc.</t>
        </is>
      </c>
      <c r="C2" s="55" t="n"/>
      <c r="D2" s="66" t="inlineStr">
        <is>
          <t>Year-End</t>
        </is>
      </c>
      <c r="E2" s="67" t="n">
        <v>46022</v>
      </c>
      <c r="F2" s="55" t="n"/>
      <c r="G2" s="66" t="inlineStr">
        <is>
          <t>Currency</t>
        </is>
      </c>
      <c r="H2" s="68" t="inlineStr">
        <is>
          <t>USD</t>
        </is>
      </c>
      <c r="I2" s="55" t="n"/>
      <c r="J2" s="55" t="n"/>
      <c r="K2" s="55" t="n"/>
      <c r="L2" s="55" t="n"/>
      <c r="M2" s="55" t="n"/>
      <c r="N2" s="55" t="n"/>
    </row>
    <row r="3" ht="27" customHeight="1" s="49">
      <c r="A3" s="69" t="inlineStr">
        <is>
          <t>Performance Materiality</t>
        </is>
      </c>
      <c r="B3" s="70" t="n">
        <v>23100</v>
      </c>
      <c r="C3" s="55" t="n"/>
      <c r="D3" s="69" t="inlineStr">
        <is>
          <t>Tolerable misstatement / testing threshold</t>
        </is>
      </c>
      <c r="E3" s="70" t="n">
        <v>17400</v>
      </c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</row>
    <row r="4" ht="42" customHeight="1" s="49">
      <c r="A4" s="71" t="inlineStr">
        <is>
          <t>Purpose:</t>
        </is>
      </c>
      <c r="B4" s="72" t="inlineStr">
        <is>
          <t>Confirm inventory held by third parties (3PLs, consignees, offsite warehouses) directly with the custodian, controlling the process and testing authenticity; perform alternative procedures for non-replies.</t>
        </is>
      </c>
      <c r="C4" s="73" t="n"/>
      <c r="D4" s="73" t="n"/>
      <c r="E4" s="73" t="n"/>
      <c r="F4" s="73" t="n"/>
      <c r="G4" s="73" t="n"/>
      <c r="H4" s="73" t="n"/>
      <c r="I4" s="73" t="n"/>
      <c r="J4" s="73" t="n"/>
      <c r="K4" s="73" t="n"/>
      <c r="L4" s="73" t="n"/>
      <c r="M4" s="73" t="n"/>
      <c r="N4" s="74" t="n"/>
    </row>
    <row r="5" ht="27.75" customHeight="1" s="49">
      <c r="A5" s="71" t="inlineStr">
        <is>
          <t>Scope:</t>
        </is>
      </c>
      <c r="B5" s="72" t="inlineStr">
        <is>
          <t>All inventory held offsite or by third parties, including consigned-out inventory and goods in transit held by carriers.</t>
        </is>
      </c>
      <c r="C5" s="73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4" t="n"/>
    </row>
    <row r="6" ht="15" customHeight="1" s="49">
      <c r="A6" s="71" t="inlineStr">
        <is>
          <t>Assertions:</t>
        </is>
      </c>
      <c r="B6" s="72" t="inlineStr">
        <is>
          <t>Existence; Rights &amp; Obligations; Completeness</t>
        </is>
      </c>
      <c r="C6" s="73" t="n"/>
      <c r="D6" s="73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74" t="n"/>
    </row>
    <row r="7" ht="43.5" customHeight="1" s="49">
      <c r="A7" s="75" t="inlineStr">
        <is>
          <t>Location / custodian (3PL, consignee, warehouse)</t>
        </is>
      </c>
      <c r="B7" s="75" t="inlineStr">
        <is>
          <t>Relationship (3PL / consignment / in-transit)</t>
        </is>
      </c>
      <c r="C7" s="75" t="inlineStr">
        <is>
          <t>Qty per books</t>
        </is>
      </c>
      <c r="D7" s="75" t="inlineStr">
        <is>
          <t>Amount per books</t>
        </is>
      </c>
      <c r="E7" s="75" t="inlineStr">
        <is>
          <t>Qty confirmed</t>
        </is>
      </c>
      <c r="F7" s="75" t="inlineStr">
        <is>
          <t>Amount confirmed</t>
        </is>
      </c>
      <c r="G7" s="75" t="inlineStr">
        <is>
          <t>Difference</t>
        </is>
      </c>
      <c r="H7" s="75" t="inlineStr">
        <is>
          <t>Date sent</t>
        </is>
      </c>
      <c r="I7" s="75" t="inlineStr">
        <is>
          <t>Follow-up date(s)</t>
        </is>
      </c>
      <c r="J7" s="75" t="inlineStr">
        <is>
          <t>Response received (Y/N)</t>
        </is>
      </c>
      <c r="K7" s="75" t="inlineStr">
        <is>
          <t>Method (email / physical / Confirmation.com)</t>
        </is>
      </c>
      <c r="L7" s="75" t="inlineStr">
        <is>
          <t>Authenticity tested (Y/N)</t>
        </is>
      </c>
      <c r="M7" s="75" t="inlineStr">
        <is>
          <t>Alternative procedures (if no reply)</t>
        </is>
      </c>
      <c r="N7" s="75" t="inlineStr">
        <is>
          <t>Conclusion / Comments</t>
        </is>
      </c>
    </row>
    <row r="8">
      <c r="A8" s="55" t="n"/>
      <c r="B8" s="55" t="n"/>
      <c r="C8" s="83" t="inlineStr">
        <is>
          <t>PBC</t>
        </is>
      </c>
      <c r="D8" s="55" t="n"/>
      <c r="E8" s="83" t="inlineStr">
        <is>
          <t>CF</t>
        </is>
      </c>
      <c r="F8" s="55" t="n"/>
      <c r="G8" s="83" t="inlineStr">
        <is>
          <t>R</t>
        </is>
      </c>
      <c r="H8" s="55" t="n"/>
      <c r="I8" s="55" t="n"/>
      <c r="J8" s="55" t="n"/>
      <c r="K8" s="55" t="n"/>
      <c r="L8" s="55" t="n"/>
      <c r="M8" s="55" t="n"/>
      <c r="N8" s="55" t="n"/>
    </row>
    <row r="9">
      <c r="A9" s="76" t="n"/>
      <c r="B9" s="76" t="n"/>
      <c r="C9" s="84" t="n"/>
      <c r="D9" s="84" t="n"/>
      <c r="E9" s="84" t="n"/>
      <c r="F9" s="84" t="n"/>
      <c r="G9" s="85">
        <f>IF(AND(D9="",F9=""),"",D9-F9)</f>
        <v/>
      </c>
      <c r="H9" s="76" t="n"/>
      <c r="I9" s="76" t="n"/>
      <c r="J9" s="76" t="n"/>
      <c r="K9" s="76" t="n"/>
      <c r="L9" s="76" t="n"/>
      <c r="M9" s="76" t="n"/>
      <c r="N9" s="76" t="n"/>
    </row>
    <row r="10" ht="27" customHeight="1" s="49">
      <c r="A10" s="76" t="n"/>
      <c r="B10" s="76" t="n"/>
      <c r="C10" s="84" t="n"/>
      <c r="D10" s="84" t="n"/>
      <c r="E10" s="84" t="n"/>
      <c r="F10" s="84" t="n"/>
      <c r="G10" s="85">
        <f>IF(AND(D10="",F10=""),"",D10-F10)</f>
        <v/>
      </c>
      <c r="H10" s="76" t="n"/>
      <c r="I10" s="76" t="n"/>
      <c r="J10" s="76" t="n"/>
      <c r="K10" s="76" t="n"/>
      <c r="L10" s="76" t="n"/>
      <c r="M10" s="76" t="n"/>
      <c r="N10" s="76" t="n"/>
    </row>
    <row r="11" ht="27" customHeight="1" s="49">
      <c r="A11" s="76" t="n"/>
      <c r="B11" s="76" t="n"/>
      <c r="C11" s="84" t="n"/>
      <c r="D11" s="84" t="n"/>
      <c r="E11" s="84" t="n"/>
      <c r="F11" s="84" t="n"/>
      <c r="G11" s="85">
        <f>IF(AND(D11="",F11=""),"",D11-F11)</f>
        <v/>
      </c>
      <c r="H11" s="76" t="n"/>
      <c r="I11" s="76" t="n"/>
      <c r="J11" s="76" t="n"/>
      <c r="K11" s="76" t="n"/>
      <c r="L11" s="76" t="n"/>
      <c r="M11" s="76" t="n"/>
      <c r="N11" s="76" t="n"/>
    </row>
    <row r="12" ht="27" customHeight="1" s="49">
      <c r="A12" s="76" t="n"/>
      <c r="B12" s="76" t="n"/>
      <c r="C12" s="84" t="n"/>
      <c r="D12" s="84" t="n"/>
      <c r="E12" s="84" t="n"/>
      <c r="F12" s="84" t="n"/>
      <c r="G12" s="85">
        <f>IF(AND(D12="",F12=""),"",D12-F12)</f>
        <v/>
      </c>
      <c r="H12" s="76" t="n"/>
      <c r="I12" s="76" t="n"/>
      <c r="J12" s="76" t="n"/>
      <c r="K12" s="76" t="n"/>
      <c r="L12" s="76" t="n"/>
      <c r="M12" s="76" t="n"/>
      <c r="N12" s="76" t="n"/>
    </row>
    <row r="13" ht="27" customHeight="1" s="49">
      <c r="A13" s="76" t="n"/>
      <c r="B13" s="76" t="n"/>
      <c r="C13" s="84" t="n"/>
      <c r="D13" s="84" t="n"/>
      <c r="E13" s="84" t="n"/>
      <c r="F13" s="84" t="n"/>
      <c r="G13" s="85">
        <f>IF(AND(D13="",F13=""),"",D13-F13)</f>
        <v/>
      </c>
      <c r="H13" s="76" t="n"/>
      <c r="I13" s="76" t="n"/>
      <c r="J13" s="76" t="n"/>
      <c r="K13" s="76" t="n"/>
      <c r="L13" s="76" t="n"/>
      <c r="M13" s="76" t="n"/>
      <c r="N13" s="76" t="n"/>
    </row>
    <row r="14" ht="27" customHeight="1" s="49">
      <c r="A14" s="76" t="n"/>
      <c r="B14" s="76" t="n"/>
      <c r="C14" s="84" t="n"/>
      <c r="D14" s="84" t="n"/>
      <c r="E14" s="84" t="n"/>
      <c r="F14" s="84" t="n"/>
      <c r="G14" s="85">
        <f>IF(AND(D14="",F14=""),"",D14-F14)</f>
        <v/>
      </c>
      <c r="H14" s="76" t="n"/>
      <c r="I14" s="76" t="n"/>
      <c r="J14" s="76" t="n"/>
      <c r="K14" s="76" t="n"/>
      <c r="L14" s="76" t="n"/>
      <c r="M14" s="76" t="n"/>
      <c r="N14" s="76" t="n"/>
    </row>
    <row r="15" ht="27" customHeight="1" s="49">
      <c r="A15" s="76" t="n"/>
      <c r="B15" s="76" t="n"/>
      <c r="C15" s="84" t="n"/>
      <c r="D15" s="84" t="n"/>
      <c r="E15" s="84" t="n"/>
      <c r="F15" s="84" t="n"/>
      <c r="G15" s="85">
        <f>IF(AND(D15="",F15=""),"",D15-F15)</f>
        <v/>
      </c>
      <c r="H15" s="76" t="n"/>
      <c r="I15" s="76" t="n"/>
      <c r="J15" s="76" t="n"/>
      <c r="K15" s="76" t="n"/>
      <c r="L15" s="76" t="n"/>
      <c r="M15" s="76" t="n"/>
      <c r="N15" s="76" t="n"/>
    </row>
    <row r="16" ht="27" customHeight="1" s="49">
      <c r="A16" s="76" t="n"/>
      <c r="B16" s="76" t="n"/>
      <c r="C16" s="84" t="n"/>
      <c r="D16" s="84" t="n"/>
      <c r="E16" s="84" t="n"/>
      <c r="F16" s="84" t="n"/>
      <c r="G16" s="85">
        <f>IF(AND(D16="",F16=""),"",D16-F16)</f>
        <v/>
      </c>
      <c r="H16" s="76" t="n"/>
      <c r="I16" s="76" t="n"/>
      <c r="J16" s="76" t="n"/>
      <c r="K16" s="76" t="n"/>
      <c r="L16" s="76" t="n"/>
      <c r="M16" s="76" t="n"/>
      <c r="N16" s="76" t="n"/>
    </row>
    <row r="17">
      <c r="A17" s="87" t="inlineStr">
        <is>
          <t>Total</t>
        </is>
      </c>
      <c r="B17" s="87" t="n"/>
      <c r="C17" s="87" t="n"/>
      <c r="D17" s="88">
        <f>SUM(D9:D16)</f>
        <v/>
      </c>
      <c r="E17" s="87" t="n"/>
      <c r="F17" s="88">
        <f>SUM(F9:F16)</f>
        <v/>
      </c>
      <c r="G17" s="87" t="n"/>
      <c r="H17" s="87" t="n"/>
      <c r="I17" s="87" t="n"/>
      <c r="J17" s="87" t="n"/>
      <c r="K17" s="87" t="n"/>
      <c r="L17" s="87" t="n"/>
      <c r="M17" s="87" t="n"/>
      <c r="N17" s="87" t="n"/>
    </row>
    <row r="18">
      <c r="A18" s="55" t="n"/>
      <c r="B18" s="55" t="n"/>
      <c r="C18" s="55" t="n"/>
      <c r="D18" s="55" t="n"/>
      <c r="E18" s="55" t="n"/>
      <c r="F18" s="55" t="n"/>
      <c r="G18" s="55" t="n"/>
      <c r="H18" s="55" t="n"/>
      <c r="I18" s="55" t="n"/>
      <c r="J18" s="55" t="n"/>
      <c r="K18" s="55" t="n"/>
      <c r="L18" s="55" t="n"/>
      <c r="M18" s="55" t="n"/>
      <c r="N18" s="55" t="n"/>
    </row>
    <row r="19" ht="27.75" customHeight="1" s="49">
      <c r="A19" s="57" t="inlineStr">
        <is>
          <t>Send directly to the custodian and require direct return; log dates, follow-ups and method; test authenticity of electronic replies (domain, independent call-back). Alternative procedures: attend / observe a count at the third-party location, obtain custodian statements, or inspect subsequent movement documents.</t>
        </is>
      </c>
      <c r="B19" s="55" t="n"/>
      <c r="C19" s="55" t="n"/>
      <c r="D19" s="55" t="n"/>
      <c r="E19" s="55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5" t="n"/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55" t="n"/>
      <c r="L20" s="55" t="n"/>
      <c r="M20" s="55" t="n"/>
      <c r="N20" s="55" t="n"/>
    </row>
    <row r="21">
      <c r="A21" s="77" t="inlineStr">
        <is>
          <t>TM Legends</t>
        </is>
      </c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  <c r="M21" s="55" t="n"/>
      <c r="N21" s="55" t="n"/>
    </row>
    <row r="22">
      <c r="A22" s="78" t="inlineStr">
        <is>
          <t>TB</t>
        </is>
      </c>
      <c r="B22" s="61" t="inlineStr">
        <is>
          <t>Agreed to trial balance</t>
        </is>
      </c>
      <c r="C22" s="79" t="n"/>
      <c r="D22" s="80" t="n"/>
      <c r="E22" s="55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78" t="inlineStr">
        <is>
          <t>GL</t>
        </is>
      </c>
      <c r="B23" s="61" t="inlineStr">
        <is>
          <t>Agreed to general ledger</t>
        </is>
      </c>
      <c r="C23" s="79" t="n"/>
      <c r="D23" s="80" t="n"/>
      <c r="E23" s="55" t="n"/>
      <c r="F23" s="55" t="n"/>
      <c r="G23" s="55" t="n"/>
      <c r="H23" s="55" t="n"/>
      <c r="I23" s="55" t="n"/>
      <c r="J23" s="55" t="n"/>
      <c r="K23" s="55" t="n"/>
      <c r="L23" s="55" t="n"/>
      <c r="M23" s="55" t="n"/>
      <c r="N23" s="55" t="n"/>
    </row>
    <row r="24">
      <c r="A24" s="78" t="inlineStr">
        <is>
          <t>CF</t>
        </is>
      </c>
      <c r="B24" s="61" t="inlineStr">
        <is>
          <t>Confirmed with third party</t>
        </is>
      </c>
      <c r="C24" s="79" t="n"/>
      <c r="D24" s="80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</row>
    <row r="25">
      <c r="A25" s="78" t="inlineStr">
        <is>
          <t>V</t>
        </is>
      </c>
      <c r="B25" s="61" t="inlineStr">
        <is>
          <t>Vouched to source document</t>
        </is>
      </c>
      <c r="C25" s="79" t="n"/>
      <c r="D25" s="80" t="n"/>
      <c r="E25" s="55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78" t="inlineStr">
        <is>
          <t>SR</t>
        </is>
      </c>
      <c r="B26" s="61" t="inlineStr">
        <is>
          <t>Agreed to subsequent bank-cleared receipt</t>
        </is>
      </c>
      <c r="C26" s="79" t="n"/>
      <c r="D26" s="80" t="n"/>
      <c r="E26" s="55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78" t="inlineStr">
        <is>
          <t>R</t>
        </is>
      </c>
      <c r="B27" s="61" t="inlineStr">
        <is>
          <t>Recalculated independently</t>
        </is>
      </c>
      <c r="C27" s="79" t="n"/>
      <c r="D27" s="80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</row>
    <row r="28">
      <c r="A28" s="78" t="inlineStr">
        <is>
          <t>F</t>
        </is>
      </c>
      <c r="B28" s="61" t="inlineStr">
        <is>
          <t>Footed / cross-cast</t>
        </is>
      </c>
      <c r="C28" s="79" t="n"/>
      <c r="D28" s="80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</row>
    <row r="29">
      <c r="A29" s="78" t="inlineStr">
        <is>
          <t>T</t>
        </is>
      </c>
      <c r="B29" s="61" t="inlineStr">
        <is>
          <t>Traced to downstream record</t>
        </is>
      </c>
      <c r="C29" s="79" t="n"/>
      <c r="D29" s="80" t="n"/>
      <c r="E29" s="55" t="n"/>
      <c r="F29" s="55" t="n"/>
      <c r="G29" s="55" t="n"/>
      <c r="H29" s="55" t="n"/>
      <c r="I29" s="55" t="n"/>
      <c r="J29" s="55" t="n"/>
      <c r="K29" s="55" t="n"/>
      <c r="L29" s="55" t="n"/>
      <c r="M29" s="55" t="n"/>
      <c r="N29" s="55" t="n"/>
    </row>
    <row r="30">
      <c r="A30" s="78" t="inlineStr">
        <is>
          <t>PBC</t>
        </is>
      </c>
      <c r="B30" s="61" t="inlineStr">
        <is>
          <t>Prepared by client</t>
        </is>
      </c>
      <c r="C30" s="79" t="n"/>
      <c r="D30" s="80" t="n"/>
      <c r="E30" s="55" t="n"/>
      <c r="F30" s="55" t="n"/>
      <c r="G30" s="55" t="n"/>
      <c r="H30" s="55" t="n"/>
      <c r="I30" s="55" t="n"/>
      <c r="J30" s="55" t="n"/>
      <c r="K30" s="55" t="n"/>
      <c r="L30" s="55" t="n"/>
      <c r="M30" s="55" t="n"/>
      <c r="N30" s="55" t="n"/>
    </row>
    <row r="31">
      <c r="A31" s="55" t="n"/>
      <c r="B31" s="55" t="n"/>
      <c r="C31" s="55" t="n"/>
      <c r="D31" s="55" t="n"/>
      <c r="E31" s="55" t="n"/>
      <c r="F31" s="55" t="n"/>
      <c r="G31" s="55" t="n"/>
      <c r="H31" s="55" t="n"/>
      <c r="I31" s="55" t="n"/>
      <c r="J31" s="55" t="n"/>
      <c r="K31" s="55" t="n"/>
      <c r="L31" s="55" t="n"/>
      <c r="M31" s="55" t="n"/>
      <c r="N31" s="55" t="n"/>
    </row>
    <row r="32" ht="27.75" customHeight="1" s="49">
      <c r="A32" s="57" t="inlineStr">
        <is>
          <t>Before sign-off complete Library Procedure 10 (third-party confirmation &amp; alternatives).</t>
        </is>
      </c>
      <c r="B32" s="55" t="n"/>
      <c r="C32" s="55" t="n"/>
      <c r="D32" s="55" t="n"/>
      <c r="E32" s="55" t="n"/>
      <c r="F32" s="55" t="n"/>
      <c r="G32" s="55" t="n"/>
      <c r="H32" s="55" t="n"/>
      <c r="I32" s="55" t="n"/>
      <c r="J32" s="55" t="n"/>
      <c r="K32" s="55" t="n"/>
      <c r="L32" s="55" t="n"/>
      <c r="M32" s="55" t="n"/>
      <c r="N32" s="55" t="n"/>
    </row>
  </sheetData>
  <mergeCells count="14">
    <mergeCell ref="B28:D28"/>
    <mergeCell ref="B5:N5"/>
    <mergeCell ref="B23:D23"/>
    <mergeCell ref="B22:D22"/>
    <mergeCell ref="B4:N4"/>
    <mergeCell ref="A32:N32"/>
    <mergeCell ref="B26:D26"/>
    <mergeCell ref="B27:D27"/>
    <mergeCell ref="A19:N19"/>
    <mergeCell ref="B30:D30"/>
    <mergeCell ref="B29:D29"/>
    <mergeCell ref="B6:N6"/>
    <mergeCell ref="B25:D25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I47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8" sqref="A8"/>
    </sheetView>
  </sheetViews>
  <sheetFormatPr baseColWidth="8" defaultColWidth="8.6328125" defaultRowHeight="14.5"/>
  <cols>
    <col width="42" bestFit="1" customWidth="1" style="49" min="1" max="1"/>
    <col width="22.4" customWidth="1" style="49" min="2" max="2"/>
    <col width="16" customWidth="1" style="49" min="3" max="3"/>
    <col width="37.7" customWidth="1" style="49" min="4" max="5"/>
    <col width="19.85" customWidth="1" style="49" min="5" max="5"/>
    <col width="14" customWidth="1" style="49" min="6" max="8"/>
    <col width="13" customWidth="1" style="49" min="7" max="7"/>
    <col width="40.25" customWidth="1" style="49" min="8" max="8"/>
    <col width="26" customWidth="1" style="49" min="9" max="9"/>
  </cols>
  <sheetData>
    <row r="1" ht="17.5" customHeight="1" s="49">
      <c r="A1" s="54" t="inlineStr">
        <is>
          <t>Purchases Completeness &amp; GRN Testing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</row>
    <row r="2" ht="27" customHeight="1" s="49">
      <c r="A2" s="66" t="inlineStr">
        <is>
          <t>Client / Entity</t>
        </is>
      </c>
      <c r="B2" s="56" t="inlineStr">
        <is>
          <t>Vaquite Industries, Inc.</t>
        </is>
      </c>
      <c r="C2" s="55" t="n"/>
      <c r="D2" s="66" t="inlineStr">
        <is>
          <t>Year-End</t>
        </is>
      </c>
      <c r="E2" s="67" t="n">
        <v>46022</v>
      </c>
      <c r="F2" s="55" t="n"/>
      <c r="G2" s="66" t="inlineStr">
        <is>
          <t>Currency</t>
        </is>
      </c>
      <c r="H2" s="68" t="inlineStr">
        <is>
          <t>USD</t>
        </is>
      </c>
      <c r="I2" s="55" t="n"/>
    </row>
    <row r="3" ht="27" customHeight="1" s="49">
      <c r="A3" s="69" t="inlineStr">
        <is>
          <t>Performance Materiality</t>
        </is>
      </c>
      <c r="B3" s="70" t="n">
        <v>23100</v>
      </c>
      <c r="C3" s="55" t="n"/>
      <c r="D3" s="69" t="inlineStr">
        <is>
          <t>Tolerable misstatement / testing threshold</t>
        </is>
      </c>
      <c r="E3" s="70" t="n">
        <v>17400</v>
      </c>
      <c r="F3" s="55" t="n"/>
      <c r="G3" s="55" t="n"/>
      <c r="H3" s="55" t="n"/>
      <c r="I3" s="55" t="n"/>
    </row>
    <row r="4" ht="27.75" customHeight="1" s="49">
      <c r="A4" s="77" t="inlineStr">
        <is>
          <t>Purpose:</t>
        </is>
      </c>
      <c r="B4" s="81" t="inlineStr">
        <is>
          <t>Prove the purchase listing is complete (ties to the &lt;.2&gt; rollforward and to the GL) and test that purchase dates tie to goods-received notes (GRNs).</t>
        </is>
      </c>
      <c r="C4" s="55" t="n"/>
      <c r="D4" s="55" t="n"/>
      <c r="E4" s="55" t="n"/>
      <c r="F4" s="55" t="n"/>
      <c r="G4" s="55" t="n"/>
      <c r="H4" s="55" t="n"/>
      <c r="I4" s="55" t="n"/>
    </row>
    <row r="5" ht="15" customHeight="1" s="49">
      <c r="A5" s="77" t="inlineStr">
        <is>
          <t>Scope:</t>
        </is>
      </c>
      <c r="B5" s="81" t="inlineStr">
        <is>
          <t>The full-period purchase listing / receipt detail and the goods-received notes for selections.</t>
        </is>
      </c>
      <c r="C5" s="55" t="n"/>
      <c r="D5" s="55" t="n"/>
      <c r="E5" s="55" t="n"/>
      <c r="F5" s="55" t="n"/>
      <c r="G5" s="55" t="n"/>
      <c r="H5" s="55" t="n"/>
      <c r="I5" s="55" t="n"/>
    </row>
    <row r="6" ht="15" customHeight="1" s="49">
      <c r="A6" s="77" t="inlineStr">
        <is>
          <t>Assertions:</t>
        </is>
      </c>
      <c r="B6" s="81" t="inlineStr">
        <is>
          <t>Completeness; Accuracy; Cutoff</t>
        </is>
      </c>
      <c r="C6" s="55" t="n"/>
      <c r="D6" s="55" t="n"/>
      <c r="E6" s="55" t="n"/>
      <c r="F6" s="55" t="n"/>
      <c r="G6" s="55" t="n"/>
      <c r="H6" s="55" t="n"/>
      <c r="I6" s="55" t="n"/>
    </row>
    <row r="7">
      <c r="A7" s="91" t="inlineStr">
        <is>
          <t>A. Purchase-listing tie</t>
        </is>
      </c>
      <c r="B7" s="55" t="n"/>
      <c r="C7" s="55" t="n"/>
      <c r="D7" s="55" t="n"/>
      <c r="E7" s="55" t="n"/>
      <c r="F7" s="55" t="n"/>
      <c r="G7" s="55" t="n"/>
      <c r="H7" s="55" t="n"/>
      <c r="I7" s="55" t="n"/>
    </row>
    <row r="8">
      <c r="A8" s="61" t="inlineStr">
        <is>
          <t>Total purchases per purchase listing</t>
        </is>
      </c>
      <c r="B8" s="84" t="n"/>
      <c r="C8" s="55" t="n"/>
      <c r="D8" s="55" t="n"/>
      <c r="E8" s="55" t="n"/>
      <c r="F8" s="55" t="n"/>
      <c r="G8" s="55" t="n"/>
      <c r="H8" s="55" t="n"/>
      <c r="I8" s="55" t="n"/>
    </row>
    <row r="9">
      <c r="A9" s="61" t="inlineStr">
        <is>
          <t>Purchases per &lt;.2&gt; completeness rollforward</t>
        </is>
      </c>
      <c r="B9" s="84" t="n"/>
      <c r="C9" s="55" t="n"/>
      <c r="D9" s="55" t="n"/>
      <c r="E9" s="55" t="n"/>
      <c r="F9" s="55" t="n"/>
      <c r="G9" s="55" t="n"/>
      <c r="H9" s="55" t="n"/>
      <c r="I9" s="55" t="n"/>
    </row>
    <row r="10">
      <c r="A10" s="89" t="inlineStr">
        <is>
          <t>Difference (should be 0)</t>
        </is>
      </c>
      <c r="B10" s="90">
        <f>B8-B9</f>
        <v/>
      </c>
      <c r="C10" s="55" t="n"/>
      <c r="D10" s="55" t="n"/>
      <c r="E10" s="55" t="n"/>
      <c r="F10" s="55" t="n"/>
      <c r="G10" s="55" t="n"/>
      <c r="H10" s="55" t="n"/>
      <c r="I10" s="55" t="n"/>
    </row>
    <row r="11" ht="27" customHeight="1" s="49">
      <c r="A11" s="61" t="inlineStr">
        <is>
          <t>Purchases per GL (purchases / receipts accounts)</t>
        </is>
      </c>
      <c r="B11" s="84" t="n"/>
      <c r="C11" s="55" t="n"/>
      <c r="D11" s="55" t="n"/>
      <c r="E11" s="55" t="n"/>
      <c r="F11" s="55" t="n"/>
      <c r="G11" s="55" t="n"/>
      <c r="H11" s="55" t="n"/>
      <c r="I11" s="55" t="n"/>
    </row>
    <row r="12">
      <c r="A12" s="89" t="inlineStr">
        <is>
          <t>Difference listing vs GL</t>
        </is>
      </c>
      <c r="B12" s="90">
        <f>B8-B11</f>
        <v/>
      </c>
      <c r="C12" s="55" t="n"/>
      <c r="D12" s="55" t="n"/>
      <c r="E12" s="55" t="n"/>
      <c r="F12" s="55" t="n"/>
      <c r="G12" s="55" t="n"/>
      <c r="H12" s="55" t="n"/>
      <c r="I12" s="55" t="n"/>
    </row>
    <row r="13">
      <c r="A13" s="55" t="n"/>
      <c r="B13" s="55" t="n"/>
      <c r="C13" s="55" t="n"/>
      <c r="D13" s="55" t="n"/>
      <c r="E13" s="55" t="n"/>
      <c r="F13" s="55" t="n"/>
      <c r="G13" s="55" t="n"/>
      <c r="H13" s="55" t="n"/>
      <c r="I13" s="55" t="n"/>
    </row>
    <row r="14" ht="27" customHeight="1" s="49">
      <c r="A14" s="91" t="inlineStr">
        <is>
          <t>B. GRN date-tie testing (selections from the purchase listing)</t>
        </is>
      </c>
      <c r="B14" s="55" t="n"/>
      <c r="C14" s="55" t="n"/>
      <c r="D14" s="55" t="n"/>
      <c r="E14" s="55" t="n"/>
      <c r="F14" s="55" t="n"/>
      <c r="G14" s="55" t="n"/>
      <c r="H14" s="55" t="n"/>
      <c r="I14" s="55" t="n"/>
    </row>
    <row r="15" ht="30" customHeight="1" s="49">
      <c r="A15" s="82" t="inlineStr">
        <is>
          <t>Sel #</t>
        </is>
      </c>
      <c r="B15" s="82" t="inlineStr">
        <is>
          <t>Vendor</t>
        </is>
      </c>
      <c r="C15" s="82" t="inlineStr">
        <is>
          <t>Item / SKU</t>
        </is>
      </c>
      <c r="D15" s="82" t="inlineStr">
        <is>
          <t>Purchase / receipt date per listing</t>
        </is>
      </c>
      <c r="E15" s="82" t="inlineStr">
        <is>
          <t>Qty per listing</t>
        </is>
      </c>
      <c r="F15" s="82" t="inlineStr">
        <is>
          <t>GRN reference</t>
        </is>
      </c>
      <c r="G15" s="82" t="inlineStr">
        <is>
          <t>GRN date</t>
        </is>
      </c>
      <c r="H15" s="82" t="inlineStr">
        <is>
          <t>Dates tie (Y/N)</t>
        </is>
      </c>
      <c r="I15" s="82" t="inlineStr">
        <is>
          <t>Comments</t>
        </is>
      </c>
    </row>
    <row r="16">
      <c r="A16" s="55" t="n"/>
      <c r="B16" s="55" t="n"/>
      <c r="C16" s="55" t="n"/>
      <c r="D16" s="55" t="n"/>
      <c r="E16" s="83" t="inlineStr">
        <is>
          <t>PBC</t>
        </is>
      </c>
      <c r="F16" s="55" t="n"/>
      <c r="G16" s="83" t="inlineStr">
        <is>
          <t>V</t>
        </is>
      </c>
      <c r="H16" s="83" t="inlineStr">
        <is>
          <t>R</t>
        </is>
      </c>
      <c r="I16" s="55" t="n"/>
    </row>
    <row r="17" ht="27" customHeight="1" s="49">
      <c r="A17" s="92" t="n">
        <v>1</v>
      </c>
      <c r="B17" s="76" t="n"/>
      <c r="C17" s="76" t="n"/>
      <c r="D17" s="76" t="n"/>
      <c r="E17" s="93" t="n"/>
      <c r="F17" s="76" t="n"/>
      <c r="G17" s="76" t="n"/>
      <c r="H17" s="61">
        <f>IF(OR(D17="",G17=""),"",IF(D17=G17,"Y","N"))</f>
        <v/>
      </c>
      <c r="I17" s="76" t="n"/>
    </row>
    <row r="18" ht="27" customHeight="1" s="49">
      <c r="A18" s="92" t="n">
        <v>2</v>
      </c>
      <c r="B18" s="76" t="n"/>
      <c r="C18" s="76" t="n"/>
      <c r="D18" s="76" t="n"/>
      <c r="E18" s="93" t="n"/>
      <c r="F18" s="76" t="n"/>
      <c r="G18" s="76" t="n"/>
      <c r="H18" s="61">
        <f>IF(OR(D18="",G18=""),"",IF(D18=G18,"Y","N"))</f>
        <v/>
      </c>
      <c r="I18" s="76" t="n"/>
    </row>
    <row r="19" ht="27" customHeight="1" s="49">
      <c r="A19" s="92" t="n">
        <v>3</v>
      </c>
      <c r="B19" s="76" t="n"/>
      <c r="C19" s="76" t="n"/>
      <c r="D19" s="76" t="n"/>
      <c r="E19" s="93" t="n"/>
      <c r="F19" s="76" t="n"/>
      <c r="G19" s="76" t="n"/>
      <c r="H19" s="61">
        <f>IF(OR(D19="",G19=""),"",IF(D19=G19,"Y","N"))</f>
        <v/>
      </c>
      <c r="I19" s="76" t="n"/>
    </row>
    <row r="20" ht="27" customHeight="1" s="49">
      <c r="A20" s="92" t="n">
        <v>4</v>
      </c>
      <c r="B20" s="76" t="n"/>
      <c r="C20" s="76" t="n"/>
      <c r="D20" s="76" t="n"/>
      <c r="E20" s="93" t="n"/>
      <c r="F20" s="76" t="n"/>
      <c r="G20" s="76" t="n"/>
      <c r="H20" s="61">
        <f>IF(OR(D20="",G20=""),"",IF(D20=G20,"Y","N"))</f>
        <v/>
      </c>
      <c r="I20" s="76" t="n"/>
    </row>
    <row r="21" ht="27" customHeight="1" s="49">
      <c r="A21" s="92" t="n">
        <v>5</v>
      </c>
      <c r="B21" s="76" t="n"/>
      <c r="C21" s="76" t="n"/>
      <c r="D21" s="76" t="n"/>
      <c r="E21" s="93" t="n"/>
      <c r="F21" s="76" t="n"/>
      <c r="G21" s="76" t="n"/>
      <c r="H21" s="61">
        <f>IF(OR(D21="",G21=""),"",IF(D21=G21,"Y","N"))</f>
        <v/>
      </c>
      <c r="I21" s="76" t="n"/>
    </row>
    <row r="22" ht="27" customHeight="1" s="49">
      <c r="A22" s="92" t="n">
        <v>6</v>
      </c>
      <c r="B22" s="76" t="n"/>
      <c r="C22" s="76" t="n"/>
      <c r="D22" s="76" t="n"/>
      <c r="E22" s="93" t="n"/>
      <c r="F22" s="76" t="n"/>
      <c r="G22" s="76" t="n"/>
      <c r="H22" s="61">
        <f>IF(OR(D22="",G22=""),"",IF(D22=G22,"Y","N"))</f>
        <v/>
      </c>
      <c r="I22" s="76" t="n"/>
    </row>
    <row r="23" ht="27" customHeight="1" s="49">
      <c r="A23" s="92" t="n">
        <v>7</v>
      </c>
      <c r="B23" s="76" t="n"/>
      <c r="C23" s="76" t="n"/>
      <c r="D23" s="76" t="n"/>
      <c r="E23" s="93" t="n"/>
      <c r="F23" s="76" t="n"/>
      <c r="G23" s="76" t="n"/>
      <c r="H23" s="61">
        <f>IF(OR(D23="",G23=""),"",IF(D23=G23,"Y","N"))</f>
        <v/>
      </c>
      <c r="I23" s="76" t="n"/>
    </row>
    <row r="24" ht="27" customHeight="1" s="49">
      <c r="A24" s="92" t="n">
        <v>8</v>
      </c>
      <c r="B24" s="76" t="n"/>
      <c r="C24" s="76" t="n"/>
      <c r="D24" s="76" t="n"/>
      <c r="E24" s="93" t="n"/>
      <c r="F24" s="76" t="n"/>
      <c r="G24" s="76" t="n"/>
      <c r="H24" s="61">
        <f>IF(OR(D24="",G24=""),"",IF(D24=G24,"Y","N"))</f>
        <v/>
      </c>
      <c r="I24" s="76" t="n"/>
    </row>
    <row r="25" ht="27" customHeight="1" s="49">
      <c r="A25" s="92" t="n">
        <v>9</v>
      </c>
      <c r="B25" s="76" t="n"/>
      <c r="C25" s="76" t="n"/>
      <c r="D25" s="76" t="n"/>
      <c r="E25" s="93" t="n"/>
      <c r="F25" s="76" t="n"/>
      <c r="G25" s="76" t="n"/>
      <c r="H25" s="61">
        <f>IF(OR(D25="",G25=""),"",IF(D25=G25,"Y","N"))</f>
        <v/>
      </c>
      <c r="I25" s="76" t="n"/>
    </row>
    <row r="26" ht="27" customHeight="1" s="49">
      <c r="A26" s="92" t="n">
        <v>10</v>
      </c>
      <c r="B26" s="76" t="n"/>
      <c r="C26" s="76" t="n"/>
      <c r="D26" s="76" t="n"/>
      <c r="E26" s="93" t="n"/>
      <c r="F26" s="76" t="n"/>
      <c r="G26" s="76" t="n"/>
      <c r="H26" s="61">
        <f>IF(OR(D26="",G26=""),"",IF(D26=G26,"Y","N"))</f>
        <v/>
      </c>
      <c r="I26" s="76" t="n"/>
    </row>
    <row r="27" ht="27" customHeight="1" s="49">
      <c r="A27" s="92" t="n">
        <v>11</v>
      </c>
      <c r="B27" s="76" t="n"/>
      <c r="C27" s="76" t="n"/>
      <c r="D27" s="76" t="n"/>
      <c r="E27" s="93" t="n"/>
      <c r="F27" s="76" t="n"/>
      <c r="G27" s="76" t="n"/>
      <c r="H27" s="61">
        <f>IF(OR(D27="",G27=""),"",IF(D27=G27,"Y","N"))</f>
        <v/>
      </c>
      <c r="I27" s="76" t="n"/>
    </row>
    <row r="28" ht="27" customHeight="1" s="49">
      <c r="A28" s="92" t="n">
        <v>12</v>
      </c>
      <c r="B28" s="76" t="n"/>
      <c r="C28" s="76" t="n"/>
      <c r="D28" s="76" t="n"/>
      <c r="E28" s="93" t="n"/>
      <c r="F28" s="76" t="n"/>
      <c r="G28" s="76" t="n"/>
      <c r="H28" s="61">
        <f>IF(OR(D28="",G28=""),"",IF(D28=G28,"Y","N"))</f>
        <v/>
      </c>
      <c r="I28" s="76" t="n"/>
    </row>
    <row r="29" ht="27" customHeight="1" s="49">
      <c r="A29" s="92" t="n">
        <v>13</v>
      </c>
      <c r="B29" s="76" t="n"/>
      <c r="C29" s="76" t="n"/>
      <c r="D29" s="76" t="n"/>
      <c r="E29" s="93" t="n"/>
      <c r="F29" s="76" t="n"/>
      <c r="G29" s="76" t="n"/>
      <c r="H29" s="61">
        <f>IF(OR(D29="",G29=""),"",IF(D29=G29,"Y","N"))</f>
        <v/>
      </c>
      <c r="I29" s="76" t="n"/>
    </row>
    <row r="30" ht="27" customHeight="1" s="49">
      <c r="A30" s="92" t="n">
        <v>14</v>
      </c>
      <c r="B30" s="76" t="n"/>
      <c r="C30" s="76" t="n"/>
      <c r="D30" s="76" t="n"/>
      <c r="E30" s="93" t="n"/>
      <c r="F30" s="76" t="n"/>
      <c r="G30" s="76" t="n"/>
      <c r="H30" s="61">
        <f>IF(OR(D30="",G30=""),"",IF(D30=G30,"Y","N"))</f>
        <v/>
      </c>
      <c r="I30" s="76" t="n"/>
    </row>
    <row r="31" ht="27" customHeight="1" s="49">
      <c r="A31" s="92" t="n">
        <v>15</v>
      </c>
      <c r="B31" s="76" t="n"/>
      <c r="C31" s="76" t="n"/>
      <c r="D31" s="76" t="n"/>
      <c r="E31" s="93" t="n"/>
      <c r="F31" s="76" t="n"/>
      <c r="G31" s="76" t="n"/>
      <c r="H31" s="61">
        <f>IF(OR(D31="",G31=""),"",IF(D31=G31,"Y","N"))</f>
        <v/>
      </c>
      <c r="I31" s="76" t="n"/>
    </row>
    <row r="32" ht="27" customHeight="1" s="49">
      <c r="A32" s="95" t="inlineStr">
        <is>
          <t>Exceptions (dates do not tie)</t>
        </is>
      </c>
      <c r="B32" s="79" t="n"/>
      <c r="C32" s="79" t="n"/>
      <c r="D32" s="80" t="n"/>
      <c r="E32" s="96">
        <f>COUNTIF(H17:H31,"N")</f>
        <v/>
      </c>
      <c r="F32" s="97" t="n"/>
      <c r="G32" s="97" t="n"/>
      <c r="H32" s="97" t="n"/>
      <c r="I32" s="97" t="n"/>
    </row>
    <row r="33">
      <c r="A33" s="55" t="n"/>
      <c r="B33" s="55" t="n"/>
      <c r="C33" s="55" t="n"/>
      <c r="D33" s="55" t="n"/>
      <c r="E33" s="55" t="n"/>
      <c r="F33" s="55" t="n"/>
      <c r="G33" s="55" t="n"/>
      <c r="H33" s="55" t="n"/>
      <c r="I33" s="55" t="n"/>
    </row>
    <row r="34" ht="27.75" customHeight="1" s="49">
      <c r="A34" s="57" t="inlineStr">
        <is>
          <t>The GRN date confirms the goods were RECEIVED when the listing says they were purchased — a mismatched date signals a recording-period error (feeds &lt;.7&gt; cutoff). The listing total must tie both to the &lt;.2&gt; rollforward purchases line and to the GL.</t>
        </is>
      </c>
      <c r="B34" s="55" t="n"/>
      <c r="C34" s="55" t="n"/>
      <c r="D34" s="55" t="n"/>
      <c r="E34" s="55" t="n"/>
      <c r="F34" s="55" t="n"/>
      <c r="G34" s="55" t="n"/>
      <c r="H34" s="55" t="n"/>
      <c r="I34" s="55" t="n"/>
    </row>
    <row r="35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</row>
    <row r="36">
      <c r="A36" s="77" t="inlineStr">
        <is>
          <t>TM Legends</t>
        </is>
      </c>
      <c r="B36" s="55" t="n"/>
      <c r="C36" s="55" t="n"/>
      <c r="D36" s="55" t="n"/>
      <c r="E36" s="55" t="n"/>
      <c r="F36" s="55" t="n"/>
      <c r="G36" s="55" t="n"/>
      <c r="H36" s="55" t="n"/>
      <c r="I36" s="55" t="n"/>
    </row>
    <row r="37">
      <c r="A37" s="78" t="inlineStr">
        <is>
          <t>TB</t>
        </is>
      </c>
      <c r="B37" s="61" t="inlineStr">
        <is>
          <t>Agreed to trial balance</t>
        </is>
      </c>
      <c r="C37" s="79" t="n"/>
      <c r="D37" s="80" t="n"/>
      <c r="E37" s="55" t="n"/>
      <c r="F37" s="55" t="n"/>
      <c r="G37" s="55" t="n"/>
      <c r="H37" s="55" t="n"/>
      <c r="I37" s="55" t="n"/>
    </row>
    <row r="38">
      <c r="A38" s="78" t="inlineStr">
        <is>
          <t>GL</t>
        </is>
      </c>
      <c r="B38" s="61" t="inlineStr">
        <is>
          <t>Agreed to general ledger</t>
        </is>
      </c>
      <c r="C38" s="79" t="n"/>
      <c r="D38" s="80" t="n"/>
      <c r="E38" s="55" t="n"/>
      <c r="F38" s="55" t="n"/>
      <c r="G38" s="55" t="n"/>
      <c r="H38" s="55" t="n"/>
      <c r="I38" s="55" t="n"/>
    </row>
    <row r="39">
      <c r="A39" s="78" t="inlineStr">
        <is>
          <t>CF</t>
        </is>
      </c>
      <c r="B39" s="61" t="inlineStr">
        <is>
          <t>Confirmed with third party</t>
        </is>
      </c>
      <c r="C39" s="79" t="n"/>
      <c r="D39" s="80" t="n"/>
      <c r="E39" s="55" t="n"/>
      <c r="F39" s="55" t="n"/>
      <c r="G39" s="55" t="n"/>
      <c r="H39" s="55" t="n"/>
      <c r="I39" s="55" t="n"/>
    </row>
    <row r="40">
      <c r="A40" s="78" t="inlineStr">
        <is>
          <t>V</t>
        </is>
      </c>
      <c r="B40" s="61" t="inlineStr">
        <is>
          <t>Vouched to source document</t>
        </is>
      </c>
      <c r="C40" s="79" t="n"/>
      <c r="D40" s="80" t="n"/>
      <c r="E40" s="55" t="n"/>
      <c r="F40" s="55" t="n"/>
      <c r="G40" s="55" t="n"/>
      <c r="H40" s="55" t="n"/>
      <c r="I40" s="55" t="n"/>
    </row>
    <row r="41">
      <c r="A41" s="78" t="inlineStr">
        <is>
          <t>SR</t>
        </is>
      </c>
      <c r="B41" s="61" t="inlineStr">
        <is>
          <t>Agreed to subsequent bank-cleared receipt</t>
        </is>
      </c>
      <c r="C41" s="79" t="n"/>
      <c r="D41" s="80" t="n"/>
      <c r="E41" s="55" t="n"/>
      <c r="F41" s="55" t="n"/>
      <c r="G41" s="55" t="n"/>
      <c r="H41" s="55" t="n"/>
      <c r="I41" s="55" t="n"/>
    </row>
    <row r="42">
      <c r="A42" s="78" t="inlineStr">
        <is>
          <t>R</t>
        </is>
      </c>
      <c r="B42" s="61" t="inlineStr">
        <is>
          <t>Recalculated independently</t>
        </is>
      </c>
      <c r="C42" s="79" t="n"/>
      <c r="D42" s="80" t="n"/>
      <c r="E42" s="55" t="n"/>
      <c r="F42" s="55" t="n"/>
      <c r="G42" s="55" t="n"/>
      <c r="H42" s="55" t="n"/>
      <c r="I42" s="55" t="n"/>
    </row>
    <row r="43">
      <c r="A43" s="78" t="inlineStr">
        <is>
          <t>F</t>
        </is>
      </c>
      <c r="B43" s="61" t="inlineStr">
        <is>
          <t>Footed / cross-cast</t>
        </is>
      </c>
      <c r="C43" s="79" t="n"/>
      <c r="D43" s="80" t="n"/>
      <c r="E43" s="55" t="n"/>
      <c r="F43" s="55" t="n"/>
      <c r="G43" s="55" t="n"/>
      <c r="H43" s="55" t="n"/>
      <c r="I43" s="55" t="n"/>
    </row>
    <row r="44">
      <c r="A44" s="78" t="inlineStr">
        <is>
          <t>T</t>
        </is>
      </c>
      <c r="B44" s="61" t="inlineStr">
        <is>
          <t>Traced to downstream record</t>
        </is>
      </c>
      <c r="C44" s="79" t="n"/>
      <c r="D44" s="80" t="n"/>
      <c r="E44" s="55" t="n"/>
      <c r="F44" s="55" t="n"/>
      <c r="G44" s="55" t="n"/>
      <c r="H44" s="55" t="n"/>
      <c r="I44" s="55" t="n"/>
    </row>
    <row r="45">
      <c r="A45" s="78" t="inlineStr">
        <is>
          <t>PBC</t>
        </is>
      </c>
      <c r="B45" s="61" t="inlineStr">
        <is>
          <t>Prepared by client</t>
        </is>
      </c>
      <c r="C45" s="79" t="n"/>
      <c r="D45" s="80" t="n"/>
      <c r="E45" s="55" t="n"/>
      <c r="F45" s="55" t="n"/>
      <c r="G45" s="55" t="n"/>
      <c r="H45" s="55" t="n"/>
      <c r="I45" s="55" t="n"/>
    </row>
    <row r="46">
      <c r="A46" s="55" t="n"/>
      <c r="B46" s="55" t="n"/>
      <c r="C46" s="55" t="n"/>
      <c r="D46" s="55" t="n"/>
      <c r="E46" s="55" t="n"/>
      <c r="F46" s="55" t="n"/>
      <c r="G46" s="55" t="n"/>
      <c r="H46" s="55" t="n"/>
      <c r="I46" s="55" t="n"/>
    </row>
    <row r="47" ht="27.75" customHeight="1" s="49">
      <c r="A47" s="57" t="inlineStr">
        <is>
          <t>Before sign-off complete Library Procedures 11-12 (purchase-listing tie; GRN date-tie testing).</t>
        </is>
      </c>
      <c r="B47" s="55" t="n"/>
      <c r="C47" s="55" t="n"/>
      <c r="D47" s="55" t="n"/>
      <c r="E47" s="55" t="n"/>
      <c r="F47" s="55" t="n"/>
      <c r="G47" s="55" t="n"/>
      <c r="H47" s="55" t="n"/>
      <c r="I47" s="55" t="n"/>
    </row>
  </sheetData>
  <mergeCells count="15">
    <mergeCell ref="B42:D42"/>
    <mergeCell ref="B37:D37"/>
    <mergeCell ref="B45:D45"/>
    <mergeCell ref="A47:I47"/>
    <mergeCell ref="B41:D41"/>
    <mergeCell ref="B6:I6"/>
    <mergeCell ref="B40:D40"/>
    <mergeCell ref="B5:I5"/>
    <mergeCell ref="B38:D38"/>
    <mergeCell ref="B44:D44"/>
    <mergeCell ref="B43:D43"/>
    <mergeCell ref="A34:I34"/>
    <mergeCell ref="B39:D39"/>
    <mergeCell ref="A32:D32"/>
    <mergeCell ref="B4:I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J67"/>
  <sheetViews>
    <sheetView showGridLines="0" tabSelected="1" zoomScale="90" zoomScaleNormal="100" workbookViewId="0">
      <pane xSplit="1" ySplit="7" topLeftCell="B8" activePane="bottomRight" state="frozen"/>
      <selection pane="topRight"/>
      <selection pane="bottomLeft"/>
      <selection pane="bottomRight" activeCell="A20" sqref="A20"/>
    </sheetView>
  </sheetViews>
  <sheetFormatPr baseColWidth="8" defaultColWidth="8.6328125" defaultRowHeight="14.5"/>
  <cols>
    <col width="42" bestFit="1" customWidth="1" style="49" min="1" max="1"/>
    <col width="22.4" customWidth="1" style="49" min="2" max="2"/>
    <col width="24.1" customWidth="1" style="49" min="3" max="3"/>
    <col width="37.7" customWidth="1" style="49" min="4" max="5"/>
    <col width="16.45" customWidth="1" style="49" min="5" max="5"/>
    <col width="27.5" customWidth="1" style="49" min="6" max="7"/>
    <col width="29.2" customWidth="1" style="49" min="7" max="7"/>
    <col width="40.25" customWidth="1" style="49" min="8" max="8"/>
    <col width="40.25" customWidth="1" style="49" min="9" max="9"/>
    <col width="13" customWidth="1" style="49" min="10" max="10"/>
  </cols>
  <sheetData>
    <row r="1" ht="17.5" customHeight="1" s="49">
      <c r="A1" s="54" t="inlineStr">
        <is>
          <t>Inventory Cutoff Testing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</row>
    <row r="2" ht="27" customHeight="1" s="49">
      <c r="A2" s="66" t="inlineStr">
        <is>
          <t>Client / Entity</t>
        </is>
      </c>
      <c r="B2" s="56" t="inlineStr">
        <is>
          <t>Vaquite Industries, Inc.</t>
        </is>
      </c>
      <c r="C2" s="55" t="n"/>
      <c r="D2" s="66" t="inlineStr">
        <is>
          <t>Year-End</t>
        </is>
      </c>
      <c r="E2" s="67" t="n">
        <v>46022</v>
      </c>
      <c r="F2" s="55" t="n"/>
      <c r="G2" s="66" t="inlineStr">
        <is>
          <t>Currency</t>
        </is>
      </c>
      <c r="H2" s="68" t="inlineStr">
        <is>
          <t>USD</t>
        </is>
      </c>
      <c r="I2" s="55" t="n"/>
      <c r="J2" s="55" t="n"/>
    </row>
    <row r="3" ht="27" customHeight="1" s="49">
      <c r="A3" s="69" t="inlineStr">
        <is>
          <t>Performance Materiality</t>
        </is>
      </c>
      <c r="B3" s="70" t="n">
        <v>23100</v>
      </c>
      <c r="C3" s="55" t="n"/>
      <c r="D3" s="69" t="inlineStr">
        <is>
          <t>Tolerable misstatement / testing threshold</t>
        </is>
      </c>
      <c r="E3" s="70" t="n">
        <v>17400</v>
      </c>
      <c r="F3" s="55" t="n"/>
      <c r="G3" s="55" t="n"/>
      <c r="H3" s="55" t="n"/>
      <c r="I3" s="55" t="n"/>
      <c r="J3" s="55" t="n"/>
    </row>
    <row r="4" ht="42" customHeight="1" s="49">
      <c r="A4" s="71" t="inlineStr">
        <is>
          <t>Purpose:</t>
        </is>
      </c>
      <c r="B4" s="72" t="inlineStr">
        <is>
          <t>Assess cutoff risk, then test receiving and shipping around year-end in both directions — last documents before and first documents after — and evaluate in-transit inventory (shipping terms).</t>
        </is>
      </c>
      <c r="C4" s="73" t="n"/>
      <c r="D4" s="73" t="n"/>
      <c r="E4" s="73" t="n"/>
      <c r="F4" s="73" t="n"/>
      <c r="G4" s="73" t="n"/>
      <c r="H4" s="73" t="n"/>
      <c r="I4" s="74" t="n"/>
      <c r="J4" s="55" t="n"/>
    </row>
    <row r="5" ht="27.75" customHeight="1" s="49">
      <c r="A5" s="71" t="inlineStr">
        <is>
          <t>Scope:</t>
        </is>
      </c>
      <c r="B5" s="72" t="inlineStr">
        <is>
          <t>Receiving (GRN) and shipping (BOL) documents immediately before and after year-end; in-transit items by shipping terms.</t>
        </is>
      </c>
      <c r="C5" s="73" t="n"/>
      <c r="D5" s="73" t="n"/>
      <c r="E5" s="73" t="n"/>
      <c r="F5" s="73" t="n"/>
      <c r="G5" s="73" t="n"/>
      <c r="H5" s="73" t="n"/>
      <c r="I5" s="74" t="n"/>
      <c r="J5" s="55" t="n"/>
    </row>
    <row r="6" ht="15" customHeight="1" s="49">
      <c r="A6" s="71" t="inlineStr">
        <is>
          <t>Assertions:</t>
        </is>
      </c>
      <c r="B6" s="72" t="inlineStr">
        <is>
          <t>Cutoff; Completeness; Existence</t>
        </is>
      </c>
      <c r="C6" s="73" t="n"/>
      <c r="D6" s="73" t="n"/>
      <c r="E6" s="73" t="n"/>
      <c r="F6" s="73" t="n"/>
      <c r="G6" s="73" t="n"/>
      <c r="H6" s="73" t="n"/>
      <c r="I6" s="74" t="n"/>
      <c r="J6" s="55" t="n"/>
    </row>
    <row r="7" ht="15" customHeight="1" s="49">
      <c r="A7" s="77" t="n"/>
      <c r="B7" s="81" t="n"/>
      <c r="C7" s="81" t="n"/>
      <c r="D7" s="81" t="n"/>
      <c r="E7" s="81" t="n"/>
      <c r="F7" s="81" t="n"/>
      <c r="G7" s="81" t="n"/>
      <c r="H7" s="81" t="n"/>
      <c r="I7" s="81" t="n"/>
      <c r="J7" s="55" t="n"/>
    </row>
    <row r="8">
      <c r="A8" s="91" t="inlineStr">
        <is>
          <t>A. Cutoff risk assessment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</row>
    <row r="9">
      <c r="A9" s="101" t="inlineStr">
        <is>
          <t>Risk factor</t>
        </is>
      </c>
      <c r="B9" s="80" t="n"/>
      <c r="C9" s="101" t="inlineStr">
        <is>
          <t>Present? (Y/N)</t>
        </is>
      </c>
      <c r="D9" s="101" t="inlineStr">
        <is>
          <t>Basis / evidence</t>
        </is>
      </c>
      <c r="E9" s="80" t="n"/>
      <c r="F9" s="101" t="inlineStr">
        <is>
          <t>Effect on extent of testing</t>
        </is>
      </c>
      <c r="G9" s="79" t="n"/>
      <c r="H9" s="79" t="n"/>
      <c r="I9" s="80" t="n"/>
      <c r="J9" s="55" t="n"/>
    </row>
    <row r="10">
      <c r="A10" s="102" t="inlineStr">
        <is>
          <t>Significant in-transit inventory at period end</t>
        </is>
      </c>
      <c r="B10" s="80" t="n"/>
      <c r="C10" s="103" t="n"/>
      <c r="D10" s="104" t="n"/>
      <c r="E10" s="80" t="n"/>
      <c r="F10" s="104" t="n"/>
      <c r="G10" s="79" t="n"/>
      <c r="H10" s="79" t="n"/>
      <c r="I10" s="80" t="n"/>
      <c r="J10" s="55" t="n"/>
    </row>
    <row r="11">
      <c r="A11" s="102" t="inlineStr">
        <is>
          <t>FOB shipping-point purchase terms (title before receipt)</t>
        </is>
      </c>
      <c r="B11" s="80" t="n"/>
      <c r="C11" s="103" t="n"/>
      <c r="D11" s="104" t="n"/>
      <c r="E11" s="80" t="n"/>
      <c r="F11" s="104" t="n"/>
      <c r="G11" s="79" t="n"/>
      <c r="H11" s="79" t="n"/>
      <c r="I11" s="80" t="n"/>
      <c r="J11" s="55" t="n"/>
    </row>
    <row r="12">
      <c r="A12" s="102" t="inlineStr">
        <is>
          <t>Third-party / 3PL locations (movement visibility)</t>
        </is>
      </c>
      <c r="B12" s="80" t="n"/>
      <c r="C12" s="103" t="n"/>
      <c r="D12" s="104" t="n"/>
      <c r="E12" s="80" t="n"/>
      <c r="F12" s="104" t="n"/>
      <c r="G12" s="79" t="n"/>
      <c r="H12" s="79" t="n"/>
      <c r="I12" s="80" t="n"/>
      <c r="J12" s="55" t="n"/>
    </row>
    <row r="13">
      <c r="A13" s="102" t="inlineStr">
        <is>
          <t>Spike in period-end purchases or shipments</t>
        </is>
      </c>
      <c r="B13" s="80" t="n"/>
      <c r="C13" s="103" t="n"/>
      <c r="D13" s="104" t="n"/>
      <c r="E13" s="80" t="n"/>
      <c r="F13" s="104" t="n"/>
      <c r="G13" s="79" t="n"/>
      <c r="H13" s="79" t="n"/>
      <c r="I13" s="80" t="n"/>
      <c r="J13" s="55" t="n"/>
    </row>
    <row r="14" ht="21" customHeight="1" s="49">
      <c r="A14" s="102" t="inlineStr">
        <is>
          <t>Manual receiving / shipping logs (no system cutoff control)</t>
        </is>
      </c>
      <c r="B14" s="80" t="n"/>
      <c r="C14" s="103" t="n"/>
      <c r="D14" s="104" t="n"/>
      <c r="E14" s="80" t="n"/>
      <c r="F14" s="104" t="n"/>
      <c r="G14" s="79" t="n"/>
      <c r="H14" s="79" t="n"/>
      <c r="I14" s="80" t="n"/>
      <c r="J14" s="55" t="n"/>
    </row>
    <row r="15">
      <c r="A15" s="105" t="inlineStr">
        <is>
          <t>Overall cutoff risk (Low / Moderate / High)</t>
        </is>
      </c>
      <c r="B15" s="80" t="n"/>
      <c r="C15" s="106" t="n"/>
      <c r="D15" s="105" t="inlineStr">
        <is>
          <t>Resulting extent of testing:</t>
        </is>
      </c>
      <c r="E15" s="80" t="n"/>
      <c r="F15" s="107" t="n"/>
      <c r="G15" s="79" t="n"/>
      <c r="H15" s="79" t="n"/>
      <c r="I15" s="80" t="n"/>
      <c r="J15" s="55" t="n"/>
    </row>
    <row r="16" s="49">
      <c r="A16" s="108" t="n"/>
      <c r="B16" s="55" t="n"/>
      <c r="C16" s="109" t="n"/>
      <c r="D16" s="108" t="n"/>
      <c r="E16" s="55" t="n"/>
      <c r="F16" s="110" t="n"/>
      <c r="G16" s="55" t="n"/>
      <c r="H16" s="55" t="n"/>
      <c r="I16" s="55" t="n"/>
      <c r="J16" s="55" t="n"/>
    </row>
    <row r="17" s="49">
      <c r="A17" s="111" t="inlineStr">
        <is>
          <t>Where any factor is present (or overall risk is Moderate / High), expand the extent in Parts B-D — e.g., more than 5 documents each side of year-end, a wider date window, or in-transit testing of the full population.</t>
        </is>
      </c>
      <c r="B17" s="55" t="n"/>
      <c r="C17" s="55" t="n"/>
      <c r="D17" s="55" t="n"/>
      <c r="E17" s="55" t="n"/>
      <c r="F17" s="55" t="n"/>
      <c r="G17" s="55" t="n"/>
      <c r="H17" s="55" t="n"/>
      <c r="I17" s="55" t="n"/>
      <c r="J17" s="55" t="n"/>
    </row>
    <row r="18" s="49">
      <c r="A18" s="55" t="n"/>
      <c r="B18" s="55" t="n"/>
      <c r="C18" s="55" t="n"/>
      <c r="D18" s="55" t="n"/>
      <c r="E18" s="55" t="n"/>
      <c r="F18" s="55" t="n"/>
      <c r="G18" s="55" t="n"/>
      <c r="H18" s="55" t="n"/>
      <c r="I18" s="55" t="n"/>
      <c r="J18" s="55" t="n"/>
    </row>
    <row r="19" s="49">
      <c r="A19" s="112" t="n"/>
      <c r="B19" s="112" t="n"/>
      <c r="C19" s="112" t="n"/>
      <c r="D19" s="112" t="n"/>
      <c r="E19" s="112" t="n"/>
      <c r="F19" s="112" t="n"/>
      <c r="G19" s="112" t="n"/>
      <c r="H19" s="112" t="n"/>
      <c r="I19" s="112" t="n"/>
      <c r="J19" s="55" t="n"/>
    </row>
    <row r="20" ht="27" customHeight="1" s="49">
      <c r="A20" s="91" t="inlineStr">
        <is>
          <t>B. Receiving cutoff (last 5 GRNs before YE / first 5 after YE)</t>
        </is>
      </c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</row>
    <row r="21" ht="30" customHeight="1" s="49">
      <c r="A21" s="82" t="inlineStr">
        <is>
          <t>Sel #</t>
        </is>
      </c>
      <c r="B21" s="82" t="inlineStr">
        <is>
          <t>GRN reference</t>
        </is>
      </c>
      <c r="C21" s="82" t="inlineStr">
        <is>
          <t>Vendor / item</t>
        </is>
      </c>
      <c r="D21" s="82" t="inlineStr">
        <is>
          <t>GRN date</t>
        </is>
      </c>
      <c r="E21" s="82" t="inlineStr">
        <is>
          <t>Before / after YE</t>
        </is>
      </c>
      <c r="F21" s="82" t="inlineStr">
        <is>
          <t>Qty</t>
        </is>
      </c>
      <c r="G21" s="82" t="inlineStr">
        <is>
          <t>In YE inventory? (Y/N)</t>
        </is>
      </c>
      <c r="H21" s="82" t="inlineStr">
        <is>
          <t>Should it be? (Y/N)</t>
        </is>
      </c>
      <c r="I21" s="82" t="inlineStr">
        <is>
          <t>Proper period (Y/N)</t>
        </is>
      </c>
      <c r="J21" s="82" t="inlineStr">
        <is>
          <t>Comments</t>
        </is>
      </c>
    </row>
    <row r="22" ht="27" customHeight="1" s="49">
      <c r="A22" s="92" t="n">
        <v>1</v>
      </c>
      <c r="B22" s="76" t="n"/>
      <c r="C22" s="76" t="n"/>
      <c r="D22" s="76" t="n"/>
      <c r="E22" s="76" t="n"/>
      <c r="F22" s="93" t="n"/>
      <c r="G22" s="76" t="n"/>
      <c r="H22" s="76" t="n"/>
      <c r="I22" s="61">
        <f>IF(OR(G22="",H22=""),"",IF(G22=H22,"Y","N"))</f>
        <v/>
      </c>
      <c r="J22" s="76" t="n"/>
    </row>
    <row r="23" ht="27" customHeight="1" s="49">
      <c r="A23" s="92" t="n">
        <v>2</v>
      </c>
      <c r="B23" s="76" t="n"/>
      <c r="C23" s="76" t="n"/>
      <c r="D23" s="76" t="n"/>
      <c r="E23" s="76" t="n"/>
      <c r="F23" s="93" t="n"/>
      <c r="G23" s="76" t="n"/>
      <c r="H23" s="76" t="n"/>
      <c r="I23" s="61">
        <f>IF(OR(G23="",H23=""),"",IF(G23=H23,"Y","N"))</f>
        <v/>
      </c>
      <c r="J23" s="76" t="n"/>
    </row>
    <row r="24" ht="27" customHeight="1" s="49">
      <c r="A24" s="92" t="n">
        <v>3</v>
      </c>
      <c r="B24" s="76" t="n"/>
      <c r="C24" s="76" t="n"/>
      <c r="D24" s="76" t="n"/>
      <c r="E24" s="76" t="n"/>
      <c r="F24" s="93" t="n"/>
      <c r="G24" s="76" t="n"/>
      <c r="H24" s="76" t="n"/>
      <c r="I24" s="61">
        <f>IF(OR(G24="",H24=""),"",IF(G24=H24,"Y","N"))</f>
        <v/>
      </c>
      <c r="J24" s="76" t="n"/>
    </row>
    <row r="25" ht="27" customHeight="1" s="49">
      <c r="A25" s="92" t="n">
        <v>4</v>
      </c>
      <c r="B25" s="76" t="n"/>
      <c r="C25" s="76" t="n"/>
      <c r="D25" s="76" t="n"/>
      <c r="E25" s="76" t="n"/>
      <c r="F25" s="93" t="n"/>
      <c r="G25" s="76" t="n"/>
      <c r="H25" s="76" t="n"/>
      <c r="I25" s="61">
        <f>IF(OR(G25="",H25=""),"",IF(G25=H25,"Y","N"))</f>
        <v/>
      </c>
      <c r="J25" s="76" t="n"/>
    </row>
    <row r="26" ht="27" customHeight="1" s="49">
      <c r="A26" s="92" t="n">
        <v>5</v>
      </c>
      <c r="B26" s="76" t="n"/>
      <c r="C26" s="76" t="n"/>
      <c r="D26" s="76" t="n"/>
      <c r="E26" s="76" t="n"/>
      <c r="F26" s="93" t="n"/>
      <c r="G26" s="76" t="n"/>
      <c r="H26" s="76" t="n"/>
      <c r="I26" s="61">
        <f>IF(OR(G26="",H26=""),"",IF(G26=H26,"Y","N"))</f>
        <v/>
      </c>
      <c r="J26" s="76" t="n"/>
    </row>
    <row r="27" ht="27" customHeight="1" s="49">
      <c r="A27" s="92" t="n">
        <v>6</v>
      </c>
      <c r="B27" s="76" t="n"/>
      <c r="C27" s="76" t="n"/>
      <c r="D27" s="76" t="n"/>
      <c r="E27" s="76" t="n"/>
      <c r="F27" s="93" t="n"/>
      <c r="G27" s="76" t="n"/>
      <c r="H27" s="76" t="n"/>
      <c r="I27" s="61">
        <f>IF(OR(G27="",H27=""),"",IF(G27=H27,"Y","N"))</f>
        <v/>
      </c>
      <c r="J27" s="76" t="n"/>
    </row>
    <row r="28" ht="27" customHeight="1" s="49">
      <c r="A28" s="92" t="n">
        <v>7</v>
      </c>
      <c r="B28" s="76" t="n"/>
      <c r="C28" s="76" t="n"/>
      <c r="D28" s="76" t="n"/>
      <c r="E28" s="76" t="n"/>
      <c r="F28" s="93" t="n"/>
      <c r="G28" s="76" t="n"/>
      <c r="H28" s="76" t="n"/>
      <c r="I28" s="61">
        <f>IF(OR(G28="",H28=""),"",IF(G28=H28,"Y","N"))</f>
        <v/>
      </c>
      <c r="J28" s="76" t="n"/>
    </row>
    <row r="29" ht="27" customHeight="1" s="49">
      <c r="A29" s="92" t="n">
        <v>8</v>
      </c>
      <c r="B29" s="76" t="n"/>
      <c r="C29" s="76" t="n"/>
      <c r="D29" s="76" t="n"/>
      <c r="E29" s="76" t="n"/>
      <c r="F29" s="93" t="n"/>
      <c r="G29" s="76" t="n"/>
      <c r="H29" s="76" t="n"/>
      <c r="I29" s="61">
        <f>IF(OR(G29="",H29=""),"",IF(G29=H29,"Y","N"))</f>
        <v/>
      </c>
      <c r="J29" s="76" t="n"/>
    </row>
    <row r="30" ht="27" customHeight="1" s="49">
      <c r="A30" s="92" t="n">
        <v>9</v>
      </c>
      <c r="B30" s="76" t="n"/>
      <c r="C30" s="76" t="n"/>
      <c r="D30" s="76" t="n"/>
      <c r="E30" s="76" t="n"/>
      <c r="F30" s="93" t="n"/>
      <c r="G30" s="76" t="n"/>
      <c r="H30" s="76" t="n"/>
      <c r="I30" s="61">
        <f>IF(OR(G30="",H30=""),"",IF(G30=H30,"Y","N"))</f>
        <v/>
      </c>
      <c r="J30" s="76" t="n"/>
    </row>
    <row r="31" ht="27" customHeight="1" s="49">
      <c r="A31" s="92" t="n">
        <v>10</v>
      </c>
      <c r="B31" s="76" t="n"/>
      <c r="C31" s="76" t="n"/>
      <c r="D31" s="76" t="n"/>
      <c r="E31" s="76" t="n"/>
      <c r="F31" s="93" t="n"/>
      <c r="G31" s="76" t="n"/>
      <c r="H31" s="76" t="n"/>
      <c r="I31" s="61">
        <f>IF(OR(G31="",H31=""),"",IF(G31=H31,"Y","N"))</f>
        <v/>
      </c>
      <c r="J31" s="76" t="n"/>
    </row>
    <row r="32">
      <c r="A32" s="55" t="n"/>
      <c r="B32" s="55" t="n"/>
      <c r="C32" s="55" t="n"/>
      <c r="D32" s="55" t="n"/>
      <c r="E32" s="55" t="n"/>
      <c r="F32" s="55" t="n"/>
      <c r="G32" s="55" t="n"/>
      <c r="H32" s="55" t="n"/>
      <c r="I32" s="55" t="n"/>
      <c r="J32" s="55" t="n"/>
    </row>
    <row r="33" ht="27" customHeight="1" s="49">
      <c r="A33" s="91" t="inlineStr">
        <is>
          <t>C. Shipping cutoff (last 5 BOLs before YE / first 5 after YE)</t>
        </is>
      </c>
      <c r="B33" s="55" t="n"/>
      <c r="C33" s="55" t="n"/>
      <c r="D33" s="55" t="n"/>
      <c r="E33" s="55" t="n"/>
      <c r="F33" s="55" t="n"/>
      <c r="G33" s="55" t="n"/>
      <c r="H33" s="55" t="n"/>
      <c r="I33" s="55" t="n"/>
      <c r="J33" s="55" t="n"/>
    </row>
    <row r="34" ht="30" customHeight="1" s="49">
      <c r="A34" s="82" t="inlineStr">
        <is>
          <t>Sel #</t>
        </is>
      </c>
      <c r="B34" s="82" t="inlineStr">
        <is>
          <t>BOL / shipping ref</t>
        </is>
      </c>
      <c r="C34" s="82" t="inlineStr">
        <is>
          <t>Customer / item</t>
        </is>
      </c>
      <c r="D34" s="82" t="inlineStr">
        <is>
          <t>Ship date</t>
        </is>
      </c>
      <c r="E34" s="82" t="inlineStr">
        <is>
          <t>Before / after YE</t>
        </is>
      </c>
      <c r="F34" s="82" t="inlineStr">
        <is>
          <t>Qty</t>
        </is>
      </c>
      <c r="G34" s="82" t="inlineStr">
        <is>
          <t>Removed from YE inventory? (Y/N)</t>
        </is>
      </c>
      <c r="H34" s="82" t="inlineStr">
        <is>
          <t>Should it be? (Y/N)</t>
        </is>
      </c>
      <c r="I34" s="82" t="inlineStr">
        <is>
          <t>Proper period (Y/N)</t>
        </is>
      </c>
      <c r="J34" s="82" t="inlineStr">
        <is>
          <t>Comments</t>
        </is>
      </c>
    </row>
    <row r="35" ht="27" customHeight="1" s="49">
      <c r="A35" s="92" t="n">
        <v>1</v>
      </c>
      <c r="B35" s="76" t="n"/>
      <c r="C35" s="76" t="n"/>
      <c r="D35" s="76" t="n"/>
      <c r="E35" s="76" t="n"/>
      <c r="F35" s="93" t="n"/>
      <c r="G35" s="76" t="n"/>
      <c r="H35" s="76" t="n"/>
      <c r="I35" s="61">
        <f>IF(OR(G35="",H35=""),"",IF(G35=H35,"Y","N"))</f>
        <v/>
      </c>
      <c r="J35" s="76" t="n"/>
    </row>
    <row r="36" ht="27" customHeight="1" s="49">
      <c r="A36" s="92" t="n">
        <v>2</v>
      </c>
      <c r="B36" s="76" t="n"/>
      <c r="C36" s="76" t="n"/>
      <c r="D36" s="76" t="n"/>
      <c r="E36" s="76" t="n"/>
      <c r="F36" s="93" t="n"/>
      <c r="G36" s="76" t="n"/>
      <c r="H36" s="76" t="n"/>
      <c r="I36" s="61">
        <f>IF(OR(G36="",H36=""),"",IF(G36=H36,"Y","N"))</f>
        <v/>
      </c>
      <c r="J36" s="76" t="n"/>
    </row>
    <row r="37" ht="27" customHeight="1" s="49">
      <c r="A37" s="92" t="n">
        <v>3</v>
      </c>
      <c r="B37" s="76" t="n"/>
      <c r="C37" s="76" t="n"/>
      <c r="D37" s="76" t="n"/>
      <c r="E37" s="76" t="n"/>
      <c r="F37" s="93" t="n"/>
      <c r="G37" s="76" t="n"/>
      <c r="H37" s="76" t="n"/>
      <c r="I37" s="61">
        <f>IF(OR(G37="",H37=""),"",IF(G37=H37,"Y","N"))</f>
        <v/>
      </c>
      <c r="J37" s="76" t="n"/>
    </row>
    <row r="38" ht="27" customHeight="1" s="49">
      <c r="A38" s="92" t="n">
        <v>4</v>
      </c>
      <c r="B38" s="76" t="n"/>
      <c r="C38" s="76" t="n"/>
      <c r="D38" s="76" t="n"/>
      <c r="E38" s="76" t="n"/>
      <c r="F38" s="93" t="n"/>
      <c r="G38" s="76" t="n"/>
      <c r="H38" s="76" t="n"/>
      <c r="I38" s="61">
        <f>IF(OR(G38="",H38=""),"",IF(G38=H38,"Y","N"))</f>
        <v/>
      </c>
      <c r="J38" s="76" t="n"/>
    </row>
    <row r="39" ht="27" customHeight="1" s="49">
      <c r="A39" s="92" t="n">
        <v>5</v>
      </c>
      <c r="B39" s="76" t="n"/>
      <c r="C39" s="76" t="n"/>
      <c r="D39" s="76" t="n"/>
      <c r="E39" s="76" t="n"/>
      <c r="F39" s="93" t="n"/>
      <c r="G39" s="76" t="n"/>
      <c r="H39" s="76" t="n"/>
      <c r="I39" s="61">
        <f>IF(OR(G39="",H39=""),"",IF(G39=H39,"Y","N"))</f>
        <v/>
      </c>
      <c r="J39" s="76" t="n"/>
    </row>
    <row r="40" ht="27" customHeight="1" s="49">
      <c r="A40" s="92" t="n">
        <v>6</v>
      </c>
      <c r="B40" s="76" t="n"/>
      <c r="C40" s="76" t="n"/>
      <c r="D40" s="76" t="n"/>
      <c r="E40" s="76" t="n"/>
      <c r="F40" s="93" t="n"/>
      <c r="G40" s="76" t="n"/>
      <c r="H40" s="76" t="n"/>
      <c r="I40" s="61">
        <f>IF(OR(G40="",H40=""),"",IF(G40=H40,"Y","N"))</f>
        <v/>
      </c>
      <c r="J40" s="76" t="n"/>
    </row>
    <row r="41" ht="27" customHeight="1" s="49">
      <c r="A41" s="92" t="n">
        <v>7</v>
      </c>
      <c r="B41" s="76" t="n"/>
      <c r="C41" s="76" t="n"/>
      <c r="D41" s="76" t="n"/>
      <c r="E41" s="76" t="n"/>
      <c r="F41" s="93" t="n"/>
      <c r="G41" s="76" t="n"/>
      <c r="H41" s="76" t="n"/>
      <c r="I41" s="61">
        <f>IF(OR(G41="",H41=""),"",IF(G41=H41,"Y","N"))</f>
        <v/>
      </c>
      <c r="J41" s="76" t="n"/>
    </row>
    <row r="42" ht="27" customHeight="1" s="49">
      <c r="A42" s="92" t="n">
        <v>8</v>
      </c>
      <c r="B42" s="76" t="n"/>
      <c r="C42" s="76" t="n"/>
      <c r="D42" s="76" t="n"/>
      <c r="E42" s="76" t="n"/>
      <c r="F42" s="93" t="n"/>
      <c r="G42" s="76" t="n"/>
      <c r="H42" s="76" t="n"/>
      <c r="I42" s="61">
        <f>IF(OR(G42="",H42=""),"",IF(G42=H42,"Y","N"))</f>
        <v/>
      </c>
      <c r="J42" s="76" t="n"/>
    </row>
    <row r="43" ht="27" customHeight="1" s="49">
      <c r="A43" s="92" t="n">
        <v>9</v>
      </c>
      <c r="B43" s="76" t="n"/>
      <c r="C43" s="76" t="n"/>
      <c r="D43" s="76" t="n"/>
      <c r="E43" s="76" t="n"/>
      <c r="F43" s="93" t="n"/>
      <c r="G43" s="76" t="n"/>
      <c r="H43" s="76" t="n"/>
      <c r="I43" s="61">
        <f>IF(OR(G43="",H43=""),"",IF(G43=H43,"Y","N"))</f>
        <v/>
      </c>
      <c r="J43" s="76" t="n"/>
    </row>
    <row r="44" ht="27" customHeight="1" s="49">
      <c r="A44" s="92" t="n">
        <v>10</v>
      </c>
      <c r="B44" s="76" t="n"/>
      <c r="C44" s="76" t="n"/>
      <c r="D44" s="76" t="n"/>
      <c r="E44" s="76" t="n"/>
      <c r="F44" s="93" t="n"/>
      <c r="G44" s="76" t="n"/>
      <c r="H44" s="76" t="n"/>
      <c r="I44" s="61">
        <f>IF(OR(G44="",H44=""),"",IF(G44=H44,"Y","N"))</f>
        <v/>
      </c>
      <c r="J44" s="76" t="n"/>
    </row>
    <row r="45">
      <c r="A45" s="55" t="n"/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</row>
    <row r="46">
      <c r="A46" s="91" t="inlineStr">
        <is>
          <t>D. In-transit inventory (shipping terms)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</row>
    <row r="47" ht="30" customHeight="1" s="49">
      <c r="A47" s="82" t="inlineStr">
        <is>
          <t>Item / PO</t>
        </is>
      </c>
      <c r="B47" s="82" t="inlineStr">
        <is>
          <t>Vendor / customer</t>
        </is>
      </c>
      <c r="C47" s="82" t="inlineStr">
        <is>
          <t>Terms (FOB SP / FOB dest.)</t>
        </is>
      </c>
      <c r="D47" s="82" t="inlineStr">
        <is>
          <t>Ship date</t>
        </is>
      </c>
      <c r="E47" s="82" t="inlineStr">
        <is>
          <t>Amount</t>
        </is>
      </c>
      <c r="F47" s="82" t="inlineStr">
        <is>
          <t>Title at YE with entity? (Y/N)</t>
        </is>
      </c>
      <c r="G47" s="82" t="inlineStr">
        <is>
          <t>In YE inventory? (Y/N)</t>
        </is>
      </c>
      <c r="H47" s="82" t="inlineStr">
        <is>
          <t>Correct (Y/N)</t>
        </is>
      </c>
      <c r="I47" s="82" t="inlineStr">
        <is>
          <t>Comments</t>
        </is>
      </c>
      <c r="J47" s="55" t="n"/>
    </row>
    <row r="48" ht="27" customHeight="1" s="49">
      <c r="A48" s="76" t="n"/>
      <c r="B48" s="76" t="n"/>
      <c r="C48" s="76" t="n"/>
      <c r="D48" s="76" t="n"/>
      <c r="E48" s="84" t="n"/>
      <c r="F48" s="76" t="n"/>
      <c r="G48" s="76" t="n"/>
      <c r="H48" s="61">
        <f>IF(OR(F48="",G48=""),"",IF(F48=G48,"Y","N"))</f>
        <v/>
      </c>
      <c r="I48" s="76" t="n"/>
      <c r="J48" s="55" t="n"/>
    </row>
    <row r="49" ht="27" customHeight="1" s="49">
      <c r="A49" s="76" t="n"/>
      <c r="B49" s="76" t="n"/>
      <c r="C49" s="76" t="n"/>
      <c r="D49" s="76" t="n"/>
      <c r="E49" s="84" t="n"/>
      <c r="F49" s="76" t="n"/>
      <c r="G49" s="76" t="n"/>
      <c r="H49" s="61">
        <f>IF(OR(F49="",G49=""),"",IF(F49=G49,"Y","N"))</f>
        <v/>
      </c>
      <c r="I49" s="76" t="n"/>
      <c r="J49" s="55" t="n"/>
    </row>
    <row r="50" ht="27" customHeight="1" s="49">
      <c r="A50" s="76" t="n"/>
      <c r="B50" s="76" t="n"/>
      <c r="C50" s="76" t="n"/>
      <c r="D50" s="76" t="n"/>
      <c r="E50" s="84" t="n"/>
      <c r="F50" s="76" t="n"/>
      <c r="G50" s="76" t="n"/>
      <c r="H50" s="61">
        <f>IF(OR(F50="",G50=""),"",IF(F50=G50,"Y","N"))</f>
        <v/>
      </c>
      <c r="I50" s="76" t="n"/>
      <c r="J50" s="55" t="n"/>
    </row>
    <row r="51" ht="27" customHeight="1" s="49">
      <c r="A51" s="76" t="n"/>
      <c r="B51" s="76" t="n"/>
      <c r="C51" s="76" t="n"/>
      <c r="D51" s="76" t="n"/>
      <c r="E51" s="84" t="n"/>
      <c r="F51" s="76" t="n"/>
      <c r="G51" s="76" t="n"/>
      <c r="H51" s="61">
        <f>IF(OR(F51="",G51=""),"",IF(F51=G51,"Y","N"))</f>
        <v/>
      </c>
      <c r="I51" s="76" t="n"/>
      <c r="J51" s="55" t="n"/>
    </row>
    <row r="52" ht="27" customHeight="1" s="49">
      <c r="A52" s="76" t="n"/>
      <c r="B52" s="76" t="n"/>
      <c r="C52" s="76" t="n"/>
      <c r="D52" s="76" t="n"/>
      <c r="E52" s="84" t="n"/>
      <c r="F52" s="76" t="n"/>
      <c r="G52" s="76" t="n"/>
      <c r="H52" s="61">
        <f>IF(OR(F52="",G52=""),"",IF(F52=G52,"Y","N"))</f>
        <v/>
      </c>
      <c r="I52" s="76" t="n"/>
      <c r="J52" s="55" t="n"/>
    </row>
    <row r="53">
      <c r="A53" s="55" t="n"/>
      <c r="B53" s="55" t="n"/>
      <c r="C53" s="55" t="n"/>
      <c r="D53" s="55" t="n"/>
      <c r="E53" s="55" t="n"/>
      <c r="F53" s="55" t="n"/>
      <c r="G53" s="55" t="n"/>
      <c r="H53" s="55" t="n"/>
      <c r="I53" s="55" t="n"/>
      <c r="J53" s="55" t="n"/>
    </row>
    <row r="54" ht="27.75" customHeight="1" s="49">
      <c r="A54" s="57" t="inlineStr">
        <is>
          <t>Two-directional: goods received before YE must be IN inventory (and the liability recorded — see AP); goods received after must be OUT. Shipments before YE must be OUT of inventory (revenue recorded); after YE must be IN. FOB shipping point purchases in transit at YE belong in inventory; FOB destination do not. GRN date-tie exceptions from &lt;.6&gt; feed this test.</t>
        </is>
      </c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</row>
    <row r="55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</row>
    <row r="56">
      <c r="A56" s="77" t="inlineStr">
        <is>
          <t>TM Legends</t>
        </is>
      </c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</row>
    <row r="57">
      <c r="A57" s="78" t="inlineStr">
        <is>
          <t>TB</t>
        </is>
      </c>
      <c r="B57" s="61" t="inlineStr">
        <is>
          <t>Agreed to trial balance</t>
        </is>
      </c>
      <c r="C57" s="79" t="n"/>
      <c r="D57" s="80" t="n"/>
      <c r="E57" s="55" t="n"/>
      <c r="F57" s="55" t="n"/>
      <c r="G57" s="55" t="n"/>
      <c r="H57" s="55" t="n"/>
      <c r="I57" s="55" t="n"/>
      <c r="J57" s="55" t="n"/>
    </row>
    <row r="58">
      <c r="A58" s="78" t="inlineStr">
        <is>
          <t>GL</t>
        </is>
      </c>
      <c r="B58" s="61" t="inlineStr">
        <is>
          <t>Agreed to general ledger</t>
        </is>
      </c>
      <c r="C58" s="79" t="n"/>
      <c r="D58" s="80" t="n"/>
      <c r="E58" s="55" t="n"/>
      <c r="F58" s="55" t="n"/>
      <c r="G58" s="55" t="n"/>
      <c r="H58" s="55" t="n"/>
      <c r="I58" s="55" t="n"/>
      <c r="J58" s="55" t="n"/>
    </row>
    <row r="59">
      <c r="A59" s="78" t="inlineStr">
        <is>
          <t>CF</t>
        </is>
      </c>
      <c r="B59" s="61" t="inlineStr">
        <is>
          <t>Confirmed with third party</t>
        </is>
      </c>
      <c r="C59" s="79" t="n"/>
      <c r="D59" s="80" t="n"/>
      <c r="E59" s="55" t="n"/>
      <c r="F59" s="55" t="n"/>
      <c r="G59" s="55" t="n"/>
      <c r="H59" s="55" t="n"/>
      <c r="I59" s="55" t="n"/>
      <c r="J59" s="55" t="n"/>
    </row>
    <row r="60">
      <c r="A60" s="78" t="inlineStr">
        <is>
          <t>V</t>
        </is>
      </c>
      <c r="B60" s="61" t="inlineStr">
        <is>
          <t>Vouched to source document</t>
        </is>
      </c>
      <c r="C60" s="79" t="n"/>
      <c r="D60" s="80" t="n"/>
      <c r="E60" s="55" t="n"/>
      <c r="F60" s="55" t="n"/>
      <c r="G60" s="55" t="n"/>
      <c r="H60" s="55" t="n"/>
      <c r="I60" s="55" t="n"/>
      <c r="J60" s="55" t="n"/>
    </row>
    <row r="61">
      <c r="A61" s="78" t="inlineStr">
        <is>
          <t>SR</t>
        </is>
      </c>
      <c r="B61" s="61" t="inlineStr">
        <is>
          <t>Agreed to subsequent bank-cleared receipt</t>
        </is>
      </c>
      <c r="C61" s="79" t="n"/>
      <c r="D61" s="80" t="n"/>
      <c r="E61" s="55" t="n"/>
      <c r="F61" s="55" t="n"/>
      <c r="G61" s="55" t="n"/>
      <c r="H61" s="55" t="n"/>
      <c r="I61" s="55" t="n"/>
      <c r="J61" s="55" t="n"/>
    </row>
    <row r="62">
      <c r="A62" s="78" t="inlineStr">
        <is>
          <t>R</t>
        </is>
      </c>
      <c r="B62" s="61" t="inlineStr">
        <is>
          <t>Recalculated independently</t>
        </is>
      </c>
      <c r="C62" s="79" t="n"/>
      <c r="D62" s="80" t="n"/>
      <c r="E62" s="55" t="n"/>
      <c r="F62" s="55" t="n"/>
      <c r="G62" s="55" t="n"/>
      <c r="H62" s="55" t="n"/>
      <c r="I62" s="55" t="n"/>
      <c r="J62" s="55" t="n"/>
    </row>
    <row r="63">
      <c r="A63" s="78" t="inlineStr">
        <is>
          <t>F</t>
        </is>
      </c>
      <c r="B63" s="61" t="inlineStr">
        <is>
          <t>Footed / cross-cast</t>
        </is>
      </c>
      <c r="C63" s="79" t="n"/>
      <c r="D63" s="80" t="n"/>
      <c r="E63" s="55" t="n"/>
      <c r="F63" s="55" t="n"/>
      <c r="G63" s="55" t="n"/>
      <c r="H63" s="55" t="n"/>
      <c r="I63" s="55" t="n"/>
      <c r="J63" s="55" t="n"/>
    </row>
    <row r="64">
      <c r="A64" s="78" t="inlineStr">
        <is>
          <t>T</t>
        </is>
      </c>
      <c r="B64" s="61" t="inlineStr">
        <is>
          <t>Traced to downstream record</t>
        </is>
      </c>
      <c r="C64" s="79" t="n"/>
      <c r="D64" s="80" t="n"/>
      <c r="E64" s="55" t="n"/>
      <c r="F64" s="55" t="n"/>
      <c r="G64" s="55" t="n"/>
      <c r="H64" s="55" t="n"/>
      <c r="I64" s="55" t="n"/>
      <c r="J64" s="55" t="n"/>
    </row>
    <row r="65">
      <c r="A65" s="78" t="inlineStr">
        <is>
          <t>PBC</t>
        </is>
      </c>
      <c r="B65" s="61" t="inlineStr">
        <is>
          <t>Prepared by client</t>
        </is>
      </c>
      <c r="C65" s="79" t="n"/>
      <c r="D65" s="80" t="n"/>
      <c r="E65" s="55" t="n"/>
      <c r="F65" s="55" t="n"/>
      <c r="G65" s="55" t="n"/>
      <c r="H65" s="55" t="n"/>
      <c r="I65" s="55" t="n"/>
      <c r="J65" s="55" t="n"/>
    </row>
    <row r="66">
      <c r="A66" s="55" t="n"/>
      <c r="B66" s="55" t="n"/>
      <c r="C66" s="55" t="n"/>
      <c r="D66" s="55" t="n"/>
      <c r="E66" s="55" t="n"/>
      <c r="F66" s="55" t="n"/>
      <c r="G66" s="55" t="n"/>
      <c r="H66" s="55" t="n"/>
      <c r="I66" s="55" t="n"/>
      <c r="J66" s="55" t="n"/>
    </row>
    <row r="67" ht="27.75" customHeight="1" s="49">
      <c r="A67" s="57" t="inlineStr">
        <is>
          <t>Before sign-off complete Library Procedures 13-15 (risk assessment; receiving &amp; shipping cutoff; in-transit).</t>
        </is>
      </c>
      <c r="B67" s="55" t="n"/>
      <c r="C67" s="55" t="n"/>
      <c r="D67" s="55" t="n"/>
      <c r="E67" s="55" t="n"/>
      <c r="F67" s="55" t="n"/>
      <c r="G67" s="55" t="n"/>
      <c r="H67" s="55" t="n"/>
      <c r="I67" s="55" t="n"/>
      <c r="J67" s="55" t="n"/>
    </row>
  </sheetData>
  <mergeCells count="36">
    <mergeCell ref="F13:I13"/>
    <mergeCell ref="B60:D60"/>
    <mergeCell ref="D10:E10"/>
    <mergeCell ref="A15:B15"/>
    <mergeCell ref="F9:I9"/>
    <mergeCell ref="B61:D61"/>
    <mergeCell ref="B57:D57"/>
    <mergeCell ref="A11:B11"/>
    <mergeCell ref="F14:I14"/>
    <mergeCell ref="D13:E13"/>
    <mergeCell ref="D11:E11"/>
    <mergeCell ref="F11:I11"/>
    <mergeCell ref="B65:D65"/>
    <mergeCell ref="F10:I10"/>
    <mergeCell ref="B64:D64"/>
    <mergeCell ref="A12:B12"/>
    <mergeCell ref="B63:D63"/>
    <mergeCell ref="F12:I12"/>
    <mergeCell ref="F15:I15"/>
    <mergeCell ref="A67:I67"/>
    <mergeCell ref="A14:B14"/>
    <mergeCell ref="B62:D62"/>
    <mergeCell ref="D9:E9"/>
    <mergeCell ref="D12:E12"/>
    <mergeCell ref="B59:D59"/>
    <mergeCell ref="D15:E15"/>
    <mergeCell ref="B6:I6"/>
    <mergeCell ref="A10:B10"/>
    <mergeCell ref="B58:D58"/>
    <mergeCell ref="A13:B13"/>
    <mergeCell ref="D14:E14"/>
    <mergeCell ref="A17:I18"/>
    <mergeCell ref="B5:I5"/>
    <mergeCell ref="A9:B9"/>
    <mergeCell ref="B4:I4"/>
    <mergeCell ref="A54:I5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style="49" min="1" max="1"/>
    <col width="90" customWidth="1" style="49" min="2" max="2"/>
  </cols>
  <sheetData>
    <row r="1">
      <c r="A1" s="113" t="inlineStr">
        <is>
          <t>AUTHORITATIVE PLANNING CONTEXT</t>
        </is>
      </c>
      <c r="B1" s="55" t="n"/>
    </row>
    <row r="2">
      <c r="A2" s="55" t="inlineStr">
        <is>
          <t>Field</t>
        </is>
      </c>
      <c r="B2" s="55" t="inlineStr">
        <is>
          <t>Value</t>
        </is>
      </c>
    </row>
    <row r="3">
      <c r="A3" s="55" t="inlineStr">
        <is>
          <t>Entity Name</t>
        </is>
      </c>
      <c r="B3" s="113" t="inlineStr">
        <is>
          <t>Vaquite Industries, Inc.</t>
        </is>
      </c>
    </row>
    <row r="4">
      <c r="A4" s="113" t="inlineStr">
        <is>
          <t>Financial Statement Date</t>
        </is>
      </c>
      <c r="B4" s="114" t="n">
        <v>46022</v>
      </c>
    </row>
    <row r="5">
      <c r="A5" s="113" t="inlineStr">
        <is>
          <t>Reporting Currency</t>
        </is>
      </c>
      <c r="B5" s="55" t="inlineStr">
        <is>
          <t>USD</t>
        </is>
      </c>
    </row>
    <row r="6">
      <c r="A6" s="113" t="inlineStr">
        <is>
          <t>Overall Materiality</t>
        </is>
      </c>
      <c r="B6" s="115" t="n">
        <v>30700</v>
      </c>
    </row>
    <row r="7">
      <c r="A7" s="113" t="inlineStr">
        <is>
          <t>Performance Materiality</t>
        </is>
      </c>
      <c r="B7" s="115" t="n">
        <v>23100</v>
      </c>
    </row>
    <row r="8">
      <c r="A8" s="113" t="inlineStr">
        <is>
          <t>Tolerable Misstatement</t>
        </is>
      </c>
      <c r="B8" s="115" t="n">
        <v>17400</v>
      </c>
    </row>
    <row r="9">
      <c r="A9" s="113" t="inlineStr">
        <is>
          <t>Individually Significant Threshold</t>
        </is>
      </c>
      <c r="B9" s="115" t="n">
        <v>11600</v>
      </c>
    </row>
    <row r="10">
      <c r="A10" s="55" t="inlineStr">
        <is>
          <t>Posting Threshold</t>
        </is>
      </c>
      <c r="B10" s="115" t="n">
        <v>1000</v>
      </c>
    </row>
    <row r="11">
      <c r="A11" s="113" t="inlineStr">
        <is>
          <t>Clearly Trivial Threshold</t>
        </is>
      </c>
      <c r="B11" s="115" t="n">
        <v>1000</v>
      </c>
    </row>
    <row r="12">
      <c r="A12" s="113" t="inlineStr">
        <is>
          <t>Analytical Precision</t>
        </is>
      </c>
      <c r="B12" s="115" t="n">
        <v>17400</v>
      </c>
    </row>
    <row r="13">
      <c r="A13" s="55" t="n"/>
      <c r="B13" s="55" t="n"/>
    </row>
    <row r="14">
      <c r="A14" s="113" t="inlineStr">
        <is>
          <t>Bound planning records</t>
        </is>
      </c>
      <c r="B14" s="55" t="inlineStr">
        <is>
          <t>Canonical IDs</t>
        </is>
      </c>
    </row>
    <row r="15">
      <c r="A15" s="55" t="inlineStr">
        <is>
          <t>Sampling plan ID</t>
        </is>
      </c>
      <c r="B15" s="55" t="inlineStr">
        <is>
          <t>SAMPLE-INVENTORY</t>
        </is>
      </c>
    </row>
    <row r="16" ht="81" customHeight="1" s="49">
      <c r="A16" s="55" t="inlineStr">
        <is>
          <t>Selection IDs</t>
        </is>
      </c>
      <c r="B16" s="113" t="inlineStr">
        <is>
          <t>PROC-INV-VALUATION:Layer 0148; PROC-INV-VALUATION:Layer 0246; PROC-INV-VALUATION:Layer 0077; PROC-INV-VALUATION:LOT-6392; PROC-INV-VALUATION:Layer 0145; PROC-INV-VALUATION:Layer 0144; PROC-INV-VALUATION:Layer 0072; PROC-INV-VALUATION:Layer 0073; PROC-INV-VALUATION:Layer 0245; PROC-INV-VALUATION:Layer 0243; PROC-INV-VALUATION:Layer 0240; PROC-INV-VALUATION:LOT-6395; PROC-INV-VALUATION:Layer 0247; PROC-INV-VALUATION:Layer 0244; PROC-INV-VALUATION:LOT-6359; PROC-INV-VALUATION:Layer 0143; PROC-INV-VALUATION:Layer 0074; PROC-INV-VALUATION:Layer 0146</t>
        </is>
      </c>
    </row>
    <row r="17">
      <c r="A17" s="113" t="inlineStr">
        <is>
          <t>Selection requirements</t>
        </is>
      </c>
      <c r="B17" s="113" t="inlineStr">
        <is>
          <t>qualitative mandatory items; individually significant items</t>
        </is>
      </c>
    </row>
    <row r="18">
      <c r="A18" s="55" t="inlineStr">
        <is>
          <t>Procedure IDs</t>
        </is>
      </c>
      <c r="B18" s="113" t="inlineStr">
        <is>
          <t>PROC-INVENTORY; RESP-INVENTORY-INVENTORY</t>
        </is>
      </c>
    </row>
    <row r="19">
      <c r="A19" s="113" t="inlineStr">
        <is>
          <t>Procedure window IDs</t>
        </is>
      </c>
      <c r="B19" s="113" t="inlineStr">
        <is>
          <t>WIN-INVENTORY-CUTOFF; WIN-INVENTORY-CUTOFF</t>
        </is>
      </c>
    </row>
    <row r="20">
      <c r="A20" s="113" t="inlineStr">
        <is>
          <t>Significant-risk response IDs</t>
        </is>
      </c>
      <c r="B20" s="113" t="inlineStr">
        <is>
          <t>RESP-INVENTORY-INVENTORY</t>
        </is>
      </c>
    </row>
    <row r="21">
      <c r="A21" s="113" t="inlineStr">
        <is>
          <t>Audit team assignments</t>
        </is>
      </c>
      <c r="B21" s="113" t="inlineStr">
        <is>
          <t>preparer: Audit Senior 80A0; reviewer: Audit Manager 403F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style="49" min="1" max="1"/>
    <col width="42" customWidth="1" style="49" min="2" max="2"/>
    <col width="8.5" customWidth="1" style="49" min="3" max="3"/>
    <col width="25" customWidth="1" style="49" min="4" max="4"/>
    <col width="34" customWidth="1" style="49" min="5" max="5"/>
    <col width="8.5" customWidth="1" style="49" min="6" max="6"/>
  </cols>
  <sheetData>
    <row r="1" ht="24" customHeight="1" s="49">
      <c r="A1" s="116" t="inlineStr">
        <is>
          <t>WORKPAPER COMPLETION AND SIGN-OFF</t>
        </is>
      </c>
      <c r="B1" s="55" t="n"/>
      <c r="C1" s="55" t="n"/>
      <c r="D1" s="55" t="n"/>
      <c r="E1" s="55" t="n"/>
      <c r="F1" s="55" t="n"/>
    </row>
    <row r="2">
      <c r="A2" s="55" t="n"/>
      <c r="B2" s="55" t="n"/>
      <c r="C2" s="55" t="n"/>
      <c r="D2" s="55" t="n"/>
      <c r="E2" s="55" t="n"/>
      <c r="F2" s="55" t="n"/>
    </row>
    <row r="3" ht="27" customHeight="1" s="49">
      <c r="A3" s="55" t="inlineStr">
        <is>
          <t>Workpaper</t>
        </is>
      </c>
      <c r="B3" s="113" t="inlineStr">
        <is>
          <t>inventory/inventory_existence_completeness_cutoff_workpaper.xlsx</t>
        </is>
      </c>
      <c r="C3" s="55" t="n"/>
      <c r="D3" s="55" t="n"/>
      <c r="E3" s="55" t="n"/>
      <c r="F3" s="55" t="n"/>
    </row>
    <row r="4">
      <c r="A4" s="113" t="inlineStr">
        <is>
          <t>Required completion stage</t>
        </is>
      </c>
      <c r="B4" s="55" t="inlineStr">
        <is>
          <t>prepared</t>
        </is>
      </c>
      <c r="C4" s="55" t="n"/>
      <c r="D4" s="55" t="inlineStr">
        <is>
          <t>Contract version</t>
        </is>
      </c>
      <c r="E4" s="113" t="inlineStr">
        <is>
          <t>workpaper-signoff-v2.1.0</t>
        </is>
      </c>
      <c r="F4" s="55" t="n"/>
    </row>
    <row r="5">
      <c r="A5" s="55" t="n"/>
      <c r="B5" s="55" t="n"/>
      <c r="C5" s="55" t="n"/>
      <c r="D5" s="55" t="n"/>
      <c r="E5" s="55" t="n"/>
      <c r="F5" s="55" t="n"/>
    </row>
    <row r="6">
      <c r="A6" s="117" t="inlineStr">
        <is>
          <t>Assigned preparer</t>
        </is>
      </c>
      <c r="B6" s="118" t="inlineStr">
        <is>
          <t>Audit Senior 80A0</t>
        </is>
      </c>
      <c r="C6" s="55" t="n"/>
      <c r="D6" s="117" t="inlineStr">
        <is>
          <t>Assigned reviewer</t>
        </is>
      </c>
      <c r="E6" s="119" t="inlineStr">
        <is>
          <t>Audit Manager 403F</t>
        </is>
      </c>
      <c r="F6" s="55" t="n"/>
    </row>
    <row r="7">
      <c r="A7" s="117" t="inlineStr">
        <is>
          <t>Preparation state</t>
        </is>
      </c>
      <c r="B7" s="118" t="inlineStr">
        <is>
          <t>Unsigned</t>
        </is>
      </c>
      <c r="C7" s="55" t="n"/>
      <c r="D7" s="117" t="inlineStr">
        <is>
          <t>Review state</t>
        </is>
      </c>
      <c r="E7" s="118" t="inlineStr">
        <is>
          <t>Unsigned</t>
        </is>
      </c>
      <c r="F7" s="55" t="n"/>
    </row>
    <row r="8">
      <c r="A8" s="117" t="inlineStr">
        <is>
          <t>Prepared by</t>
        </is>
      </c>
      <c r="B8" s="118" t="n"/>
      <c r="C8" s="55" t="n"/>
      <c r="D8" s="117" t="inlineStr">
        <is>
          <t>Reviewed by</t>
        </is>
      </c>
      <c r="E8" s="118" t="n"/>
      <c r="F8" s="55" t="n"/>
    </row>
    <row r="9">
      <c r="A9" s="117" t="inlineStr">
        <is>
          <t>Preparation date</t>
        </is>
      </c>
      <c r="B9" s="120" t="n"/>
      <c r="C9" s="55" t="n"/>
      <c r="D9" s="117" t="inlineStr">
        <is>
          <t>Review date</t>
        </is>
      </c>
      <c r="E9" s="120" t="n"/>
      <c r="F9" s="55" t="n"/>
    </row>
    <row r="10">
      <c r="A10" s="55" t="n"/>
      <c r="B10" s="55" t="n"/>
      <c r="C10" s="55" t="n"/>
      <c r="D10" s="55" t="n"/>
      <c r="E10" s="55" t="n"/>
      <c r="F10" s="55" t="n"/>
    </row>
    <row r="11">
      <c r="A11" s="55" t="n"/>
      <c r="B11" s="55" t="n"/>
      <c r="C11" s="55" t="n"/>
      <c r="D11" s="55" t="n"/>
      <c r="E11" s="55" t="n"/>
      <c r="F11" s="55" t="n"/>
    </row>
    <row r="12" ht="50" customHeight="1" s="49">
      <c r="A12" s="121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55" t="n"/>
      <c r="C12" s="55" t="n"/>
      <c r="D12" s="55" t="n"/>
      <c r="E12" s="55" t="n"/>
      <c r="F12" s="55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2026-07-02T09:44:36Z</dcterms:created>
  <dcterms:modified xmlns:dcterms="http://purl.org/dc/terms/" xmlns:xsi="http://www.w3.org/2001/XMLSchema-instance" xsi:type="dcterms:W3CDTF">2026-07-02T10:01:44Z</dcterms:modified>
  <cp:lastModifiedBy>jerry.huang@modusaudit.com</cp:lastModifiedBy>
  <cp:revision>0</cp:revision>
</cp:coreProperties>
</file>