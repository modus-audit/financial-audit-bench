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Costing &amp; Test Period" sheetId="3" state="visible" r:id="rId3"/>
    <sheet xmlns:r="http://schemas.openxmlformats.org/officeDocument/2006/relationships" name="&lt;.2&gt; RM Cost - Standard" sheetId="4" state="visible" r:id="rId4"/>
    <sheet xmlns:r="http://schemas.openxmlformats.org/officeDocument/2006/relationships" name="&lt;.3&gt; RM Cost - Weighted Avg" sheetId="5" state="visible" r:id="rId5"/>
    <sheet xmlns:r="http://schemas.openxmlformats.org/officeDocument/2006/relationships" name="&lt;.4&gt; Capitalized Variance" sheetId="6" state="visible" r:id="rId6"/>
    <sheet xmlns:r="http://schemas.openxmlformats.org/officeDocument/2006/relationships" name="&lt;.5&gt; Labor &amp; OH Variance" sheetId="7" state="visible" r:id="rId7"/>
    <sheet xmlns:r="http://schemas.openxmlformats.org/officeDocument/2006/relationships" name="&lt;.6&gt; FG Cost Buildup &amp; BOM" sheetId="8" state="visible" r:id="rId8"/>
    <sheet xmlns:r="http://schemas.openxmlformats.org/officeDocument/2006/relationships" name="&lt;.7&gt; Obsolescence &amp; Reserve" sheetId="9" state="visible" r:id="rId9"/>
    <sheet xmlns:r="http://schemas.openxmlformats.org/officeDocument/2006/relationships" name="&lt;.8&gt; NRV Testing" sheetId="10" state="visible" r:id="rId10"/>
    <sheet xmlns:r="http://schemas.openxmlformats.org/officeDocument/2006/relationships" name="&lt;.9&gt; Analytics &amp; Disclosures" sheetId="11" state="visible" r:id="rId11"/>
    <sheet xmlns:r="http://schemas.openxmlformats.org/officeDocument/2006/relationships" name="Planning Context" sheetId="12" state="visible" r:id="rId12"/>
    <sheet xmlns:r="http://schemas.openxmlformats.org/officeDocument/2006/relationships" name="Workpaper Sign-off" sheetId="13" state="visible" r:id="rId13"/>
    <sheet xmlns:r="http://schemas.openxmlformats.org/officeDocument/2006/relationships" name="Labor &amp; OH Application" sheetId="14" state="visible" r:id="rId14"/>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COSTING_TEST_PERIOD_ENTITY_NAME">'&lt;.1&gt; Costing &amp; Test Period'!$B$2</definedName>
    <definedName name="WP_PLAN_S003_1_COSTING_TEST_PERIOD_FINANCIAL_STATEMENT_DATE">'&lt;.1&gt; Costing &amp; Test Period'!$E$2</definedName>
    <definedName name="WP_PLAN_S003_1_COSTING_TEST_PERIOD_REPORTING_CURRENCY">'&lt;.1&gt; Costing &amp; Test Period'!$H$2</definedName>
    <definedName name="WP_PLAN_S003_1_COSTING_TEST_PERIOD_PERFORMANCE_MATERIALITY">'&lt;.1&gt; Costing &amp; Test Period'!$B$3</definedName>
    <definedName name="WP_PLAN_S003_1_COSTING_TEST_PERIOD_TOLERABLE_MISSTATEMENT">'&lt;.1&gt; Costing &amp; Test Period'!$E$3</definedName>
    <definedName name="WP_PLAN_S004_2_RM_COST_STANDARD_ENTITY_NAME">'&lt;.2&gt; RM Cost - Standard'!$B$2</definedName>
    <definedName name="WP_PLAN_S004_2_RM_COST_STANDARD_FINANCIAL_STATEMENT_DATE">'&lt;.2&gt; RM Cost - Standard'!$E$2</definedName>
    <definedName name="WP_PLAN_S004_2_RM_COST_STANDARD_REPORTING_CURRENCY">'&lt;.2&gt; RM Cost - Standard'!$H$2</definedName>
    <definedName name="WP_PLAN_S004_2_RM_COST_STANDARD_PERFORMANCE_MATERIALITY">'&lt;.2&gt; RM Cost - Standard'!$B$3</definedName>
    <definedName name="WP_PLAN_S004_2_RM_COST_STANDARD_TOLERABLE_MISSTATEMENT">'&lt;.2&gt; RM Cost - Standard'!$E$3</definedName>
    <definedName name="WP_PLAN_S005_3_RM_COST_WEIGHTED_AVG_ENTITY_NAME">'&lt;.3&gt; RM Cost - Weighted Avg'!$B$2</definedName>
    <definedName name="WP_PLAN_S005_3_RM_COST_WEIGHTED_AVG_FINANCIAL_STATEMENT_DATE">'&lt;.3&gt; RM Cost - Weighted Avg'!$E$2</definedName>
    <definedName name="WP_PLAN_S005_3_RM_COST_WEIGHTED_AVG_REPORTING_CURRENCY">'&lt;.3&gt; RM Cost - Weighted Avg'!$H$2</definedName>
    <definedName name="WP_PLAN_S005_3_RM_COST_WEIGHTED_AVG_PERFORMANCE_MATERIALITY">'&lt;.3&gt; RM Cost - Weighted Avg'!$B$3</definedName>
    <definedName name="WP_PLAN_S005_3_RM_COST_WEIGHTED_AVG_TOLERABLE_MISSTATEMENT">'&lt;.3&gt; RM Cost - Weighted Avg'!$E$3</definedName>
    <definedName name="WP_PLAN_S006_4_CAPITALIZED_VARIANCE_ENTITY_NAME">'&lt;.4&gt; Capitalized Variance'!$B$2</definedName>
    <definedName name="WP_PLAN_S006_4_CAPITALIZED_VARIANCE_FINANCIAL_STATEMENT_DATE">'&lt;.4&gt; Capitalized Variance'!$E$2</definedName>
    <definedName name="WP_PLAN_S006_4_CAPITALIZED_VARIANCE_REPORTING_CURRENCY">'&lt;.4&gt; Capitalized Variance'!$H$2</definedName>
    <definedName name="WP_PLAN_S006_4_CAPITALIZED_VARIANCE_PERFORMANCE_MATERIALITY">'&lt;.4&gt; Capitalized Variance'!$B$3</definedName>
    <definedName name="WP_PLAN_S006_4_CAPITALIZED_VARIANCE_TOLERABLE_MISSTATEMENT">'&lt;.4&gt; Capitalized Variance'!$E$3</definedName>
    <definedName name="WP_PLAN_S007_5_LABOR_OH_VARIANCE_ENTITY_NAME">'&lt;.5&gt; Labor &amp; OH Variance'!$B$2</definedName>
    <definedName name="WP_PLAN_S007_5_LABOR_OH_VARIANCE_FINANCIAL_STATEMENT_DATE">'&lt;.5&gt; Labor &amp; OH Variance'!$E$2</definedName>
    <definedName name="WP_PLAN_S007_5_LABOR_OH_VARIANCE_REPORTING_CURRENCY">'&lt;.5&gt; Labor &amp; OH Variance'!$H$2</definedName>
    <definedName name="WP_PLAN_S007_5_LABOR_OH_VARIANCE_PERFORMANCE_MATERIALITY">'&lt;.5&gt; Labor &amp; OH Variance'!$B$3</definedName>
    <definedName name="WP_PLAN_S007_5_LABOR_OH_VARIANCE_TOLERABLE_MISSTATEMENT">'&lt;.5&gt; Labor &amp; OH Variance'!$E$3</definedName>
    <definedName name="WP_PLAN_S008_6_FG_COST_BUILDUP_BOM_ENTITY_NAME">'&lt;.6&gt; FG Cost Buildup &amp; BOM'!$B$2</definedName>
    <definedName name="WP_PLAN_S008_6_FG_COST_BUILDUP_BOM_FINANCIAL_STATEMENT_DATE">'&lt;.6&gt; FG Cost Buildup &amp; BOM'!$E$2</definedName>
    <definedName name="WP_PLAN_S008_6_FG_COST_BUILDUP_BOM_REPORTING_CURRENCY">'&lt;.6&gt; FG Cost Buildup &amp; BOM'!$H$2</definedName>
    <definedName name="WP_PLAN_S008_6_FG_COST_BUILDUP_BOM_PERFORMANCE_MATERIALITY">'&lt;.6&gt; FG Cost Buildup &amp; BOM'!$B$3</definedName>
    <definedName name="WP_PLAN_S008_6_FG_COST_BUILDUP_BOM_TOLERABLE_MISSTATEMENT">'&lt;.6&gt; FG Cost Buildup &amp; BOM'!$E$3</definedName>
    <definedName name="WP_PLAN_S009_7_OBSOLESCENCE_RESERVE_ENTITY_NAME">'&lt;.7&gt; Obsolescence &amp; Reserve'!$B$2</definedName>
    <definedName name="WP_PLAN_S009_7_OBSOLESCENCE_RESERVE_FINANCIAL_STATEMENT_DATE">'&lt;.7&gt; Obsolescence &amp; Reserve'!$E$2</definedName>
    <definedName name="WP_PLAN_S009_7_OBSOLESCENCE_RESERVE_REPORTING_CURRENCY">'&lt;.7&gt; Obsolescence &amp; Reserve'!$H$2</definedName>
    <definedName name="WP_PLAN_S009_7_OBSOLESCENCE_RESERVE_PERFORMANCE_MATERIALITY">'&lt;.7&gt; Obsolescence &amp; Reserve'!$B$3</definedName>
    <definedName name="WP_PLAN_S009_7_OBSOLESCENCE_RESERVE_TOLERABLE_MISSTATEMENT">'&lt;.7&gt; Obsolescence &amp; Reserve'!$E$3</definedName>
    <definedName name="WP_PLAN_S010_8_NRV_TESTING_ENTITY_NAME">'&lt;.8&gt; NRV Testing'!$B$2</definedName>
    <definedName name="WP_PLAN_S010_8_NRV_TESTING_FINANCIAL_STATEMENT_DATE">'&lt;.8&gt; NRV Testing'!$E$2</definedName>
    <definedName name="WP_PLAN_S010_8_NRV_TESTING_REPORTING_CURRENCY">'&lt;.8&gt; NRV Testing'!$H$2</definedName>
    <definedName name="WP_PLAN_S010_8_NRV_TESTING_PERFORMANCE_MATERIALITY">'&lt;.8&gt; NRV Testing'!$B$3</definedName>
    <definedName name="WP_PLAN_S010_8_NRV_TESTING_TOLERABLE_MISSTATEMENT">'&lt;.8&gt; NRV Testing'!$E$3</definedName>
    <definedName name="WP_PLAN_S011_9_ANALYTICS_DISCLOSURES_ENTITY_NAME">'&lt;.9&gt; Analytics &amp; Disclosures'!$B$2</definedName>
    <definedName name="WP_PLAN_S011_9_ANALYTICS_DISCLOSURES_FINANCIAL_STATEMENT_DATE">'&lt;.9&gt; Analytics &amp; Disclosures'!$E$2</definedName>
    <definedName name="WP_PLAN_S011_9_ANALYTICS_DISCLOSURES_REPORTING_CURRENCY">'&lt;.9&gt; Analytics &amp; Disclosures'!$H$2</definedName>
    <definedName name="WP_PLAN_S011_9_ANALYTICS_DISCLOSURES_PERFORMANCE_MATERIALITY">'&lt;.9&gt; Analytics &amp; Disclosures'!$B$3</definedName>
    <definedName name="WP_PLAN_S011_9_ANALYTICS_DISCLOSURES_TOLERABLE_MISSTATEMENT">'&lt;.9&gt; Analytics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Procedures'!$A$13</definedName>
    <definedName name="WP_PROC_004_REQUIREMENT">'Library Procedures'!$B$13</definedName>
    <definedName name="WP_PROC_004_EXECUTION_STATE">'Library Procedures'!$C$13</definedName>
    <definedName name="WP_PROC_004_EVIDENCE_STATE">'Library Procedures'!$D$13</definedName>
    <definedName name="WP_PROC_004_RESULT_STATE">'Library Procedures'!$E$13</definedName>
    <definedName name="WP_PROC_004_ISSUE_STATE">'Library Procedures'!$F$13</definedName>
    <definedName name="WP_PROC_004_SIGNOFF_STATE">'Library Procedures'!$G$13</definedName>
    <definedName name="WP_PROC_004_DERIVED_OUTCOME">'Library Procedures'!$H$13</definedName>
    <definedName name="WP_PROC_004_PROCEDURE">'Library Procedures'!$I$13</definedName>
    <definedName name="WP_PROC_004_ASSERTION_S">'Library Procedures'!$J$13</definedName>
    <definedName name="WP_PROC_004_W_P_REF">'Library Procedures'!$K$13</definedName>
    <definedName name="WP_PROC_004_PERFORMED_BY">'Library Procedures'!$L$13</definedName>
    <definedName name="WP_PROC_004_DATE">'Library Procedures'!$M$13</definedName>
    <definedName name="WP_PROC_004_REASON_CODE">'Library Procedures'!$N$13</definedName>
    <definedName name="WP_PROC_004_SOURCE_FACT_EVIDENCE">'Library Procedures'!$O$13</definedName>
    <definedName name="WP_PROC_004_ISSUE_DEPENDENCY_IDS">'Library Procedures'!$P$13</definedName>
    <definedName name="WP_PROC_004_COMMENT_WORK_PERFORMED">'Library Procedures'!$Q$13</definedName>
    <definedName name="WP_PROC_005_APPLICABILITY">'Library Procedures'!$A$14</definedName>
    <definedName name="WP_PROC_005_REQUIREMENT">'Library Procedures'!$B$14</definedName>
    <definedName name="WP_PROC_005_EXECUTION_STATE">'Library Procedures'!$C$14</definedName>
    <definedName name="WP_PROC_005_EVIDENCE_STATE">'Library Procedures'!$D$14</definedName>
    <definedName name="WP_PROC_005_RESULT_STATE">'Library Procedures'!$E$14</definedName>
    <definedName name="WP_PROC_005_ISSUE_STATE">'Library Procedures'!$F$14</definedName>
    <definedName name="WP_PROC_005_SIGNOFF_STATE">'Library Procedures'!$G$14</definedName>
    <definedName name="WP_PROC_005_DERIVED_OUTCOME">'Library Procedures'!$H$14</definedName>
    <definedName name="WP_PROC_005_PROCEDURE">'Library Procedures'!$I$14</definedName>
    <definedName name="WP_PROC_005_ASSERTION_S">'Library Procedures'!$J$14</definedName>
    <definedName name="WP_PROC_005_W_P_REF">'Library Procedures'!$K$14</definedName>
    <definedName name="WP_PROC_005_PERFORMED_BY">'Library Procedures'!$L$14</definedName>
    <definedName name="WP_PROC_005_DATE">'Library Procedures'!$M$14</definedName>
    <definedName name="WP_PROC_005_REASON_CODE">'Library Procedures'!$N$14</definedName>
    <definedName name="WP_PROC_005_SOURCE_FACT_EVIDENCE">'Library Procedures'!$O$14</definedName>
    <definedName name="WP_PROC_005_ISSUE_DEPENDENCY_IDS">'Library Procedures'!$P$14</definedName>
    <definedName name="WP_PROC_005_COMMENT_WORK_PERFORMED">'Library Procedures'!$Q$14</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Procedures'!$A$19</definedName>
    <definedName name="WP_PROC_009_REQUIREMENT">'Library Procedures'!$B$19</definedName>
    <definedName name="WP_PROC_009_EXECUTION_STATE">'Library Procedures'!$C$19</definedName>
    <definedName name="WP_PROC_009_EVIDENCE_STATE">'Library Procedures'!$D$19</definedName>
    <definedName name="WP_PROC_009_RESULT_STATE">'Library Procedures'!$E$19</definedName>
    <definedName name="WP_PROC_009_ISSUE_STATE">'Library Procedures'!$F$19</definedName>
    <definedName name="WP_PROC_009_SIGNOFF_STATE">'Library Procedures'!$G$19</definedName>
    <definedName name="WP_PROC_009_DERIVED_OUTCOME">'Library Procedures'!$H$19</definedName>
    <definedName name="WP_PROC_009_PROCEDURE">'Library Procedures'!$I$19</definedName>
    <definedName name="WP_PROC_009_ASSERTION_S">'Library Procedures'!$J$19</definedName>
    <definedName name="WP_PROC_009_W_P_REF">'Library Procedures'!$K$19</definedName>
    <definedName name="WP_PROC_009_PERFORMED_BY">'Library Procedures'!$L$19</definedName>
    <definedName name="WP_PROC_009_DATE">'Library Procedures'!$M$19</definedName>
    <definedName name="WP_PROC_009_REASON_CODE">'Library Procedures'!$N$19</definedName>
    <definedName name="WP_PROC_009_SOURCE_FACT_EVIDENCE">'Library Procedures'!$O$19</definedName>
    <definedName name="WP_PROC_009_ISSUE_DEPENDENCY_IDS">'Library Procedures'!$P$19</definedName>
    <definedName name="WP_PROC_009_COMMENT_WORK_PERFORMED">'Library Procedures'!$Q$19</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Procedures'!$A$22</definedName>
    <definedName name="WP_PROC_011_REQUIREMENT">'Library Procedures'!$B$22</definedName>
    <definedName name="WP_PROC_011_EXECUTION_STATE">'Library Procedures'!$C$22</definedName>
    <definedName name="WP_PROC_011_EVIDENCE_STATE">'Library Procedures'!$D$22</definedName>
    <definedName name="WP_PROC_011_RESULT_STATE">'Library Procedures'!$E$22</definedName>
    <definedName name="WP_PROC_011_ISSUE_STATE">'Library Procedures'!$F$22</definedName>
    <definedName name="WP_PROC_011_SIGNOFF_STATE">'Library Procedures'!$G$22</definedName>
    <definedName name="WP_PROC_011_DERIVED_OUTCOME">'Library Procedures'!$H$22</definedName>
    <definedName name="WP_PROC_011_PROCEDURE">'Library Procedures'!$I$22</definedName>
    <definedName name="WP_PROC_011_ASSERTION_S">'Library Procedures'!$J$22</definedName>
    <definedName name="WP_PROC_011_W_P_REF">'Library Procedures'!$K$22</definedName>
    <definedName name="WP_PROC_011_PERFORMED_BY">'Library Procedures'!$L$22</definedName>
    <definedName name="WP_PROC_011_DATE">'Library Procedures'!$M$22</definedName>
    <definedName name="WP_PROC_011_REASON_CODE">'Library Procedures'!$N$22</definedName>
    <definedName name="WP_PROC_011_SOURCE_FACT_EVIDENCE">'Library Procedures'!$O$22</definedName>
    <definedName name="WP_PROC_011_ISSUE_DEPENDENCY_IDS">'Library Procedures'!$P$22</definedName>
    <definedName name="WP_PROC_011_COMMENT_WORK_PERFORMED">'Library Procedures'!$Q$22</definedName>
    <definedName name="WP_PROC_012_APPLICABILITY">'Library Procedures'!$A$23</definedName>
    <definedName name="WP_PROC_012_REQUIREMENT">'Library Procedures'!$B$23</definedName>
    <definedName name="WP_PROC_012_EXECUTION_STATE">'Library Procedures'!$C$23</definedName>
    <definedName name="WP_PROC_012_EVIDENCE_STATE">'Library Procedures'!$D$23</definedName>
    <definedName name="WP_PROC_012_RESULT_STATE">'Library Procedures'!$E$23</definedName>
    <definedName name="WP_PROC_012_ISSUE_STATE">'Library Procedures'!$F$23</definedName>
    <definedName name="WP_PROC_012_SIGNOFF_STATE">'Library Procedures'!$G$23</definedName>
    <definedName name="WP_PROC_012_DERIVED_OUTCOME">'Library Procedures'!$H$23</definedName>
    <definedName name="WP_PROC_012_PROCEDURE">'Library Procedures'!$I$23</definedName>
    <definedName name="WP_PROC_012_ASSERTION_S">'Library Procedures'!$J$23</definedName>
    <definedName name="WP_PROC_012_W_P_REF">'Library Procedures'!$K$23</definedName>
    <definedName name="WP_PROC_012_PERFORMED_BY">'Library Procedures'!$L$23</definedName>
    <definedName name="WP_PROC_012_DATE">'Library Procedures'!$M$23</definedName>
    <definedName name="WP_PROC_012_REASON_CODE">'Library Procedures'!$N$23</definedName>
    <definedName name="WP_PROC_012_SOURCE_FACT_EVIDENCE">'Library Procedures'!$O$23</definedName>
    <definedName name="WP_PROC_012_ISSUE_DEPENDENCY_IDS">'Library Procedures'!$P$23</definedName>
    <definedName name="WP_PROC_012_COMMENT_WORK_PERFORMED">'Library Procedures'!$Q$23</definedName>
    <definedName name="WP_PROC_013_APPLICABILITY">'Library Procedures'!$A$25</definedName>
    <definedName name="WP_PROC_013_REQUIREMENT">'Library Procedures'!$B$25</definedName>
    <definedName name="WP_PROC_013_EXECUTION_STATE">'Library Procedures'!$C$25</definedName>
    <definedName name="WP_PROC_013_EVIDENCE_STATE">'Library Procedures'!$D$25</definedName>
    <definedName name="WP_PROC_013_RESULT_STATE">'Library Procedures'!$E$25</definedName>
    <definedName name="WP_PROC_013_ISSUE_STATE">'Library Procedures'!$F$25</definedName>
    <definedName name="WP_PROC_013_SIGNOFF_STATE">'Library Procedures'!$G$25</definedName>
    <definedName name="WP_PROC_013_DERIVED_OUTCOME">'Library Procedures'!$H$25</definedName>
    <definedName name="WP_PROC_013_PROCEDURE">'Library Procedures'!$I$25</definedName>
    <definedName name="WP_PROC_013_ASSERTION_S">'Library Procedures'!$J$25</definedName>
    <definedName name="WP_PROC_013_W_P_REF">'Library Procedures'!$K$25</definedName>
    <definedName name="WP_PROC_013_PERFORMED_BY">'Library Procedures'!$L$25</definedName>
    <definedName name="WP_PROC_013_DATE">'Library Procedures'!$M$25</definedName>
    <definedName name="WP_PROC_013_REASON_CODE">'Library Procedures'!$N$25</definedName>
    <definedName name="WP_PROC_013_SOURCE_FACT_EVIDENCE">'Library Procedures'!$O$25</definedName>
    <definedName name="WP_PROC_013_ISSUE_DEPENDENCY_IDS">'Library Procedures'!$P$25</definedName>
    <definedName name="WP_PROC_013_COMMENT_WORK_PERFORMED">'Library Procedures'!$Q$25</definedName>
    <definedName name="WP_PROC_014_APPLICABILITY">'Library Procedures'!$A$26</definedName>
    <definedName name="WP_PROC_014_REQUIREMENT">'Library Procedures'!$B$26</definedName>
    <definedName name="WP_PROC_014_EXECUTION_STATE">'Library Procedures'!$C$26</definedName>
    <definedName name="WP_PROC_014_EVIDENCE_STATE">'Library Procedures'!$D$26</definedName>
    <definedName name="WP_PROC_014_RESULT_STATE">'Library Procedures'!$E$26</definedName>
    <definedName name="WP_PROC_014_ISSUE_STATE">'Library Procedures'!$F$26</definedName>
    <definedName name="WP_PROC_014_SIGNOFF_STATE">'Library Procedures'!$G$26</definedName>
    <definedName name="WP_PROC_014_DERIVED_OUTCOME">'Library Procedures'!$H$26</definedName>
    <definedName name="WP_PROC_014_PROCEDURE">'Library Procedures'!$I$26</definedName>
    <definedName name="WP_PROC_014_ASSERTION_S">'Library Procedures'!$J$26</definedName>
    <definedName name="WP_PROC_014_W_P_REF">'Library Procedures'!$K$26</definedName>
    <definedName name="WP_PROC_014_PERFORMED_BY">'Library Procedures'!$L$26</definedName>
    <definedName name="WP_PROC_014_DATE">'Library Procedures'!$M$26</definedName>
    <definedName name="WP_PROC_014_REASON_CODE">'Library Procedures'!$N$26</definedName>
    <definedName name="WP_PROC_014_SOURCE_FACT_EVIDENCE">'Library Procedures'!$O$26</definedName>
    <definedName name="WP_PROC_014_ISSUE_DEPENDENCY_IDS">'Library Procedures'!$P$26</definedName>
    <definedName name="WP_PROC_014_COMMENT_WORK_PERFORMED">'Library Procedures'!$Q$26</definedName>
    <definedName name="WP_PROC_015_APPLICABILITY">'Library Procedures'!$A$27</definedName>
    <definedName name="WP_PROC_015_REQUIREMENT">'Library Procedures'!$B$27</definedName>
    <definedName name="WP_PROC_015_EXECUTION_STATE">'Library Procedures'!$C$27</definedName>
    <definedName name="WP_PROC_015_EVIDENCE_STATE">'Library Procedures'!$D$27</definedName>
    <definedName name="WP_PROC_015_RESULT_STATE">'Library Procedures'!$E$27</definedName>
    <definedName name="WP_PROC_015_ISSUE_STATE">'Library Procedures'!$F$27</definedName>
    <definedName name="WP_PROC_015_SIGNOFF_STATE">'Library Procedures'!$G$27</definedName>
    <definedName name="WP_PROC_015_DERIVED_OUTCOME">'Library Procedures'!$H$27</definedName>
    <definedName name="WP_PROC_015_PROCEDURE">'Library Procedures'!$I$27</definedName>
    <definedName name="WP_PROC_015_ASSERTION_S">'Library Procedures'!$J$27</definedName>
    <definedName name="WP_PROC_015_W_P_REF">'Library Procedures'!$K$27</definedName>
    <definedName name="WP_PROC_015_PERFORMED_BY">'Library Procedures'!$L$27</definedName>
    <definedName name="WP_PROC_015_DATE">'Library Procedures'!$M$27</definedName>
    <definedName name="WP_PROC_015_REASON_CODE">'Library Procedures'!$N$27</definedName>
    <definedName name="WP_PROC_015_SOURCE_FACT_EVIDENCE">'Library Procedures'!$O$27</definedName>
    <definedName name="WP_PROC_015_ISSUE_DEPENDENCY_IDS">'Library Procedures'!$P$27</definedName>
    <definedName name="WP_PROC_015_COMMENT_WORK_PERFORMED">'Library Procedures'!$Q$27</definedName>
    <definedName name="WP_PROC_016_APPLICABILITY">'Library Procedures'!$A$29</definedName>
    <definedName name="WP_PROC_016_REQUIREMENT">'Library Procedures'!$B$29</definedName>
    <definedName name="WP_PROC_016_EXECUTION_STATE">'Library Procedures'!$C$29</definedName>
    <definedName name="WP_PROC_016_EVIDENCE_STATE">'Library Procedures'!$D$29</definedName>
    <definedName name="WP_PROC_016_RESULT_STATE">'Library Procedures'!$E$29</definedName>
    <definedName name="WP_PROC_016_ISSUE_STATE">'Library Procedures'!$F$29</definedName>
    <definedName name="WP_PROC_016_SIGNOFF_STATE">'Library Procedures'!$G$29</definedName>
    <definedName name="WP_PROC_016_DERIVED_OUTCOME">'Library Procedures'!$H$29</definedName>
    <definedName name="WP_PROC_016_PROCEDURE">'Library Procedures'!$I$29</definedName>
    <definedName name="WP_PROC_016_ASSERTION_S">'Library Procedures'!$J$29</definedName>
    <definedName name="WP_PROC_016_W_P_REF">'Library Procedures'!$K$29</definedName>
    <definedName name="WP_PROC_016_PERFORMED_BY">'Library Procedures'!$L$29</definedName>
    <definedName name="WP_PROC_016_DATE">'Library Procedures'!$M$29</definedName>
    <definedName name="WP_PROC_016_REASON_CODE">'Library Procedures'!$N$29</definedName>
    <definedName name="WP_PROC_016_SOURCE_FACT_EVIDENCE">'Library Procedures'!$O$29</definedName>
    <definedName name="WP_PROC_016_ISSUE_DEPENDENCY_IDS">'Library Procedures'!$P$29</definedName>
    <definedName name="WP_PROC_016_COMMENT_WORK_PERFORMED">'Library Procedures'!$Q$29</definedName>
    <definedName name="WP_PROC_017_APPLICABILITY">'Library Procedures'!$A$30</definedName>
    <definedName name="WP_PROC_017_REQUIREMENT">'Library Procedures'!$B$30</definedName>
    <definedName name="WP_PROC_017_EXECUTION_STATE">'Library Procedures'!$C$30</definedName>
    <definedName name="WP_PROC_017_EVIDENCE_STATE">'Library Procedures'!$D$30</definedName>
    <definedName name="WP_PROC_017_RESULT_STATE">'Library Procedures'!$E$30</definedName>
    <definedName name="WP_PROC_017_ISSUE_STATE">'Library Procedures'!$F$30</definedName>
    <definedName name="WP_PROC_017_SIGNOFF_STATE">'Library Procedures'!$G$30</definedName>
    <definedName name="WP_PROC_017_DERIVED_OUTCOME">'Library Procedures'!$H$30</definedName>
    <definedName name="WP_PROC_017_PROCEDURE">'Library Procedures'!$I$30</definedName>
    <definedName name="WP_PROC_017_ASSERTION_S">'Library Procedures'!$J$30</definedName>
    <definedName name="WP_PROC_017_W_P_REF">'Library Procedures'!$K$30</definedName>
    <definedName name="WP_PROC_017_PERFORMED_BY">'Library Procedures'!$L$30</definedName>
    <definedName name="WP_PROC_017_DATE">'Library Procedures'!$M$30</definedName>
    <definedName name="WP_PROC_017_REASON_CODE">'Library Procedures'!$N$30</definedName>
    <definedName name="WP_PROC_017_SOURCE_FACT_EVIDENCE">'Library Procedures'!$O$30</definedName>
    <definedName name="WP_PROC_017_ISSUE_DEPENDENCY_IDS">'Library Procedures'!$P$30</definedName>
    <definedName name="WP_PROC_017_COMMENT_WORK_PERFORMED">'Library Procedures'!$Q$30</definedName>
    <definedName name="WP_PROC_018_APPLICABILITY">'Library Procedures'!$A$32</definedName>
    <definedName name="WP_PROC_018_REQUIREMENT">'Library Procedures'!$B$32</definedName>
    <definedName name="WP_PROC_018_EXECUTION_STATE">'Library Procedures'!$C$32</definedName>
    <definedName name="WP_PROC_018_EVIDENCE_STATE">'Library Procedures'!$D$32</definedName>
    <definedName name="WP_PROC_018_RESULT_STATE">'Library Procedures'!$E$32</definedName>
    <definedName name="WP_PROC_018_ISSUE_STATE">'Library Procedures'!$F$32</definedName>
    <definedName name="WP_PROC_018_SIGNOFF_STATE">'Library Procedures'!$G$32</definedName>
    <definedName name="WP_PROC_018_DERIVED_OUTCOME">'Library Procedures'!$H$32</definedName>
    <definedName name="WP_PROC_018_PROCEDURE">'Library Procedures'!$I$32</definedName>
    <definedName name="WP_PROC_018_ASSERTION_S">'Library Procedures'!$J$32</definedName>
    <definedName name="WP_PROC_018_W_P_REF">'Library Procedures'!$K$32</definedName>
    <definedName name="WP_PROC_018_PERFORMED_BY">'Library Procedures'!$L$32</definedName>
    <definedName name="WP_PROC_018_DATE">'Library Procedures'!$M$32</definedName>
    <definedName name="WP_PROC_018_REASON_CODE">'Library Procedures'!$N$32</definedName>
    <definedName name="WP_PROC_018_SOURCE_FACT_EVIDENCE">'Library Procedures'!$O$32</definedName>
    <definedName name="WP_PROC_018_ISSUE_DEPENDENCY_IDS">'Library Procedures'!$P$32</definedName>
    <definedName name="WP_PROC_018_COMMENT_WORK_PERFORMED">'Library Procedures'!$Q$32</definedName>
    <definedName name="WP_PROC_019_APPLICABILITY">'Library Procedures'!$A$33</definedName>
    <definedName name="WP_PROC_019_REQUIREMENT">'Library Procedures'!$B$33</definedName>
    <definedName name="WP_PROC_019_EXECUTION_STATE">'Library Procedures'!$C$33</definedName>
    <definedName name="WP_PROC_019_EVIDENCE_STATE">'Library Procedures'!$D$33</definedName>
    <definedName name="WP_PROC_019_RESULT_STATE">'Library Procedures'!$E$33</definedName>
    <definedName name="WP_PROC_019_ISSUE_STATE">'Library Procedures'!$F$33</definedName>
    <definedName name="WP_PROC_019_SIGNOFF_STATE">'Library Procedures'!$G$33</definedName>
    <definedName name="WP_PROC_019_DERIVED_OUTCOME">'Library Procedures'!$H$33</definedName>
    <definedName name="WP_PROC_019_PROCEDURE">'Library Procedures'!$I$33</definedName>
    <definedName name="WP_PROC_019_ASSERTION_S">'Library Procedures'!$J$33</definedName>
    <definedName name="WP_PROC_019_W_P_REF">'Library Procedures'!$K$33</definedName>
    <definedName name="WP_PROC_019_PERFORMED_BY">'Library Procedures'!$L$33</definedName>
    <definedName name="WP_PROC_019_DATE">'Library Procedures'!$M$33</definedName>
    <definedName name="WP_PROC_019_REASON_CODE">'Library Procedures'!$N$33</definedName>
    <definedName name="WP_PROC_019_SOURCE_FACT_EVIDENCE">'Library Procedures'!$O$33</definedName>
    <definedName name="WP_PROC_019_ISSUE_DEPENDENCY_IDS">'Library Procedures'!$P$33</definedName>
    <definedName name="WP_PROC_019_COMMENT_WORK_PERFORMED">'Library Procedures'!$Q$33</definedName>
    <definedName name="WP_PROC_020_APPLICABILITY">'Library Procedures'!$A$35</definedName>
    <definedName name="WP_PROC_020_REQUIREMENT">'Library Procedures'!$B$35</definedName>
    <definedName name="WP_PROC_020_EXECUTION_STATE">'Library Procedures'!$C$35</definedName>
    <definedName name="WP_PROC_020_EVIDENCE_STATE">'Library Procedures'!$D$35</definedName>
    <definedName name="WP_PROC_020_RESULT_STATE">'Library Procedures'!$E$35</definedName>
    <definedName name="WP_PROC_020_ISSUE_STATE">'Library Procedures'!$F$35</definedName>
    <definedName name="WP_PROC_020_SIGNOFF_STATE">'Library Procedures'!$G$35</definedName>
    <definedName name="WP_PROC_020_DERIVED_OUTCOME">'Library Procedures'!$H$35</definedName>
    <definedName name="WP_PROC_020_PROCEDURE">'Library Procedures'!$I$35</definedName>
    <definedName name="WP_PROC_020_ASSERTION_S">'Library Procedures'!$J$35</definedName>
    <definedName name="WP_PROC_020_W_P_REF">'Library Procedures'!$K$35</definedName>
    <definedName name="WP_PROC_020_PERFORMED_BY">'Library Procedures'!$L$35</definedName>
    <definedName name="WP_PROC_020_DATE">'Library Procedures'!$M$35</definedName>
    <definedName name="WP_PROC_020_REASON_CODE">'Library Procedures'!$N$35</definedName>
    <definedName name="WP_PROC_020_SOURCE_FACT_EVIDENCE">'Library Procedures'!$O$35</definedName>
    <definedName name="WP_PROC_020_ISSUE_DEPENDENCY_IDS">'Library Procedures'!$P$35</definedName>
    <definedName name="WP_PROC_020_COMMENT_WORK_PERFORMED">'Library Procedures'!$Q$35</definedName>
    <definedName name="WP_PROC_021_APPLICABILITY">'Library Procedures'!$A$36</definedName>
    <definedName name="WP_PROC_021_REQUIREMENT">'Library Procedures'!$B$36</definedName>
    <definedName name="WP_PROC_021_EXECUTION_STATE">'Library Procedures'!$C$36</definedName>
    <definedName name="WP_PROC_021_EVIDENCE_STATE">'Library Procedures'!$D$36</definedName>
    <definedName name="WP_PROC_021_RESULT_STATE">'Library Procedures'!$E$36</definedName>
    <definedName name="WP_PROC_021_ISSUE_STATE">'Library Procedures'!$F$36</definedName>
    <definedName name="WP_PROC_021_SIGNOFF_STATE">'Library Procedures'!$G$36</definedName>
    <definedName name="WP_PROC_021_DERIVED_OUTCOME">'Library Procedures'!$H$36</definedName>
    <definedName name="WP_PROC_021_PROCEDURE">'Library Procedures'!$I$36</definedName>
    <definedName name="WP_PROC_021_ASSERTION_S">'Library Procedures'!$J$36</definedName>
    <definedName name="WP_PROC_021_W_P_REF">'Library Procedures'!$K$36</definedName>
    <definedName name="WP_PROC_021_PERFORMED_BY">'Library Procedures'!$L$36</definedName>
    <definedName name="WP_PROC_021_DATE">'Library Procedures'!$M$36</definedName>
    <definedName name="WP_PROC_021_REASON_CODE">'Library Procedures'!$N$36</definedName>
    <definedName name="WP_PROC_021_SOURCE_FACT_EVIDENCE">'Library Procedures'!$O$36</definedName>
    <definedName name="WP_PROC_021_ISSUE_DEPENDENCY_IDS">'Library Procedures'!$P$36</definedName>
    <definedName name="WP_PROC_021_COMMENT_WORK_PERFORMED">'Library Procedures'!$Q$36</definedName>
    <definedName name="WP_PROC_022_APPLICABILITY">'Library Procedures'!$A$38</definedName>
    <definedName name="WP_PROC_022_REQUIREMENT">'Library Procedures'!$B$38</definedName>
    <definedName name="WP_PROC_022_EXECUTION_STATE">'Library Procedures'!$C$38</definedName>
    <definedName name="WP_PROC_022_EVIDENCE_STATE">'Library Procedures'!$D$38</definedName>
    <definedName name="WP_PROC_022_RESULT_STATE">'Library Procedures'!$E$38</definedName>
    <definedName name="WP_PROC_022_ISSUE_STATE">'Library Procedures'!$F$38</definedName>
    <definedName name="WP_PROC_022_SIGNOFF_STATE">'Library Procedures'!$G$38</definedName>
    <definedName name="WP_PROC_022_DERIVED_OUTCOME">'Library Procedures'!$H$38</definedName>
    <definedName name="WP_PROC_022_PROCEDURE">'Library Procedures'!$I$38</definedName>
    <definedName name="WP_PROC_022_ASSERTION_S">'Library Procedures'!$J$38</definedName>
    <definedName name="WP_PROC_022_W_P_REF">'Library Procedures'!$K$38</definedName>
    <definedName name="WP_PROC_022_PERFORMED_BY">'Library Procedures'!$L$38</definedName>
    <definedName name="WP_PROC_022_DATE">'Library Procedures'!$M$38</definedName>
    <definedName name="WP_PROC_022_REASON_CODE">'Library Procedures'!$N$38</definedName>
    <definedName name="WP_PROC_022_SOURCE_FACT_EVIDENCE">'Library Procedures'!$O$38</definedName>
    <definedName name="WP_PROC_022_ISSUE_DEPENDENCY_IDS">'Library Procedures'!$P$38</definedName>
    <definedName name="WP_PROC_022_COMMENT_WORK_PERFORMED">'Library Procedures'!$Q$38</definedName>
    <definedName name="WP_PROC_023_APPLICABILITY">'Library Procedures'!$A$39</definedName>
    <definedName name="WP_PROC_023_REQUIREMENT">'Library Procedures'!$B$39</definedName>
    <definedName name="WP_PROC_023_EXECUTION_STATE">'Library Procedures'!$C$39</definedName>
    <definedName name="WP_PROC_023_EVIDENCE_STATE">'Library Procedures'!$D$39</definedName>
    <definedName name="WP_PROC_023_RESULT_STATE">'Library Procedures'!$E$39</definedName>
    <definedName name="WP_PROC_023_ISSUE_STATE">'Library Procedures'!$F$39</definedName>
    <definedName name="WP_PROC_023_SIGNOFF_STATE">'Library Procedures'!$G$39</definedName>
    <definedName name="WP_PROC_023_DERIVED_OUTCOME">'Library Procedures'!$H$39</definedName>
    <definedName name="WP_PROC_023_PROCEDURE">'Library Procedures'!$I$39</definedName>
    <definedName name="WP_PROC_023_ASSERTION_S">'Library Procedures'!$J$39</definedName>
    <definedName name="WP_PROC_023_W_P_REF">'Library Procedures'!$K$39</definedName>
    <definedName name="WP_PROC_023_PERFORMED_BY">'Library Procedures'!$L$39</definedName>
    <definedName name="WP_PROC_023_DATE">'Library Procedures'!$M$39</definedName>
    <definedName name="WP_PROC_023_REASON_CODE">'Library Procedures'!$N$39</definedName>
    <definedName name="WP_PROC_023_SOURCE_FACT_EVIDENCE">'Library Procedures'!$O$39</definedName>
    <definedName name="WP_PROC_023_ISSUE_DEPENDENCY_IDS">'Library Procedures'!$P$39</definedName>
    <definedName name="WP_PROC_023_COMMENT_WORK_PERFORMED">'Library Procedures'!$Q$39</definedName>
    <definedName name="WP_PROC_024_APPLICABILITY">'Library Procedures'!$A$41</definedName>
    <definedName name="WP_PROC_024_REQUIREMENT">'Library Procedures'!$B$41</definedName>
    <definedName name="WP_PROC_024_EXECUTION_STATE">'Library Procedures'!$C$41</definedName>
    <definedName name="WP_PROC_024_EVIDENCE_STATE">'Library Procedures'!$D$41</definedName>
    <definedName name="WP_PROC_024_RESULT_STATE">'Library Procedures'!$E$41</definedName>
    <definedName name="WP_PROC_024_ISSUE_STATE">'Library Procedures'!$F$41</definedName>
    <definedName name="WP_PROC_024_SIGNOFF_STATE">'Library Procedures'!$G$41</definedName>
    <definedName name="WP_PROC_024_DERIVED_OUTCOME">'Library Procedures'!$H$41</definedName>
    <definedName name="WP_PROC_024_PROCEDURE">'Library Procedures'!$I$41</definedName>
    <definedName name="WP_PROC_024_ASSERTION_S">'Library Procedures'!$J$41</definedName>
    <definedName name="WP_PROC_024_W_P_REF">'Library Procedures'!$K$41</definedName>
    <definedName name="WP_PROC_024_PERFORMED_BY">'Library Procedures'!$L$41</definedName>
    <definedName name="WP_PROC_024_DATE">'Library Procedures'!$M$41</definedName>
    <definedName name="WP_PROC_024_REASON_CODE">'Library Procedures'!$N$41</definedName>
    <definedName name="WP_PROC_024_SOURCE_FACT_EVIDENCE">'Library Procedures'!$O$41</definedName>
    <definedName name="WP_PROC_024_ISSUE_DEPENDENCY_IDS">'Library Procedures'!$P$41</definedName>
    <definedName name="WP_PROC_024_COMMENT_WORK_PERFORMED">'Library Procedures'!$Q$41</definedName>
    <definedName name="WP_PROC_025_APPLICABILITY">'Library Procedures'!$A$42</definedName>
    <definedName name="WP_PROC_025_REQUIREMENT">'Library Procedures'!$B$42</definedName>
    <definedName name="WP_PROC_025_EXECUTION_STATE">'Library Procedures'!$C$42</definedName>
    <definedName name="WP_PROC_025_EVIDENCE_STATE">'Library Procedures'!$D$42</definedName>
    <definedName name="WP_PROC_025_RESULT_STATE">'Library Procedures'!$E$42</definedName>
    <definedName name="WP_PROC_025_ISSUE_STATE">'Library Procedures'!$F$42</definedName>
    <definedName name="WP_PROC_025_SIGNOFF_STATE">'Library Procedures'!$G$42</definedName>
    <definedName name="WP_PROC_025_DERIVED_OUTCOME">'Library Procedures'!$H$42</definedName>
    <definedName name="WP_PROC_025_PROCEDURE">'Library Procedures'!$I$42</definedName>
    <definedName name="WP_PROC_025_ASSERTION_S">'Library Procedures'!$J$42</definedName>
    <definedName name="WP_PROC_025_W_P_REF">'Library Procedures'!$K$42</definedName>
    <definedName name="WP_PROC_025_PERFORMED_BY">'Library Procedures'!$L$42</definedName>
    <definedName name="WP_PROC_025_DATE">'Library Procedures'!$M$42</definedName>
    <definedName name="WP_PROC_025_REASON_CODE">'Library Procedures'!$N$42</definedName>
    <definedName name="WP_PROC_025_SOURCE_FACT_EVIDENCE">'Library Procedures'!$O$42</definedName>
    <definedName name="WP_PROC_025_ISSUE_DEPENDENCY_IDS">'Library Procedures'!$P$42</definedName>
    <definedName name="WP_PROC_025_COMMENT_WORK_PERFORMED">'Library Procedures'!$Q$42</definedName>
    <definedName name="WP_PROC_026_APPLICABILITY">'Library Procedures'!$A$44</definedName>
    <definedName name="WP_PROC_026_REQUIREMENT">'Library Procedures'!$B$44</definedName>
    <definedName name="WP_PROC_026_EXECUTION_STATE">'Library Procedures'!$C$44</definedName>
    <definedName name="WP_PROC_026_EVIDENCE_STATE">'Library Procedures'!$D$44</definedName>
    <definedName name="WP_PROC_026_RESULT_STATE">'Library Procedures'!$E$44</definedName>
    <definedName name="WP_PROC_026_ISSUE_STATE">'Library Procedures'!$F$44</definedName>
    <definedName name="WP_PROC_026_SIGNOFF_STATE">'Library Procedures'!$G$44</definedName>
    <definedName name="WP_PROC_026_DERIVED_OUTCOME">'Library Procedures'!$H$44</definedName>
    <definedName name="WP_PROC_026_PROCEDURE">'Library Procedures'!$I$44</definedName>
    <definedName name="WP_PROC_026_ASSERTION_S">'Library Procedures'!$J$44</definedName>
    <definedName name="WP_PROC_026_W_P_REF">'Library Procedures'!$K$44</definedName>
    <definedName name="WP_PROC_026_PERFORMED_BY">'Library Procedures'!$L$44</definedName>
    <definedName name="WP_PROC_026_DATE">'Library Procedures'!$M$44</definedName>
    <definedName name="WP_PROC_026_REASON_CODE">'Library Procedures'!$N$44</definedName>
    <definedName name="WP_PROC_026_SOURCE_FACT_EVIDENCE">'Library Procedures'!$O$44</definedName>
    <definedName name="WP_PROC_026_ISSUE_DEPENDENCY_IDS">'Library Procedures'!$P$44</definedName>
    <definedName name="WP_PROC_026_COMMENT_WORK_PERFORMED">'Library Procedures'!$Q$44</definedName>
    <definedName name="WP_INV_SOURCE_INDEX_CONTROLS">'&lt;.0&gt; Source Index'!$A$8:$L$20</definedName>
    <definedName name="WP_TABLE_INV_RM_STANDARD_SELECTIONS_DATA">'&lt;.2&gt; RM Cost - Standard'!$A$9:$Q$26</definedName>
    <definedName name="WP_TABLE_INV_RM_STANDARD_SELECTIONS_TOTAL">'&lt;.2&gt; RM Cost - Standard'!$A$27:$Q$27</definedName>
    <definedName name="WP_TABLE_INV_RM_WEIGHTED_AVERAGE_SELECTIONS_DATA">'&lt;.3&gt; RM Cost - Weighted Avg'!$A$9:$P$26</definedName>
    <definedName name="WP_TABLE_INV_RM_WEIGHTED_AVERAGE_SELECTIONS_TOTAL">'&lt;.3&gt; RM Cost - Weighted Avg'!$A$27:$P$27</definedName>
    <definedName name="WP_TABLE_INV_NRV_SELECTIONS_DATA">'&lt;.8&gt; NRV Testing'!$A$9:$O$26</definedName>
    <definedName name="WP_TABLE_INV_NRV_SELECTIONS_TOTAL">'&lt;.8&gt; NRV Testing'!$A$27:$O$27</definedName>
    <definedName name="WP_ANALYTIC_INVENTORY_TURNOVER_TEST_PERIOD_ANCHOR">'&lt;.1&gt; Costing &amp; Test Period'!$A$17</definedName>
    <definedName name="WP_ANALYTIC_INVENTORY_TURNOVER_TEST_PERIOD_VALUE">'&lt;.1&gt; Costing &amp; Test Period'!$B$17</definedName>
    <definedName name="WP_ANALYTIC_INVENTORY_TURNOVER_TEST_PERIOD_SOURCE_REFERENCE">'&lt;.1&gt; Costing &amp; Test Period'!$C$17</definedName>
    <definedName name="WP_ANALYTIC_INVENTORY_TURNS_ANCHOR">'&lt;.9&gt; Analytics &amp; Disclosures'!$A$9</definedName>
    <definedName name="WP_ANALYTIC_INVENTORY_TURNS_CURRENT_VALUE">'&lt;.9&gt; Analytics &amp; Disclosures'!$B$9</definedName>
    <definedName name="WP_ANALYTIC_INVENTORY_TURNS_COMPARATOR_VALUE">'&lt;.9&gt; Analytics &amp; Disclosures'!$C$9</definedName>
    <definedName name="WP_ANALYTIC_INVENTORY_TURNS_CHANGE">'&lt;.9&gt; Analytics &amp; Disclosures'!$D$9</definedName>
    <definedName name="WP_ANALYTIC_INVENTORY_TURNS_EXPLANATION">'&lt;.9&gt; Analytics &amp; Disclosures'!$E$9</definedName>
    <definedName name="WP_ANALYTIC_INVENTORY_DAYS_ON_HAND_ANCHOR">'&lt;.9&gt; Analytics &amp; Disclosures'!$A$10</definedName>
    <definedName name="WP_ANALYTIC_INVENTORY_DAYS_ON_HAND_CURRENT_VALUE">'&lt;.9&gt; Analytics &amp; Disclosures'!$B$10</definedName>
    <definedName name="WP_ANALYTIC_INVENTORY_DAYS_ON_HAND_COMPARATOR_VALUE">'&lt;.9&gt; Analytics &amp; Disclosures'!$C$10</definedName>
    <definedName name="WP_ANALYTIC_INVENTORY_DAYS_ON_HAND_CHANGE">'&lt;.9&gt; Analytics &amp; Disclosures'!$D$10</definedName>
    <definedName name="WP_ANALYTIC_INVENTORY_DAYS_ON_HAND_EXPLANATION">'&lt;.9&gt; Analytics &amp; Disclosures'!$E$10</definedName>
    <definedName name="WP_ANALYTIC_INVENTORY_GROSS_MARGIN_ANCHOR">'&lt;.9&gt; Analytics &amp; Disclosures'!$A$11</definedName>
    <definedName name="WP_ANALYTIC_INVENTORY_GROSS_MARGIN_CURRENT_VALUE">'&lt;.9&gt; Analytics &amp; Disclosures'!$B$11</definedName>
    <definedName name="WP_ANALYTIC_INVENTORY_GROSS_MARGIN_COMPARATOR_VALUE">'&lt;.9&gt; Analytics &amp; Disclosures'!$C$11</definedName>
    <definedName name="WP_ANALYTIC_INVENTORY_GROSS_MARGIN_CHANGE">'&lt;.9&gt; Analytics &amp; Disclosures'!$D$11</definedName>
    <definedName name="WP_ANALYTIC_INVENTORY_GROSS_MARGIN_EXPLANATION">'&lt;.9&gt; Analytics &amp; Disclosures'!$E$11</definedName>
    <definedName name="WP_ANALYTIC_INVENTORY_RESERVE_PCT_ANCHOR">'&lt;.9&gt; Analytics &amp; Disclosures'!$A$12</definedName>
    <definedName name="WP_ANALYTIC_INVENTORY_RESERVE_PCT_CURRENT_VALUE">'&lt;.9&gt; Analytics &amp; Disclosures'!$B$12</definedName>
    <definedName name="WP_ANALYTIC_INVENTORY_RESERVE_PCT_COMPARATOR_VALUE">'&lt;.9&gt; Analytics &amp; Disclosures'!$C$12</definedName>
    <definedName name="WP_ANALYTIC_INVENTORY_RESERVE_PCT_CHANGE">'&lt;.9&gt; Analytics &amp; Disclosures'!$D$12</definedName>
    <definedName name="WP_ANALYTIC_INVENTORY_RESERVE_PCT_EXPLANATION">'&lt;.9&gt; Analytics &amp; Disclosures'!$E$12</definedName>
    <definedName name="WP_ANALYTIC_INVENTORY_INVENTORY_TO_ASSETS_ANCHOR">'&lt;.9&gt; Analytics &amp; Disclosures'!$A$13</definedName>
    <definedName name="WP_ANALYTIC_INVENTORY_INVENTORY_TO_ASSETS_CURRENT_VALUE">'&lt;.9&gt; Analytics &amp; Disclosures'!$B$13</definedName>
    <definedName name="WP_ANALYTIC_INVENTORY_INVENTORY_TO_ASSETS_COMPARATOR_VALUE">'&lt;.9&gt; Analytics &amp; Disclosures'!$C$13</definedName>
    <definedName name="WP_ANALYTIC_INVENTORY_INVENTORY_TO_ASSETS_CHANGE">'&lt;.9&gt; Analytics &amp; Disclosures'!$D$13</definedName>
    <definedName name="WP_ANALYTIC_INVENTORY_INVENTORY_TO_ASSETS_EXPLANATION">'&lt;.9&gt; Analytics &amp; Disclosures'!$E$13</definedName>
    <definedName name="WP_ANALYTIC_INVENTORY_VARIANCE_TO_PURCHASES_ANCHOR">'&lt;.9&gt; Analytics &amp; Disclosures'!$A$14</definedName>
    <definedName name="WP_ANALYTIC_INVENTORY_VARIANCE_TO_PURCHASES_CURRENT_VALUE">'&lt;.9&gt; Analytics &amp; Disclosures'!$B$14</definedName>
    <definedName name="WP_ANALYTIC_INVENTORY_VARIANCE_TO_PURCHASES_COMPARATOR_VALUE">'&lt;.9&gt; Analytics &amp; Disclosures'!$C$14</definedName>
    <definedName name="WP_ANALYTIC_INVENTORY_VARIANCE_TO_PURCHASES_CHANGE">'&lt;.9&gt; Analytics &amp; Disclosures'!$D$14</definedName>
    <definedName name="WP_ANALYTIC_INVENTORY_VARIANCE_TO_PURCHASES_EXPLANATION">'&lt;.9&gt; Analytics &amp; Disclosures'!$E$14</definedName>
    <definedName name="WP_DISCLOSURE_INVENTORY_RETAINED_BLOCK">'&lt;.9&gt; Analytics &amp; Disclosures'!$A$18:$E$24</definedName>
    <definedName name="WP_DISCLOSURE_INVENTORY_COST_FLOW_ANCHOR">'&lt;.9&gt; Analytics &amp; Disclosures'!$A$18</definedName>
    <definedName name="WP_DISCLOSURE_INVENTORY_COST_FLOW_RELEVANT">'&lt;.9&gt; Analytics &amp; Disclosures'!$B$18</definedName>
    <definedName name="WP_DISCLOSURE_INVENTORY_COST_FLOW_SOURCE_REFERENCE">'&lt;.9&gt; Analytics &amp; Disclosures'!$C$18</definedName>
    <definedName name="WP_DISCLOSURE_INVENTORY_COST_FLOW_CONCLUSION">'&lt;.9&gt; Analytics &amp; Disclosures'!$D$18</definedName>
    <definedName name="WP_DISCLOSURE_INVENTORY_COST_FLOW_COMMENTS">'&lt;.9&gt; Analytics &amp; Disclosures'!$E$18</definedName>
    <definedName name="WP_DISCLOSURE_INVENTORY_LCNRV_ANCHOR">'&lt;.9&gt; Analytics &amp; Disclosures'!$A$19</definedName>
    <definedName name="WP_DISCLOSURE_INVENTORY_LCNRV_RELEVANT">'&lt;.9&gt; Analytics &amp; Disclosures'!$B$19</definedName>
    <definedName name="WP_DISCLOSURE_INVENTORY_LCNRV_SOURCE_REFERENCE">'&lt;.9&gt; Analytics &amp; Disclosures'!$C$19</definedName>
    <definedName name="WP_DISCLOSURE_INVENTORY_LCNRV_CONCLUSION">'&lt;.9&gt; Analytics &amp; Disclosures'!$D$19</definedName>
    <definedName name="WP_DISCLOSURE_INVENTORY_LCNRV_COMMENTS">'&lt;.9&gt; Analytics &amp; Disclosures'!$E$19</definedName>
    <definedName name="WP_DISCLOSURE_INVENTORY_CAPITALIZED_VARIANCE_ANCHOR">'&lt;.9&gt; Analytics &amp; Disclosures'!$A$20</definedName>
    <definedName name="WP_DISCLOSURE_INVENTORY_CAPITALIZED_VARIANCE_RELEVANT">'&lt;.9&gt; Analytics &amp; Disclosures'!$B$20</definedName>
    <definedName name="WP_DISCLOSURE_INVENTORY_CAPITALIZED_VARIANCE_SOURCE_REFERENCE">'&lt;.9&gt; Analytics &amp; Disclosures'!$C$20</definedName>
    <definedName name="WP_DISCLOSURE_INVENTORY_CAPITALIZED_VARIANCE_CONCLUSION">'&lt;.9&gt; Analytics &amp; Disclosures'!$D$20</definedName>
    <definedName name="WP_DISCLOSURE_INVENTORY_CAPITALIZED_VARIANCE_COMMENTS">'&lt;.9&gt; Analytics &amp; Disclosures'!$E$20</definedName>
    <definedName name="WP_DISCLOSURE_INVENTORY_PLEDGED_ANCHOR">'&lt;.9&gt; Analytics &amp; Disclosures'!$A$21</definedName>
    <definedName name="WP_DISCLOSURE_INVENTORY_PLEDGED_RELEVANT">'&lt;.9&gt; Analytics &amp; Disclosures'!$B$21</definedName>
    <definedName name="WP_DISCLOSURE_INVENTORY_PLEDGED_SOURCE_REFERENCE">'&lt;.9&gt; Analytics &amp; Disclosures'!$C$21</definedName>
    <definedName name="WP_DISCLOSURE_INVENTORY_PLEDGED_CONCLUSION">'&lt;.9&gt; Analytics &amp; Disclosures'!$D$21</definedName>
    <definedName name="WP_DISCLOSURE_INVENTORY_PLEDGED_COMMENTS">'&lt;.9&gt; Analytics &amp; Disclosures'!$E$21</definedName>
    <definedName name="WP_DISCLOSURE_INVENTORY_CONSIGNMENT_ANCHOR">'&lt;.9&gt; Analytics &amp; Disclosures'!$A$22</definedName>
    <definedName name="WP_DISCLOSURE_INVENTORY_CONSIGNMENT_RELEVANT">'&lt;.9&gt; Analytics &amp; Disclosures'!$B$22</definedName>
    <definedName name="WP_DISCLOSURE_INVENTORY_CONSIGNMENT_SOURCE_REFERENCE">'&lt;.9&gt; Analytics &amp; Disclosures'!$C$22</definedName>
    <definedName name="WP_DISCLOSURE_INVENTORY_CONSIGNMENT_CONCLUSION">'&lt;.9&gt; Analytics &amp; Disclosures'!$D$22</definedName>
    <definedName name="WP_DISCLOSURE_INVENTORY_CONSIGNMENT_COMMENTS">'&lt;.9&gt; Analytics &amp; Disclosures'!$E$22</definedName>
    <definedName name="WP_DISCLOSURE_INVENTORY_COMMITMENTS_ANCHOR">'&lt;.9&gt; Analytics &amp; Disclosures'!$A$23</definedName>
    <definedName name="WP_DISCLOSURE_INVENTORY_COMMITMENTS_RELEVANT">'&lt;.9&gt; Analytics &amp; Disclosures'!$B$23</definedName>
    <definedName name="WP_DISCLOSURE_INVENTORY_COMMITMENTS_SOURCE_REFERENCE">'&lt;.9&gt; Analytics &amp; Disclosures'!$C$23</definedName>
    <definedName name="WP_DISCLOSURE_INVENTORY_COMMITMENTS_CONCLUSION">'&lt;.9&gt; Analytics &amp; Disclosures'!$D$23</definedName>
    <definedName name="WP_DISCLOSURE_INVENTORY_COMMITMENTS_COMMENTS">'&lt;.9&gt; Analytics &amp; Disclosures'!$E$23</definedName>
    <definedName name="WP_DISCLOSURE_INVENTORY_LIFO_ANCHOR">'&lt;.9&gt; Analytics &amp; Disclosures'!$A$24</definedName>
    <definedName name="WP_DISCLOSURE_INVENTORY_LIFO_RELEVANT">'&lt;.9&gt; Analytics &amp; Disclosures'!$B$24</definedName>
    <definedName name="WP_DISCLOSURE_INVENTORY_LIFO_SOURCE_REFERENCE">'&lt;.9&gt; Analytics &amp; Disclosures'!$C$24</definedName>
    <definedName name="WP_DISCLOSURE_INVENTORY_LIFO_CONCLUSION">'&lt;.9&gt; Analytics &amp; Disclosures'!$D$24</definedName>
    <definedName name="WP_DISCLOSURE_INVENTORY_LIFO_COMMENTS">'&lt;.9&gt; Analytics &amp; Disclosures'!$E$24</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_xlnm._FilterDatabase" localSheetId="0" hidden="1">'Library Procedures'!$A$6:$Q$44</definedName>
    <definedName name="_xlnm.Print_Titles" localSheetId="0">'Library Procedures'!$1:$6</definedName>
    <definedName name="_xlnm.Print_Area" localSheetId="0">'Library Procedures'!$A$1:$Q$44</definedName>
    <definedName name="_xlnm.Print_Area" localSheetId="1">'&lt;.0&gt; Source Index'!$A$1:$L$32</definedName>
    <definedName name="_xlnm.Print_Area" localSheetId="2">'&lt;.1&gt; Costing &amp; Test Period'!$A$1:$H$36</definedName>
    <definedName name="_xlnm._FilterDatabase" localSheetId="3" hidden="1">'&lt;.2&gt; RM Cost - Standard'!$A$7:$Q$26</definedName>
    <definedName name="_xlnm.Print_Titles" localSheetId="3">'&lt;.2&gt; RM Cost - Standard'!$1:$7</definedName>
    <definedName name="_xlnm.Print_Area" localSheetId="3">'&lt;.2&gt; RM Cost - Standard'!$A$1:$Q$42</definedName>
    <definedName name="_xlnm._FilterDatabase" localSheetId="4" hidden="1">'&lt;.3&gt; RM Cost - Weighted Avg'!$A$7:$P$26</definedName>
    <definedName name="_xlnm.Print_Titles" localSheetId="4">'&lt;.3&gt; RM Cost - Weighted Avg'!$1:$7</definedName>
    <definedName name="_xlnm.Print_Area" localSheetId="4">'&lt;.3&gt; RM Cost - Weighted Avg'!$A$1:$P$42</definedName>
    <definedName name="_xlnm.Print_Titles" localSheetId="5">'&lt;.4&gt; Capitalized Variance'!$1:$7</definedName>
    <definedName name="_xlnm.Print_Area" localSheetId="5">'&lt;.4&gt; Capitalized Variance'!$A$1:$H$43</definedName>
    <definedName name="_xlnm.Print_Titles" localSheetId="6">'&lt;.5&gt; Labor &amp; OH Variance'!$1:$7</definedName>
    <definedName name="_xlnm.Print_Area" localSheetId="6">'&lt;.5&gt; Labor &amp; OH Variance'!$A$1:$H$42</definedName>
    <definedName name="_xlnm.Print_Titles" localSheetId="7">'&lt;.6&gt; FG Cost Buildup &amp; BOM'!$1:$7</definedName>
    <definedName name="_xlnm.Print_Area" localSheetId="7">'&lt;.6&gt; FG Cost Buildup &amp; BOM'!$A$1:$J$50</definedName>
    <definedName name="_xlnm.Print_Area" localSheetId="8">'&lt;.7&gt; Obsolescence &amp; Reserve'!$A$1:$H$34</definedName>
    <definedName name="_xlnm._FilterDatabase" localSheetId="9" hidden="1">'&lt;.8&gt; NRV Testing'!$A$7:$O$26</definedName>
    <definedName name="_xlnm.Print_Titles" localSheetId="9">'&lt;.8&gt; NRV Testing'!$1:$7</definedName>
    <definedName name="_xlnm.Print_Area" localSheetId="9">'&lt;.8&gt; NRV Testing'!$A$1:$O$42</definedName>
    <definedName name="_xlnm.Print_Area" localSheetId="10">'&lt;.9&gt; Analytics &amp; Disclosures'!$A$1:$H$37</definedName>
    <definedName name="_xlnm.Print_Area" localSheetId="11">'Planning Context'!$A$1:$B$21</definedName>
    <definedName name="_xlnm.Print_Area" localSheetId="12">'Workpaper Sign-off'!$A$1:$F$12</definedName>
    <definedName name="_xlnm.Print_Area" localSheetId="13">'Labor &amp; OH Application'!$A$1:$L$11</definedName>
  </definedNames>
  <calcPr calcId="191029" fullCalcOnLoad="1" iterateDelta="0.0001"/>
</workbook>
</file>

<file path=xl/styles.xml><?xml version="1.0" encoding="utf-8"?>
<styleSheet xmlns="http://schemas.openxmlformats.org/spreadsheetml/2006/main">
  <numFmts count="4">
    <numFmt numFmtId="164" formatCode="yyyy\-mm\-dd"/>
    <numFmt numFmtId="165" formatCode="#,##0.000"/>
    <numFmt numFmtId="166" formatCode="yyyy-mm-dd"/>
    <numFmt numFmtId="167" formatCode="m/d/yyyy"/>
  </numFmts>
  <fonts count="34">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A32020"/>
      <sz val="10"/>
    </font>
    <font>
      <name val="Georgia"/>
      <charset val="1"/>
      <b val="1"/>
      <color rgb="FFDC6900"/>
      <sz val="8"/>
    </font>
    <font>
      <name val="Georgia"/>
      <charset val="1"/>
      <b val="1"/>
      <color rgb="FF1A1A1A"/>
      <sz val="10"/>
    </font>
    <font>
      <name val="Georgia"/>
      <charset val="1"/>
      <b val="1"/>
      <color rgb="FFFFFFFF"/>
      <sz val="9"/>
    </font>
    <font>
      <name val="Carlito"/>
      <b val="1"/>
      <color rgb="00FFFFFF"/>
      <sz val="14"/>
    </font>
    <font>
      <name val="Carlito"/>
      <b val="1"/>
      <color rgb="00404040"/>
    </font>
    <font>
      <name val="Carlito"/>
      <sz val="11"/>
    </font>
    <font>
      <name val="Carlito"/>
      <i val="1"/>
      <color rgb="001F1F1F"/>
      <sz val="10"/>
    </font>
    <font>
      <name val="Calibri"/>
      <charset val="1"/>
      <family val="2"/>
      <b val="1"/>
      <color theme="1"/>
      <sz val="11"/>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A32020"/>
      <sz val="10"/>
    </font>
    <font>
      <name val="SourceSans3"/>
      <charset val="1"/>
      <b val="1"/>
      <color rgb="FFDC6900"/>
      <sz val="8"/>
    </font>
    <font>
      <name val="SourceSans3"/>
      <charset val="1"/>
      <b val="1"/>
      <color rgb="FF1A1A1A"/>
      <sz val="10"/>
    </font>
    <font>
      <name val="SourceSans3"/>
      <b val="1"/>
      <color rgb="00FFFFFF"/>
      <sz val="14"/>
    </font>
    <font>
      <name val="SourceSans3"/>
      <b val="1"/>
      <color rgb="00404040"/>
    </font>
    <font>
      <name val="SourceSans3"/>
      <sz val="11"/>
    </font>
    <font>
      <name val="SourceSans3"/>
      <i val="1"/>
      <color rgb="001F1F1F"/>
      <sz val="10"/>
    </font>
    <font>
      <name val="SourceSans3"/>
      <charset val="1"/>
      <family val="2"/>
      <b val="1"/>
      <color theme="1"/>
      <sz val="11"/>
    </font>
  </fonts>
  <fills count="7">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001F4E78"/>
      </patternFill>
    </fill>
    <fill>
      <patternFill patternType="solid">
        <fgColor rgb="00E7E6E6"/>
      </patternFill>
    </fill>
    <fill>
      <patternFill patternType="solid">
        <fgColor rgb="00D9EAF7"/>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bottom style="thin">
        <color rgb="00A6A6A6"/>
      </bottom>
    </border>
  </borders>
  <cellStyleXfs count="1">
    <xf numFmtId="0" fontId="0" fillId="0" borderId="0"/>
  </cellStyleXfs>
  <cellXfs count="95">
    <xf numFmtId="0" fontId="0" fillId="0" borderId="0" pivotButton="0" quotePrefix="0" xfId="0"/>
    <xf numFmtId="0" fontId="11" fillId="2" borderId="1" pivotButton="0" quotePrefix="0" xfId="0"/>
    <xf numFmtId="0" fontId="7" fillId="0" borderId="0" pivotButton="0" quotePrefix="0" xfId="0"/>
    <xf numFmtId="0" fontId="3" fillId="0" borderId="1"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pivotButton="0" quotePrefix="0" xfId="0"/>
    <xf numFmtId="4" fontId="3" fillId="0" borderId="1" pivotButton="0" quotePrefix="0" xfId="0"/>
    <xf numFmtId="0" fontId="2" fillId="0" borderId="1" pivotButton="0" quotePrefix="0" xfId="0"/>
    <xf numFmtId="2" fontId="2" fillId="3" borderId="1" pivotButton="0" quotePrefix="0" xfId="0"/>
    <xf numFmtId="1" fontId="2" fillId="3" borderId="1" pivotButton="0" quotePrefix="0" xfId="0"/>
    <xf numFmtId="164" fontId="3" fillId="0" borderId="1" pivotButton="0" quotePrefix="0" xfId="0"/>
    <xf numFmtId="0" fontId="9" fillId="0" borderId="0" applyAlignment="1" pivotButton="0" quotePrefix="0" xfId="0">
      <alignment horizontal="center" vertical="center"/>
    </xf>
    <xf numFmtId="0" fontId="3" fillId="0" borderId="1" applyAlignment="1" pivotButton="0" quotePrefix="0" xfId="0">
      <alignment horizontal="center" vertical="center"/>
    </xf>
    <xf numFmtId="3" fontId="3" fillId="0" borderId="1" pivotButton="0" quotePrefix="0" xfId="0"/>
    <xf numFmtId="0" fontId="10" fillId="3" borderId="1" pivotButton="0" quotePrefix="0" xfId="0"/>
    <xf numFmtId="4" fontId="10" fillId="3" borderId="1" pivotButton="0" quotePrefix="0" xfId="0"/>
    <xf numFmtId="4" fontId="2" fillId="3" borderId="1" pivotButton="0" quotePrefix="0" xfId="0"/>
    <xf numFmtId="10" fontId="2" fillId="3" borderId="1" pivotButton="0" quotePrefix="0" xfId="0"/>
    <xf numFmtId="0" fontId="2" fillId="3" borderId="1" pivotButton="0" quotePrefix="0" xfId="0"/>
    <xf numFmtId="0" fontId="3" fillId="0" borderId="1" applyAlignment="1" pivotButton="0" quotePrefix="0" xfId="0">
      <alignment horizontal="left" vertical="center" wrapText="1"/>
    </xf>
    <xf numFmtId="165" fontId="3" fillId="0" borderId="1" pivotButton="0" quotePrefix="0" xfId="0"/>
    <xf numFmtId="10" fontId="3" fillId="0" borderId="1"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10" fillId="3" borderId="1" applyAlignment="1" pivotButton="0" quotePrefix="0" xfId="0">
      <alignment horizontal="center" vertical="center"/>
    </xf>
    <xf numFmtId="0" fontId="5" fillId="2" borderId="3" applyAlignment="1" pivotButton="0" quotePrefix="0" xfId="0">
      <alignment horizontal="center" vertical="center" wrapText="1"/>
    </xf>
    <xf numFmtId="0" fontId="4" fillId="0" borderId="2" pivotButton="0" quotePrefix="0" xfId="0"/>
    <xf numFmtId="0" fontId="3" fillId="0" borderId="2" applyAlignment="1" pivotButton="0" quotePrefix="0" xfId="0">
      <alignment horizontal="left" vertical="center" wrapText="1"/>
    </xf>
    <xf numFmtId="0" fontId="17" fillId="0" borderId="0" applyAlignment="1" pivotButton="0" quotePrefix="0" xfId="0">
      <alignment vertical="top" wrapText="1"/>
    </xf>
    <xf numFmtId="0" fontId="21" fillId="0"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xf numFmtId="0" fontId="20" fillId="2" borderId="1" applyAlignment="1" pivotButton="0" quotePrefix="0" xfId="0">
      <alignment horizontal="left" vertical="center" wrapText="1"/>
    </xf>
    <xf numFmtId="0" fontId="20" fillId="2" borderId="1" pivotButton="0" quotePrefix="0" xfId="0"/>
    <xf numFmtId="0" fontId="20" fillId="2" borderId="0" pivotButton="0" quotePrefix="0" xfId="0"/>
    <xf numFmtId="0" fontId="18" fillId="0" borderId="1" applyAlignment="1" pivotButton="0" quotePrefix="0" xfId="0">
      <alignment vertical="top" wrapText="1"/>
    </xf>
    <xf numFmtId="0" fontId="21" fillId="0" borderId="1" applyAlignment="1" pivotButton="0" quotePrefix="0" xfId="0">
      <alignment vertical="top" wrapText="1"/>
    </xf>
    <xf numFmtId="167" fontId="21" fillId="0" borderId="1" applyAlignment="1" pivotButton="0" quotePrefix="0" xfId="0">
      <alignment vertical="top" wrapText="1"/>
    </xf>
    <xf numFmtId="0" fontId="20" fillId="2" borderId="0" applyAlignment="1" pivotButton="0" quotePrefix="0" xfId="0">
      <alignment vertical="top" wrapText="1"/>
    </xf>
    <xf numFmtId="0" fontId="17" fillId="0" borderId="0" pivotButton="0" quotePrefix="0" xfId="0"/>
    <xf numFmtId="0" fontId="22" fillId="0" borderId="0" pivotButton="0" quotePrefix="0" xfId="0"/>
    <xf numFmtId="167" fontId="18" fillId="0" borderId="0" pivotButton="0" quotePrefix="0" xfId="0"/>
    <xf numFmtId="0" fontId="18" fillId="0" borderId="0" pivotButton="0" quotePrefix="0" xfId="0"/>
    <xf numFmtId="0" fontId="22" fillId="0" borderId="0" applyAlignment="1" pivotButton="0" quotePrefix="0" xfId="0">
      <alignment vertical="top" wrapText="1"/>
    </xf>
    <xf numFmtId="4" fontId="18" fillId="0" borderId="0" pivotButton="0" quotePrefix="0" xfId="0"/>
    <xf numFmtId="0" fontId="23" fillId="0" borderId="2" pivotButton="0" quotePrefix="0" xfId="0"/>
    <xf numFmtId="0" fontId="18" fillId="0" borderId="2" applyAlignment="1" pivotButton="0" quotePrefix="0" xfId="0">
      <alignment horizontal="left" vertical="center" wrapText="1"/>
    </xf>
    <xf numFmtId="0" fontId="21" fillId="0" borderId="10" pivotButton="0" quotePrefix="0" xfId="0"/>
    <xf numFmtId="0" fontId="21" fillId="0" borderId="11" pivotButton="0" quotePrefix="0" xfId="0"/>
    <xf numFmtId="0" fontId="24" fillId="2" borderId="3" applyAlignment="1" pivotButton="0" quotePrefix="0" xfId="0">
      <alignment horizontal="center" vertical="center" wrapText="1"/>
    </xf>
    <xf numFmtId="0" fontId="18" fillId="0" borderId="1" pivotButton="0" quotePrefix="0" xfId="0"/>
    <xf numFmtId="0" fontId="23" fillId="0" borderId="0" pivotButton="0" quotePrefix="0" xfId="0"/>
    <xf numFmtId="0" fontId="25" fillId="0" borderId="1" applyAlignment="1" pivotButton="0" quotePrefix="0" xfId="0">
      <alignment horizontal="center" vertical="center"/>
    </xf>
    <xf numFmtId="0" fontId="21" fillId="0" borderId="6" pivotButton="0" quotePrefix="0" xfId="0"/>
    <xf numFmtId="0" fontId="21" fillId="0" borderId="7" pivotButton="0" quotePrefix="0" xfId="0"/>
    <xf numFmtId="0" fontId="26" fillId="0" borderId="0" applyAlignment="1" pivotButton="0" quotePrefix="0" xfId="0">
      <alignment vertical="top" wrapText="1"/>
    </xf>
    <xf numFmtId="0" fontId="24" fillId="2" borderId="1" applyAlignment="1" pivotButton="0" quotePrefix="0" xfId="0">
      <alignment horizontal="center" vertical="center" wrapText="1"/>
    </xf>
    <xf numFmtId="4" fontId="18" fillId="0" borderId="1" pivotButton="0" quotePrefix="0" xfId="0"/>
    <xf numFmtId="0" fontId="22" fillId="0" borderId="1" applyAlignment="1" pivotButton="0" quotePrefix="0" xfId="0">
      <alignment vertical="top" wrapText="1"/>
    </xf>
    <xf numFmtId="2" fontId="22" fillId="3" borderId="1" applyAlignment="1" pivotButton="0" quotePrefix="0" xfId="0">
      <alignment vertical="top" wrapText="1"/>
    </xf>
    <xf numFmtId="1" fontId="22" fillId="3" borderId="1" applyAlignment="1" pivotButton="0" quotePrefix="0" xfId="0">
      <alignment vertical="top" wrapText="1"/>
    </xf>
    <xf numFmtId="164" fontId="18" fillId="0" borderId="1" pivotButton="0" quotePrefix="0" xfId="0"/>
    <xf numFmtId="164" fontId="18" fillId="0" borderId="1" applyAlignment="1" pivotButton="0" quotePrefix="0" xfId="0">
      <alignment vertical="top" wrapText="1"/>
    </xf>
    <xf numFmtId="0" fontId="27" fillId="0" borderId="0" applyAlignment="1" pivotButton="0" quotePrefix="0" xfId="0">
      <alignment horizontal="center" vertical="center"/>
    </xf>
    <xf numFmtId="0" fontId="18" fillId="0" borderId="1" applyAlignment="1" pivotButton="0" quotePrefix="0" xfId="0">
      <alignment horizontal="center" vertical="center"/>
    </xf>
    <xf numFmtId="3" fontId="18" fillId="0" borderId="1" pivotButton="0" quotePrefix="0" xfId="0"/>
    <xf numFmtId="4" fontId="18" fillId="0" borderId="1" applyAlignment="1" pivotButton="0" quotePrefix="0" xfId="0">
      <alignment vertical="top" wrapText="1"/>
    </xf>
    <xf numFmtId="0" fontId="28" fillId="3" borderId="1" pivotButton="0" quotePrefix="0" xfId="0"/>
    <xf numFmtId="4" fontId="28" fillId="3" borderId="1" pivotButton="0" quotePrefix="0" xfId="0"/>
    <xf numFmtId="4" fontId="22" fillId="3" borderId="1" pivotButton="0" quotePrefix="0" xfId="0"/>
    <xf numFmtId="10" fontId="22" fillId="3" borderId="1" applyAlignment="1" pivotButton="0" quotePrefix="0" xfId="0">
      <alignment vertical="top" wrapText="1"/>
    </xf>
    <xf numFmtId="4" fontId="22" fillId="3" borderId="1" applyAlignment="1" pivotButton="0" quotePrefix="0" xfId="0">
      <alignment vertical="top" wrapText="1"/>
    </xf>
    <xf numFmtId="0" fontId="22" fillId="3" borderId="1" applyAlignment="1" pivotButton="0" quotePrefix="0" xfId="0">
      <alignment vertical="top" wrapText="1"/>
    </xf>
    <xf numFmtId="0" fontId="22" fillId="3" borderId="1" pivotButton="0" quotePrefix="0" xfId="0"/>
    <xf numFmtId="0" fontId="18" fillId="0" borderId="1" applyAlignment="1" pivotButton="0" quotePrefix="0" xfId="0">
      <alignment horizontal="left" vertical="center" wrapText="1"/>
    </xf>
    <xf numFmtId="165" fontId="18" fillId="0" borderId="1" pivotButton="0" quotePrefix="0" xfId="0"/>
    <xf numFmtId="10" fontId="18" fillId="0" borderId="1" pivotButton="0" quotePrefix="0" xfId="0"/>
    <xf numFmtId="0" fontId="26" fillId="0" borderId="0" pivotButton="0" quotePrefix="0" xfId="0"/>
    <xf numFmtId="0" fontId="21" fillId="0" borderId="0" applyAlignment="1" pivotButton="0" quotePrefix="0" xfId="0">
      <alignment vertical="top" wrapText="1"/>
    </xf>
    <xf numFmtId="167" fontId="21" fillId="0" borderId="0" pivotButton="0" quotePrefix="0" xfId="0"/>
    <xf numFmtId="4" fontId="21" fillId="0" borderId="0" pivotButton="0" quotePrefix="0" xfId="0"/>
    <xf numFmtId="0" fontId="29" fillId="4" borderId="0" applyAlignment="1" pivotButton="0" quotePrefix="0" xfId="0">
      <alignment horizontal="left" vertical="center" wrapText="1"/>
    </xf>
    <xf numFmtId="0" fontId="30" fillId="5" borderId="12" pivotButton="0" quotePrefix="0" xfId="0"/>
    <xf numFmtId="0" fontId="31" fillId="0" borderId="12" pivotButton="0" quotePrefix="0" xfId="0"/>
    <xf numFmtId="0" fontId="31" fillId="0" borderId="12" applyAlignment="1" pivotButton="0" quotePrefix="0" xfId="0">
      <alignment vertical="top" wrapText="1"/>
    </xf>
    <xf numFmtId="167" fontId="31" fillId="0" borderId="12" pivotButton="0" quotePrefix="0" xfId="0"/>
    <xf numFmtId="0" fontId="32" fillId="6" borderId="0" applyAlignment="1" pivotButton="0" quotePrefix="0" xfId="0">
      <alignment vertical="top" wrapText="1"/>
    </xf>
    <xf numFmtId="0" fontId="33" fillId="0" borderId="0" pivotButton="0" quotePrefix="0" xfId="0"/>
    <xf numFmtId="0" fontId="33" fillId="0"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WP_INV_RM_STANDARD_SELECTIONS" displayName="WP_INV_RM_STANDARD_SELECTIONS" ref="A7:Q26" headerRowCount="1">
  <autoFilter ref="A7:Q26"/>
  <tableColumns count="17">
    <tableColumn id="1" name="Sel #"/>
    <tableColumn id="2" name="Item / SKU"/>
    <tableColumn id="3" name="Description"/>
    <tableColumn id="4" name="UoM"/>
    <tableColumn id="5" name="Qty per YE listing"/>
    <tableColumn id="6" name="Standard unit cost"/>
    <tableColumn id="7" name="Extended standard cost"/>
    <tableColumn id="8" name="Qty per purchase report (period)"/>
    <tableColumn id="9" name="Coverage OK (qty ≥ YE qty)"/>
    <tableColumn id="10" name="Invoice ref tested"/>
    <tableColumn id="11" name="Invoice qty"/>
    <tableColumn id="12" name="Actual unit cost per invoice"/>
    <tableColumn id="13" name="Actual extended (invoice)"/>
    <tableColumn id="14" name="Std vs actual difference"/>
    <tableColumn id="15" name="PPV recorded on purchase"/>
    <tableColumn id="16" name="PPV recompute diff (should be 0)"/>
    <tableColumn id="17" name="Comments"/>
  </tableColumns>
</table>
</file>

<file path=xl/tables/table2.xml><?xml version="1.0" encoding="utf-8"?>
<table xmlns="http://schemas.openxmlformats.org/spreadsheetml/2006/main" id="2" name="WP_INV_RM_WEIGHTED_AVERAGE_SELECTIONS" displayName="WP_INV_RM_WEIGHTED_AVERAGE_SELECTIONS" ref="A7:P26" headerRowCount="1">
  <autoFilter ref="A7:P26"/>
  <tableColumns count="16">
    <tableColumn id="1" name="Sel #"/>
    <tableColumn id="2" name="Item / SKU"/>
    <tableColumn id="3" name="Description"/>
    <tableColumn id="4" name="UoM"/>
    <tableColumn id="5" name="Qty per YE listing"/>
    <tableColumn id="6" name="Unit cost per listing"/>
    <tableColumn id="7" name="Extended per listing"/>
    <tableColumn id="8" name="Purchase report: total qty (period)"/>
    <tableColumn id="9" name="Purchase report: total cost (period)"/>
    <tableColumn id="10" name="Recomputed WA unit cost"/>
    <tableColumn id="11" name="Coverage OK (qty ≥ YE qty)"/>
    <tableColumn id="12" name="WA vs listing diff / unit"/>
    <tableColumn id="13" name="Extended difference"/>
    <tableColumn id="14" name="Invoice tested (ref)"/>
    <tableColumn id="15" name="Invoice unit cost agrees (Y/N)"/>
    <tableColumn id="16" name="Comments"/>
  </tableColumns>
</table>
</file>

<file path=xl/tables/table3.xml><?xml version="1.0" encoding="utf-8"?>
<table xmlns="http://schemas.openxmlformats.org/spreadsheetml/2006/main" id="3" name="WP_INV_NRV_SELECTIONS" displayName="WP_INV_NRV_SELECTIONS" ref="A7:O26" headerRowCount="1">
  <autoFilter ref="A7:O26"/>
  <tableColumns count="15">
    <tableColumn id="1" name="Sel #"/>
    <tableColumn id="2" name="SKU"/>
    <tableColumn id="3" name="Description"/>
    <tableColumn id="4" name="Qty"/>
    <tableColumn id="5" name="Unit cost"/>
    <tableColumn id="6" name="Selling price (recent / committed)"/>
    <tableColumn id="7" name="Costs to complete"/>
    <tableColumn id="8" name="Costs to sell / transport"/>
    <tableColumn id="9" name="NRV per unit"/>
    <tableColumn id="10" name="Write-down per unit (= max(0, cost − NRV))"/>
    <tableColumn id="11" name="Extended write-down"/>
    <tableColumn id="12" name="Comments"/>
    <tableColumn id="13" name="Selling-price evidence ref"/>
    <tableColumn id="14" name="Evidence SKU / mapped FG SKU"/>
    <tableColumn id="15" name="Mapping basis (exact SKU / approved BOM)"/>
  </tableColumns>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autoPageBreaks="0" fitToPage="1"/>
  </sheetPr>
  <dimension ref="A1:Q44"/>
  <sheetViews>
    <sheetView showGridLines="0" tabSelected="1" zoomScale="90" zoomScaleNormal="100" workbookViewId="0">
      <pane xSplit="8" ySplit="6" topLeftCell="I7" activePane="bottomRight" state="frozen"/>
      <selection pane="topRight"/>
      <selection pane="bottomLeft"/>
      <selection pane="bottomRight" activeCell="A22" sqref="A22"/>
    </sheetView>
  </sheetViews>
  <sheetFormatPr baseColWidth="8" defaultColWidth="8.6328125" defaultRowHeight="14.5"/>
  <cols>
    <col width="42" customWidth="1" min="1" max="1"/>
    <col width="15" customWidth="1" min="2" max="2"/>
    <col width="15" customWidth="1" min="3" max="3"/>
    <col width="17" bestFit="1" customWidth="1" min="4" max="4"/>
    <col width="18" customWidth="1" min="5" max="5"/>
    <col width="14" customWidth="1" min="6" max="6"/>
    <col width="14" customWidth="1" min="7" max="7"/>
    <col width="42" customWidth="1" min="8" max="8"/>
    <col width="88" customWidth="1" min="9" max="9"/>
    <col width="34.3" customWidth="1" min="10" max="10"/>
    <col width="18.15" customWidth="1" min="11" max="11"/>
    <col width="18" customWidth="1" min="12" max="12"/>
    <col width="14" customWidth="1" min="13" max="13"/>
    <col width="18" customWidth="1" min="14" max="14"/>
    <col width="34" customWidth="1" min="15" max="15"/>
    <col width="42" customWidth="1" min="16" max="16"/>
    <col width="64" customWidth="1" min="17" max="17"/>
  </cols>
  <sheetData>
    <row r="1" ht="27" customHeight="1">
      <c r="A1" s="34" t="inlineStr">
        <is>
          <t>Inventory (Costing &amp; Valuation) — Library of Audit Procedures</t>
        </is>
      </c>
      <c r="B1" s="35" t="n"/>
      <c r="C1" s="35" t="n"/>
      <c r="D1" s="35" t="n"/>
      <c r="E1" s="35" t="n"/>
      <c r="F1" s="35" t="n"/>
      <c r="G1" s="35" t="n"/>
      <c r="H1" s="35" t="n"/>
      <c r="I1" s="35" t="n"/>
      <c r="J1" s="35" t="n"/>
      <c r="K1" s="35" t="n"/>
      <c r="L1" s="35" t="n"/>
      <c r="M1" s="35" t="n"/>
      <c r="N1" s="35" t="n"/>
      <c r="O1" s="35" t="n"/>
      <c r="P1" s="35" t="n"/>
      <c r="Q1" s="35" t="n"/>
    </row>
    <row r="2">
      <c r="A2" s="36" t="inlineStr">
        <is>
          <t>Client / Entity: Vaquite Industries, Inc.</t>
        </is>
      </c>
      <c r="B2" s="35" t="n"/>
      <c r="C2" s="35" t="n"/>
      <c r="D2" s="35" t="n"/>
      <c r="E2" s="35" t="n"/>
      <c r="F2" s="35" t="n"/>
      <c r="G2" s="35" t="n"/>
      <c r="H2" s="35" t="n"/>
      <c r="I2" s="35" t="n"/>
      <c r="J2" s="35" t="n"/>
      <c r="K2" s="35" t="n"/>
      <c r="L2" s="35" t="n"/>
      <c r="M2" s="35" t="n"/>
      <c r="N2" s="35" t="n"/>
      <c r="O2" s="35" t="n"/>
      <c r="P2" s="35" t="n"/>
      <c r="Q2" s="35" t="n"/>
    </row>
    <row r="3" ht="40.5" customHeight="1">
      <c r="A3" s="36" t="inlineStr">
        <is>
          <t>Prepared by: Audit Senior 80A0 (assigned)      Reviewed by: Audit Manager 403F (assigned)</t>
        </is>
      </c>
      <c r="B3" s="35" t="n"/>
      <c r="C3" s="35" t="n"/>
      <c r="D3" s="35" t="n"/>
      <c r="E3" s="35" t="n"/>
      <c r="F3" s="35" t="n"/>
      <c r="G3" s="35" t="n"/>
      <c r="H3" s="35" t="n"/>
      <c r="I3" s="35" t="n"/>
      <c r="J3" s="35" t="n"/>
      <c r="K3" s="35" t="n"/>
      <c r="L3" s="35" t="n"/>
      <c r="M3" s="35" t="n"/>
      <c r="N3" s="35" t="n"/>
      <c r="O3" s="35" t="n"/>
      <c r="P3" s="35" t="n"/>
      <c r="Q3" s="35" t="n"/>
    </row>
    <row r="4" ht="25.5" customHeight="1">
      <c r="A4" s="37"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5" t="n"/>
      <c r="C4" s="35" t="n"/>
      <c r="D4" s="35" t="n"/>
      <c r="E4" s="35" t="n"/>
      <c r="F4" s="35" t="n"/>
      <c r="G4" s="35" t="n"/>
      <c r="H4" s="35" t="n"/>
      <c r="I4" s="35" t="n"/>
      <c r="J4" s="35" t="n"/>
      <c r="K4" s="35" t="n"/>
      <c r="L4" s="35" t="n"/>
      <c r="M4" s="35" t="n"/>
      <c r="N4" s="35" t="n"/>
      <c r="O4" s="35" t="n"/>
      <c r="P4" s="35" t="n"/>
      <c r="Q4" s="35" t="n"/>
    </row>
    <row r="5">
      <c r="A5" s="35" t="n"/>
      <c r="B5" s="35" t="n"/>
      <c r="C5" s="35" t="n"/>
      <c r="D5" s="35" t="n"/>
      <c r="E5" s="35" t="n"/>
      <c r="F5" s="35" t="n"/>
      <c r="G5" s="35" t="n"/>
      <c r="H5" s="35" t="n"/>
      <c r="I5" s="35" t="n"/>
      <c r="J5" s="35" t="n"/>
      <c r="K5" s="35" t="n"/>
      <c r="L5" s="35" t="n"/>
      <c r="M5" s="35" t="n"/>
      <c r="N5" s="35" t="n"/>
      <c r="O5" s="35" t="n"/>
      <c r="P5" s="35" t="n"/>
      <c r="Q5" s="35" t="n"/>
    </row>
    <row r="6" ht="19.5" customHeight="1">
      <c r="A6" s="38" t="inlineStr">
        <is>
          <t>Applicability</t>
        </is>
      </c>
      <c r="B6" s="38" t="inlineStr">
        <is>
          <t>Requirement</t>
        </is>
      </c>
      <c r="C6" s="38" t="inlineStr">
        <is>
          <t>Execution state</t>
        </is>
      </c>
      <c r="D6" s="38" t="inlineStr">
        <is>
          <t>Evidence state</t>
        </is>
      </c>
      <c r="E6" s="38" t="inlineStr">
        <is>
          <t>Result state</t>
        </is>
      </c>
      <c r="F6" s="38" t="inlineStr">
        <is>
          <t>Issue state</t>
        </is>
      </c>
      <c r="G6" s="38" t="inlineStr">
        <is>
          <t>Signoff state</t>
        </is>
      </c>
      <c r="H6" s="38" t="inlineStr">
        <is>
          <t>Derived outcome</t>
        </is>
      </c>
      <c r="I6" s="38" t="inlineStr">
        <is>
          <t>Procedure</t>
        </is>
      </c>
      <c r="J6" s="38" t="inlineStr">
        <is>
          <t>Assertion(s)</t>
        </is>
      </c>
      <c r="K6" s="38" t="inlineStr">
        <is>
          <t>W/P Ref</t>
        </is>
      </c>
      <c r="L6" s="38" t="inlineStr">
        <is>
          <t>Performed by</t>
        </is>
      </c>
      <c r="M6" s="38" t="inlineStr">
        <is>
          <t>Date</t>
        </is>
      </c>
      <c r="N6" s="38" t="inlineStr">
        <is>
          <t>Reason code</t>
        </is>
      </c>
      <c r="O6" s="38" t="inlineStr">
        <is>
          <t>Source fact / evidence</t>
        </is>
      </c>
      <c r="P6" s="38" t="inlineStr">
        <is>
          <t>Issue / dependency IDs</t>
        </is>
      </c>
      <c r="Q6" s="38" t="inlineStr">
        <is>
          <t>Comment / Work performed</t>
        </is>
      </c>
    </row>
    <row r="7">
      <c r="A7" s="39" t="n"/>
      <c r="B7" s="35" t="n"/>
      <c r="C7" s="35" t="n"/>
      <c r="D7" s="35" t="n"/>
      <c r="E7" s="35" t="n"/>
      <c r="F7" s="35" t="n"/>
      <c r="G7" s="35" t="n"/>
      <c r="H7" s="35" t="n"/>
      <c r="I7" s="40" t="inlineStr">
        <is>
          <t>&lt;.0&gt; Source Index</t>
        </is>
      </c>
      <c r="J7" s="35" t="n"/>
      <c r="K7" s="35" t="n"/>
      <c r="L7" s="35" t="n"/>
      <c r="M7" s="35" t="n"/>
      <c r="N7" s="35" t="n"/>
      <c r="O7" s="35" t="n"/>
      <c r="P7" s="35" t="n"/>
      <c r="Q7" s="35" t="n"/>
    </row>
    <row r="8" ht="120" customHeight="1">
      <c r="A8" s="41" t="inlineStr">
        <is>
          <t>Applicable</t>
        </is>
      </c>
      <c r="B8" s="41" t="inlineStr">
        <is>
          <t>Required</t>
        </is>
      </c>
      <c r="C8" s="41" t="inlineStr">
        <is>
          <t>Not Started</t>
        </is>
      </c>
      <c r="D8" s="41" t="inlineStr">
        <is>
          <t>Missing</t>
        </is>
      </c>
      <c r="E8" s="41" t="inlineStr">
        <is>
          <t>Unable to Conclude</t>
        </is>
      </c>
      <c r="F8" s="41" t="inlineStr">
        <is>
          <t>None</t>
        </is>
      </c>
      <c r="G8" s="42" t="inlineStr">
        <is>
          <t>Unsigned</t>
        </is>
      </c>
      <c r="H8" s="42">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42" t="inlineStr">
        <is>
          <t>1. Obtain and index all costing / valuation PBC sources (YE listing, costing policy, standard masters, purchase reports &amp; invoices, variance detail, BOMs, labor &amp; OH rates, aging / usage, selling-price and cost-to-complete support); document limitations.</t>
        </is>
      </c>
      <c r="J8" s="42" t="inlineStr">
        <is>
          <t>Completeness</t>
        </is>
      </c>
      <c r="K8" s="42" t="inlineStr">
        <is>
          <t>&lt;.0&gt;</t>
        </is>
      </c>
      <c r="L8" s="42" t="n"/>
      <c r="M8" s="43" t="n"/>
      <c r="N8" s="42" t="n"/>
      <c r="O8" s="42" t="n"/>
      <c r="P8" s="42" t="inlineStr">
        <is>
          <t>PROC:PROC-INVENTORY; PROC:RESP-INVENTORY-INVENTORY</t>
        </is>
      </c>
      <c r="Q8" s="42" t="n"/>
    </row>
    <row r="9">
      <c r="A9" s="39" t="n"/>
      <c r="B9" s="35" t="n"/>
      <c r="C9" s="35" t="n"/>
      <c r="D9" s="35" t="n"/>
      <c r="E9" s="35" t="n"/>
      <c r="F9" s="35" t="n"/>
      <c r="G9" s="35" t="n"/>
      <c r="H9" s="35" t="n"/>
      <c r="I9" s="44" t="inlineStr">
        <is>
          <t>&lt;.1&gt; Costing &amp; Test Period</t>
        </is>
      </c>
      <c r="J9" s="35" t="n"/>
      <c r="K9" s="35" t="n"/>
      <c r="L9" s="35" t="n"/>
      <c r="M9" s="35" t="n"/>
      <c r="N9" s="35" t="n"/>
      <c r="O9" s="35" t="n"/>
      <c r="P9" s="35" t="n"/>
      <c r="Q9" s="35" t="n"/>
    </row>
    <row r="10" ht="120" customHeight="1">
      <c r="A10" s="41" t="inlineStr">
        <is>
          <t>Applicable</t>
        </is>
      </c>
      <c r="B10" s="41" t="inlineStr">
        <is>
          <t>Required</t>
        </is>
      </c>
      <c r="C10" s="41" t="inlineStr">
        <is>
          <t>Not Started</t>
        </is>
      </c>
      <c r="D10" s="41" t="inlineStr">
        <is>
          <t>Missing</t>
        </is>
      </c>
      <c r="E10" s="41" t="inlineStr">
        <is>
          <t>Unable to Conclude</t>
        </is>
      </c>
      <c r="F10" s="41" t="inlineStr">
        <is>
          <t>None</t>
        </is>
      </c>
      <c r="G10" s="42" t="inlineStr">
        <is>
          <t>Unsigned</t>
        </is>
      </c>
      <c r="H10" s="42">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42" t="inlineStr">
        <is>
          <t>2. Document the costing convention per category (standard / weighted average / FIFO), check policy and PY consistency, and route each category to the correct test tab.</t>
        </is>
      </c>
      <c r="J10" s="42" t="inlineStr">
        <is>
          <t>Valuation &amp; Allocation; Classification</t>
        </is>
      </c>
      <c r="K10" s="42" t="inlineStr">
        <is>
          <t>&lt;.1&gt;</t>
        </is>
      </c>
      <c r="L10" s="42" t="n"/>
      <c r="M10" s="43" t="n"/>
      <c r="N10" s="42" t="n"/>
      <c r="O10" s="42" t="n"/>
      <c r="P10" s="42" t="inlineStr">
        <is>
          <t>PROC:PROC-INVENTORY; PROC:RESP-INVENTORY-INVENTORY</t>
        </is>
      </c>
      <c r="Q10" s="42" t="n"/>
    </row>
    <row r="11" ht="120" customHeight="1">
      <c r="A11" s="41" t="inlineStr">
        <is>
          <t>Applicable</t>
        </is>
      </c>
      <c r="B11" s="41" t="inlineStr">
        <is>
          <t>Required</t>
        </is>
      </c>
      <c r="C11" s="41" t="inlineStr">
        <is>
          <t>Not Started</t>
        </is>
      </c>
      <c r="D11" s="41" t="inlineStr">
        <is>
          <t>Missing</t>
        </is>
      </c>
      <c r="E11" s="41" t="inlineStr">
        <is>
          <t>Unable to Conclude</t>
        </is>
      </c>
      <c r="F11" s="41" t="inlineStr">
        <is>
          <t>None</t>
        </is>
      </c>
      <c r="G11" s="42" t="inlineStr">
        <is>
          <t>Unsigned</t>
        </is>
      </c>
      <c r="H11" s="42">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42" t="inlineStr">
        <is>
          <t>3. Compute the period subject to testing from inventory turnover (turns = COGS / net inventory; days on hand = 365 / turns; period = YE − DOH).</t>
        </is>
      </c>
      <c r="J11" s="42" t="inlineStr">
        <is>
          <t>Valuation &amp; Allocation</t>
        </is>
      </c>
      <c r="K11" s="42" t="inlineStr">
        <is>
          <t>&lt;.1&gt;</t>
        </is>
      </c>
      <c r="L11" s="42" t="n"/>
      <c r="M11" s="43" t="n"/>
      <c r="N11" s="42" t="n"/>
      <c r="O11" s="42" t="n"/>
      <c r="P11" s="42" t="inlineStr">
        <is>
          <t>PROC:PROC-INVENTORY; PROC:RESP-INVENTORY-INVENTORY</t>
        </is>
      </c>
      <c r="Q11" s="42" t="n"/>
    </row>
    <row r="12">
      <c r="A12" s="39" t="n"/>
      <c r="B12" s="35" t="n"/>
      <c r="C12" s="35" t="n"/>
      <c r="D12" s="35" t="n"/>
      <c r="E12" s="35" t="n"/>
      <c r="F12" s="35" t="n"/>
      <c r="G12" s="35" t="n"/>
      <c r="H12" s="35" t="n"/>
      <c r="I12" s="44" t="inlineStr">
        <is>
          <t>&lt;.2&gt; RM Cost — Standard</t>
        </is>
      </c>
      <c r="J12" s="35" t="n"/>
      <c r="K12" s="35" t="n"/>
      <c r="L12" s="35" t="n"/>
      <c r="M12" s="35" t="n"/>
      <c r="N12" s="35" t="n"/>
      <c r="O12" s="35" t="n"/>
      <c r="P12" s="35" t="n"/>
      <c r="Q12" s="35" t="n"/>
    </row>
    <row r="13" ht="120" customHeight="1">
      <c r="A13" s="41" t="inlineStr">
        <is>
          <t>Applicable</t>
        </is>
      </c>
      <c r="B13" s="41" t="inlineStr">
        <is>
          <t>Required</t>
        </is>
      </c>
      <c r="C13" s="41" t="inlineStr">
        <is>
          <t>Not Started</t>
        </is>
      </c>
      <c r="D13" s="41" t="inlineStr">
        <is>
          <t>Missing</t>
        </is>
      </c>
      <c r="E13" s="41" t="inlineStr">
        <is>
          <t>Unable to Conclude</t>
        </is>
      </c>
      <c r="F13" s="41" t="inlineStr">
        <is>
          <t>None</t>
        </is>
      </c>
      <c r="G13" s="42" t="inlineStr">
        <is>
          <t>Unsigned</t>
        </is>
      </c>
      <c r="H13" s="42">
        <f>IF(A13="Not Applicable - Fact Driven",IF(AND(C13="Not Performed",D13="Not Required",OR(F13="None",F13="Resolved",F13="Passed"),OR(G13="Prepared",G13="Reviewed"),LEFT(O13,6)="FACT:/",Q13&lt;&gt;""),"Valid N/A","Blocked"),IF(AND(B13="Recommended",C13="Not Performed",D13="Not Required",OR(F13="None",F13="Resolved",F13="Passed")),"Recommended - Not Performed",IF(C13&lt;&gt;"Performed","Open - "&amp;C13,IF(D13&lt;&gt;"Sufficient","Open - "&amp;D13&amp;" Evidence",IF(E13="Unable to Conclude","Open - Unable to Conclude",IF(AND(E13="Exception Identified",ISERROR(SEARCH("ISSUE:",P13))),"Open - Missing Issue ID",IF(AND(F13="Open",ISERROR(SEARCH("ISSUE:",P13))),"Open - Missing Issue ID",IF(OR(F13="Open",F13="Superseded"),"Open - "&amp;F13&amp;" Issue",IF(AND(E13="Exception Identified",NOT(OR(F13="Adjusted",F13="Passed",F13="Resolved"))),"Open - Undispositioned Exception",IF(OR(G13="Prepared",G13="Reviewed"),"Passed","Open - Unsigned"))))))))))</f>
        <v/>
      </c>
      <c r="I13" s="42" t="inlineStr">
        <is>
          <t>4. Select raw materials from the YE inventory listing (above the testing threshold) and obtain the purchase report over the test period; confirm the purchased quantity covers (≥) the YE listing quantity, extending the period where it does not.</t>
        </is>
      </c>
      <c r="J13" s="42" t="inlineStr">
        <is>
          <t>Valuation &amp; Allocation; Existence</t>
        </is>
      </c>
      <c r="K13" s="42" t="inlineStr">
        <is>
          <t>&lt;.2&gt;</t>
        </is>
      </c>
      <c r="L13" s="42" t="n"/>
      <c r="M13" s="43" t="n"/>
      <c r="N13" s="42" t="n"/>
      <c r="O13" s="42" t="n"/>
      <c r="P13" s="42" t="inlineStr">
        <is>
          <t>PROC:PROC-INVENTORY; PROC:RESP-INVENTORY-INVENTORY</t>
        </is>
      </c>
      <c r="Q13" s="42" t="n"/>
    </row>
    <row r="14" ht="120" customHeight="1">
      <c r="A14" s="41" t="inlineStr">
        <is>
          <t>Applicable</t>
        </is>
      </c>
      <c r="B14" s="41" t="inlineStr">
        <is>
          <t>Required</t>
        </is>
      </c>
      <c r="C14" s="41" t="inlineStr">
        <is>
          <t>Not Started</t>
        </is>
      </c>
      <c r="D14" s="41" t="inlineStr">
        <is>
          <t>Missing</t>
        </is>
      </c>
      <c r="E14" s="41" t="inlineStr">
        <is>
          <t>Unable to Conclude</t>
        </is>
      </c>
      <c r="F14" s="41" t="inlineStr">
        <is>
          <t>None</t>
        </is>
      </c>
      <c r="G14" s="42" t="inlineStr">
        <is>
          <t>Unsigned</t>
        </is>
      </c>
      <c r="H14" s="42">
        <f>IF(A14="Not Applicable - Fact Driven",IF(AND(C14="Not Performed",D14="Not Required",OR(F14="None",F14="Resolved",F14="Passed"),OR(G14="Prepared",G14="Reviewed"),LEFT(O14,6)="FACT:/",Q14&lt;&gt;""),"Valid N/A","Blocked"),IF(AND(B14="Recommended",C14="Not Performed",D14="Not Required",OR(F14="None",F14="Resolved",F14="Passed")),"Recommended - Not Performed",IF(C14&lt;&gt;"Performed","Open - "&amp;C14,IF(D14&lt;&gt;"Sufficient","Open - "&amp;D14&amp;" Evidence",IF(E14="Unable to Conclude","Open - Unable to Conclude",IF(AND(E14="Exception Identified",ISERROR(SEARCH("ISSUE:",P14))),"Open - Missing Issue ID",IF(AND(F14="Open",ISERROR(SEARCH("ISSUE:",P14))),"Open - Missing Issue ID",IF(OR(F14="Open",F14="Superseded"),"Open - "&amp;F14&amp;" Issue",IF(AND(E14="Exception Identified",NOT(OR(F14="Adjusted",F14="Passed",F14="Resolved"))),"Open - Undispositioned Exception",IF(OR(G14="Prepared",G14="Reviewed"),"Passed","Open - Unsigned"))))))))))</f>
        <v/>
      </c>
      <c r="I14" s="42" t="inlineStr">
        <is>
          <t>5. For each selection vouch one invoice from the purchase report — agree quantity, unit of measure and actual unit cost.</t>
        </is>
      </c>
      <c r="J14" s="42" t="inlineStr">
        <is>
          <t>Accuracy; Valuation &amp; Allocation</t>
        </is>
      </c>
      <c r="K14" s="42" t="inlineStr">
        <is>
          <t>&lt;.2&gt;</t>
        </is>
      </c>
      <c r="L14" s="42" t="n"/>
      <c r="M14" s="43" t="n"/>
      <c r="N14" s="42" t="n"/>
      <c r="O14" s="42" t="n"/>
      <c r="P14" s="42" t="inlineStr">
        <is>
          <t>PROC:PROC-INVENTORY; PROC:RESP-INVENTORY-INVENTORY</t>
        </is>
      </c>
      <c r="Q14" s="42" t="n"/>
    </row>
    <row r="15" ht="120" customHeight="1">
      <c r="A15" s="41" t="inlineStr">
        <is>
          <t>Applicable</t>
        </is>
      </c>
      <c r="B15" s="41" t="inlineStr">
        <is>
          <t>Required</t>
        </is>
      </c>
      <c r="C15" s="41" t="inlineStr">
        <is>
          <t>Not Started</t>
        </is>
      </c>
      <c r="D15" s="41" t="inlineStr">
        <is>
          <t>Missing</t>
        </is>
      </c>
      <c r="E15" s="41" t="inlineStr">
        <is>
          <t>Unable to Conclude</t>
        </is>
      </c>
      <c r="F15" s="41" t="inlineStr">
        <is>
          <t>None</t>
        </is>
      </c>
      <c r="G15" s="42" t="inlineStr">
        <is>
          <t>Unsigned</t>
        </is>
      </c>
      <c r="H15" s="42">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42" t="inlineStr">
        <is>
          <t>6. Recompute the standard-vs-actual difference ((actual − standard) × invoice quantity) and agree it to the recorded purchase price variance (PPV recompute difference = 0); route unabsorbed differences to the capitalized-variance test.</t>
        </is>
      </c>
      <c r="J15" s="42" t="inlineStr">
        <is>
          <t>Valuation &amp; Allocation; Accuracy</t>
        </is>
      </c>
      <c r="K15" s="42" t="inlineStr">
        <is>
          <t>&lt;.2&gt;/&lt;.4&gt;</t>
        </is>
      </c>
      <c r="L15" s="42" t="n"/>
      <c r="M15" s="43" t="n"/>
      <c r="N15" s="42" t="n"/>
      <c r="O15" s="42" t="n"/>
      <c r="P15" s="42" t="inlineStr">
        <is>
          <t>PROC:PROC-INVENTORY; PROC:RESP-INVENTORY-INVENTORY</t>
        </is>
      </c>
      <c r="Q15" s="42" t="n"/>
    </row>
    <row r="16">
      <c r="A16" s="39" t="n"/>
      <c r="B16" s="35" t="n"/>
      <c r="C16" s="35" t="n"/>
      <c r="D16" s="35" t="n"/>
      <c r="E16" s="35" t="n"/>
      <c r="F16" s="35" t="n"/>
      <c r="G16" s="35" t="n"/>
      <c r="H16" s="35" t="n"/>
      <c r="I16" s="44" t="inlineStr">
        <is>
          <t>&lt;.3&gt; RM Cost — Weighted Average</t>
        </is>
      </c>
      <c r="J16" s="35" t="n"/>
      <c r="K16" s="35" t="n"/>
      <c r="L16" s="35" t="n"/>
      <c r="M16" s="35" t="n"/>
      <c r="N16" s="35" t="n"/>
      <c r="O16" s="35" t="n"/>
      <c r="P16" s="35" t="n"/>
      <c r="Q16" s="35" t="n"/>
    </row>
    <row r="17" ht="120" customHeight="1">
      <c r="A17" s="41" t="inlineStr">
        <is>
          <t>Applicable</t>
        </is>
      </c>
      <c r="B17" s="41" t="inlineStr">
        <is>
          <t>Required</t>
        </is>
      </c>
      <c r="C17" s="41" t="inlineStr">
        <is>
          <t>Not Started</t>
        </is>
      </c>
      <c r="D17" s="41" t="inlineStr">
        <is>
          <t>Missing</t>
        </is>
      </c>
      <c r="E17" s="41" t="inlineStr">
        <is>
          <t>Unable to Conclude</t>
        </is>
      </c>
      <c r="F17" s="41" t="inlineStr">
        <is>
          <t>None</t>
        </is>
      </c>
      <c r="G17" s="42" t="inlineStr">
        <is>
          <t>Unsigned</t>
        </is>
      </c>
      <c r="H17" s="42">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42" t="inlineStr">
        <is>
          <t>7. Select raw materials from the YE inventory listing and obtain the purchase history over the test period; confirm quantity coverage (≥ YE quantity).</t>
        </is>
      </c>
      <c r="J17" s="42" t="inlineStr">
        <is>
          <t>Valuation &amp; Allocation; Existence</t>
        </is>
      </c>
      <c r="K17" s="42" t="inlineStr">
        <is>
          <t>&lt;.3&gt;</t>
        </is>
      </c>
      <c r="L17" s="42" t="n"/>
      <c r="M17" s="43" t="n"/>
      <c r="N17" s="42" t="n"/>
      <c r="O17" s="42" t="n"/>
      <c r="P17" s="42" t="inlineStr">
        <is>
          <t>PROC:PROC-INVENTORY; PROC:RESP-INVENTORY-INVENTORY</t>
        </is>
      </c>
      <c r="Q17" s="42" t="n"/>
    </row>
    <row r="18" ht="120" customHeight="1">
      <c r="A18" s="41" t="inlineStr">
        <is>
          <t>Applicable</t>
        </is>
      </c>
      <c r="B18" s="41" t="inlineStr">
        <is>
          <t>Required</t>
        </is>
      </c>
      <c r="C18" s="41" t="inlineStr">
        <is>
          <t>Not Started</t>
        </is>
      </c>
      <c r="D18" s="41" t="inlineStr">
        <is>
          <t>Missing</t>
        </is>
      </c>
      <c r="E18" s="41" t="inlineStr">
        <is>
          <t>Unable to Conclude</t>
        </is>
      </c>
      <c r="F18" s="41" t="inlineStr">
        <is>
          <t>None</t>
        </is>
      </c>
      <c r="G18" s="42" t="inlineStr">
        <is>
          <t>Unsigned</t>
        </is>
      </c>
      <c r="H18" s="42">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42" t="inlineStr">
        <is>
          <t>8. Recompute the weighted-average unit cost (total period purchase cost ÷ total period purchase quantity), compare to the listing unit cost, and extend the per-unit difference over the YE quantity.</t>
        </is>
      </c>
      <c r="J18" s="42" t="inlineStr">
        <is>
          <t>Valuation &amp; Allocation; Accuracy</t>
        </is>
      </c>
      <c r="K18" s="42" t="inlineStr">
        <is>
          <t>&lt;.3&gt;</t>
        </is>
      </c>
      <c r="L18" s="42" t="n"/>
      <c r="M18" s="43" t="n"/>
      <c r="N18" s="42" t="n"/>
      <c r="O18" s="42" t="n"/>
      <c r="P18" s="42" t="inlineStr">
        <is>
          <t>PROC:PROC-INVENTORY; PROC:RESP-INVENTORY-INVENTORY</t>
        </is>
      </c>
      <c r="Q18" s="42" t="n"/>
    </row>
    <row r="19" ht="120" customHeight="1">
      <c r="A19" s="41" t="inlineStr">
        <is>
          <t>Applicable</t>
        </is>
      </c>
      <c r="B19" s="41" t="inlineStr">
        <is>
          <t>Required</t>
        </is>
      </c>
      <c r="C19" s="41" t="inlineStr">
        <is>
          <t>Not Started</t>
        </is>
      </c>
      <c r="D19" s="41" t="inlineStr">
        <is>
          <t>Missing</t>
        </is>
      </c>
      <c r="E19" s="41" t="inlineStr">
        <is>
          <t>Unable to Conclude</t>
        </is>
      </c>
      <c r="F19" s="41" t="inlineStr">
        <is>
          <t>None</t>
        </is>
      </c>
      <c r="G19" s="42" t="inlineStr">
        <is>
          <t>Unsigned</t>
        </is>
      </c>
      <c r="H19" s="42">
        <f>IF(A19="Not Applicable - Fact Driven",IF(AND(C19="Not Performed",D19="Not Required",OR(F19="None",F19="Resolved",F19="Passed"),OR(G19="Prepared",G19="Reviewed"),LEFT(O19,6)="FACT:/",Q19&lt;&gt;""),"Valid N/A","Blocked"),IF(AND(B19="Recommended",C19="Not Performed",D19="Not Required",OR(F19="None",F19="Resolved",F19="Passed")),"Recommended - Not Performed",IF(C19&lt;&gt;"Performed","Open - "&amp;C19,IF(D19&lt;&gt;"Sufficient","Open - "&amp;D19&amp;" Evidence",IF(E19="Unable to Conclude","Open - Unable to Conclude",IF(AND(E19="Exception Identified",ISERROR(SEARCH("ISSUE:",P19))),"Open - Missing Issue ID",IF(AND(F19="Open",ISERROR(SEARCH("ISSUE:",P19))),"Open - Missing Issue ID",IF(OR(F19="Open",F19="Superseded"),"Open - "&amp;F19&amp;" Issue",IF(AND(E19="Exception Identified",NOT(OR(F19="Adjusted",F19="Passed",F19="Resolved"))),"Open - Undispositioned Exception",IF(OR(G19="Prepared",G19="Reviewed"),"Passed","Open - Unsigned"))))))))))</f>
        <v/>
      </c>
      <c r="I19" s="42" t="inlineStr">
        <is>
          <t>9. Vouch one invoice per selection from the purchase report for cost accuracy.</t>
        </is>
      </c>
      <c r="J19" s="42" t="inlineStr">
        <is>
          <t>Accuracy</t>
        </is>
      </c>
      <c r="K19" s="42" t="inlineStr">
        <is>
          <t>&lt;.3&gt;</t>
        </is>
      </c>
      <c r="L19" s="42" t="n"/>
      <c r="M19" s="43" t="n"/>
      <c r="N19" s="42" t="n"/>
      <c r="O19" s="42" t="n"/>
      <c r="P19" s="42" t="inlineStr">
        <is>
          <t>PROC:PROC-INVENTORY; PROC:RESP-INVENTORY-INVENTORY</t>
        </is>
      </c>
      <c r="Q19" s="42" t="n"/>
    </row>
    <row r="20">
      <c r="A20" s="39" t="n"/>
      <c r="B20" s="35" t="n"/>
      <c r="C20" s="35" t="n"/>
      <c r="D20" s="35" t="n"/>
      <c r="E20" s="35" t="n"/>
      <c r="F20" s="35" t="n"/>
      <c r="G20" s="35" t="n"/>
      <c r="H20" s="35" t="n"/>
      <c r="I20" s="44" t="inlineStr">
        <is>
          <t>&lt;.4&gt; Capitalized Variance</t>
        </is>
      </c>
      <c r="J20" s="35" t="n"/>
      <c r="K20" s="35" t="n"/>
      <c r="L20" s="35" t="n"/>
      <c r="M20" s="35" t="n"/>
      <c r="N20" s="35" t="n"/>
      <c r="O20" s="35" t="n"/>
      <c r="P20" s="35" t="n"/>
      <c r="Q20" s="35" t="n"/>
    </row>
    <row r="21" ht="120" customHeight="1">
      <c r="A21" s="41" t="inlineStr">
        <is>
          <t>Applicable</t>
        </is>
      </c>
      <c r="B21" s="41" t="inlineStr">
        <is>
          <t>Required</t>
        </is>
      </c>
      <c r="C21" s="41" t="inlineStr">
        <is>
          <t>Not Started</t>
        </is>
      </c>
      <c r="D21" s="41" t="inlineStr">
        <is>
          <t>Missing</t>
        </is>
      </c>
      <c r="E21" s="41" t="inlineStr">
        <is>
          <t>Unable to Conclude</t>
        </is>
      </c>
      <c r="F21" s="41" t="inlineStr">
        <is>
          <t>None</t>
        </is>
      </c>
      <c r="G21" s="42" t="inlineStr">
        <is>
          <t>Unsigned</t>
        </is>
      </c>
      <c r="H21" s="42">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42" t="inlineStr">
        <is>
          <t>10. Compile the full-period variance pool (PPV, usage, labor rate / efficiency, OH spend / volume) from the GL and split out ABNORMAL amounts (idle facility, excess spoilage, double freight, rehandling) as period costs.</t>
        </is>
      </c>
      <c r="J21" s="42" t="inlineStr">
        <is>
          <t>Valuation &amp; Allocation; Completeness</t>
        </is>
      </c>
      <c r="K21" s="42" t="inlineStr">
        <is>
          <t>&lt;.4&gt;</t>
        </is>
      </c>
      <c r="L21" s="42" t="n"/>
      <c r="M21" s="43" t="n"/>
      <c r="N21" s="42" t="n"/>
      <c r="O21" s="42" t="n"/>
      <c r="P21" s="42" t="inlineStr">
        <is>
          <t>PROC:PROC-INVENTORY; PROC:RESP-INVENTORY-INVENTORY</t>
        </is>
      </c>
      <c r="Q21" s="42" t="n"/>
    </row>
    <row r="22" ht="120" customHeight="1">
      <c r="A22" s="41" t="inlineStr">
        <is>
          <t>Applicable</t>
        </is>
      </c>
      <c r="B22" s="41" t="inlineStr">
        <is>
          <t>Required</t>
        </is>
      </c>
      <c r="C22" s="41" t="inlineStr">
        <is>
          <t>Not Started</t>
        </is>
      </c>
      <c r="D22" s="41" t="inlineStr">
        <is>
          <t>Missing</t>
        </is>
      </c>
      <c r="E22" s="41" t="inlineStr">
        <is>
          <t>Unable to Conclude</t>
        </is>
      </c>
      <c r="F22" s="41" t="inlineStr">
        <is>
          <t>None</t>
        </is>
      </c>
      <c r="G22" s="42" t="inlineStr">
        <is>
          <t>Unsigned</t>
        </is>
      </c>
      <c r="H22" s="42">
        <f>IF(A22="Not Applicable - Fact Driven",IF(AND(C22="Not Performed",D22="Not Required",OR(F22="None",F22="Resolved",F22="Passed"),OR(G22="Prepared",G22="Reviewed"),LEFT(O22,6)="FACT:/",Q22&lt;&gt;""),"Valid N/A","Blocked"),IF(AND(B22="Recommended",C22="Not Performed",D22="Not Required",OR(F22="None",F22="Resolved",F22="Passed")),"Recommended - Not Performed",IF(C22&lt;&gt;"Performed","Open - "&amp;C22,IF(D22&lt;&gt;"Sufficient","Open - "&amp;D22&amp;" Evidence",IF(E22="Unable to Conclude","Open - Unable to Conclude",IF(AND(E22="Exception Identified",ISERROR(SEARCH("ISSUE:",P22))),"Open - Missing Issue ID",IF(AND(F22="Open",ISERROR(SEARCH("ISSUE:",P22))),"Open - Missing Issue ID",IF(OR(F22="Open",F22="Superseded"),"Open - "&amp;F22&amp;" Issue",IF(AND(E22="Exception Identified",NOT(OR(F22="Adjusted",F22="Passed",F22="Resolved"))),"Open - Undispositioned Exception",IF(OR(G22="Prepared",G22="Reviewed"),"Passed","Open - Unsigned"))))))))))</f>
        <v/>
      </c>
      <c r="I22" s="42" t="inlineStr">
        <is>
          <t>11. Compute the inventory-on-hand ratio (ending inventory at standard ÷ total throughput at standard) and the variance to capitalize (normal pool × ratio).</t>
        </is>
      </c>
      <c r="J22" s="42" t="inlineStr">
        <is>
          <t>Valuation &amp; Allocation; Accuracy</t>
        </is>
      </c>
      <c r="K22" s="42" t="inlineStr">
        <is>
          <t>&lt;.4&gt;</t>
        </is>
      </c>
      <c r="L22" s="42" t="n"/>
      <c r="M22" s="43" t="n"/>
      <c r="N22" s="42" t="n"/>
      <c r="O22" s="42" t="n"/>
      <c r="P22" s="42" t="inlineStr">
        <is>
          <t>PROC:PROC-INVENTORY; PROC:RESP-INVENTORY-INVENTORY</t>
        </is>
      </c>
      <c r="Q22" s="42" t="n"/>
    </row>
    <row r="23" ht="120" customHeight="1">
      <c r="A23" s="41" t="inlineStr">
        <is>
          <t>Applicable</t>
        </is>
      </c>
      <c r="B23" s="41" t="inlineStr">
        <is>
          <t>Required</t>
        </is>
      </c>
      <c r="C23" s="41" t="inlineStr">
        <is>
          <t>Not Started</t>
        </is>
      </c>
      <c r="D23" s="41" t="inlineStr">
        <is>
          <t>Missing</t>
        </is>
      </c>
      <c r="E23" s="41" t="inlineStr">
        <is>
          <t>Unable to Conclude</t>
        </is>
      </c>
      <c r="F23" s="41" t="inlineStr">
        <is>
          <t>None</t>
        </is>
      </c>
      <c r="G23" s="42" t="inlineStr">
        <is>
          <t>Unsigned</t>
        </is>
      </c>
      <c r="H23" s="42">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42" t="inlineStr">
        <is>
          <t>12. Compare the recomputed capitalizable variance to the capitalized variance recorded on the balance sheet and propose an adjustment for the difference, so that year-end standard cost approximates actual (ASC 330; PwC IV 1.3 / 1.4.2).</t>
        </is>
      </c>
      <c r="J23" s="42" t="inlineStr">
        <is>
          <t>Valuation &amp; Allocation</t>
        </is>
      </c>
      <c r="K23" s="42" t="inlineStr">
        <is>
          <t>&lt;.4&gt;</t>
        </is>
      </c>
      <c r="L23" s="42" t="n"/>
      <c r="M23" s="43" t="n"/>
      <c r="N23" s="42" t="n"/>
      <c r="O23" s="42" t="n"/>
      <c r="P23" s="42" t="inlineStr">
        <is>
          <t>PROC:PROC-INVENTORY; PROC:RESP-INVENTORY-INVENTORY</t>
        </is>
      </c>
      <c r="Q23" s="42" t="n"/>
    </row>
    <row r="24">
      <c r="A24" s="39" t="n"/>
      <c r="B24" s="35" t="n"/>
      <c r="C24" s="35" t="n"/>
      <c r="D24" s="35" t="n"/>
      <c r="E24" s="35" t="n"/>
      <c r="F24" s="35" t="n"/>
      <c r="G24" s="35" t="n"/>
      <c r="H24" s="35" t="n"/>
      <c r="I24" s="44" t="inlineStr">
        <is>
          <t>&lt;.5&gt; Labor &amp; OH Variance</t>
        </is>
      </c>
      <c r="J24" s="35" t="n"/>
      <c r="K24" s="35" t="n"/>
      <c r="L24" s="35" t="n"/>
      <c r="M24" s="35" t="n"/>
      <c r="N24" s="35" t="n"/>
      <c r="O24" s="35" t="n"/>
      <c r="P24" s="35" t="n"/>
      <c r="Q24" s="35" t="n"/>
    </row>
    <row r="25" ht="120" customHeight="1">
      <c r="A25" s="41" t="inlineStr">
        <is>
          <t>Applicable</t>
        </is>
      </c>
      <c r="B25" s="41" t="inlineStr">
        <is>
          <t>Required</t>
        </is>
      </c>
      <c r="C25" s="41" t="inlineStr">
        <is>
          <t>Not Started</t>
        </is>
      </c>
      <c r="D25" s="41" t="inlineStr">
        <is>
          <t>Missing</t>
        </is>
      </c>
      <c r="E25" s="41" t="inlineStr">
        <is>
          <t>Unable to Conclude</t>
        </is>
      </c>
      <c r="F25" s="41" t="inlineStr">
        <is>
          <t>None</t>
        </is>
      </c>
      <c r="G25" s="42" t="inlineStr">
        <is>
          <t>Unsigned</t>
        </is>
      </c>
      <c r="H25" s="42">
        <f>IF(A25="Not Applicable - Fact Driven",IF(AND(C25="Not Performed",D25="Not Required",OR(F25="None",F25="Resolved",F25="Passed"),OR(G25="Prepared",G25="Reviewed"),LEFT(O25,6)="FACT:/",Q25&lt;&gt;""),"Valid N/A","Blocked"),IF(AND(B25="Recommended",C25="Not Performed",D25="Not Required",OR(F25="None",F25="Resolved",F25="Passed")),"Recommended - Not Performed",IF(C25&lt;&gt;"Performed","Open - "&amp;C25,IF(D25&lt;&gt;"Sufficient","Open - "&amp;D25&amp;" Evidence",IF(E25="Unable to Conclude","Open - Unable to Conclude",IF(AND(E25="Exception Identified",ISERROR(SEARCH("ISSUE:",P25))),"Open - Missing Issue ID",IF(AND(F25="Open",ISERROR(SEARCH("ISSUE:",P25))),"Open - Missing Issue ID",IF(OR(F25="Open",F25="Superseded"),"Open - "&amp;F25&amp;" Issue",IF(AND(E25="Exception Identified",NOT(OR(F25="Adjusted",F25="Passed",F25="Resolved"))),"Open - Undispositioned Exception",IF(OR(G25="Prepared",G25="Reviewed"),"Passed","Open - Unsigned"))))))))))</f>
        <v/>
      </c>
      <c r="I25" s="42" t="inlineStr">
        <is>
          <t>13. Recompute labor rate and efficiency variances (standard vs actual rates and hours) to supporting payroll / routing data.</t>
        </is>
      </c>
      <c r="J25" s="42" t="inlineStr">
        <is>
          <t>Valuation &amp; Allocation; Accuracy</t>
        </is>
      </c>
      <c r="K25" s="42" t="inlineStr">
        <is>
          <t>&lt;.5&gt;</t>
        </is>
      </c>
      <c r="L25" s="42" t="n"/>
      <c r="M25" s="43" t="n"/>
      <c r="N25" s="42" t="n"/>
      <c r="O25" s="42" t="n"/>
      <c r="P25" s="42" t="inlineStr">
        <is>
          <t>PROC:PROC-INVENTORY; PROC:RESP-INVENTORY-INVENTORY</t>
        </is>
      </c>
      <c r="Q25" s="42" t="n"/>
    </row>
    <row r="26" ht="120" customHeight="1">
      <c r="A26" s="41" t="inlineStr">
        <is>
          <t>Applicable</t>
        </is>
      </c>
      <c r="B26" s="41" t="inlineStr">
        <is>
          <t>Required</t>
        </is>
      </c>
      <c r="C26" s="41" t="inlineStr">
        <is>
          <t>Not Started</t>
        </is>
      </c>
      <c r="D26" s="41" t="inlineStr">
        <is>
          <t>Missing</t>
        </is>
      </c>
      <c r="E26" s="41" t="inlineStr">
        <is>
          <t>Unable to Conclude</t>
        </is>
      </c>
      <c r="F26" s="41" t="inlineStr">
        <is>
          <t>None</t>
        </is>
      </c>
      <c r="G26" s="42" t="inlineStr">
        <is>
          <t>Unsigned</t>
        </is>
      </c>
      <c r="H26" s="42">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42" t="inlineStr">
        <is>
          <t>14. Recompute overhead absorption (application rate × actual driver vs actual overhead incurred) and quantify over / under-absorption.</t>
        </is>
      </c>
      <c r="J26" s="42" t="inlineStr">
        <is>
          <t>Valuation &amp; Allocation; Accuracy</t>
        </is>
      </c>
      <c r="K26" s="42" t="inlineStr">
        <is>
          <t>&lt;.5&gt;</t>
        </is>
      </c>
      <c r="L26" s="42" t="n"/>
      <c r="M26" s="43" t="n"/>
      <c r="N26" s="42" t="n"/>
      <c r="O26" s="42" t="n"/>
      <c r="P26" s="42" t="inlineStr">
        <is>
          <t>PROC:PROC-INVENTORY; PROC:RESP-INVENTORY-INVENTORY</t>
        </is>
      </c>
      <c r="Q26" s="42" t="n"/>
    </row>
    <row r="27" ht="120" customHeight="1">
      <c r="A27" s="41" t="inlineStr">
        <is>
          <t>Applicable</t>
        </is>
      </c>
      <c r="B27" s="41" t="inlineStr">
        <is>
          <t>Required</t>
        </is>
      </c>
      <c r="C27" s="41" t="inlineStr">
        <is>
          <t>Not Started</t>
        </is>
      </c>
      <c r="D27" s="41" t="inlineStr">
        <is>
          <t>Missing</t>
        </is>
      </c>
      <c r="E27" s="41" t="inlineStr">
        <is>
          <t>Unable to Conclude</t>
        </is>
      </c>
      <c r="F27" s="41" t="inlineStr">
        <is>
          <t>None</t>
        </is>
      </c>
      <c r="G27" s="42" t="inlineStr">
        <is>
          <t>Unsigned</t>
        </is>
      </c>
      <c r="H27" s="42">
        <f>IF(A27="Not Applicable - Fact Driven",IF(AND(C27="Not Performed",D27="Not Required",OR(F27="None",F27="Resolved",F27="Passed"),OR(G27="Prepared",G27="Reviewed"),LEFT(O27,6)="FACT:/",Q27&lt;&gt;""),"Valid N/A","Blocked"),IF(AND(B27="Recommended",C27="Not Performed",D27="Not Required",OR(F27="None",F27="Resolved",F27="Passed")),"Recommended - Not Performed",IF(C27&lt;&gt;"Performed","Open - "&amp;C27,IF(D27&lt;&gt;"Sufficient","Open - "&amp;D27&amp;" Evidence",IF(E27="Unable to Conclude","Open - Unable to Conclude",IF(AND(E27="Exception Identified",ISERROR(SEARCH("ISSUE:",P27))),"Open - Missing Issue ID",IF(AND(F27="Open",ISERROR(SEARCH("ISSUE:",P27))),"Open - Missing Issue ID",IF(OR(F27="Open",F27="Superseded"),"Open - "&amp;F27&amp;" Issue",IF(AND(E27="Exception Identified",NOT(OR(F27="Adjusted",F27="Passed",F27="Resolved"))),"Open - Undispositioned Exception",IF(OR(G27="Prepared",G27="Reviewed"),"Passed","Open - Unsigned"))))))))))</f>
        <v/>
      </c>
      <c r="I27" s="42" t="inlineStr">
        <is>
          <t>15. Evaluate normal capacity: with abnormally LOW production, fixed OH per unit is NOT increased (unallocated OH expensed); abnormal costs are expensed as incurred (ASC 330-10-30-3 to 30-8); route normal variances to the &lt;.4&gt; pool.</t>
        </is>
      </c>
      <c r="J27" s="42" t="inlineStr">
        <is>
          <t>Valuation &amp; Allocation</t>
        </is>
      </c>
      <c r="K27" s="42" t="inlineStr">
        <is>
          <t>&lt;.5&gt;/&lt;.4&gt;</t>
        </is>
      </c>
      <c r="L27" s="42" t="n"/>
      <c r="M27" s="43" t="n"/>
      <c r="N27" s="42" t="n"/>
      <c r="O27" s="42" t="n"/>
      <c r="P27" s="42" t="inlineStr">
        <is>
          <t>PROC:PROC-INVENTORY; PROC:RESP-INVENTORY-INVENTORY</t>
        </is>
      </c>
      <c r="Q27" s="42" t="n"/>
    </row>
    <row r="28">
      <c r="A28" s="39" t="n"/>
      <c r="B28" s="35" t="n"/>
      <c r="C28" s="35" t="n"/>
      <c r="D28" s="35" t="n"/>
      <c r="E28" s="35" t="n"/>
      <c r="F28" s="35" t="n"/>
      <c r="G28" s="35" t="n"/>
      <c r="H28" s="35" t="n"/>
      <c r="I28" s="44" t="inlineStr">
        <is>
          <t>&lt;.6&gt; FG Cost Buildup &amp; BOM</t>
        </is>
      </c>
      <c r="J28" s="35" t="n"/>
      <c r="K28" s="35" t="n"/>
      <c r="L28" s="35" t="n"/>
      <c r="M28" s="35" t="n"/>
      <c r="N28" s="35" t="n"/>
      <c r="O28" s="35" t="n"/>
      <c r="P28" s="35" t="n"/>
      <c r="Q28" s="35" t="n"/>
    </row>
    <row r="29" ht="120" customHeight="1">
      <c r="A29" s="41" t="inlineStr">
        <is>
          <t>Applicable</t>
        </is>
      </c>
      <c r="B29" s="41" t="inlineStr">
        <is>
          <t>Required</t>
        </is>
      </c>
      <c r="C29" s="41" t="inlineStr">
        <is>
          <t>Not Started</t>
        </is>
      </c>
      <c r="D29" s="41" t="inlineStr">
        <is>
          <t>Missing</t>
        </is>
      </c>
      <c r="E29" s="41" t="inlineStr">
        <is>
          <t>Unable to Conclude</t>
        </is>
      </c>
      <c r="F29" s="41" t="inlineStr">
        <is>
          <t>None</t>
        </is>
      </c>
      <c r="G29" s="42" t="inlineStr">
        <is>
          <t>Unsigned</t>
        </is>
      </c>
      <c r="H29" s="42">
        <f>IF(A29="Not Applicable - Fact Driven",IF(AND(C29="Not Performed",D29="Not Required",OR(F29="None",F29="Resolved",F29="Passed"),OR(G29="Prepared",G29="Reviewed"),LEFT(O29,6)="FACT:/",Q29&lt;&gt;""),"Valid N/A","Blocked"),IF(AND(B29="Recommended",C29="Not Performed",D29="Not Required",OR(F29="None",F29="Resolved",F29="Passed")),"Recommended - Not Performed",IF(C29&lt;&gt;"Performed","Open - "&amp;C29,IF(D29&lt;&gt;"Sufficient","Open - "&amp;D29&amp;" Evidence",IF(E29="Unable to Conclude","Open - Unable to Conclude",IF(AND(E29="Exception Identified",ISERROR(SEARCH("ISSUE:",P29))),"Open - Missing Issue ID",IF(AND(F29="Open",ISERROR(SEARCH("ISSUE:",P29))),"Open - Missing Issue ID",IF(OR(F29="Open",F29="Superseded"),"Open - "&amp;F29&amp;" Issue",IF(AND(E29="Exception Identified",NOT(OR(F29="Adjusted",F29="Passed",F29="Resolved"))),"Open - Undispositioned Exception",IF(OR(G29="Prepared",G29="Reviewed"),"Passed","Open - Unsigned"))))))))))</f>
        <v/>
      </c>
      <c r="I29" s="42" t="inlineStr">
        <is>
          <t>16. Select finished goods from the YE listing, obtain the cost breakup (RM + labor + OH), and verify the breakup sums to the FG unit cost per the listing.</t>
        </is>
      </c>
      <c r="J29" s="42" t="inlineStr">
        <is>
          <t>Valuation &amp; Allocation; Accuracy</t>
        </is>
      </c>
      <c r="K29" s="42" t="inlineStr">
        <is>
          <t>&lt;.6&gt;</t>
        </is>
      </c>
      <c r="L29" s="42" t="n"/>
      <c r="M29" s="43" t="n"/>
      <c r="N29" s="42" t="n"/>
      <c r="O29" s="42" t="n"/>
      <c r="P29" s="42" t="inlineStr">
        <is>
          <t>PROC:PROC-INVENTORY; PROC:RESP-INVENTORY-INVENTORY</t>
        </is>
      </c>
      <c r="Q29" s="42" t="n"/>
    </row>
    <row r="30" ht="120" customHeight="1">
      <c r="A30" s="41" t="inlineStr">
        <is>
          <t>Applicable</t>
        </is>
      </c>
      <c r="B30" s="41" t="inlineStr">
        <is>
          <t>Required</t>
        </is>
      </c>
      <c r="C30" s="41" t="inlineStr">
        <is>
          <t>Not Started</t>
        </is>
      </c>
      <c r="D30" s="41" t="inlineStr">
        <is>
          <t>Missing</t>
        </is>
      </c>
      <c r="E30" s="41" t="inlineStr">
        <is>
          <t>Unable to Conclude</t>
        </is>
      </c>
      <c r="F30" s="41" t="inlineStr">
        <is>
          <t>None</t>
        </is>
      </c>
      <c r="G30" s="42" t="inlineStr">
        <is>
          <t>Unsigned</t>
        </is>
      </c>
      <c r="H30" s="42">
        <f>IF(A30="Not Applicable - Fact Driven",IF(AND(C30="Not Performed",D30="Not Required",OR(F30="None",F30="Resolved",F30="Passed"),OR(G30="Prepared",G30="Reviewed"),LEFT(O30,6)="FACT:/",Q30&lt;&gt;""),"Valid N/A","Blocked"),IF(AND(B30="Recommended",C30="Not Performed",D30="Not Required",OR(F30="None",F30="Resolved",F30="Passed")),"Recommended - Not Performed",IF(C30&lt;&gt;"Performed","Open - "&amp;C30,IF(D30&lt;&gt;"Sufficient","Open - "&amp;D30&amp;" Evidence",IF(E30="Unable to Conclude","Open - Unable to Conclude",IF(AND(E30="Exception Identified",ISERROR(SEARCH("ISSUE:",P30))),"Open - Missing Issue ID",IF(AND(F30="Open",ISERROR(SEARCH("ISSUE:",P30))),"Open - Missing Issue ID",IF(OR(F30="Open",F30="Superseded"),"Open - "&amp;F30&amp;" Issue",IF(AND(E30="Exception Identified",NOT(OR(F30="Adjusted",F30="Passed",F30="Resolved"))),"Open - Undispositioned Exception",IF(OR(G30="Prepared",G30="Reviewed"),"Passed","Open - Unsigned"))))))))))</f>
        <v/>
      </c>
      <c r="I30" s="42" t="inlineStr">
        <is>
          <t>17. Verify the RM content from the bill of materials: BOM quantity × the RM unit cost per the tested RM inventory listing = the RM element of the buildup; agree labor hours × rates and OH driver × rate to &lt;.5&gt; support.</t>
        </is>
      </c>
      <c r="J30" s="42" t="inlineStr">
        <is>
          <t>Valuation &amp; Allocation; Accuracy</t>
        </is>
      </c>
      <c r="K30" s="42" t="inlineStr">
        <is>
          <t>&lt;.6&gt;/&lt;.2&gt;/&lt;.3&gt;/&lt;.5&gt;</t>
        </is>
      </c>
      <c r="L30" s="42" t="n"/>
      <c r="M30" s="43" t="n"/>
      <c r="N30" s="42" t="n"/>
      <c r="O30" s="42" t="n"/>
      <c r="P30" s="42" t="inlineStr">
        <is>
          <t>PROC:PROC-INVENTORY; PROC:RESP-INVENTORY-INVENTORY</t>
        </is>
      </c>
      <c r="Q30" s="42" t="n"/>
    </row>
    <row r="31">
      <c r="A31" s="39" t="n"/>
      <c r="B31" s="35" t="n"/>
      <c r="C31" s="35" t="n"/>
      <c r="D31" s="35" t="n"/>
      <c r="E31" s="35" t="n"/>
      <c r="F31" s="35" t="n"/>
      <c r="G31" s="35" t="n"/>
      <c r="H31" s="35" t="n"/>
      <c r="I31" s="44" t="inlineStr">
        <is>
          <t>&lt;.7&gt; Obsolescence &amp; Reserve</t>
        </is>
      </c>
      <c r="J31" s="35" t="n"/>
      <c r="K31" s="35" t="n"/>
      <c r="L31" s="35" t="n"/>
      <c r="M31" s="35" t="n"/>
      <c r="N31" s="35" t="n"/>
      <c r="O31" s="35" t="n"/>
      <c r="P31" s="35" t="n"/>
      <c r="Q31" s="35" t="n"/>
    </row>
    <row r="32" ht="120" customHeight="1">
      <c r="A32" s="41" t="inlineStr">
        <is>
          <t>Applicable</t>
        </is>
      </c>
      <c r="B32" s="41" t="inlineStr">
        <is>
          <t>Required</t>
        </is>
      </c>
      <c r="C32" s="41" t="inlineStr">
        <is>
          <t>Not Started</t>
        </is>
      </c>
      <c r="D32" s="41" t="inlineStr">
        <is>
          <t>Missing</t>
        </is>
      </c>
      <c r="E32" s="41" t="inlineStr">
        <is>
          <t>Unable to Conclude</t>
        </is>
      </c>
      <c r="F32" s="41" t="inlineStr">
        <is>
          <t>None</t>
        </is>
      </c>
      <c r="G32" s="42" t="inlineStr">
        <is>
          <t>Unsigned</t>
        </is>
      </c>
      <c r="H32" s="42">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42" t="inlineStr">
        <is>
          <t>18. Age the inventory by last usage / last sale, recompute the excess / obsolete reserve per the methodology, corroborate the percentages against historical scrap / sell-through, and compare to the recorded reserve.</t>
        </is>
      </c>
      <c r="J32" s="42" t="inlineStr">
        <is>
          <t>Valuation &amp; Allocation</t>
        </is>
      </c>
      <c r="K32" s="42" t="inlineStr">
        <is>
          <t>&lt;.7&gt;</t>
        </is>
      </c>
      <c r="L32" s="42" t="n"/>
      <c r="M32" s="43" t="n"/>
      <c r="N32" s="42" t="n"/>
      <c r="O32" s="42" t="n"/>
      <c r="P32" s="42" t="inlineStr">
        <is>
          <t>PROC:PROC-INVENTORY; PROC:RESP-INVENTORY-INVENTORY</t>
        </is>
      </c>
      <c r="Q32" s="42" t="n"/>
    </row>
    <row r="33" ht="120" customHeight="1">
      <c r="A33" s="41" t="inlineStr">
        <is>
          <t>Applicable</t>
        </is>
      </c>
      <c r="B33" s="41" t="inlineStr">
        <is>
          <t>Required</t>
        </is>
      </c>
      <c r="C33" s="41" t="inlineStr">
        <is>
          <t>Not Started</t>
        </is>
      </c>
      <c r="D33" s="41" t="inlineStr">
        <is>
          <t>Missing</t>
        </is>
      </c>
      <c r="E33" s="41" t="inlineStr">
        <is>
          <t>Unable to Conclude</t>
        </is>
      </c>
      <c r="F33" s="41" t="inlineStr">
        <is>
          <t>None</t>
        </is>
      </c>
      <c r="G33" s="42" t="inlineStr">
        <is>
          <t>Unsigned</t>
        </is>
      </c>
      <c r="H33" s="42">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42" t="inlineStr">
        <is>
          <t>19. Identify discontinued / superseded items and evaluate specific reserves.</t>
        </is>
      </c>
      <c r="J33" s="42" t="inlineStr">
        <is>
          <t>Valuation &amp; Allocation</t>
        </is>
      </c>
      <c r="K33" s="42" t="inlineStr">
        <is>
          <t>&lt;.7&gt;</t>
        </is>
      </c>
      <c r="L33" s="42" t="n"/>
      <c r="M33" s="43" t="n"/>
      <c r="N33" s="42" t="n"/>
      <c r="O33" s="42" t="n"/>
      <c r="P33" s="42" t="inlineStr">
        <is>
          <t>PROC:PROC-INVENTORY; PROC:RESP-INVENTORY-INVENTORY</t>
        </is>
      </c>
      <c r="Q33" s="42" t="n"/>
    </row>
    <row r="34">
      <c r="A34" s="39" t="n"/>
      <c r="B34" s="35" t="n"/>
      <c r="C34" s="35" t="n"/>
      <c r="D34" s="35" t="n"/>
      <c r="E34" s="35" t="n"/>
      <c r="F34" s="35" t="n"/>
      <c r="G34" s="35" t="n"/>
      <c r="H34" s="35" t="n"/>
      <c r="I34" s="40" t="inlineStr">
        <is>
          <t>&lt;.8&gt; NRV Testing</t>
        </is>
      </c>
      <c r="J34" s="35" t="n"/>
      <c r="K34" s="35" t="n"/>
      <c r="L34" s="35" t="n"/>
      <c r="M34" s="35" t="n"/>
      <c r="N34" s="35" t="n"/>
      <c r="O34" s="35" t="n"/>
      <c r="P34" s="35" t="n"/>
      <c r="Q34" s="35" t="n"/>
    </row>
    <row r="35" ht="120" customHeight="1">
      <c r="A35" s="41" t="inlineStr">
        <is>
          <t>Applicable</t>
        </is>
      </c>
      <c r="B35" s="41" t="inlineStr">
        <is>
          <t>Required</t>
        </is>
      </c>
      <c r="C35" s="41" t="inlineStr">
        <is>
          <t>Not Started</t>
        </is>
      </c>
      <c r="D35" s="41" t="inlineStr">
        <is>
          <t>Missing</t>
        </is>
      </c>
      <c r="E35" s="41" t="inlineStr">
        <is>
          <t>Unable to Conclude</t>
        </is>
      </c>
      <c r="F35" s="41" t="inlineStr">
        <is>
          <t>None</t>
        </is>
      </c>
      <c r="G35" s="42" t="inlineStr">
        <is>
          <t>Unsigned</t>
        </is>
      </c>
      <c r="H35" s="42">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42" t="inlineStr">
        <is>
          <t>20. Test lower of cost and NRV per selection — NRV = estimated selling price − costs to complete − costs to sell / dispose / transport — vouching selling prices to recent invoices or committed orders, and compute the write-down (max(0, cost − NRV)).</t>
        </is>
      </c>
      <c r="J35" s="42" t="inlineStr">
        <is>
          <t>Valuation &amp; Allocation</t>
        </is>
      </c>
      <c r="K35" s="42" t="inlineStr">
        <is>
          <t>&lt;.8&gt;</t>
        </is>
      </c>
      <c r="L35" s="42" t="n"/>
      <c r="M35" s="43" t="n"/>
      <c r="N35" s="42" t="n"/>
      <c r="O35" s="42" t="n"/>
      <c r="P35" s="42" t="inlineStr">
        <is>
          <t>PROC:PROC-INVENTORY; PROC:RESP-INVENTORY-INVENTORY</t>
        </is>
      </c>
      <c r="Q35" s="42" t="n"/>
    </row>
    <row r="36" ht="120" customHeight="1">
      <c r="A36" s="41" t="inlineStr">
        <is>
          <t>Applicable</t>
        </is>
      </c>
      <c r="B36" s="41" t="inlineStr">
        <is>
          <t>Required</t>
        </is>
      </c>
      <c r="C36" s="41" t="inlineStr">
        <is>
          <t>Not Started</t>
        </is>
      </c>
      <c r="D36" s="41" t="inlineStr">
        <is>
          <t>Missing</t>
        </is>
      </c>
      <c r="E36" s="41" t="inlineStr">
        <is>
          <t>Unable to Conclude</t>
        </is>
      </c>
      <c r="F36" s="41" t="inlineStr">
        <is>
          <t>None</t>
        </is>
      </c>
      <c r="G36" s="42" t="inlineStr">
        <is>
          <t>Unsigned</t>
        </is>
      </c>
      <c r="H36" s="42">
        <f>IF(A36="Not Applicable - Fact Driven",IF(AND(C36="Not Performed",D36="Not Required",OR(F36="None",F36="Resolved",F36="Passed"),OR(G36="Prepared",G36="Reviewed"),LEFT(O36,6)="FACT:/",Q36&lt;&gt;""),"Valid N/A","Blocked"),IF(AND(B36="Recommended",C36="Not Performed",D36="Not Required",OR(F36="None",F36="Resolved",F36="Passed")),"Recommended - Not Performed",IF(C36&lt;&gt;"Performed","Open - "&amp;C36,IF(D36&lt;&gt;"Sufficient","Open - "&amp;D36&amp;" Evidence",IF(E36="Unable to Conclude","Open - Unable to Conclude",IF(AND(E36="Exception Identified",ISERROR(SEARCH("ISSUE:",P36))),"Open - Missing Issue ID",IF(AND(F36="Open",ISERROR(SEARCH("ISSUE:",P36))),"Open - Missing Issue ID",IF(OR(F36="Open",F36="Superseded"),"Open - "&amp;F36&amp;" Issue",IF(AND(E36="Exception Identified",NOT(OR(F36="Adjusted",F36="Passed",F36="Resolved"))),"Open - Undispositioned Exception",IF(OR(G36="Prepared",G36="Reviewed"),"Passed","Open - Unsigned"))))))))))</f>
        <v/>
      </c>
      <c r="I36" s="42" t="inlineStr">
        <is>
          <t>21. Apply the correct unit of account and evaluate RM / WIP based on the finished product they will become (no write-down where the finished product sells at or above cost).</t>
        </is>
      </c>
      <c r="J36" s="42" t="inlineStr">
        <is>
          <t>Valuation &amp; Allocation</t>
        </is>
      </c>
      <c r="K36" s="42" t="inlineStr">
        <is>
          <t>&lt;.8&gt;</t>
        </is>
      </c>
      <c r="L36" s="42" t="n"/>
      <c r="M36" s="43" t="n"/>
      <c r="N36" s="42" t="n"/>
      <c r="O36" s="42" t="n"/>
      <c r="P36" s="42" t="inlineStr">
        <is>
          <t>PROC:PROC-INVENTORY; PROC:RESP-INVENTORY-INVENTORY</t>
        </is>
      </c>
      <c r="Q36" s="42" t="n"/>
    </row>
    <row r="37">
      <c r="A37" s="39" t="n"/>
      <c r="B37" s="35" t="n"/>
      <c r="C37" s="35" t="n"/>
      <c r="D37" s="35" t="n"/>
      <c r="E37" s="35" t="n"/>
      <c r="F37" s="35" t="n"/>
      <c r="G37" s="35" t="n"/>
      <c r="H37" s="35" t="n"/>
      <c r="I37" s="44" t="inlineStr">
        <is>
          <t>&lt;.9&gt; Analytics &amp; Disclosures</t>
        </is>
      </c>
      <c r="J37" s="35" t="n"/>
      <c r="K37" s="35" t="n"/>
      <c r="L37" s="35" t="n"/>
      <c r="M37" s="35" t="n"/>
      <c r="N37" s="35" t="n"/>
      <c r="O37" s="35" t="n"/>
      <c r="P37" s="35" t="n"/>
      <c r="Q37" s="35" t="n"/>
    </row>
    <row r="38" ht="120" customHeight="1">
      <c r="A38" s="41" t="inlineStr">
        <is>
          <t>Applicable</t>
        </is>
      </c>
      <c r="B38" s="41" t="inlineStr">
        <is>
          <t>Required</t>
        </is>
      </c>
      <c r="C38" s="41" t="inlineStr">
        <is>
          <t>Not Started</t>
        </is>
      </c>
      <c r="D38" s="41" t="inlineStr">
        <is>
          <t>Missing</t>
        </is>
      </c>
      <c r="E38" s="41" t="inlineStr">
        <is>
          <t>Unable to Conclude</t>
        </is>
      </c>
      <c r="F38" s="41" t="inlineStr">
        <is>
          <t>None</t>
        </is>
      </c>
      <c r="G38" s="42" t="inlineStr">
        <is>
          <t>Unsigned</t>
        </is>
      </c>
      <c r="H38" s="42">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42" t="inlineStr">
        <is>
          <t>22. Perform inventory analytics (turns, days on hand, margin, reserve %, variance % of purchases) and investigate unusual movements.</t>
        </is>
      </c>
      <c r="J38" s="42" t="inlineStr">
        <is>
          <t>Valuation &amp; Allocation</t>
        </is>
      </c>
      <c r="K38" s="42" t="inlineStr">
        <is>
          <t>&lt;.9&gt;</t>
        </is>
      </c>
      <c r="L38" s="42" t="n"/>
      <c r="M38" s="43" t="n"/>
      <c r="N38" s="42" t="n"/>
      <c r="O38" s="42" t="n"/>
      <c r="P38" s="42" t="inlineStr">
        <is>
          <t>PROC:PROC-INVENTORY; PROC:RESP-INVENTORY-INVENTORY</t>
        </is>
      </c>
      <c r="Q38" s="42" t="n"/>
    </row>
    <row r="39" ht="120" customHeight="1">
      <c r="A39" s="41" t="inlineStr">
        <is>
          <t>Applicable</t>
        </is>
      </c>
      <c r="B39" s="41" t="inlineStr">
        <is>
          <t>Required</t>
        </is>
      </c>
      <c r="C39" s="41" t="inlineStr">
        <is>
          <t>Not Started</t>
        </is>
      </c>
      <c r="D39" s="41" t="inlineStr">
        <is>
          <t>Missing</t>
        </is>
      </c>
      <c r="E39" s="41" t="inlineStr">
        <is>
          <t>Unable to Conclude</t>
        </is>
      </c>
      <c r="F39" s="41" t="inlineStr">
        <is>
          <t>None</t>
        </is>
      </c>
      <c r="G39" s="42" t="inlineStr">
        <is>
          <t>Unsigned</t>
        </is>
      </c>
      <c r="H39" s="42">
        <f>IF(A39="Not Applicable - Fact Driven",IF(AND(C39="Not Performed",D39="Not Required",OR(F39="None",F39="Resolved",F39="Passed"),OR(G39="Prepared",G39="Reviewed"),LEFT(O39,6)="FACT:/",Q39&lt;&gt;""),"Valid N/A","Blocked"),IF(AND(B39="Recommended",C39="Not Performed",D39="Not Required",OR(F39="None",F39="Resolved",F39="Passed")),"Recommended - Not Performed",IF(C39&lt;&gt;"Performed","Open - "&amp;C39,IF(D39&lt;&gt;"Sufficient","Open - "&amp;D39&amp;" Evidence",IF(E39="Unable to Conclude","Open - Unable to Conclude",IF(AND(E39="Exception Identified",ISERROR(SEARCH("ISSUE:",P39))),"Open - Missing Issue ID",IF(AND(F39="Open",ISERROR(SEARCH("ISSUE:",P39))),"Open - Missing Issue ID",IF(OR(F39="Open",F39="Superseded"),"Open - "&amp;F39&amp;" Issue",IF(AND(E39="Exception Identified",NOT(OR(F39="Adjusted",F39="Passed",F39="Resolved"))),"Open - Undispositioned Exception",IF(OR(G39="Prepared",G39="Reviewed"),"Passed","Open - Unsigned"))))))))))</f>
        <v/>
      </c>
      <c r="I39" s="42" t="inlineStr">
        <is>
          <t>23. Evaluate presentation and disclosure — cost-flow method, LCNRV policy and write-downs, capitalized-variance policy, pledged inventory, consignment, purchase commitments and losses (ASC 330-10-35-17).</t>
        </is>
      </c>
      <c r="J39" s="42" t="inlineStr">
        <is>
          <t>Presentation &amp; Disclosure</t>
        </is>
      </c>
      <c r="K39" s="42" t="inlineStr">
        <is>
          <t>&lt;.9&gt;</t>
        </is>
      </c>
      <c r="L39" s="42" t="n"/>
      <c r="M39" s="43" t="n"/>
      <c r="N39" s="42" t="n"/>
      <c r="O39" s="42" t="n"/>
      <c r="P39" s="42" t="inlineStr">
        <is>
          <t>PROC:PROC-INVENTORY; PROC:RESP-INVENTORY-INVENTORY</t>
        </is>
      </c>
      <c r="Q39" s="42" t="n"/>
    </row>
    <row r="40">
      <c r="A40" s="39" t="n"/>
      <c r="B40" s="35" t="n"/>
      <c r="C40" s="35" t="n"/>
      <c r="D40" s="35" t="n"/>
      <c r="E40" s="35" t="n"/>
      <c r="F40" s="35" t="n"/>
      <c r="G40" s="35" t="n"/>
      <c r="H40" s="35" t="n"/>
      <c r="I40" s="44" t="inlineStr">
        <is>
          <t>Documentation &amp; Review</t>
        </is>
      </c>
      <c r="J40" s="35" t="n"/>
      <c r="K40" s="35" t="n"/>
      <c r="L40" s="35" t="n"/>
      <c r="M40" s="35" t="n"/>
      <c r="N40" s="35" t="n"/>
      <c r="O40" s="35" t="n"/>
      <c r="P40" s="35" t="n"/>
      <c r="Q40" s="35" t="n"/>
    </row>
    <row r="41" ht="120" customHeight="1">
      <c r="A41" s="41" t="inlineStr">
        <is>
          <t>Applicable</t>
        </is>
      </c>
      <c r="B41" s="41" t="inlineStr">
        <is>
          <t>Required</t>
        </is>
      </c>
      <c r="C41" s="41" t="inlineStr">
        <is>
          <t>Not Started</t>
        </is>
      </c>
      <c r="D41" s="41" t="inlineStr">
        <is>
          <t>Missing</t>
        </is>
      </c>
      <c r="E41" s="41" t="inlineStr">
        <is>
          <t>Unable to Conclude</t>
        </is>
      </c>
      <c r="F41" s="41" t="inlineStr">
        <is>
          <t>None</t>
        </is>
      </c>
      <c r="G41" s="42" t="inlineStr">
        <is>
          <t>Unsigned</t>
        </is>
      </c>
      <c r="H41" s="42">
        <f>IF(A41="Not Applicable - Fact Driven",IF(AND(C41="Not Performed",D41="Not Required",OR(F41="None",F41="Resolved",F41="Passed"),OR(G41="Prepared",G41="Reviewed"),LEFT(O41,6)="FACT:/",Q41&lt;&gt;""),"Valid N/A","Blocked"),IF(AND(B41="Recommended",C41="Not Performed",D41="Not Required",OR(F41="None",F41="Resolved",F41="Passed")),"Recommended - Not Performed",IF(C41&lt;&gt;"Performed","Open - "&amp;C41,IF(D41&lt;&gt;"Sufficient","Open - "&amp;D41&amp;" Evidence",IF(E41="Unable to Conclude","Open - Unable to Conclude",IF(AND(E41="Exception Identified",ISERROR(SEARCH("ISSUE:",P41))),"Open - Missing Issue ID",IF(AND(F41="Open",ISERROR(SEARCH("ISSUE:",P41))),"Open - Missing Issue ID",IF(OR(F41="Open",F41="Superseded"),"Open - "&amp;F41&amp;" Issue",IF(AND(E41="Exception Identified",NOT(OR(F41="Adjusted",F41="Passed",F41="Resolved"))),"Open - Undispositioned Exception",IF(OR(G41="Prepared",G41="Reviewed"),"Passed","Open - Unsigned"))))))))))</f>
        <v/>
      </c>
      <c r="I41" s="42" t="inlineStr">
        <is>
          <t>24. Cross-reference each procedure to its workpaper tab and link it to the relevant assertion(s).</t>
        </is>
      </c>
      <c r="J41" s="42" t="inlineStr">
        <is>
          <t>Overall</t>
        </is>
      </c>
      <c r="K41" s="42" t="inlineStr">
        <is>
          <t>&lt;.0&gt;-&lt;.9&gt;</t>
        </is>
      </c>
      <c r="L41" s="42" t="n"/>
      <c r="M41" s="43" t="n"/>
      <c r="N41" s="42" t="n"/>
      <c r="O41" s="42" t="n"/>
      <c r="P41" s="42" t="inlineStr">
        <is>
          <t>PROC:PROC-INVENTORY; PROC:RESP-INVENTORY-INVENTORY</t>
        </is>
      </c>
      <c r="Q41" s="42" t="n"/>
    </row>
    <row r="42" ht="120" customHeight="1">
      <c r="A42" s="41" t="inlineStr">
        <is>
          <t>Applicable</t>
        </is>
      </c>
      <c r="B42" s="41" t="inlineStr">
        <is>
          <t>Required</t>
        </is>
      </c>
      <c r="C42" s="41" t="inlineStr">
        <is>
          <t>Not Started</t>
        </is>
      </c>
      <c r="D42" s="41" t="inlineStr">
        <is>
          <t>Missing</t>
        </is>
      </c>
      <c r="E42" s="41" t="inlineStr">
        <is>
          <t>Unable to Conclude</t>
        </is>
      </c>
      <c r="F42" s="41" t="inlineStr">
        <is>
          <t>None</t>
        </is>
      </c>
      <c r="G42" s="42" t="inlineStr">
        <is>
          <t>Unsigned</t>
        </is>
      </c>
      <c r="H42" s="42">
        <f>IF(A42="Not Applicable - Fact Driven",IF(AND(C42="Not Performed",D42="Not Required",OR(F42="None",F42="Resolved",F42="Passed"),OR(G42="Prepared",G42="Reviewed"),LEFT(O42,6)="FACT:/",Q42&lt;&gt;""),"Valid N/A","Blocked"),IF(AND(B42="Recommended",C42="Not Performed",D42="Not Required",OR(F42="None",F42="Resolved",F42="Passed")),"Recommended - Not Performed",IF(C42&lt;&gt;"Performed","Open - "&amp;C42,IF(D42&lt;&gt;"Sufficient","Open - "&amp;D42&amp;" Evidence",IF(E42="Unable to Conclude","Open - Unable to Conclude",IF(AND(E42="Exception Identified",ISERROR(SEARCH("ISSUE:",P42))),"Open - Missing Issue ID",IF(AND(F42="Open",ISERROR(SEARCH("ISSUE:",P42))),"Open - Missing Issue ID",IF(OR(F42="Open",F42="Superseded"),"Open - "&amp;F42&amp;" Issue",IF(AND(E42="Exception Identified",NOT(OR(F42="Adjusted",F42="Passed",F42="Resolved"))),"Open - Undispositioned Exception",IF(OR(G42="Prepared",G42="Reviewed"),"Passed","Open - Unsigned"))))))))))</f>
        <v/>
      </c>
      <c r="I42" s="42" t="inlineStr">
        <is>
          <t>25. Verify coverage, PPV, capitalization, buildup, reserve and NRV formulas foot correctly and the workbook source trail is complete.</t>
        </is>
      </c>
      <c r="J42" s="42" t="inlineStr">
        <is>
          <t>Accuracy; Completeness</t>
        </is>
      </c>
      <c r="K42" s="42" t="inlineStr">
        <is>
          <t>&lt;.2&gt;-&lt;.8&gt;</t>
        </is>
      </c>
      <c r="L42" s="42" t="n"/>
      <c r="M42" s="43" t="n"/>
      <c r="N42" s="42" t="n"/>
      <c r="O42" s="42" t="n"/>
      <c r="P42" s="42" t="inlineStr">
        <is>
          <t>PROC:PROC-INVENTORY; PROC:RESP-INVENTORY-INVENTORY</t>
        </is>
      </c>
      <c r="Q42" s="42" t="n"/>
    </row>
    <row r="43">
      <c r="A43" s="39" t="n"/>
      <c r="B43" s="35" t="n"/>
      <c r="C43" s="35" t="n"/>
      <c r="D43" s="35" t="n"/>
      <c r="E43" s="35" t="n"/>
      <c r="F43" s="35" t="n"/>
      <c r="G43" s="35" t="n"/>
      <c r="H43" s="35" t="n"/>
      <c r="I43" s="40" t="inlineStr">
        <is>
          <t>Conclusion</t>
        </is>
      </c>
      <c r="J43" s="35" t="n"/>
      <c r="K43" s="35" t="n"/>
      <c r="L43" s="35" t="n"/>
      <c r="M43" s="35" t="n"/>
      <c r="N43" s="35" t="n"/>
      <c r="O43" s="35" t="n"/>
      <c r="P43" s="35" t="n"/>
      <c r="Q43" s="35" t="n"/>
    </row>
    <row r="44" ht="120" customHeight="1">
      <c r="A44" s="41" t="inlineStr">
        <is>
          <t>Applicable</t>
        </is>
      </c>
      <c r="B44" s="41" t="inlineStr">
        <is>
          <t>Required</t>
        </is>
      </c>
      <c r="C44" s="41" t="inlineStr">
        <is>
          <t>Not Started</t>
        </is>
      </c>
      <c r="D44" s="41" t="inlineStr">
        <is>
          <t>Missing</t>
        </is>
      </c>
      <c r="E44" s="41" t="inlineStr">
        <is>
          <t>Unable to Conclude</t>
        </is>
      </c>
      <c r="F44" s="41" t="inlineStr">
        <is>
          <t>None</t>
        </is>
      </c>
      <c r="G44" s="42" t="inlineStr">
        <is>
          <t>Unsigned</t>
        </is>
      </c>
      <c r="H44" s="42">
        <f>IF(A44="Not Applicable - Fact Driven",IF(AND(C44="Not Performed",D44="Not Required",OR(F44="None",F44="Resolved",F44="Passed"),OR(G44="Prepared",G44="Reviewed"),LEFT(O44,6)="FACT:/",Q44&lt;&gt;""),"Valid N/A","Blocked"),IF(AND(B44="Recommended",C44="Not Performed",D44="Not Required",OR(F44="None",F44="Resolved",F44="Passed")),"Recommended - Not Performed",IF(C44&lt;&gt;"Performed","Open - "&amp;C44,IF(D44&lt;&gt;"Sufficient","Open - "&amp;D44&amp;" Evidence",IF(E44="Unable to Conclude","Open - Unable to Conclude",IF(AND(E44="Exception Identified",ISERROR(SEARCH("ISSUE:",P44))),"Open - Missing Issue ID",IF(AND(F44="Open",ISERROR(SEARCH("ISSUE:",P44))),"Open - Missing Issue ID",IF(OR(F44="Open",F44="Superseded"),"Open - "&amp;F44&amp;" Issue",IF(AND(E44="Exception Identified",NOT(OR(F44="Adjusted",F44="Passed",F44="Resolved"))),"Open - Undispositioned Exception",IF(OR(G44="Prepared",G44="Reviewed"),"Passed","Open - Unsigned"))))))))))</f>
        <v/>
      </c>
      <c r="I44" s="42" t="inlineStr">
        <is>
          <t>26. All planned costing and valuation procedures above were performed; results support inventory cost (approximating actual under the stated conventions) and net realizable value, subject to documented open items. Existence, completeness and cutoff are concluded on the companion workpaper.</t>
        </is>
      </c>
      <c r="J44" s="42" t="inlineStr">
        <is>
          <t>Overall</t>
        </is>
      </c>
      <c r="K44" s="42" t="inlineStr">
        <is>
          <t>&lt;.0&gt;-&lt;.9&gt;</t>
        </is>
      </c>
      <c r="L44" s="42" t="n"/>
      <c r="M44" s="43" t="n"/>
      <c r="N44" s="42" t="n"/>
      <c r="O44" s="42" t="n"/>
      <c r="P44" s="42" t="inlineStr">
        <is>
          <t>PROC:PROC-INVENTORY; PROC:RESP-INVENTORY-INVENTORY; WINDOW:WIN-INVENTORY-CUTOFF</t>
        </is>
      </c>
      <c r="Q44" s="42" t="n"/>
    </row>
  </sheetData>
  <autoFilter ref="A6:Q44"/>
  <mergeCells count="13">
    <mergeCell ref="I20:Q20"/>
    <mergeCell ref="I16:Q16"/>
    <mergeCell ref="I7:Q7"/>
    <mergeCell ref="I37:Q37"/>
    <mergeCell ref="I28:Q28"/>
    <mergeCell ref="I31:Q31"/>
    <mergeCell ref="I40:Q40"/>
    <mergeCell ref="I9:Q9"/>
    <mergeCell ref="I34:Q34"/>
    <mergeCell ref="I12:Q12"/>
    <mergeCell ref="I43:Q43"/>
    <mergeCell ref="I24:Q24"/>
    <mergeCell ref="A4:Q4"/>
  </mergeCells>
  <conditionalFormatting sqref="A8:Q44">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3 A14 A15 A17 A18 A19 A21 A22 A23 A25 A26 A27 A29 A30 A32 A33 A35 A36 A38 A39 A41 A42 A44" showDropDown="0" showInputMessage="0" showErrorMessage="0" allowBlank="0" type="list">
      <formula1>"Applicable,Not Applicable - Fact Driven"</formula1>
    </dataValidation>
    <dataValidation sqref="B8 B10 B11 B13 B14 B15 B17 B18 B19 B21 B22 B23 B25 B26 B27 B29 B30 B32 B33 B35 B36 B38 B39 B41 B42 B44" showDropDown="0" showInputMessage="0" showErrorMessage="0" allowBlank="0" type="list">
      <formula1>"Required,Recommended"</formula1>
    </dataValidation>
    <dataValidation sqref="C8 C10 C11 C13 C14 C15 C17 C18 C19 C21 C22 C23 C25 C26 C27 C29 C30 C32 C33 C35 C36 C38 C39 C41 C42 C44" showDropDown="0" showInputMessage="0" showErrorMessage="0" allowBlank="0" type="list">
      <formula1>"Not Started,In Progress,Performed,Not Performed"</formula1>
    </dataValidation>
    <dataValidation sqref="D8 D10 D11 D13 D14 D15 D17 D18 D19 D21 D22 D23 D25 D26 D27 D29 D30 D32 D33 D35 D36 D38 D39 D41 D42 D44" showDropDown="0" showInputMessage="0" showErrorMessage="0" allowBlank="0" type="list">
      <formula1>"Sufficient,Missing,Unreadable,Unreliable,Contradictory,Not Required"</formula1>
    </dataValidation>
    <dataValidation sqref="E8 E10 E11 E13 E14 E15 E17 E18 E19 E21 E22 E23 E25 E26 E27 E29 E30 E32 E33 E35 E36 E38 E39 E41 E42 E44" showDropDown="0" showInputMessage="0" showErrorMessage="0" allowBlank="0" type="list">
      <formula1>"No Exception,Exception Identified,Unable to Conclude"</formula1>
    </dataValidation>
    <dataValidation sqref="F8 F10 F11 F13 F14 F15 F17 F18 F19 F21 F22 F23 F25 F26 F27 F29 F30 F32 F33 F35 F36 F38 F39 F41 F42 F44" showDropDown="0" showInputMessage="0" showErrorMessage="0" allowBlank="0" type="list">
      <formula1>"None,Open,Adjusted,Passed,Resolved,Superseded"</formula1>
    </dataValidation>
    <dataValidation sqref="G8 G10 G11 G13 G14 G15 G17 G18 G19 G21 G22 G23 G25 G26 G27 G29 G30 G32 G33 G35 G36 G38 G39 G41 G42 G44"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L32"/>
  <sheetViews>
    <sheetView showGridLines="0" zoomScale="90" zoomScaleNormal="100" workbookViewId="0">
      <pane xSplit="1" ySplit="7" topLeftCell="B8" activePane="bottomRight" state="frozen"/>
      <selection pane="topRight"/>
      <selection pane="bottomLeft"/>
      <selection pane="bottomRight" activeCell="A6" sqref="A6"/>
    </sheetView>
  </sheetViews>
  <sheetFormatPr baseColWidth="8" defaultColWidth="8.6328125" defaultRowHeight="14.5"/>
  <cols>
    <col width="21.90625" bestFit="1" customWidth="1" min="1" max="1"/>
    <col width="38" customWidth="1" min="2" max="2"/>
    <col width="20" customWidth="1" min="3" max="3"/>
    <col width="37.7" customWidth="1" min="4" max="4"/>
    <col width="12" customWidth="1" min="5" max="5"/>
    <col width="24" customWidth="1" min="6" max="6"/>
    <col width="34" customWidth="1" min="7" max="7"/>
    <col width="18.15" customWidth="1" min="8" max="8"/>
    <col width="24" customWidth="1" min="9" max="9"/>
    <col width="24" customWidth="1" min="10" max="10"/>
    <col width="18" customWidth="1" min="11" max="11"/>
    <col width="24" customWidth="1" min="12" max="12"/>
  </cols>
  <sheetData>
    <row r="1" ht="17.5" customHeight="1">
      <c r="A1" s="45" t="inlineStr">
        <is>
          <t>Source Index</t>
        </is>
      </c>
      <c r="B1" s="35" t="n"/>
      <c r="C1" s="35" t="n"/>
      <c r="D1" s="35" t="n"/>
      <c r="E1" s="35" t="n"/>
      <c r="F1" s="35" t="n"/>
      <c r="G1" s="35" t="n"/>
      <c r="H1" s="35" t="n"/>
      <c r="I1" s="35" t="n"/>
      <c r="J1" s="35" t="n"/>
      <c r="K1" s="35" t="n"/>
      <c r="L1" s="35" t="n"/>
    </row>
    <row r="2">
      <c r="A2" s="46" t="inlineStr">
        <is>
          <t>Client / Entity</t>
        </is>
      </c>
      <c r="B2" s="36" t="inlineStr">
        <is>
          <t>Vaquite Industries, Inc.</t>
        </is>
      </c>
      <c r="C2" s="35" t="n"/>
      <c r="D2" s="46" t="inlineStr">
        <is>
          <t>Year-End</t>
        </is>
      </c>
      <c r="E2" s="47" t="n">
        <v>46022</v>
      </c>
      <c r="F2" s="35" t="n"/>
      <c r="G2" s="46" t="inlineStr">
        <is>
          <t>Currency</t>
        </is>
      </c>
      <c r="H2" s="48" t="inlineStr">
        <is>
          <t>USD</t>
        </is>
      </c>
      <c r="I2" s="35" t="n"/>
      <c r="J2" s="35" t="n"/>
      <c r="K2" s="35" t="n"/>
      <c r="L2" s="35" t="n"/>
    </row>
    <row r="3" ht="27" customHeight="1">
      <c r="A3" s="49" t="inlineStr">
        <is>
          <t>Performance Materiality</t>
        </is>
      </c>
      <c r="B3" s="50" t="n">
        <v>23100</v>
      </c>
      <c r="C3" s="35" t="n"/>
      <c r="D3" s="49" t="inlineStr">
        <is>
          <t>Tolerable misstatement / testing threshold</t>
        </is>
      </c>
      <c r="E3" s="50" t="n">
        <v>17400</v>
      </c>
      <c r="F3" s="35" t="n"/>
      <c r="G3" s="35" t="n"/>
      <c r="H3" s="35" t="n"/>
      <c r="I3" s="35" t="n"/>
      <c r="J3" s="35" t="n"/>
      <c r="K3" s="35" t="n"/>
      <c r="L3" s="35" t="n"/>
    </row>
    <row r="4" ht="27.75" customHeight="1">
      <c r="A4" s="51" t="inlineStr">
        <is>
          <t>Purpose:</t>
        </is>
      </c>
      <c r="B4" s="52" t="inlineStr">
        <is>
          <t>Map every costing / valuation PBC source and its limitations so the evidence trail is complete and traceable.</t>
        </is>
      </c>
      <c r="C4" s="53" t="n"/>
      <c r="D4" s="53" t="n"/>
      <c r="E4" s="53" t="n"/>
      <c r="F4" s="53" t="n"/>
      <c r="G4" s="53" t="n"/>
      <c r="H4" s="53" t="n"/>
      <c r="I4" s="53" t="n"/>
      <c r="J4" s="53" t="n"/>
      <c r="K4" s="53" t="n"/>
      <c r="L4" s="54" t="n"/>
    </row>
    <row r="5" ht="42" customHeight="1">
      <c r="A5" s="51" t="inlineStr">
        <is>
          <t>Scope:</t>
        </is>
      </c>
      <c r="B5" s="52" t="inlineStr">
        <is>
          <t>YE inventory listing, costing policy, standard-cost masters, purchase reports &amp; invoices, variance (PPV / labor / OH) account detail, BOMs, labor &amp; OH rate support, aging / usage reports, selling-price and cost-to-complete support.</t>
        </is>
      </c>
      <c r="C5" s="53" t="n"/>
      <c r="D5" s="53" t="n"/>
      <c r="E5" s="53" t="n"/>
      <c r="F5" s="53" t="n"/>
      <c r="G5" s="53" t="n"/>
      <c r="H5" s="53" t="n"/>
      <c r="I5" s="53" t="n"/>
      <c r="J5" s="53" t="n"/>
      <c r="K5" s="53" t="n"/>
      <c r="L5" s="54" t="n"/>
    </row>
    <row r="6" ht="15" customHeight="1">
      <c r="A6" s="51" t="inlineStr">
        <is>
          <t>Assertions:</t>
        </is>
      </c>
      <c r="B6" s="52" t="inlineStr">
        <is>
          <t>Completeness</t>
        </is>
      </c>
      <c r="C6" s="53" t="n"/>
      <c r="D6" s="53" t="n"/>
      <c r="E6" s="53" t="n"/>
      <c r="F6" s="53" t="n"/>
      <c r="G6" s="53" t="n"/>
      <c r="H6" s="53" t="n"/>
      <c r="I6" s="53" t="n"/>
      <c r="J6" s="53" t="n"/>
      <c r="K6" s="53" t="n"/>
      <c r="L6" s="54" t="n"/>
    </row>
    <row r="7" ht="30" customHeight="1">
      <c r="A7" s="55" t="inlineStr">
        <is>
          <t>Ref</t>
        </is>
      </c>
      <c r="B7" s="55" t="inlineStr">
        <is>
          <t>Source document / PBC</t>
        </is>
      </c>
      <c r="C7" s="55" t="inlineStr">
        <is>
          <t>Provided by</t>
        </is>
      </c>
      <c r="D7" s="55" t="inlineStr">
        <is>
          <t>Date received</t>
        </is>
      </c>
      <c r="E7" s="55" t="inlineStr">
        <is>
          <t>Format</t>
        </is>
      </c>
      <c r="F7" s="55" t="inlineStr">
        <is>
          <t>Used in tab(s)</t>
        </is>
      </c>
      <c r="G7" s="55" t="inlineStr">
        <is>
          <t>Limitations / notes</t>
        </is>
      </c>
      <c r="H7" s="55" t="inlineStr">
        <is>
          <t>Source record count</t>
        </is>
      </c>
      <c r="I7" s="55" t="inlineStr">
        <is>
          <t>Categories covered</t>
        </is>
      </c>
      <c r="J7" s="55" t="inlineStr">
        <is>
          <t>Source key field(s)</t>
        </is>
      </c>
      <c r="K7" s="55" t="inlineStr">
        <is>
          <t>Unique key count</t>
        </is>
      </c>
      <c r="L7" s="55" t="inlineStr">
        <is>
          <t>Control total(s)</t>
        </is>
      </c>
    </row>
    <row r="8">
      <c r="A8" s="56" t="n"/>
      <c r="B8" s="56" t="n"/>
      <c r="C8" s="56" t="n"/>
      <c r="D8" s="56" t="n"/>
      <c r="E8" s="56" t="n"/>
      <c r="F8" s="56" t="n"/>
      <c r="G8" s="56" t="n"/>
      <c r="H8" s="56" t="n"/>
      <c r="I8" s="56" t="n"/>
      <c r="J8" s="56" t="n"/>
      <c r="K8" s="56" t="n"/>
      <c r="L8" s="56" t="n"/>
    </row>
    <row r="9">
      <c r="A9" s="56" t="n"/>
      <c r="B9" s="56" t="n"/>
      <c r="C9" s="56" t="n"/>
      <c r="D9" s="56" t="n"/>
      <c r="E9" s="56" t="n"/>
      <c r="F9" s="56" t="n"/>
      <c r="G9" s="56" t="n"/>
      <c r="H9" s="56" t="n"/>
      <c r="I9" s="56" t="n"/>
      <c r="J9" s="56" t="n"/>
      <c r="K9" s="56" t="n"/>
      <c r="L9" s="56" t="n"/>
    </row>
    <row r="10">
      <c r="A10" s="56" t="n"/>
      <c r="B10" s="56" t="n"/>
      <c r="C10" s="56" t="n"/>
      <c r="D10" s="56" t="n"/>
      <c r="E10" s="56" t="n"/>
      <c r="F10" s="56" t="n"/>
      <c r="G10" s="56" t="n"/>
      <c r="H10" s="56" t="n"/>
      <c r="I10" s="56" t="n"/>
      <c r="J10" s="56" t="n"/>
      <c r="K10" s="56" t="n"/>
      <c r="L10" s="56" t="n"/>
    </row>
    <row r="11">
      <c r="A11" s="56" t="n"/>
      <c r="B11" s="56" t="n"/>
      <c r="C11" s="56" t="n"/>
      <c r="D11" s="56" t="n"/>
      <c r="E11" s="56" t="n"/>
      <c r="F11" s="56" t="n"/>
      <c r="G11" s="56" t="n"/>
      <c r="H11" s="56" t="n"/>
      <c r="I11" s="56" t="n"/>
      <c r="J11" s="56" t="n"/>
      <c r="K11" s="56" t="n"/>
      <c r="L11" s="56" t="n"/>
    </row>
    <row r="12">
      <c r="A12" s="56" t="n"/>
      <c r="B12" s="56" t="n"/>
      <c r="C12" s="56" t="n"/>
      <c r="D12" s="56" t="n"/>
      <c r="E12" s="56" t="n"/>
      <c r="F12" s="56" t="n"/>
      <c r="G12" s="56" t="n"/>
      <c r="H12" s="56" t="n"/>
      <c r="I12" s="56" t="n"/>
      <c r="J12" s="56" t="n"/>
      <c r="K12" s="56" t="n"/>
      <c r="L12" s="56" t="n"/>
    </row>
    <row r="13">
      <c r="A13" s="56" t="n"/>
      <c r="B13" s="56" t="n"/>
      <c r="C13" s="56" t="n"/>
      <c r="D13" s="56" t="n"/>
      <c r="E13" s="56" t="n"/>
      <c r="F13" s="56" t="n"/>
      <c r="G13" s="56" t="n"/>
      <c r="H13" s="56" t="n"/>
      <c r="I13" s="56" t="n"/>
      <c r="J13" s="56" t="n"/>
      <c r="K13" s="56" t="n"/>
      <c r="L13" s="56" t="n"/>
    </row>
    <row r="14">
      <c r="A14" s="56" t="n"/>
      <c r="B14" s="56" t="n"/>
      <c r="C14" s="56" t="n"/>
      <c r="D14" s="56" t="n"/>
      <c r="E14" s="56" t="n"/>
      <c r="F14" s="56" t="n"/>
      <c r="G14" s="56" t="n"/>
      <c r="H14" s="56" t="n"/>
      <c r="I14" s="56" t="n"/>
      <c r="J14" s="56" t="n"/>
      <c r="K14" s="56" t="n"/>
      <c r="L14" s="56" t="n"/>
    </row>
    <row r="15">
      <c r="A15" s="56" t="n"/>
      <c r="B15" s="56" t="n"/>
      <c r="C15" s="56" t="n"/>
      <c r="D15" s="56" t="n"/>
      <c r="E15" s="56" t="n"/>
      <c r="F15" s="56" t="n"/>
      <c r="G15" s="56" t="n"/>
      <c r="H15" s="56" t="n"/>
      <c r="I15" s="56" t="n"/>
      <c r="J15" s="56" t="n"/>
      <c r="K15" s="56" t="n"/>
      <c r="L15" s="56" t="n"/>
    </row>
    <row r="16">
      <c r="A16" s="56" t="n"/>
      <c r="B16" s="56" t="n"/>
      <c r="C16" s="56" t="n"/>
      <c r="D16" s="56" t="n"/>
      <c r="E16" s="56" t="n"/>
      <c r="F16" s="56" t="n"/>
      <c r="G16" s="56" t="n"/>
      <c r="H16" s="56" t="n"/>
      <c r="I16" s="56" t="n"/>
      <c r="J16" s="56" t="n"/>
      <c r="K16" s="56" t="n"/>
      <c r="L16" s="56" t="n"/>
    </row>
    <row r="17">
      <c r="A17" s="56" t="n"/>
      <c r="B17" s="56" t="n"/>
      <c r="C17" s="56" t="n"/>
      <c r="D17" s="56" t="n"/>
      <c r="E17" s="56" t="n"/>
      <c r="F17" s="56" t="n"/>
      <c r="G17" s="56" t="n"/>
      <c r="H17" s="56" t="n"/>
      <c r="I17" s="56" t="n"/>
      <c r="J17" s="56" t="n"/>
      <c r="K17" s="56" t="n"/>
      <c r="L17" s="56" t="n"/>
    </row>
    <row r="18">
      <c r="A18" s="56" t="n"/>
      <c r="B18" s="56" t="n"/>
      <c r="C18" s="56" t="n"/>
      <c r="D18" s="56" t="n"/>
      <c r="E18" s="56" t="n"/>
      <c r="F18" s="56" t="n"/>
      <c r="G18" s="56" t="n"/>
      <c r="H18" s="56" t="n"/>
      <c r="I18" s="56" t="n"/>
      <c r="J18" s="56" t="n"/>
      <c r="K18" s="56" t="n"/>
      <c r="L18" s="56" t="n"/>
    </row>
    <row r="19">
      <c r="A19" s="56" t="n"/>
      <c r="B19" s="56" t="n"/>
      <c r="C19" s="56" t="n"/>
      <c r="D19" s="56" t="n"/>
      <c r="E19" s="56" t="n"/>
      <c r="F19" s="56" t="n"/>
      <c r="G19" s="56" t="n"/>
      <c r="H19" s="56" t="n"/>
      <c r="I19" s="56" t="n"/>
      <c r="J19" s="56" t="n"/>
      <c r="K19" s="56" t="n"/>
      <c r="L19" s="56" t="n"/>
    </row>
    <row r="20">
      <c r="A20" s="35" t="n"/>
      <c r="B20" s="35" t="n"/>
      <c r="C20" s="35" t="n"/>
      <c r="D20" s="35" t="n"/>
      <c r="E20" s="35" t="n"/>
      <c r="F20" s="35" t="n"/>
      <c r="G20" s="35" t="n"/>
      <c r="H20" s="35" t="n"/>
      <c r="I20" s="35" t="n"/>
      <c r="J20" s="35" t="n"/>
      <c r="K20" s="35" t="n"/>
      <c r="L20" s="35" t="n"/>
    </row>
    <row r="21">
      <c r="A21" s="57" t="inlineStr">
        <is>
          <t>TM Legends</t>
        </is>
      </c>
      <c r="B21" s="35" t="n"/>
      <c r="C21" s="35" t="n"/>
      <c r="D21" s="35" t="n"/>
      <c r="E21" s="35" t="n"/>
      <c r="F21" s="35" t="n"/>
      <c r="G21" s="35" t="n"/>
      <c r="H21" s="35" t="n"/>
      <c r="I21" s="35" t="n"/>
      <c r="J21" s="35" t="n"/>
      <c r="K21" s="35" t="n"/>
      <c r="L21" s="35" t="n"/>
    </row>
    <row r="22">
      <c r="A22" s="58" t="inlineStr">
        <is>
          <t>TB</t>
        </is>
      </c>
      <c r="B22" s="41" t="inlineStr">
        <is>
          <t>Agreed to trial balance</t>
        </is>
      </c>
      <c r="C22" s="59" t="n"/>
      <c r="D22" s="60" t="n"/>
      <c r="E22" s="35" t="n"/>
      <c r="F22" s="35" t="n"/>
      <c r="G22" s="35" t="n"/>
      <c r="H22" s="35" t="n"/>
      <c r="I22" s="35" t="n"/>
      <c r="J22" s="35" t="n"/>
      <c r="K22" s="35" t="n"/>
      <c r="L22" s="35" t="n"/>
    </row>
    <row r="23">
      <c r="A23" s="58" t="inlineStr">
        <is>
          <t>GL</t>
        </is>
      </c>
      <c r="B23" s="41" t="inlineStr">
        <is>
          <t>Agreed to general ledger</t>
        </is>
      </c>
      <c r="C23" s="59" t="n"/>
      <c r="D23" s="60" t="n"/>
      <c r="E23" s="35" t="n"/>
      <c r="F23" s="35" t="n"/>
      <c r="G23" s="35" t="n"/>
      <c r="H23" s="35" t="n"/>
      <c r="I23" s="35" t="n"/>
      <c r="J23" s="35" t="n"/>
      <c r="K23" s="35" t="n"/>
      <c r="L23" s="35" t="n"/>
    </row>
    <row r="24">
      <c r="A24" s="58" t="inlineStr">
        <is>
          <t>CF</t>
        </is>
      </c>
      <c r="B24" s="41" t="inlineStr">
        <is>
          <t>Confirmed with third party</t>
        </is>
      </c>
      <c r="C24" s="59" t="n"/>
      <c r="D24" s="60" t="n"/>
      <c r="E24" s="35" t="n"/>
      <c r="F24" s="35" t="n"/>
      <c r="G24" s="35" t="n"/>
      <c r="H24" s="35" t="n"/>
      <c r="I24" s="35" t="n"/>
      <c r="J24" s="35" t="n"/>
      <c r="K24" s="35" t="n"/>
      <c r="L24" s="35" t="n"/>
    </row>
    <row r="25">
      <c r="A25" s="58" t="inlineStr">
        <is>
          <t>V</t>
        </is>
      </c>
      <c r="B25" s="41" t="inlineStr">
        <is>
          <t>Vouched to source document</t>
        </is>
      </c>
      <c r="C25" s="59" t="n"/>
      <c r="D25" s="60" t="n"/>
      <c r="E25" s="35" t="n"/>
      <c r="F25" s="35" t="n"/>
      <c r="G25" s="35" t="n"/>
      <c r="H25" s="35" t="n"/>
      <c r="I25" s="35" t="n"/>
      <c r="J25" s="35" t="n"/>
      <c r="K25" s="35" t="n"/>
      <c r="L25" s="35" t="n"/>
    </row>
    <row r="26">
      <c r="A26" s="58" t="inlineStr">
        <is>
          <t>SR</t>
        </is>
      </c>
      <c r="B26" s="41" t="inlineStr">
        <is>
          <t>Agreed to subsequent bank-cleared receipt</t>
        </is>
      </c>
      <c r="C26" s="59" t="n"/>
      <c r="D26" s="60" t="n"/>
      <c r="E26" s="35" t="n"/>
      <c r="F26" s="35" t="n"/>
      <c r="G26" s="35" t="n"/>
      <c r="H26" s="35" t="n"/>
      <c r="I26" s="35" t="n"/>
      <c r="J26" s="35" t="n"/>
      <c r="K26" s="35" t="n"/>
      <c r="L26" s="35" t="n"/>
    </row>
    <row r="27">
      <c r="A27" s="58" t="inlineStr">
        <is>
          <t>R</t>
        </is>
      </c>
      <c r="B27" s="41" t="inlineStr">
        <is>
          <t>Recalculated independently</t>
        </is>
      </c>
      <c r="C27" s="59" t="n"/>
      <c r="D27" s="60" t="n"/>
      <c r="E27" s="35" t="n"/>
      <c r="F27" s="35" t="n"/>
      <c r="G27" s="35" t="n"/>
      <c r="H27" s="35" t="n"/>
      <c r="I27" s="35" t="n"/>
      <c r="J27" s="35" t="n"/>
      <c r="K27" s="35" t="n"/>
      <c r="L27" s="35" t="n"/>
    </row>
    <row r="28">
      <c r="A28" s="58" t="inlineStr">
        <is>
          <t>F</t>
        </is>
      </c>
      <c r="B28" s="41" t="inlineStr">
        <is>
          <t>Footed / cross-cast</t>
        </is>
      </c>
      <c r="C28" s="59" t="n"/>
      <c r="D28" s="60" t="n"/>
      <c r="E28" s="35" t="n"/>
      <c r="F28" s="35" t="n"/>
      <c r="G28" s="35" t="n"/>
      <c r="H28" s="35" t="n"/>
      <c r="I28" s="35" t="n"/>
      <c r="J28" s="35" t="n"/>
      <c r="K28" s="35" t="n"/>
      <c r="L28" s="35" t="n"/>
    </row>
    <row r="29">
      <c r="A29" s="58" t="inlineStr">
        <is>
          <t>T</t>
        </is>
      </c>
      <c r="B29" s="41" t="inlineStr">
        <is>
          <t>Traced to downstream record</t>
        </is>
      </c>
      <c r="C29" s="59" t="n"/>
      <c r="D29" s="60" t="n"/>
      <c r="E29" s="35" t="n"/>
      <c r="F29" s="35" t="n"/>
      <c r="G29" s="35" t="n"/>
      <c r="H29" s="35" t="n"/>
      <c r="I29" s="35" t="n"/>
      <c r="J29" s="35" t="n"/>
      <c r="K29" s="35" t="n"/>
      <c r="L29" s="35" t="n"/>
    </row>
    <row r="30">
      <c r="A30" s="58" t="inlineStr">
        <is>
          <t>PBC</t>
        </is>
      </c>
      <c r="B30" s="41" t="inlineStr">
        <is>
          <t>Prepared by client</t>
        </is>
      </c>
      <c r="C30" s="59" t="n"/>
      <c r="D30" s="60" t="n"/>
      <c r="E30" s="35" t="n"/>
      <c r="F30" s="35" t="n"/>
      <c r="G30" s="35" t="n"/>
      <c r="H30" s="35" t="n"/>
      <c r="I30" s="35" t="n"/>
      <c r="J30" s="35" t="n"/>
      <c r="K30" s="35" t="n"/>
      <c r="L30" s="35" t="n"/>
    </row>
    <row r="31">
      <c r="A31" s="35" t="n"/>
      <c r="B31" s="35" t="n"/>
      <c r="C31" s="35" t="n"/>
      <c r="D31" s="35" t="n"/>
      <c r="E31" s="35" t="n"/>
      <c r="F31" s="35" t="n"/>
      <c r="G31" s="35" t="n"/>
      <c r="H31" s="35" t="n"/>
      <c r="I31" s="35" t="n"/>
      <c r="J31" s="35" t="n"/>
      <c r="K31" s="35" t="n"/>
      <c r="L31" s="35" t="n"/>
    </row>
    <row r="32" ht="27.75" customHeight="1">
      <c r="A32" s="37" t="inlineStr">
        <is>
          <t>Before sign-off complete Library Procedure 1 (source completeness &amp; limitations).</t>
        </is>
      </c>
      <c r="B32" s="35" t="n"/>
      <c r="C32" s="35" t="n"/>
      <c r="D32" s="35" t="n"/>
      <c r="E32" s="35" t="n"/>
      <c r="F32" s="35" t="n"/>
      <c r="G32" s="35" t="n"/>
      <c r="H32" s="35" t="n"/>
      <c r="I32" s="35" t="n"/>
      <c r="J32" s="35" t="n"/>
      <c r="K32" s="35" t="n"/>
      <c r="L32" s="35" t="n"/>
    </row>
  </sheetData>
  <mergeCells count="13">
    <mergeCell ref="B28:D28"/>
    <mergeCell ref="B4:L4"/>
    <mergeCell ref="B6:L6"/>
    <mergeCell ref="B23:D23"/>
    <mergeCell ref="B22:D22"/>
    <mergeCell ref="A32:L32"/>
    <mergeCell ref="B26:D26"/>
    <mergeCell ref="B27:D27"/>
    <mergeCell ref="B5:L5"/>
    <mergeCell ref="B30:D30"/>
    <mergeCell ref="B29:D29"/>
    <mergeCell ref="B25:D25"/>
    <mergeCell ref="B24:D24"/>
  </mergeCells>
  <printOptions horizontalCentered="0" verticalCentered="0"/>
  <pageMargins left="0.25" right="0.25" top="0.5" bottom="0.5" header="0.2" footer="0.2"/>
  <pageSetup orientation="landscape" paperSize="1" fitToHeight="0" fitToWidth="2" horizontalDpi="300" verticalDpi="300"/>
</worksheet>
</file>

<file path=xl/worksheets/sheet3.xml><?xml version="1.0" encoding="utf-8"?>
<worksheet xmlns="http://schemas.openxmlformats.org/spreadsheetml/2006/main">
  <sheetPr>
    <outlinePr summaryBelow="1" summaryRight="1"/>
    <pageSetUpPr autoPageBreaks="0" fitToPage="1"/>
  </sheetPr>
  <dimension ref="A1:H36"/>
  <sheetViews>
    <sheetView showGridLines="0" zoomScale="90" zoomScaleNormal="100" workbookViewId="0">
      <pane ySplit="7" topLeftCell="A8" activePane="bottomLeft" state="frozen"/>
      <selection pane="bottomLeft" activeCell="B20" sqref="B20"/>
    </sheetView>
  </sheetViews>
  <sheetFormatPr baseColWidth="8" defaultColWidth="8.6328125" defaultRowHeight="14.5"/>
  <cols>
    <col width="41.1" customWidth="1" min="1" max="1"/>
    <col width="39.4" customWidth="1" min="2" max="2"/>
    <col width="30.9" customWidth="1" min="3" max="3"/>
    <col width="37.7" customWidth="1" min="4" max="4"/>
    <col width="34" customWidth="1" min="5" max="5"/>
    <col width="13" customWidth="1" min="6" max="6"/>
    <col width="13" customWidth="1" min="7" max="7"/>
    <col width="13" customWidth="1" min="8" max="8"/>
  </cols>
  <sheetData>
    <row r="1" ht="27" customHeight="1">
      <c r="A1" s="34" t="inlineStr">
        <is>
          <t>Costing Convention &amp; Period Subject to Testing</t>
        </is>
      </c>
      <c r="B1" s="35" t="n"/>
      <c r="C1" s="35" t="n"/>
      <c r="D1" s="35" t="n"/>
      <c r="E1" s="35" t="n"/>
      <c r="F1" s="35" t="n"/>
      <c r="G1" s="35" t="n"/>
      <c r="H1" s="35" t="n"/>
    </row>
    <row r="2">
      <c r="A2" s="46" t="inlineStr">
        <is>
          <t>Client / Entity</t>
        </is>
      </c>
      <c r="B2" s="36" t="inlineStr">
        <is>
          <t>Vaquite Industries, Inc.</t>
        </is>
      </c>
      <c r="C2" s="35" t="n"/>
      <c r="D2" s="46" t="inlineStr">
        <is>
          <t>Year-End</t>
        </is>
      </c>
      <c r="E2" s="47" t="n">
        <v>46022</v>
      </c>
      <c r="F2" s="35" t="n"/>
      <c r="G2" s="46" t="inlineStr">
        <is>
          <t>Currency</t>
        </is>
      </c>
      <c r="H2" s="48" t="inlineStr">
        <is>
          <t>USD</t>
        </is>
      </c>
    </row>
    <row r="3" ht="27" customHeight="1">
      <c r="A3" s="49" t="inlineStr">
        <is>
          <t>Performance Materiality</t>
        </is>
      </c>
      <c r="B3" s="50" t="n">
        <v>23100</v>
      </c>
      <c r="C3" s="35" t="n"/>
      <c r="D3" s="49" t="inlineStr">
        <is>
          <t>Tolerable misstatement / testing threshold</t>
        </is>
      </c>
      <c r="E3" s="50" t="n">
        <v>17400</v>
      </c>
      <c r="F3" s="35" t="n"/>
      <c r="G3" s="35" t="n"/>
      <c r="H3" s="35" t="n"/>
    </row>
    <row r="4" ht="27.75" customHeight="1">
      <c r="A4" s="51" t="inlineStr">
        <is>
          <t>Purpose:</t>
        </is>
      </c>
      <c r="B4" s="52" t="inlineStr">
        <is>
          <t>Document the costing convention per category (with a policy-consistency check) and compute the period subject to testing from inventory turnover (days on hand).</t>
        </is>
      </c>
      <c r="C4" s="53" t="n"/>
      <c r="D4" s="53" t="n"/>
      <c r="E4" s="54" t="n"/>
      <c r="F4" s="35" t="n"/>
      <c r="G4" s="35" t="n"/>
      <c r="H4" s="35" t="n"/>
    </row>
    <row r="5" ht="15" customHeight="1">
      <c r="A5" s="51" t="inlineStr">
        <is>
          <t>Scope:</t>
        </is>
      </c>
      <c r="B5" s="52" t="inlineStr">
        <is>
          <t>Costing policy per category; net inventory and COGS for the turnover computation.</t>
        </is>
      </c>
      <c r="C5" s="53" t="n"/>
      <c r="D5" s="53" t="n"/>
      <c r="E5" s="54" t="n"/>
      <c r="F5" s="35" t="n"/>
      <c r="G5" s="35" t="n"/>
      <c r="H5" s="35" t="n"/>
    </row>
    <row r="6" ht="15" customHeight="1">
      <c r="A6" s="51" t="inlineStr">
        <is>
          <t>Assertions:</t>
        </is>
      </c>
      <c r="B6" s="52" t="inlineStr">
        <is>
          <t>Valuation &amp; Allocation; Classification</t>
        </is>
      </c>
      <c r="C6" s="53" t="n"/>
      <c r="D6" s="53" t="n"/>
      <c r="E6" s="54" t="n"/>
      <c r="F6" s="35" t="n"/>
      <c r="G6" s="35" t="n"/>
      <c r="H6" s="35" t="n"/>
    </row>
    <row r="7">
      <c r="A7" s="61" t="inlineStr">
        <is>
          <t>A. Costing convention by category</t>
        </is>
      </c>
      <c r="B7" s="35" t="n"/>
      <c r="C7" s="35" t="n"/>
      <c r="D7" s="35" t="n"/>
      <c r="E7" s="35" t="n"/>
      <c r="F7" s="35" t="n"/>
      <c r="G7" s="35" t="n"/>
      <c r="H7" s="35" t="n"/>
    </row>
    <row r="8" ht="27" customHeight="1">
      <c r="A8" s="62" t="inlineStr">
        <is>
          <t>Category</t>
        </is>
      </c>
      <c r="B8" s="62" t="inlineStr">
        <is>
          <t>Cost method (standard / weighted avg / FIFO)</t>
        </is>
      </c>
      <c r="C8" s="62" t="inlineStr">
        <is>
          <t>Consistent with policy &amp; PY? (Y/N)</t>
        </is>
      </c>
      <c r="D8" s="62" t="inlineStr">
        <is>
          <t>Tested on tab</t>
        </is>
      </c>
      <c r="E8" s="62" t="inlineStr">
        <is>
          <t>Comments</t>
        </is>
      </c>
      <c r="F8" s="35" t="n"/>
      <c r="G8" s="35" t="n"/>
      <c r="H8" s="35" t="n"/>
    </row>
    <row r="9">
      <c r="A9" s="56" t="inlineStr">
        <is>
          <t>Raw materials</t>
        </is>
      </c>
      <c r="B9" s="56" t="n"/>
      <c r="C9" s="56" t="n"/>
      <c r="D9" s="56" t="n"/>
      <c r="E9" s="56" t="n"/>
      <c r="F9" s="35" t="n"/>
      <c r="G9" s="35" t="n"/>
      <c r="H9" s="35" t="n"/>
    </row>
    <row r="10">
      <c r="A10" s="56" t="inlineStr">
        <is>
          <t>WIP</t>
        </is>
      </c>
      <c r="B10" s="56" t="n"/>
      <c r="C10" s="56" t="n"/>
      <c r="D10" s="56" t="n"/>
      <c r="E10" s="56" t="n"/>
      <c r="F10" s="35" t="n"/>
      <c r="G10" s="35" t="n"/>
      <c r="H10" s="35" t="n"/>
    </row>
    <row r="11">
      <c r="A11" s="56" t="inlineStr">
        <is>
          <t>Finished goods</t>
        </is>
      </c>
      <c r="B11" s="56" t="n"/>
      <c r="C11" s="56" t="n"/>
      <c r="D11" s="56" t="n"/>
      <c r="E11" s="56" t="n"/>
      <c r="F11" s="35" t="n"/>
      <c r="G11" s="35" t="n"/>
      <c r="H11" s="35" t="n"/>
    </row>
    <row r="12">
      <c r="A12" s="56" t="inlineStr">
        <is>
          <t>Supplies / other</t>
        </is>
      </c>
      <c r="B12" s="56" t="n"/>
      <c r="C12" s="56" t="n"/>
      <c r="D12" s="56" t="n"/>
      <c r="E12" s="56" t="n"/>
      <c r="F12" s="35" t="n"/>
      <c r="G12" s="35" t="n"/>
      <c r="H12" s="35" t="n"/>
    </row>
    <row r="13">
      <c r="A13" s="35" t="n"/>
      <c r="B13" s="35" t="n"/>
      <c r="C13" s="35" t="n"/>
      <c r="D13" s="35" t="n"/>
      <c r="E13" s="35" t="n"/>
      <c r="F13" s="35" t="n"/>
      <c r="G13" s="35" t="n"/>
      <c r="H13" s="35" t="n"/>
    </row>
    <row r="14">
      <c r="A14" s="61" t="inlineStr">
        <is>
          <t>B. Period subject to testing (days on hand)</t>
        </is>
      </c>
      <c r="B14" s="35" t="n"/>
      <c r="C14" s="35" t="n"/>
      <c r="D14" s="35" t="n"/>
      <c r="E14" s="35" t="n"/>
      <c r="F14" s="35" t="n"/>
      <c r="G14" s="35" t="n"/>
      <c r="H14" s="35" t="n"/>
    </row>
    <row r="15">
      <c r="A15" s="41" t="inlineStr">
        <is>
          <t>Net inventory (TB)</t>
        </is>
      </c>
      <c r="B15" s="63" t="n"/>
      <c r="C15" s="35" t="n"/>
      <c r="D15" s="35" t="n"/>
      <c r="E15" s="35" t="n"/>
      <c r="F15" s="35" t="n"/>
      <c r="G15" s="35" t="n"/>
      <c r="H15" s="35" t="n"/>
    </row>
    <row r="16">
      <c r="A16" s="41" t="inlineStr">
        <is>
          <t>Cost of goods sold (period)</t>
        </is>
      </c>
      <c r="B16" s="63" t="n"/>
      <c r="C16" s="35" t="n"/>
      <c r="D16" s="35" t="n"/>
      <c r="E16" s="35" t="n"/>
      <c r="F16" s="35" t="n"/>
      <c r="G16" s="35" t="n"/>
      <c r="H16" s="35" t="n"/>
    </row>
    <row r="17">
      <c r="A17" s="64" t="inlineStr">
        <is>
          <t>Inventory turns (= COGS / net inventory)</t>
        </is>
      </c>
      <c r="B17" s="65">
        <f>IF(OR(B15="",B15=0),"",B16/B15)</f>
        <v/>
      </c>
      <c r="C17" s="35" t="n"/>
      <c r="D17" s="35" t="n"/>
      <c r="E17" s="35" t="n"/>
      <c r="F17" s="35" t="n"/>
      <c r="G17" s="35" t="n"/>
      <c r="H17" s="35" t="n"/>
    </row>
    <row r="18">
      <c r="A18" s="64" t="inlineStr">
        <is>
          <t>Days on hand (= 365 / turns)</t>
        </is>
      </c>
      <c r="B18" s="66">
        <f>IF(OR(B17="",B17=0),"",365/B17)</f>
        <v/>
      </c>
      <c r="C18" s="35" t="n"/>
      <c r="D18" s="35" t="n"/>
      <c r="E18" s="35" t="n"/>
      <c r="F18" s="35" t="n"/>
      <c r="G18" s="35" t="n"/>
      <c r="H18" s="35" t="n"/>
    </row>
    <row r="19">
      <c r="A19" s="56" t="inlineStr">
        <is>
          <t>Year-end date</t>
        </is>
      </c>
      <c r="B19" s="67" t="n"/>
      <c r="C19" s="35" t="n"/>
      <c r="D19" s="35" t="n"/>
      <c r="E19" s="35" t="n"/>
      <c r="F19" s="35" t="n"/>
      <c r="G19" s="35" t="n"/>
      <c r="H19" s="35" t="n"/>
    </row>
    <row r="20">
      <c r="A20" s="41" t="inlineStr">
        <is>
          <t>Period start (= YE − days on hand)</t>
        </is>
      </c>
      <c r="B20" s="68">
        <f>IF(OR(B19="",B18=""),"",B19-B18)</f>
        <v/>
      </c>
      <c r="C20" s="35" t="n"/>
      <c r="D20" s="35" t="n"/>
      <c r="E20" s="35" t="n"/>
      <c r="F20" s="35" t="n"/>
      <c r="G20" s="35" t="n"/>
      <c r="H20" s="35" t="n"/>
    </row>
    <row r="21">
      <c r="A21" s="64" t="inlineStr">
        <is>
          <t>Days subject to testing</t>
        </is>
      </c>
      <c r="B21" s="66">
        <f>IF(OR(B19="",B20=""),"",B19-B20)</f>
        <v/>
      </c>
      <c r="C21" s="35" t="n"/>
      <c r="D21" s="35" t="n"/>
      <c r="E21" s="35" t="n"/>
      <c r="F21" s="35" t="n"/>
      <c r="G21" s="35" t="n"/>
      <c r="H21" s="35" t="n"/>
    </row>
    <row r="22">
      <c r="A22" s="35" t="n"/>
      <c r="B22" s="35" t="n"/>
      <c r="C22" s="35" t="n"/>
      <c r="D22" s="35" t="n"/>
      <c r="E22" s="35" t="n"/>
      <c r="F22" s="35" t="n"/>
      <c r="G22" s="35" t="n"/>
      <c r="H22" s="35" t="n"/>
    </row>
    <row r="23" ht="27.75" customHeight="1">
      <c r="A23" s="37" t="inlineStr">
        <is>
          <t>Purchases within the days-on-hand window are presumed to remain in ending inventory — the RM cost tests draw the purchase reports over this period. Where multiple cost methods appear within one category, flag and resolve before relying on either RM tab.</t>
        </is>
      </c>
      <c r="B23" s="35" t="n"/>
      <c r="C23" s="35" t="n"/>
      <c r="D23" s="35" t="n"/>
      <c r="E23" s="35" t="n"/>
      <c r="F23" s="35" t="n"/>
      <c r="G23" s="35" t="n"/>
      <c r="H23" s="35" t="n"/>
    </row>
    <row r="24">
      <c r="A24" s="35" t="n"/>
      <c r="B24" s="35" t="n"/>
      <c r="C24" s="35" t="n"/>
      <c r="D24" s="35" t="n"/>
      <c r="E24" s="35" t="n"/>
      <c r="F24" s="35" t="n"/>
      <c r="G24" s="35" t="n"/>
      <c r="H24" s="35" t="n"/>
    </row>
    <row r="25">
      <c r="A25" s="57" t="inlineStr">
        <is>
          <t>TM Legends</t>
        </is>
      </c>
      <c r="B25" s="35" t="n"/>
      <c r="C25" s="35" t="n"/>
      <c r="D25" s="35" t="n"/>
      <c r="E25" s="35" t="n"/>
      <c r="F25" s="35" t="n"/>
      <c r="G25" s="35" t="n"/>
      <c r="H25" s="35" t="n"/>
    </row>
    <row r="26">
      <c r="A26" s="58" t="inlineStr">
        <is>
          <t>TB</t>
        </is>
      </c>
      <c r="B26" s="41" t="inlineStr">
        <is>
          <t>Agreed to trial balance</t>
        </is>
      </c>
      <c r="C26" s="59" t="n"/>
      <c r="D26" s="60" t="n"/>
      <c r="E26" s="35" t="n"/>
      <c r="F26" s="35" t="n"/>
      <c r="G26" s="35" t="n"/>
      <c r="H26" s="35" t="n"/>
    </row>
    <row r="27">
      <c r="A27" s="58" t="inlineStr">
        <is>
          <t>GL</t>
        </is>
      </c>
      <c r="B27" s="41" t="inlineStr">
        <is>
          <t>Agreed to general ledger</t>
        </is>
      </c>
      <c r="C27" s="59" t="n"/>
      <c r="D27" s="60" t="n"/>
      <c r="E27" s="35" t="n"/>
      <c r="F27" s="35" t="n"/>
      <c r="G27" s="35" t="n"/>
      <c r="H27" s="35" t="n"/>
    </row>
    <row r="28">
      <c r="A28" s="58" t="inlineStr">
        <is>
          <t>CF</t>
        </is>
      </c>
      <c r="B28" s="41" t="inlineStr">
        <is>
          <t>Confirmed with third party</t>
        </is>
      </c>
      <c r="C28" s="59" t="n"/>
      <c r="D28" s="60" t="n"/>
      <c r="E28" s="35" t="n"/>
      <c r="F28" s="35" t="n"/>
      <c r="G28" s="35" t="n"/>
      <c r="H28" s="35" t="n"/>
    </row>
    <row r="29">
      <c r="A29" s="58" t="inlineStr">
        <is>
          <t>V</t>
        </is>
      </c>
      <c r="B29" s="41" t="inlineStr">
        <is>
          <t>Vouched to source document</t>
        </is>
      </c>
      <c r="C29" s="59" t="n"/>
      <c r="D29" s="60" t="n"/>
      <c r="E29" s="35" t="n"/>
      <c r="F29" s="35" t="n"/>
      <c r="G29" s="35" t="n"/>
      <c r="H29" s="35" t="n"/>
    </row>
    <row r="30">
      <c r="A30" s="58" t="inlineStr">
        <is>
          <t>SR</t>
        </is>
      </c>
      <c r="B30" s="41" t="inlineStr">
        <is>
          <t>Agreed to subsequent bank-cleared receipt</t>
        </is>
      </c>
      <c r="C30" s="59" t="n"/>
      <c r="D30" s="60" t="n"/>
      <c r="E30" s="35" t="n"/>
      <c r="F30" s="35" t="n"/>
      <c r="G30" s="35" t="n"/>
      <c r="H30" s="35" t="n"/>
    </row>
    <row r="31">
      <c r="A31" s="58" t="inlineStr">
        <is>
          <t>R</t>
        </is>
      </c>
      <c r="B31" s="41" t="inlineStr">
        <is>
          <t>Recalculated independently</t>
        </is>
      </c>
      <c r="C31" s="59" t="n"/>
      <c r="D31" s="60" t="n"/>
      <c r="E31" s="35" t="n"/>
      <c r="F31" s="35" t="n"/>
      <c r="G31" s="35" t="n"/>
      <c r="H31" s="35" t="n"/>
    </row>
    <row r="32">
      <c r="A32" s="58" t="inlineStr">
        <is>
          <t>F</t>
        </is>
      </c>
      <c r="B32" s="41" t="inlineStr">
        <is>
          <t>Footed / cross-cast</t>
        </is>
      </c>
      <c r="C32" s="59" t="n"/>
      <c r="D32" s="60" t="n"/>
      <c r="E32" s="35" t="n"/>
      <c r="F32" s="35" t="n"/>
      <c r="G32" s="35" t="n"/>
      <c r="H32" s="35" t="n"/>
    </row>
    <row r="33">
      <c r="A33" s="58" t="inlineStr">
        <is>
          <t>T</t>
        </is>
      </c>
      <c r="B33" s="41" t="inlineStr">
        <is>
          <t>Traced to downstream record</t>
        </is>
      </c>
      <c r="C33" s="59" t="n"/>
      <c r="D33" s="60" t="n"/>
      <c r="E33" s="35" t="n"/>
      <c r="F33" s="35" t="n"/>
      <c r="G33" s="35" t="n"/>
      <c r="H33" s="35" t="n"/>
    </row>
    <row r="34">
      <c r="A34" s="58" t="inlineStr">
        <is>
          <t>PBC</t>
        </is>
      </c>
      <c r="B34" s="41" t="inlineStr">
        <is>
          <t>Prepared by client</t>
        </is>
      </c>
      <c r="C34" s="59" t="n"/>
      <c r="D34" s="60" t="n"/>
      <c r="E34" s="35" t="n"/>
      <c r="F34" s="35" t="n"/>
      <c r="G34" s="35" t="n"/>
      <c r="H34" s="35" t="n"/>
    </row>
    <row r="35">
      <c r="A35" s="35" t="n"/>
      <c r="B35" s="35" t="n"/>
      <c r="C35" s="35" t="n"/>
      <c r="D35" s="35" t="n"/>
      <c r="E35" s="35" t="n"/>
      <c r="F35" s="35" t="n"/>
      <c r="G35" s="35" t="n"/>
      <c r="H35" s="35" t="n"/>
    </row>
    <row r="36" ht="27.75" customHeight="1">
      <c r="A36" s="37" t="inlineStr">
        <is>
          <t>Before sign-off complete Library Procedures 2-3 (costing convention; period subject to testing).</t>
        </is>
      </c>
      <c r="B36" s="35" t="n"/>
      <c r="C36" s="35" t="n"/>
      <c r="D36" s="35" t="n"/>
      <c r="E36" s="35" t="n"/>
      <c r="F36" s="35" t="n"/>
      <c r="G36" s="35" t="n"/>
      <c r="H36" s="35" t="n"/>
    </row>
  </sheetData>
  <mergeCells count="14">
    <mergeCell ref="B33:D33"/>
    <mergeCell ref="B28:D28"/>
    <mergeCell ref="B4:E4"/>
    <mergeCell ref="B31:D31"/>
    <mergeCell ref="B32:D32"/>
    <mergeCell ref="B6:E6"/>
    <mergeCell ref="B26:D26"/>
    <mergeCell ref="B27:D27"/>
    <mergeCell ref="A23:E23"/>
    <mergeCell ref="B30:D30"/>
    <mergeCell ref="A36:E36"/>
    <mergeCell ref="B5:E5"/>
    <mergeCell ref="B29:D29"/>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Q42"/>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9" sqref="A9"/>
      <selection pane="bottomRight" activeCell="A9" sqref="A9"/>
    </sheetView>
  </sheetViews>
  <sheetFormatPr baseColWidth="8" defaultColWidth="8.6328125" defaultRowHeight="14.5"/>
  <cols>
    <col width="30.05" bestFit="1" customWidth="1" min="1" max="1"/>
    <col width="22.4" customWidth="1" min="2" max="2"/>
    <col width="20" customWidth="1" min="3" max="3"/>
    <col width="37.7" bestFit="1" customWidth="1" min="4" max="4"/>
    <col width="17.3" customWidth="1" min="5" max="6"/>
    <col width="17.3" customWidth="1" min="6" max="6"/>
    <col width="30.05" customWidth="1" min="7" max="8"/>
    <col width="29.2" customWidth="1" min="8" max="8"/>
    <col width="41.1" customWidth="1" min="9" max="9"/>
    <col width="17.3" customWidth="1" min="10" max="10"/>
    <col width="11.35" customWidth="1" min="11" max="11"/>
    <col width="25.8" customWidth="1" min="12" max="12"/>
    <col width="23.25" customWidth="1" min="13" max="13"/>
    <col width="41.1" customWidth="1" min="14" max="15"/>
    <col width="22.4" customWidth="1" min="15" max="15"/>
    <col width="30.05" customWidth="1" min="16" max="16"/>
    <col width="22" customWidth="1" min="17" max="17"/>
  </cols>
  <sheetData>
    <row r="1" ht="27" customHeight="1">
      <c r="A1" s="34" t="inlineStr">
        <is>
          <t>Raw Material Cost — Standard Cost</t>
        </is>
      </c>
      <c r="B1" s="35" t="n"/>
      <c r="C1" s="35" t="n"/>
      <c r="D1" s="35" t="n"/>
      <c r="E1" s="35" t="n"/>
      <c r="F1" s="35" t="n"/>
      <c r="G1" s="35" t="n"/>
      <c r="H1" s="35" t="n"/>
      <c r="I1" s="35" t="n"/>
      <c r="J1" s="35" t="n"/>
      <c r="K1" s="35" t="n"/>
      <c r="L1" s="35" t="n"/>
      <c r="M1" s="35" t="n"/>
      <c r="N1" s="35" t="n"/>
      <c r="O1" s="35" t="n"/>
      <c r="P1" s="35" t="n"/>
      <c r="Q1" s="35" t="n"/>
    </row>
    <row r="2" ht="27" customHeight="1">
      <c r="A2" s="46" t="inlineStr">
        <is>
          <t>Client / Entity</t>
        </is>
      </c>
      <c r="B2" s="36" t="inlineStr">
        <is>
          <t>Vaquite Industries, Inc.</t>
        </is>
      </c>
      <c r="C2" s="35" t="n"/>
      <c r="D2" s="46" t="inlineStr">
        <is>
          <t>Year-End</t>
        </is>
      </c>
      <c r="E2" s="47" t="n">
        <v>46022</v>
      </c>
      <c r="F2" s="35" t="n"/>
      <c r="G2" s="46" t="inlineStr">
        <is>
          <t>Currency</t>
        </is>
      </c>
      <c r="H2" s="48" t="inlineStr">
        <is>
          <t>USD</t>
        </is>
      </c>
      <c r="I2" s="35" t="n"/>
      <c r="J2" s="35" t="n"/>
      <c r="K2" s="35" t="n"/>
      <c r="L2" s="35" t="n"/>
      <c r="M2" s="35" t="n"/>
      <c r="N2" s="35" t="n"/>
      <c r="O2" s="35" t="n"/>
      <c r="P2" s="35" t="n"/>
      <c r="Q2" s="35" t="n"/>
    </row>
    <row r="3" ht="27" customHeight="1">
      <c r="A3" s="49" t="inlineStr">
        <is>
          <t>Performance Materiality</t>
        </is>
      </c>
      <c r="B3" s="50" t="n">
        <v>23100</v>
      </c>
      <c r="C3" s="35" t="n"/>
      <c r="D3" s="49" t="inlineStr">
        <is>
          <t>Tolerable misstatement / testing threshold</t>
        </is>
      </c>
      <c r="E3" s="50" t="n">
        <v>17400</v>
      </c>
      <c r="F3" s="35" t="n"/>
      <c r="G3" s="35" t="n"/>
      <c r="H3" s="35" t="n"/>
      <c r="I3" s="35" t="n"/>
      <c r="J3" s="35" t="n"/>
      <c r="K3" s="35" t="n"/>
      <c r="L3" s="35" t="n"/>
      <c r="M3" s="35" t="n"/>
      <c r="N3" s="35" t="n"/>
      <c r="O3" s="35" t="n"/>
      <c r="P3" s="35" t="n"/>
      <c r="Q3" s="35" t="n"/>
    </row>
    <row r="4" ht="42" customHeight="1">
      <c r="A4" s="51" t="inlineStr">
        <is>
          <t>Purpose:</t>
        </is>
      </c>
      <c r="B4" s="52" t="inlineStr">
        <is>
          <t>Test YE raw-material standard costs: select items from the YE listing, obtain the purchase report over the test period (quantity must cover the YE quantity), vouch one invoice per selection to actual cost, and recompute the purchase price variance.</t>
        </is>
      </c>
      <c r="C4" s="53" t="n"/>
      <c r="D4" s="53" t="n"/>
      <c r="E4" s="53" t="n"/>
      <c r="F4" s="53" t="n"/>
      <c r="G4" s="53" t="n"/>
      <c r="H4" s="53" t="n"/>
      <c r="I4" s="53" t="n"/>
      <c r="J4" s="53" t="n"/>
      <c r="K4" s="53" t="n"/>
      <c r="L4" s="53" t="n"/>
      <c r="M4" s="53" t="n"/>
      <c r="N4" s="53" t="n"/>
      <c r="O4" s="53" t="n"/>
      <c r="P4" s="53" t="n"/>
      <c r="Q4" s="54" t="n"/>
    </row>
    <row r="5" ht="27.75" customHeight="1">
      <c r="A5" s="51" t="inlineStr">
        <is>
          <t>Scope:</t>
        </is>
      </c>
      <c r="B5" s="52" t="inlineStr">
        <is>
          <t>Selections from the YE inventory listing above the testing threshold; purchase reports and invoices over the period subject to testing (&lt;.1&gt;).</t>
        </is>
      </c>
      <c r="C5" s="53" t="n"/>
      <c r="D5" s="53" t="n"/>
      <c r="E5" s="53" t="n"/>
      <c r="F5" s="53" t="n"/>
      <c r="G5" s="53" t="n"/>
      <c r="H5" s="53" t="n"/>
      <c r="I5" s="53" t="n"/>
      <c r="J5" s="53" t="n"/>
      <c r="K5" s="53" t="n"/>
      <c r="L5" s="53" t="n"/>
      <c r="M5" s="53" t="n"/>
      <c r="N5" s="53" t="n"/>
      <c r="O5" s="53" t="n"/>
      <c r="P5" s="53" t="n"/>
      <c r="Q5" s="54" t="n"/>
    </row>
    <row r="6" ht="15" customHeight="1">
      <c r="A6" s="51" t="inlineStr">
        <is>
          <t>Assertions:</t>
        </is>
      </c>
      <c r="B6" s="52" t="inlineStr">
        <is>
          <t>Valuation &amp; Allocation; Accuracy</t>
        </is>
      </c>
      <c r="C6" s="53" t="n"/>
      <c r="D6" s="53" t="n"/>
      <c r="E6" s="53" t="n"/>
      <c r="F6" s="53" t="n"/>
      <c r="G6" s="53" t="n"/>
      <c r="H6" s="53" t="n"/>
      <c r="I6" s="53" t="n"/>
      <c r="J6" s="53" t="n"/>
      <c r="K6" s="53" t="n"/>
      <c r="L6" s="53" t="n"/>
      <c r="M6" s="53" t="n"/>
      <c r="N6" s="53" t="n"/>
      <c r="O6" s="53" t="n"/>
      <c r="P6" s="53" t="n"/>
      <c r="Q6" s="54" t="n"/>
    </row>
    <row r="7" ht="45.75" customHeight="1">
      <c r="A7" s="55" t="inlineStr">
        <is>
          <t>Sel #</t>
        </is>
      </c>
      <c r="B7" s="55" t="inlineStr">
        <is>
          <t>Item / SKU</t>
        </is>
      </c>
      <c r="C7" s="55" t="inlineStr">
        <is>
          <t>Description</t>
        </is>
      </c>
      <c r="D7" s="55" t="inlineStr">
        <is>
          <t>UoM</t>
        </is>
      </c>
      <c r="E7" s="55" t="inlineStr">
        <is>
          <t>Qty per YE listing</t>
        </is>
      </c>
      <c r="F7" s="55" t="inlineStr">
        <is>
          <t>Standard unit cost</t>
        </is>
      </c>
      <c r="G7" s="55" t="inlineStr">
        <is>
          <t>Extended standard cost</t>
        </is>
      </c>
      <c r="H7" s="55" t="inlineStr">
        <is>
          <t>Qty per purchase report (period)</t>
        </is>
      </c>
      <c r="I7" s="55" t="inlineStr">
        <is>
          <t>Coverage OK (qty ≥ YE qty)</t>
        </is>
      </c>
      <c r="J7" s="55" t="inlineStr">
        <is>
          <t>Invoice ref tested</t>
        </is>
      </c>
      <c r="K7" s="55" t="inlineStr">
        <is>
          <t>Invoice qty</t>
        </is>
      </c>
      <c r="L7" s="55" t="inlineStr">
        <is>
          <t>Actual unit cost per invoice</t>
        </is>
      </c>
      <c r="M7" s="55" t="inlineStr">
        <is>
          <t>Actual extended (invoice)</t>
        </is>
      </c>
      <c r="N7" s="55" t="inlineStr">
        <is>
          <t>Std vs actual difference</t>
        </is>
      </c>
      <c r="O7" s="55" t="inlineStr">
        <is>
          <t>PPV recorded on purchase</t>
        </is>
      </c>
      <c r="P7" s="55" t="inlineStr">
        <is>
          <t>PPV recompute diff (should be 0)</t>
        </is>
      </c>
      <c r="Q7" s="55" t="inlineStr">
        <is>
          <t>Comments</t>
        </is>
      </c>
    </row>
    <row r="8">
      <c r="A8" s="35" t="n"/>
      <c r="B8" s="35" t="n"/>
      <c r="C8" s="35" t="n"/>
      <c r="D8" s="35" t="n"/>
      <c r="E8" s="69" t="inlineStr">
        <is>
          <t>PBC</t>
        </is>
      </c>
      <c r="F8" s="35" t="n"/>
      <c r="G8" s="35" t="n"/>
      <c r="H8" s="69" t="inlineStr">
        <is>
          <t>V</t>
        </is>
      </c>
      <c r="I8" s="35" t="n"/>
      <c r="J8" s="35" t="n"/>
      <c r="K8" s="35" t="n"/>
      <c r="L8" s="69" t="inlineStr">
        <is>
          <t>V</t>
        </is>
      </c>
      <c r="M8" s="35" t="n"/>
      <c r="N8" s="69" t="inlineStr">
        <is>
          <t>R</t>
        </is>
      </c>
      <c r="O8" s="35" t="n"/>
      <c r="P8" s="69" t="inlineStr">
        <is>
          <t>R</t>
        </is>
      </c>
      <c r="Q8" s="35" t="n"/>
    </row>
    <row r="9">
      <c r="A9" s="70" t="n">
        <v>1</v>
      </c>
      <c r="B9" s="56" t="n"/>
      <c r="C9" s="56" t="n"/>
      <c r="D9" s="56" t="n"/>
      <c r="E9" s="71" t="n"/>
      <c r="F9" s="63" t="n"/>
      <c r="G9" s="72">
        <f>IF(OR(E9="",F9=""),"",E9*F9)</f>
        <v/>
      </c>
      <c r="H9" s="71" t="n"/>
      <c r="I9" s="41">
        <f>IF(OR(E9="",H9=""),"",IF(H9&gt;=E9,"Y","N"))</f>
        <v/>
      </c>
      <c r="J9" s="56" t="n"/>
      <c r="K9" s="71" t="n"/>
      <c r="L9" s="63" t="n"/>
      <c r="M9" s="63" t="n"/>
      <c r="N9" s="72">
        <f>IF(OR(K9="",L9="",F9=""),"",(L9-F9)*K9)</f>
        <v/>
      </c>
      <c r="O9" s="63" t="n"/>
      <c r="P9" s="72">
        <f>IF(OR(N9="",O9=""),"",N9-O9)</f>
        <v/>
      </c>
      <c r="Q9" s="56" t="n"/>
    </row>
    <row r="10" ht="27" customHeight="1">
      <c r="A10" s="70" t="n">
        <v>2</v>
      </c>
      <c r="B10" s="56" t="n"/>
      <c r="C10" s="56" t="n"/>
      <c r="D10" s="56" t="n"/>
      <c r="E10" s="71" t="n"/>
      <c r="F10" s="63" t="n"/>
      <c r="G10" s="72">
        <f>IF(OR(E10="",F10=""),"",E10*F10)</f>
        <v/>
      </c>
      <c r="H10" s="71" t="n"/>
      <c r="I10" s="41">
        <f>IF(OR(E10="",H10=""),"",IF(H10&gt;=E10,"Y","N"))</f>
        <v/>
      </c>
      <c r="J10" s="56" t="n"/>
      <c r="K10" s="71" t="n"/>
      <c r="L10" s="63" t="n"/>
      <c r="M10" s="63" t="n"/>
      <c r="N10" s="72">
        <f>IF(OR(K10="",L10="",F10=""),"",(L10-F10)*K10)</f>
        <v/>
      </c>
      <c r="O10" s="63" t="n"/>
      <c r="P10" s="72">
        <f>IF(OR(N10="",O10=""),"",N10-O10)</f>
        <v/>
      </c>
      <c r="Q10" s="56" t="n"/>
    </row>
    <row r="11" ht="27" customHeight="1">
      <c r="A11" s="70" t="n">
        <v>3</v>
      </c>
      <c r="B11" s="56" t="n"/>
      <c r="C11" s="56" t="n"/>
      <c r="D11" s="56" t="n"/>
      <c r="E11" s="71" t="n"/>
      <c r="F11" s="63" t="n"/>
      <c r="G11" s="72">
        <f>IF(OR(E11="",F11=""),"",E11*F11)</f>
        <v/>
      </c>
      <c r="H11" s="71" t="n"/>
      <c r="I11" s="41">
        <f>IF(OR(E11="",H11=""),"",IF(H11&gt;=E11,"Y","N"))</f>
        <v/>
      </c>
      <c r="J11" s="56" t="n"/>
      <c r="K11" s="71" t="n"/>
      <c r="L11" s="63" t="n"/>
      <c r="M11" s="63" t="n"/>
      <c r="N11" s="72">
        <f>IF(OR(K11="",L11="",F11=""),"",(L11-F11)*K11)</f>
        <v/>
      </c>
      <c r="O11" s="63" t="n"/>
      <c r="P11" s="72">
        <f>IF(OR(N11="",O11=""),"",N11-O11)</f>
        <v/>
      </c>
      <c r="Q11" s="56" t="n"/>
    </row>
    <row r="12" ht="27" customHeight="1">
      <c r="A12" s="70" t="n">
        <v>4</v>
      </c>
      <c r="B12" s="56" t="n"/>
      <c r="C12" s="56" t="n"/>
      <c r="D12" s="56" t="n"/>
      <c r="E12" s="71" t="n"/>
      <c r="F12" s="63" t="n"/>
      <c r="G12" s="72">
        <f>IF(OR(E12="",F12=""),"",E12*F12)</f>
        <v/>
      </c>
      <c r="H12" s="71" t="n"/>
      <c r="I12" s="41">
        <f>IF(OR(E12="",H12=""),"",IF(H12&gt;=E12,"Y","N"))</f>
        <v/>
      </c>
      <c r="J12" s="56" t="n"/>
      <c r="K12" s="71" t="n"/>
      <c r="L12" s="63" t="n"/>
      <c r="M12" s="63" t="n"/>
      <c r="N12" s="72">
        <f>IF(OR(K12="",L12="",F12=""),"",(L12-F12)*K12)</f>
        <v/>
      </c>
      <c r="O12" s="63" t="n"/>
      <c r="P12" s="72">
        <f>IF(OR(N12="",O12=""),"",N12-O12)</f>
        <v/>
      </c>
      <c r="Q12" s="56" t="n"/>
    </row>
    <row r="13" ht="27" customHeight="1">
      <c r="A13" s="70" t="n">
        <v>5</v>
      </c>
      <c r="B13" s="56" t="n"/>
      <c r="C13" s="56" t="n"/>
      <c r="D13" s="56" t="n"/>
      <c r="E13" s="71" t="n"/>
      <c r="F13" s="63" t="n"/>
      <c r="G13" s="72">
        <f>IF(OR(E13="",F13=""),"",E13*F13)</f>
        <v/>
      </c>
      <c r="H13" s="71" t="n"/>
      <c r="I13" s="41">
        <f>IF(OR(E13="",H13=""),"",IF(H13&gt;=E13,"Y","N"))</f>
        <v/>
      </c>
      <c r="J13" s="56" t="n"/>
      <c r="K13" s="71" t="n"/>
      <c r="L13" s="63" t="n"/>
      <c r="M13" s="63" t="n"/>
      <c r="N13" s="72">
        <f>IF(OR(K13="",L13="",F13=""),"",(L13-F13)*K13)</f>
        <v/>
      </c>
      <c r="O13" s="63" t="n"/>
      <c r="P13" s="72">
        <f>IF(OR(N13="",O13=""),"",N13-O13)</f>
        <v/>
      </c>
      <c r="Q13" s="56" t="n"/>
    </row>
    <row r="14" ht="27" customHeight="1">
      <c r="A14" s="70" t="n">
        <v>6</v>
      </c>
      <c r="B14" s="56" t="n"/>
      <c r="C14" s="56" t="n"/>
      <c r="D14" s="56" t="n"/>
      <c r="E14" s="71" t="n"/>
      <c r="F14" s="63" t="n"/>
      <c r="G14" s="72">
        <f>IF(OR(E14="",F14=""),"",E14*F14)</f>
        <v/>
      </c>
      <c r="H14" s="71" t="n"/>
      <c r="I14" s="41">
        <f>IF(OR(E14="",H14=""),"",IF(H14&gt;=E14,"Y","N"))</f>
        <v/>
      </c>
      <c r="J14" s="56" t="n"/>
      <c r="K14" s="71" t="n"/>
      <c r="L14" s="63" t="n"/>
      <c r="M14" s="63" t="n"/>
      <c r="N14" s="72">
        <f>IF(OR(K14="",L14="",F14=""),"",(L14-F14)*K14)</f>
        <v/>
      </c>
      <c r="O14" s="63" t="n"/>
      <c r="P14" s="72">
        <f>IF(OR(N14="",O14=""),"",N14-O14)</f>
        <v/>
      </c>
      <c r="Q14" s="56" t="n"/>
    </row>
    <row r="15" ht="27" customHeight="1">
      <c r="A15" s="70" t="n">
        <v>7</v>
      </c>
      <c r="B15" s="56" t="n"/>
      <c r="C15" s="56" t="n"/>
      <c r="D15" s="56" t="n"/>
      <c r="E15" s="71" t="n"/>
      <c r="F15" s="63" t="n"/>
      <c r="G15" s="72">
        <f>IF(OR(E15="",F15=""),"",E15*F15)</f>
        <v/>
      </c>
      <c r="H15" s="71" t="n"/>
      <c r="I15" s="41">
        <f>IF(OR(E15="",H15=""),"",IF(H15&gt;=E15,"Y","N"))</f>
        <v/>
      </c>
      <c r="J15" s="56" t="n"/>
      <c r="K15" s="71" t="n"/>
      <c r="L15" s="63" t="n"/>
      <c r="M15" s="63" t="n"/>
      <c r="N15" s="72">
        <f>IF(OR(K15="",L15="",F15=""),"",(L15-F15)*K15)</f>
        <v/>
      </c>
      <c r="O15" s="63" t="n"/>
      <c r="P15" s="72">
        <f>IF(OR(N15="",O15=""),"",N15-O15)</f>
        <v/>
      </c>
      <c r="Q15" s="56" t="n"/>
    </row>
    <row r="16" ht="27" customHeight="1">
      <c r="A16" s="70" t="n">
        <v>8</v>
      </c>
      <c r="B16" s="56" t="n"/>
      <c r="C16" s="56" t="n"/>
      <c r="D16" s="56" t="n"/>
      <c r="E16" s="71" t="n"/>
      <c r="F16" s="63" t="n"/>
      <c r="G16" s="72">
        <f>IF(OR(E16="",F16=""),"",E16*F16)</f>
        <v/>
      </c>
      <c r="H16" s="71" t="n"/>
      <c r="I16" s="41">
        <f>IF(OR(E16="",H16=""),"",IF(H16&gt;=E16,"Y","N"))</f>
        <v/>
      </c>
      <c r="J16" s="56" t="n"/>
      <c r="K16" s="71" t="n"/>
      <c r="L16" s="63" t="n"/>
      <c r="M16" s="63" t="n"/>
      <c r="N16" s="72">
        <f>IF(OR(K16="",L16="",F16=""),"",(L16-F16)*K16)</f>
        <v/>
      </c>
      <c r="O16" s="63" t="n"/>
      <c r="P16" s="72">
        <f>IF(OR(N16="",O16=""),"",N16-O16)</f>
        <v/>
      </c>
      <c r="Q16" s="56" t="n"/>
    </row>
    <row r="17" ht="27" customHeight="1">
      <c r="A17" s="70" t="n">
        <v>9</v>
      </c>
      <c r="B17" s="56" t="n"/>
      <c r="C17" s="56" t="n"/>
      <c r="D17" s="56" t="n"/>
      <c r="E17" s="71" t="n"/>
      <c r="F17" s="63" t="n"/>
      <c r="G17" s="72">
        <f>IF(OR(E17="",F17=""),"",E17*F17)</f>
        <v/>
      </c>
      <c r="H17" s="71" t="n"/>
      <c r="I17" s="41">
        <f>IF(OR(E17="",H17=""),"",IF(H17&gt;=E17,"Y","N"))</f>
        <v/>
      </c>
      <c r="J17" s="56" t="n"/>
      <c r="K17" s="71" t="n"/>
      <c r="L17" s="63" t="n"/>
      <c r="M17" s="63" t="n"/>
      <c r="N17" s="72">
        <f>IF(OR(K17="",L17="",F17=""),"",(L17-F17)*K17)</f>
        <v/>
      </c>
      <c r="O17" s="63" t="n"/>
      <c r="P17" s="72">
        <f>IF(OR(N17="",O17=""),"",N17-O17)</f>
        <v/>
      </c>
      <c r="Q17" s="56" t="n"/>
    </row>
    <row r="18" ht="27" customHeight="1">
      <c r="A18" s="70" t="n">
        <v>10</v>
      </c>
      <c r="B18" s="56" t="n"/>
      <c r="C18" s="56" t="n"/>
      <c r="D18" s="56" t="n"/>
      <c r="E18" s="71" t="n"/>
      <c r="F18" s="63" t="n"/>
      <c r="G18" s="72">
        <f>IF(OR(E18="",F18=""),"",E18*F18)</f>
        <v/>
      </c>
      <c r="H18" s="71" t="n"/>
      <c r="I18" s="41">
        <f>IF(OR(E18="",H18=""),"",IF(H18&gt;=E18,"Y","N"))</f>
        <v/>
      </c>
      <c r="J18" s="56" t="n"/>
      <c r="K18" s="71" t="n"/>
      <c r="L18" s="63" t="n"/>
      <c r="M18" s="63" t="n"/>
      <c r="N18" s="72">
        <f>IF(OR(K18="",L18="",F18=""),"",(L18-F18)*K18)</f>
        <v/>
      </c>
      <c r="O18" s="63" t="n"/>
      <c r="P18" s="72">
        <f>IF(OR(N18="",O18=""),"",N18-O18)</f>
        <v/>
      </c>
      <c r="Q18" s="56" t="n"/>
    </row>
    <row r="19" ht="27" customHeight="1">
      <c r="A19" s="70" t="n">
        <v>11</v>
      </c>
      <c r="B19" s="56" t="n"/>
      <c r="C19" s="56" t="n"/>
      <c r="D19" s="56" t="n"/>
      <c r="E19" s="71" t="n"/>
      <c r="F19" s="63" t="n"/>
      <c r="G19" s="72">
        <f>IF(OR(E19="",F19=""),"",E19*F19)</f>
        <v/>
      </c>
      <c r="H19" s="71" t="n"/>
      <c r="I19" s="41">
        <f>IF(OR(E19="",H19=""),"",IF(H19&gt;=E19,"Y","N"))</f>
        <v/>
      </c>
      <c r="J19" s="56" t="n"/>
      <c r="K19" s="71" t="n"/>
      <c r="L19" s="63" t="n"/>
      <c r="M19" s="63" t="n"/>
      <c r="N19" s="72">
        <f>IF(OR(K19="",L19="",F19=""),"",(L19-F19)*K19)</f>
        <v/>
      </c>
      <c r="O19" s="63" t="n"/>
      <c r="P19" s="72">
        <f>IF(OR(N19="",O19=""),"",N19-O19)</f>
        <v/>
      </c>
      <c r="Q19" s="56" t="n"/>
    </row>
    <row r="20" ht="27" customHeight="1">
      <c r="A20" s="70" t="n">
        <v>12</v>
      </c>
      <c r="B20" s="56" t="n"/>
      <c r="C20" s="56" t="n"/>
      <c r="D20" s="56" t="n"/>
      <c r="E20" s="71" t="n"/>
      <c r="F20" s="63" t="n"/>
      <c r="G20" s="72">
        <f>IF(OR(E20="",F20=""),"",E20*F20)</f>
        <v/>
      </c>
      <c r="H20" s="71" t="n"/>
      <c r="I20" s="41">
        <f>IF(OR(E20="",H20=""),"",IF(H20&gt;=E20,"Y","N"))</f>
        <v/>
      </c>
      <c r="J20" s="56" t="n"/>
      <c r="K20" s="71" t="n"/>
      <c r="L20" s="63" t="n"/>
      <c r="M20" s="63" t="n"/>
      <c r="N20" s="72">
        <f>IF(OR(K20="",L20="",F20=""),"",(L20-F20)*K20)</f>
        <v/>
      </c>
      <c r="O20" s="63" t="n"/>
      <c r="P20" s="72">
        <f>IF(OR(N20="",O20=""),"",N20-O20)</f>
        <v/>
      </c>
      <c r="Q20" s="56" t="n"/>
    </row>
    <row r="21" ht="27" customHeight="1">
      <c r="A21" s="70" t="n">
        <v>13</v>
      </c>
      <c r="B21" s="56" t="n"/>
      <c r="C21" s="56" t="n"/>
      <c r="D21" s="56" t="n"/>
      <c r="E21" s="71" t="n"/>
      <c r="F21" s="63" t="n"/>
      <c r="G21" s="72">
        <f>IF(OR(E21="",F21=""),"",E21*F21)</f>
        <v/>
      </c>
      <c r="H21" s="71" t="n"/>
      <c r="I21" s="41">
        <f>IF(OR(E21="",H21=""),"",IF(H21&gt;=E21,"Y","N"))</f>
        <v/>
      </c>
      <c r="J21" s="56" t="n"/>
      <c r="K21" s="71" t="n"/>
      <c r="L21" s="63" t="n"/>
      <c r="M21" s="63" t="n"/>
      <c r="N21" s="72">
        <f>IF(OR(K21="",L21="",F21=""),"",(L21-F21)*K21)</f>
        <v/>
      </c>
      <c r="O21" s="63" t="n"/>
      <c r="P21" s="72">
        <f>IF(OR(N21="",O21=""),"",N21-O21)</f>
        <v/>
      </c>
      <c r="Q21" s="56" t="n"/>
    </row>
    <row r="22" ht="27" customHeight="1">
      <c r="A22" s="70" t="n">
        <v>14</v>
      </c>
      <c r="B22" s="56" t="n"/>
      <c r="C22" s="56" t="n"/>
      <c r="D22" s="56" t="n"/>
      <c r="E22" s="71" t="n"/>
      <c r="F22" s="63" t="n"/>
      <c r="G22" s="72">
        <f>IF(OR(E22="",F22=""),"",E22*F22)</f>
        <v/>
      </c>
      <c r="H22" s="71" t="n"/>
      <c r="I22" s="41">
        <f>IF(OR(E22="",H22=""),"",IF(H22&gt;=E22,"Y","N"))</f>
        <v/>
      </c>
      <c r="J22" s="56" t="n"/>
      <c r="K22" s="71" t="n"/>
      <c r="L22" s="63" t="n"/>
      <c r="M22" s="63" t="n"/>
      <c r="N22" s="72">
        <f>IF(OR(K22="",L22="",F22=""),"",(L22-F22)*K22)</f>
        <v/>
      </c>
      <c r="O22" s="63" t="n"/>
      <c r="P22" s="72">
        <f>IF(OR(N22="",O22=""),"",N22-O22)</f>
        <v/>
      </c>
      <c r="Q22" s="56" t="n"/>
    </row>
    <row r="23" ht="27" customHeight="1">
      <c r="A23" s="70" t="n">
        <v>15</v>
      </c>
      <c r="B23" s="56" t="n"/>
      <c r="C23" s="56" t="n"/>
      <c r="D23" s="56" t="n"/>
      <c r="E23" s="71" t="n"/>
      <c r="F23" s="63" t="n"/>
      <c r="G23" s="72">
        <f>IF(OR(E23="",F23=""),"",E23*F23)</f>
        <v/>
      </c>
      <c r="H23" s="71" t="n"/>
      <c r="I23" s="41">
        <f>IF(OR(E23="",H23=""),"",IF(H23&gt;=E23,"Y","N"))</f>
        <v/>
      </c>
      <c r="J23" s="56" t="n"/>
      <c r="K23" s="71" t="n"/>
      <c r="L23" s="63" t="n"/>
      <c r="M23" s="63" t="n"/>
      <c r="N23" s="72">
        <f>IF(OR(K23="",L23="",F23=""),"",(L23-F23)*K23)</f>
        <v/>
      </c>
      <c r="O23" s="63" t="n"/>
      <c r="P23" s="72">
        <f>IF(OR(N23="",O23=""),"",N23-O23)</f>
        <v/>
      </c>
      <c r="Q23" s="56" t="n"/>
    </row>
    <row r="24" ht="27" customHeight="1">
      <c r="A24" s="70" t="n">
        <v>16</v>
      </c>
      <c r="B24" s="56" t="n"/>
      <c r="C24" s="56" t="n"/>
      <c r="D24" s="56" t="n"/>
      <c r="E24" s="71" t="n"/>
      <c r="F24" s="63" t="n"/>
      <c r="G24" s="72">
        <f>IF(OR(E24="",F24=""),"",E24*F24)</f>
        <v/>
      </c>
      <c r="H24" s="71" t="n"/>
      <c r="I24" s="41">
        <f>IF(OR(E24="",H24=""),"",IF(H24&gt;=E24,"Y","N"))</f>
        <v/>
      </c>
      <c r="J24" s="56" t="n"/>
      <c r="K24" s="71" t="n"/>
      <c r="L24" s="63" t="n"/>
      <c r="M24" s="63" t="n"/>
      <c r="N24" s="72">
        <f>IF(OR(K24="",L24="",F24=""),"",(L24-F24)*K24)</f>
        <v/>
      </c>
      <c r="O24" s="63" t="n"/>
      <c r="P24" s="72">
        <f>IF(OR(N24="",O24=""),"",N24-O24)</f>
        <v/>
      </c>
      <c r="Q24" s="56" t="n"/>
    </row>
    <row r="25" ht="27" customHeight="1">
      <c r="A25" s="70" t="n">
        <v>17</v>
      </c>
      <c r="B25" s="56" t="n"/>
      <c r="C25" s="56" t="n"/>
      <c r="D25" s="56" t="n"/>
      <c r="E25" s="71" t="n"/>
      <c r="F25" s="63" t="n"/>
      <c r="G25" s="72">
        <f>IF(OR(E25="",F25=""),"",E25*F25)</f>
        <v/>
      </c>
      <c r="H25" s="71" t="n"/>
      <c r="I25" s="41">
        <f>IF(OR(E25="",H25=""),"",IF(H25&gt;=E25,"Y","N"))</f>
        <v/>
      </c>
      <c r="J25" s="56" t="n"/>
      <c r="K25" s="71" t="n"/>
      <c r="L25" s="63" t="n"/>
      <c r="M25" s="63" t="n"/>
      <c r="N25" s="72">
        <f>IF(OR(K25="",L25="",F25=""),"",(L25-F25)*K25)</f>
        <v/>
      </c>
      <c r="O25" s="63" t="n"/>
      <c r="P25" s="72">
        <f>IF(OR(N25="",O25=""),"",N25-O25)</f>
        <v/>
      </c>
      <c r="Q25" s="56" t="n"/>
    </row>
    <row r="26" ht="27" customHeight="1">
      <c r="A26" s="70" t="n">
        <v>18</v>
      </c>
      <c r="B26" s="56" t="n"/>
      <c r="C26" s="56" t="n"/>
      <c r="D26" s="56" t="n"/>
      <c r="E26" s="71" t="n"/>
      <c r="F26" s="63" t="n"/>
      <c r="G26" s="72">
        <f>IF(OR(E26="",F26=""),"",E26*F26)</f>
        <v/>
      </c>
      <c r="H26" s="71" t="n"/>
      <c r="I26" s="41">
        <f>IF(OR(E26="",H26=""),"",IF(H26&gt;=E26,"Y","N"))</f>
        <v/>
      </c>
      <c r="J26" s="56" t="n"/>
      <c r="K26" s="71" t="n"/>
      <c r="L26" s="63" t="n"/>
      <c r="M26" s="63" t="n"/>
      <c r="N26" s="72">
        <f>IF(OR(K26="",L26="",F26=""),"",(L26-F26)*K26)</f>
        <v/>
      </c>
      <c r="O26" s="63" t="n"/>
      <c r="P26" s="72">
        <f>IF(OR(N26="",O26=""),"",N26-O26)</f>
        <v/>
      </c>
      <c r="Q26" s="56" t="n"/>
    </row>
    <row r="27">
      <c r="A27" s="73" t="inlineStr">
        <is>
          <t>Total</t>
        </is>
      </c>
      <c r="B27" s="73" t="n"/>
      <c r="C27" s="73" t="n"/>
      <c r="D27" s="73" t="n"/>
      <c r="E27" s="73" t="n"/>
      <c r="F27" s="73" t="n"/>
      <c r="G27" s="74">
        <f>SUM(G9:G26)</f>
        <v/>
      </c>
      <c r="H27" s="73" t="n"/>
      <c r="I27" s="73" t="n"/>
      <c r="J27" s="73" t="n"/>
      <c r="K27" s="73" t="n"/>
      <c r="L27" s="73" t="n"/>
      <c r="M27" s="73" t="n"/>
      <c r="N27" s="74">
        <f>SUM(N9:N26)</f>
        <v/>
      </c>
      <c r="O27" s="74">
        <f>SUM(O9:O26)</f>
        <v/>
      </c>
      <c r="P27" s="74">
        <f>SUM(P9:P26)</f>
        <v/>
      </c>
      <c r="Q27" s="73" t="n"/>
    </row>
    <row r="28">
      <c r="A28" s="35" t="n"/>
      <c r="B28" s="35" t="n"/>
      <c r="C28" s="35" t="n"/>
      <c r="D28" s="35" t="n"/>
      <c r="E28" s="35" t="n"/>
      <c r="F28" s="35" t="n"/>
      <c r="G28" s="35" t="n"/>
      <c r="H28" s="35" t="n"/>
      <c r="I28" s="35" t="n"/>
      <c r="J28" s="35" t="n"/>
      <c r="K28" s="35" t="n"/>
      <c r="L28" s="35" t="n"/>
      <c r="M28" s="35" t="n"/>
      <c r="N28" s="35" t="n"/>
      <c r="O28" s="35" t="n"/>
      <c r="P28" s="35" t="n"/>
      <c r="Q28" s="35" t="n"/>
    </row>
    <row r="29">
      <c r="A29" s="37" t="inlineStr">
        <is>
          <t>Coverage rule: the purchase-report quantity over the test period must be ≥ the YE listing quantity — otherwise extend the period or test additional layers. Std-vs-actual difference recomputes as (actual − standard) × invoice quantity; the recorded PPV must absorb it (recompute diff = 0). Unabsorbed differences feed the &lt;.4&gt; capitalized-variance test.</t>
        </is>
      </c>
      <c r="B29" s="35" t="n"/>
      <c r="C29" s="35" t="n"/>
      <c r="D29" s="35" t="n"/>
      <c r="E29" s="35" t="n"/>
      <c r="F29" s="35" t="n"/>
      <c r="G29" s="35" t="n"/>
      <c r="H29" s="35" t="n"/>
      <c r="I29" s="35" t="n"/>
      <c r="J29" s="35" t="n"/>
      <c r="K29" s="35" t="n"/>
      <c r="L29" s="35" t="n"/>
      <c r="M29" s="35" t="n"/>
      <c r="N29" s="35" t="n"/>
      <c r="O29" s="35" t="n"/>
      <c r="P29" s="35" t="n"/>
      <c r="Q29" s="35" t="n"/>
    </row>
    <row r="30">
      <c r="A30" s="35" t="n"/>
      <c r="B30" s="35" t="n"/>
      <c r="C30" s="35" t="n"/>
      <c r="D30" s="35" t="n"/>
      <c r="E30" s="35" t="n"/>
      <c r="F30" s="35" t="n"/>
      <c r="G30" s="35" t="n"/>
      <c r="H30" s="35" t="n"/>
      <c r="I30" s="35" t="n"/>
      <c r="J30" s="35" t="n"/>
      <c r="K30" s="35" t="n"/>
      <c r="L30" s="35" t="n"/>
      <c r="M30" s="35" t="n"/>
      <c r="N30" s="35" t="n"/>
      <c r="O30" s="35" t="n"/>
      <c r="P30" s="35" t="n"/>
      <c r="Q30" s="35" t="n"/>
    </row>
    <row r="31">
      <c r="A31" s="57" t="inlineStr">
        <is>
          <t>TM Legends</t>
        </is>
      </c>
      <c r="B31" s="35" t="n"/>
      <c r="C31" s="35" t="n"/>
      <c r="D31" s="35" t="n"/>
      <c r="E31" s="35" t="n"/>
      <c r="F31" s="35" t="n"/>
      <c r="G31" s="35" t="n"/>
      <c r="H31" s="35" t="n"/>
      <c r="I31" s="35" t="n"/>
      <c r="J31" s="35" t="n"/>
      <c r="K31" s="35" t="n"/>
      <c r="L31" s="35" t="n"/>
      <c r="M31" s="35" t="n"/>
      <c r="N31" s="35" t="n"/>
      <c r="O31" s="35" t="n"/>
      <c r="P31" s="35" t="n"/>
      <c r="Q31" s="35" t="n"/>
    </row>
    <row r="32">
      <c r="A32" s="58" t="inlineStr">
        <is>
          <t>TB</t>
        </is>
      </c>
      <c r="B32" s="41" t="inlineStr">
        <is>
          <t>Agreed to trial balance</t>
        </is>
      </c>
      <c r="C32" s="59" t="n"/>
      <c r="D32" s="60" t="n"/>
      <c r="E32" s="35" t="n"/>
      <c r="F32" s="35" t="n"/>
      <c r="G32" s="35" t="n"/>
      <c r="H32" s="35" t="n"/>
      <c r="I32" s="35" t="n"/>
      <c r="J32" s="35" t="n"/>
      <c r="K32" s="35" t="n"/>
      <c r="L32" s="35" t="n"/>
      <c r="M32" s="35" t="n"/>
      <c r="N32" s="35" t="n"/>
      <c r="O32" s="35" t="n"/>
      <c r="P32" s="35" t="n"/>
      <c r="Q32" s="35" t="n"/>
    </row>
    <row r="33">
      <c r="A33" s="58" t="inlineStr">
        <is>
          <t>GL</t>
        </is>
      </c>
      <c r="B33" s="41" t="inlineStr">
        <is>
          <t>Agreed to general ledger</t>
        </is>
      </c>
      <c r="C33" s="59" t="n"/>
      <c r="D33" s="60" t="n"/>
      <c r="E33" s="35" t="n"/>
      <c r="F33" s="35" t="n"/>
      <c r="G33" s="35" t="n"/>
      <c r="H33" s="35" t="n"/>
      <c r="I33" s="35" t="n"/>
      <c r="J33" s="35" t="n"/>
      <c r="K33" s="35" t="n"/>
      <c r="L33" s="35" t="n"/>
      <c r="M33" s="35" t="n"/>
      <c r="N33" s="35" t="n"/>
      <c r="O33" s="35" t="n"/>
      <c r="P33" s="35" t="n"/>
      <c r="Q33" s="35" t="n"/>
    </row>
    <row r="34">
      <c r="A34" s="58" t="inlineStr">
        <is>
          <t>CF</t>
        </is>
      </c>
      <c r="B34" s="41" t="inlineStr">
        <is>
          <t>Confirmed with third party</t>
        </is>
      </c>
      <c r="C34" s="59" t="n"/>
      <c r="D34" s="60" t="n"/>
      <c r="E34" s="35" t="n"/>
      <c r="F34" s="35" t="n"/>
      <c r="G34" s="35" t="n"/>
      <c r="H34" s="35" t="n"/>
      <c r="I34" s="35" t="n"/>
      <c r="J34" s="35" t="n"/>
      <c r="K34" s="35" t="n"/>
      <c r="L34" s="35" t="n"/>
      <c r="M34" s="35" t="n"/>
      <c r="N34" s="35" t="n"/>
      <c r="O34" s="35" t="n"/>
      <c r="P34" s="35" t="n"/>
      <c r="Q34" s="35" t="n"/>
    </row>
    <row r="35">
      <c r="A35" s="58" t="inlineStr">
        <is>
          <t>V</t>
        </is>
      </c>
      <c r="B35" s="41" t="inlineStr">
        <is>
          <t>Vouched to source document</t>
        </is>
      </c>
      <c r="C35" s="59" t="n"/>
      <c r="D35" s="60" t="n"/>
      <c r="E35" s="35" t="n"/>
      <c r="F35" s="35" t="n"/>
      <c r="G35" s="35" t="n"/>
      <c r="H35" s="35" t="n"/>
      <c r="I35" s="35" t="n"/>
      <c r="J35" s="35" t="n"/>
      <c r="K35" s="35" t="n"/>
      <c r="L35" s="35" t="n"/>
      <c r="M35" s="35" t="n"/>
      <c r="N35" s="35" t="n"/>
      <c r="O35" s="35" t="n"/>
      <c r="P35" s="35" t="n"/>
      <c r="Q35" s="35" t="n"/>
    </row>
    <row r="36" ht="27.75" customHeight="1">
      <c r="A36" s="58" t="inlineStr">
        <is>
          <t>SR</t>
        </is>
      </c>
      <c r="B36" s="41" t="inlineStr">
        <is>
          <t>Agreed to subsequent bank-cleared receipt</t>
        </is>
      </c>
      <c r="C36" s="59" t="n"/>
      <c r="D36" s="60" t="n"/>
      <c r="E36" s="35" t="n"/>
      <c r="F36" s="35" t="n"/>
      <c r="G36" s="35" t="n"/>
      <c r="H36" s="35" t="n"/>
      <c r="I36" s="35" t="n"/>
      <c r="J36" s="35" t="n"/>
      <c r="K36" s="35" t="n"/>
      <c r="L36" s="35" t="n"/>
      <c r="M36" s="35" t="n"/>
      <c r="N36" s="35" t="n"/>
      <c r="O36" s="35" t="n"/>
      <c r="P36" s="35" t="n"/>
      <c r="Q36" s="35" t="n"/>
    </row>
    <row r="37">
      <c r="A37" s="58" t="inlineStr">
        <is>
          <t>R</t>
        </is>
      </c>
      <c r="B37" s="41" t="inlineStr">
        <is>
          <t>Recalculated independently</t>
        </is>
      </c>
      <c r="C37" s="59" t="n"/>
      <c r="D37" s="60" t="n"/>
      <c r="E37" s="35" t="n"/>
      <c r="F37" s="35" t="n"/>
      <c r="G37" s="35" t="n"/>
      <c r="H37" s="35" t="n"/>
      <c r="I37" s="35" t="n"/>
      <c r="J37" s="35" t="n"/>
      <c r="K37" s="35" t="n"/>
      <c r="L37" s="35" t="n"/>
      <c r="M37" s="35" t="n"/>
      <c r="N37" s="35" t="n"/>
      <c r="O37" s="35" t="n"/>
      <c r="P37" s="35" t="n"/>
      <c r="Q37" s="35" t="n"/>
    </row>
    <row r="38">
      <c r="A38" s="58" t="inlineStr">
        <is>
          <t>F</t>
        </is>
      </c>
      <c r="B38" s="41" t="inlineStr">
        <is>
          <t>Footed / cross-cast</t>
        </is>
      </c>
      <c r="C38" s="59" t="n"/>
      <c r="D38" s="60" t="n"/>
      <c r="E38" s="35" t="n"/>
      <c r="F38" s="35" t="n"/>
      <c r="G38" s="35" t="n"/>
      <c r="H38" s="35" t="n"/>
      <c r="I38" s="35" t="n"/>
      <c r="J38" s="35" t="n"/>
      <c r="K38" s="35" t="n"/>
      <c r="L38" s="35" t="n"/>
      <c r="M38" s="35" t="n"/>
      <c r="N38" s="35" t="n"/>
      <c r="O38" s="35" t="n"/>
      <c r="P38" s="35" t="n"/>
      <c r="Q38" s="35" t="n"/>
    </row>
    <row r="39">
      <c r="A39" s="58" t="inlineStr">
        <is>
          <t>T</t>
        </is>
      </c>
      <c r="B39" s="41" t="inlineStr">
        <is>
          <t>Traced to downstream record</t>
        </is>
      </c>
      <c r="C39" s="59" t="n"/>
      <c r="D39" s="60" t="n"/>
      <c r="E39" s="35" t="n"/>
      <c r="F39" s="35" t="n"/>
      <c r="G39" s="35" t="n"/>
      <c r="H39" s="35" t="n"/>
      <c r="I39" s="35" t="n"/>
      <c r="J39" s="35" t="n"/>
      <c r="K39" s="35" t="n"/>
      <c r="L39" s="35" t="n"/>
      <c r="M39" s="35" t="n"/>
      <c r="N39" s="35" t="n"/>
      <c r="O39" s="35" t="n"/>
      <c r="P39" s="35" t="n"/>
      <c r="Q39" s="35" t="n"/>
    </row>
    <row r="40">
      <c r="A40" s="58" t="inlineStr">
        <is>
          <t>PBC</t>
        </is>
      </c>
      <c r="B40" s="41" t="inlineStr">
        <is>
          <t>Prepared by client</t>
        </is>
      </c>
      <c r="C40" s="59" t="n"/>
      <c r="D40" s="60" t="n"/>
      <c r="E40" s="35" t="n"/>
      <c r="F40" s="35" t="n"/>
      <c r="G40" s="35" t="n"/>
      <c r="H40" s="35" t="n"/>
      <c r="I40" s="35" t="n"/>
      <c r="J40" s="35" t="n"/>
      <c r="K40" s="35" t="n"/>
      <c r="L40" s="35" t="n"/>
      <c r="M40" s="35" t="n"/>
      <c r="N40" s="35" t="n"/>
      <c r="O40" s="35" t="n"/>
      <c r="P40" s="35" t="n"/>
      <c r="Q40" s="35" t="n"/>
    </row>
    <row r="41">
      <c r="A41" s="35" t="n"/>
      <c r="B41" s="35" t="n"/>
      <c r="C41" s="35" t="n"/>
      <c r="D41" s="35" t="n"/>
      <c r="E41" s="35" t="n"/>
      <c r="F41" s="35" t="n"/>
      <c r="G41" s="35" t="n"/>
      <c r="H41" s="35" t="n"/>
      <c r="I41" s="35" t="n"/>
      <c r="J41" s="35" t="n"/>
      <c r="K41" s="35" t="n"/>
      <c r="L41" s="35" t="n"/>
      <c r="M41" s="35" t="n"/>
      <c r="N41" s="35" t="n"/>
      <c r="O41" s="35" t="n"/>
      <c r="P41" s="35" t="n"/>
      <c r="Q41" s="35" t="n"/>
    </row>
    <row r="42">
      <c r="A42" s="37" t="inlineStr">
        <is>
          <t>Before sign-off complete Library Procedures 4-6 (selection &amp; coverage; invoice vouch; PPV recompute).</t>
        </is>
      </c>
      <c r="B42" s="35" t="n"/>
      <c r="C42" s="35" t="n"/>
      <c r="D42" s="35" t="n"/>
      <c r="E42" s="35" t="n"/>
      <c r="F42" s="35" t="n"/>
      <c r="G42" s="35" t="n"/>
      <c r="H42" s="35" t="n"/>
      <c r="I42" s="35" t="n"/>
      <c r="J42" s="35" t="n"/>
      <c r="K42" s="35" t="n"/>
      <c r="L42" s="35" t="n"/>
      <c r="M42" s="35" t="n"/>
      <c r="N42" s="35" t="n"/>
      <c r="O42" s="35" t="n"/>
      <c r="P42" s="35" t="n"/>
      <c r="Q42" s="35" t="n"/>
    </row>
  </sheetData>
  <autoFilter ref="A7:Q26"/>
  <mergeCells count="14">
    <mergeCell ref="B33:D33"/>
    <mergeCell ref="B36:D36"/>
    <mergeCell ref="B32:D32"/>
    <mergeCell ref="B35:D35"/>
    <mergeCell ref="A42:Q42"/>
    <mergeCell ref="B6:Q6"/>
    <mergeCell ref="B38:D38"/>
    <mergeCell ref="B34:D34"/>
    <mergeCell ref="B5:Q5"/>
    <mergeCell ref="B37:D37"/>
    <mergeCell ref="A29:Q29"/>
    <mergeCell ref="B4:Q4"/>
    <mergeCell ref="B40:D40"/>
    <mergeCell ref="B39:D39"/>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autoPageBreaks="0" fitToPage="1"/>
  </sheetPr>
  <dimension ref="A1:P42"/>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9" sqref="A9"/>
      <selection pane="bottomRight" activeCell="B9" sqref="B9"/>
    </sheetView>
  </sheetViews>
  <sheetFormatPr baseColWidth="8" defaultColWidth="8.6328125" defaultRowHeight="14.5"/>
  <cols>
    <col width="32.59999999999999" bestFit="1" customWidth="1" min="1" max="1"/>
    <col width="22.4" customWidth="1" min="2" max="2"/>
    <col width="20" customWidth="1" min="3" max="3"/>
    <col width="37.7" bestFit="1" customWidth="1" min="4" max="4"/>
    <col width="17.3" customWidth="1" min="5" max="6"/>
    <col width="19.85" customWidth="1" min="6" max="6"/>
    <col width="30.05" customWidth="1" min="7" max="8"/>
    <col width="31.75" customWidth="1" min="8" max="8"/>
    <col width="32.59999999999999" customWidth="1" min="9" max="9"/>
    <col width="35.15" customWidth="1" min="10" max="10"/>
    <col width="41.1" customWidth="1" min="11" max="12"/>
    <col width="30.05" customWidth="1" min="12" max="12"/>
    <col width="30.05" customWidth="1" min="13" max="14"/>
    <col width="19" customWidth="1" min="14" max="14"/>
    <col width="27.5" customWidth="1" min="15" max="15"/>
    <col width="22" customWidth="1" min="16" max="16"/>
  </cols>
  <sheetData>
    <row r="1" ht="27" customHeight="1">
      <c r="A1" s="34" t="inlineStr">
        <is>
          <t>Raw Material Cost — Weighted Average</t>
        </is>
      </c>
      <c r="B1" s="35" t="n"/>
      <c r="C1" s="35" t="n"/>
      <c r="D1" s="35" t="n"/>
      <c r="E1" s="35" t="n"/>
      <c r="F1" s="35" t="n"/>
      <c r="G1" s="35" t="n"/>
      <c r="H1" s="35" t="n"/>
      <c r="I1" s="35" t="n"/>
      <c r="J1" s="35" t="n"/>
      <c r="K1" s="35" t="n"/>
      <c r="L1" s="35" t="n"/>
      <c r="M1" s="35" t="n"/>
      <c r="N1" s="35" t="n"/>
      <c r="O1" s="35" t="n"/>
      <c r="P1" s="35" t="n"/>
    </row>
    <row r="2" ht="27" customHeight="1">
      <c r="A2" s="46" t="inlineStr">
        <is>
          <t>Client / Entity</t>
        </is>
      </c>
      <c r="B2" s="36" t="inlineStr">
        <is>
          <t>Vaquite Industries, Inc.</t>
        </is>
      </c>
      <c r="C2" s="35" t="n"/>
      <c r="D2" s="46" t="inlineStr">
        <is>
          <t>Year-End</t>
        </is>
      </c>
      <c r="E2" s="47" t="n">
        <v>46022</v>
      </c>
      <c r="F2" s="35" t="n"/>
      <c r="G2" s="46" t="inlineStr">
        <is>
          <t>Currency</t>
        </is>
      </c>
      <c r="H2" s="48" t="inlineStr">
        <is>
          <t>USD</t>
        </is>
      </c>
      <c r="I2" s="35" t="n"/>
      <c r="J2" s="35" t="n"/>
      <c r="K2" s="35" t="n"/>
      <c r="L2" s="35" t="n"/>
      <c r="M2" s="35" t="n"/>
      <c r="N2" s="35" t="n"/>
      <c r="O2" s="35" t="n"/>
      <c r="P2" s="35" t="n"/>
    </row>
    <row r="3" ht="27" customHeight="1">
      <c r="A3" s="49" t="inlineStr">
        <is>
          <t>Performance Materiality</t>
        </is>
      </c>
      <c r="B3" s="50" t="n">
        <v>23100</v>
      </c>
      <c r="C3" s="35" t="n"/>
      <c r="D3" s="49" t="inlineStr">
        <is>
          <t>Tolerable misstatement / testing threshold</t>
        </is>
      </c>
      <c r="E3" s="50" t="n">
        <v>17400</v>
      </c>
      <c r="F3" s="35" t="n"/>
      <c r="G3" s="35" t="n"/>
      <c r="H3" s="35" t="n"/>
      <c r="I3" s="35" t="n"/>
      <c r="J3" s="35" t="n"/>
      <c r="K3" s="35" t="n"/>
      <c r="L3" s="35" t="n"/>
      <c r="M3" s="35" t="n"/>
      <c r="N3" s="35" t="n"/>
      <c r="O3" s="35" t="n"/>
      <c r="P3" s="35" t="n"/>
    </row>
    <row r="4" ht="42" customHeight="1">
      <c r="A4" s="51" t="inlineStr">
        <is>
          <t>Purpose:</t>
        </is>
      </c>
      <c r="B4" s="52" t="inlineStr">
        <is>
          <t>Test YE raw-material weighted-average costs: select items from the YE listing, obtain the purchase report over the test period (quantity must cover the YE quantity), recompute the weighted-average unit cost, and vouch one invoice from the purchase report.</t>
        </is>
      </c>
      <c r="C4" s="53" t="n"/>
      <c r="D4" s="53" t="n"/>
      <c r="E4" s="53" t="n"/>
      <c r="F4" s="53" t="n"/>
      <c r="G4" s="53" t="n"/>
      <c r="H4" s="53" t="n"/>
      <c r="I4" s="53" t="n"/>
      <c r="J4" s="53" t="n"/>
      <c r="K4" s="53" t="n"/>
      <c r="L4" s="53" t="n"/>
      <c r="M4" s="53" t="n"/>
      <c r="N4" s="53" t="n"/>
      <c r="O4" s="53" t="n"/>
      <c r="P4" s="54" t="n"/>
    </row>
    <row r="5" ht="27.75" customHeight="1">
      <c r="A5" s="51" t="inlineStr">
        <is>
          <t>Scope:</t>
        </is>
      </c>
      <c r="B5" s="52" t="inlineStr">
        <is>
          <t>Selections from the YE inventory listing above the testing threshold; purchase history over the period subject to testing (&lt;.1&gt;).</t>
        </is>
      </c>
      <c r="C5" s="53" t="n"/>
      <c r="D5" s="53" t="n"/>
      <c r="E5" s="53" t="n"/>
      <c r="F5" s="53" t="n"/>
      <c r="G5" s="53" t="n"/>
      <c r="H5" s="53" t="n"/>
      <c r="I5" s="53" t="n"/>
      <c r="J5" s="53" t="n"/>
      <c r="K5" s="53" t="n"/>
      <c r="L5" s="53" t="n"/>
      <c r="M5" s="53" t="n"/>
      <c r="N5" s="53" t="n"/>
      <c r="O5" s="53" t="n"/>
      <c r="P5" s="54" t="n"/>
    </row>
    <row r="6" ht="15" customHeight="1">
      <c r="A6" s="51" t="inlineStr">
        <is>
          <t>Assertions:</t>
        </is>
      </c>
      <c r="B6" s="52" t="inlineStr">
        <is>
          <t>Valuation &amp; Allocation; Accuracy</t>
        </is>
      </c>
      <c r="C6" s="53" t="n"/>
      <c r="D6" s="53" t="n"/>
      <c r="E6" s="53" t="n"/>
      <c r="F6" s="53" t="n"/>
      <c r="G6" s="53" t="n"/>
      <c r="H6" s="53" t="n"/>
      <c r="I6" s="53" t="n"/>
      <c r="J6" s="53" t="n"/>
      <c r="K6" s="53" t="n"/>
      <c r="L6" s="53" t="n"/>
      <c r="M6" s="53" t="n"/>
      <c r="N6" s="53" t="n"/>
      <c r="O6" s="53" t="n"/>
      <c r="P6" s="54" t="n"/>
    </row>
    <row r="7" ht="45.75" customHeight="1">
      <c r="A7" s="55" t="inlineStr">
        <is>
          <t>Sel #</t>
        </is>
      </c>
      <c r="B7" s="55" t="inlineStr">
        <is>
          <t>Item / SKU</t>
        </is>
      </c>
      <c r="C7" s="55" t="inlineStr">
        <is>
          <t>Description</t>
        </is>
      </c>
      <c r="D7" s="55" t="inlineStr">
        <is>
          <t>UoM</t>
        </is>
      </c>
      <c r="E7" s="55" t="inlineStr">
        <is>
          <t>Qty per YE listing</t>
        </is>
      </c>
      <c r="F7" s="55" t="inlineStr">
        <is>
          <t>Unit cost per listing</t>
        </is>
      </c>
      <c r="G7" s="55" t="inlineStr">
        <is>
          <t>Extended per listing</t>
        </is>
      </c>
      <c r="H7" s="55" t="inlineStr">
        <is>
          <t>Purchase report: total qty (period)</t>
        </is>
      </c>
      <c r="I7" s="55" t="inlineStr">
        <is>
          <t>Purchase report: total cost (period)</t>
        </is>
      </c>
      <c r="J7" s="55" t="inlineStr">
        <is>
          <t>Recomputed WA unit cost</t>
        </is>
      </c>
      <c r="K7" s="55" t="inlineStr">
        <is>
          <t>Coverage OK (qty ≥ YE qty)</t>
        </is>
      </c>
      <c r="L7" s="55" t="inlineStr">
        <is>
          <t>WA vs listing diff / unit</t>
        </is>
      </c>
      <c r="M7" s="55" t="inlineStr">
        <is>
          <t>Extended difference</t>
        </is>
      </c>
      <c r="N7" s="55" t="inlineStr">
        <is>
          <t>Invoice tested (ref)</t>
        </is>
      </c>
      <c r="O7" s="55" t="inlineStr">
        <is>
          <t>Invoice unit cost agrees (Y/N)</t>
        </is>
      </c>
      <c r="P7" s="55" t="inlineStr">
        <is>
          <t>Comments</t>
        </is>
      </c>
    </row>
    <row r="8">
      <c r="A8" s="35" t="n"/>
      <c r="B8" s="35" t="n"/>
      <c r="C8" s="35" t="n"/>
      <c r="D8" s="35" t="n"/>
      <c r="E8" s="69" t="inlineStr">
        <is>
          <t>PBC</t>
        </is>
      </c>
      <c r="F8" s="35" t="n"/>
      <c r="G8" s="35" t="n"/>
      <c r="H8" s="69" t="inlineStr">
        <is>
          <t>V</t>
        </is>
      </c>
      <c r="I8" s="35" t="n"/>
      <c r="J8" s="69" t="inlineStr">
        <is>
          <t>R</t>
        </is>
      </c>
      <c r="K8" s="35" t="n"/>
      <c r="L8" s="35" t="n"/>
      <c r="M8" s="35" t="n"/>
      <c r="N8" s="69" t="inlineStr">
        <is>
          <t>V</t>
        </is>
      </c>
      <c r="O8" s="35" t="n"/>
      <c r="P8" s="35" t="n"/>
    </row>
    <row r="9">
      <c r="A9" s="70" t="n">
        <v>1</v>
      </c>
      <c r="B9" s="56" t="n"/>
      <c r="C9" s="56" t="n"/>
      <c r="D9" s="56" t="n"/>
      <c r="E9" s="71" t="n"/>
      <c r="F9" s="63" t="n"/>
      <c r="G9" s="72">
        <f>IF(OR(E9="",F9=""),"",E9*F9)</f>
        <v/>
      </c>
      <c r="H9" s="71" t="n"/>
      <c r="I9" s="63" t="n"/>
      <c r="J9" s="72">
        <f>IF(OR(H9="",H9=0,I9=""),"",I9/H9)</f>
        <v/>
      </c>
      <c r="K9" s="41">
        <f>IF(OR(E9="",H9=""),"",IF(H9&gt;=E9,"Y","N"))</f>
        <v/>
      </c>
      <c r="L9" s="72">
        <f>IF(OR(J9="",F9=""),"",F9-J9)</f>
        <v/>
      </c>
      <c r="M9" s="72">
        <f>IF(OR(L9="",E9=""),"",L9*E9)</f>
        <v/>
      </c>
      <c r="N9" s="56" t="n"/>
      <c r="O9" s="56" t="n"/>
      <c r="P9" s="56" t="n"/>
    </row>
    <row r="10" ht="27" customHeight="1">
      <c r="A10" s="70" t="n">
        <v>2</v>
      </c>
      <c r="B10" s="56" t="n"/>
      <c r="C10" s="56" t="n"/>
      <c r="D10" s="56" t="n"/>
      <c r="E10" s="71" t="n"/>
      <c r="F10" s="63" t="n"/>
      <c r="G10" s="72">
        <f>IF(OR(E10="",F10=""),"",E10*F10)</f>
        <v/>
      </c>
      <c r="H10" s="71" t="n"/>
      <c r="I10" s="63" t="n"/>
      <c r="J10" s="72">
        <f>IF(OR(H10="",H10=0,I10=""),"",I10/H10)</f>
        <v/>
      </c>
      <c r="K10" s="41">
        <f>IF(OR(E10="",H10=""),"",IF(H10&gt;=E10,"Y","N"))</f>
        <v/>
      </c>
      <c r="L10" s="72">
        <f>IF(OR(J10="",F10=""),"",F10-J10)</f>
        <v/>
      </c>
      <c r="M10" s="72">
        <f>IF(OR(L10="",E10=""),"",L10*E10)</f>
        <v/>
      </c>
      <c r="N10" s="56" t="n"/>
      <c r="O10" s="56" t="n"/>
      <c r="P10" s="56" t="n"/>
    </row>
    <row r="11" ht="27" customHeight="1">
      <c r="A11" s="70" t="n">
        <v>3</v>
      </c>
      <c r="B11" s="56" t="n"/>
      <c r="C11" s="56" t="n"/>
      <c r="D11" s="56" t="n"/>
      <c r="E11" s="71" t="n"/>
      <c r="F11" s="63" t="n"/>
      <c r="G11" s="72">
        <f>IF(OR(E11="",F11=""),"",E11*F11)</f>
        <v/>
      </c>
      <c r="H11" s="71" t="n"/>
      <c r="I11" s="63" t="n"/>
      <c r="J11" s="72">
        <f>IF(OR(H11="",H11=0,I11=""),"",I11/H11)</f>
        <v/>
      </c>
      <c r="K11" s="41">
        <f>IF(OR(E11="",H11=""),"",IF(H11&gt;=E11,"Y","N"))</f>
        <v/>
      </c>
      <c r="L11" s="72">
        <f>IF(OR(J11="",F11=""),"",F11-J11)</f>
        <v/>
      </c>
      <c r="M11" s="72">
        <f>IF(OR(L11="",E11=""),"",L11*E11)</f>
        <v/>
      </c>
      <c r="N11" s="56" t="n"/>
      <c r="O11" s="56" t="n"/>
      <c r="P11" s="56" t="n"/>
    </row>
    <row r="12" ht="27" customHeight="1">
      <c r="A12" s="70" t="n">
        <v>4</v>
      </c>
      <c r="B12" s="56" t="n"/>
      <c r="C12" s="56" t="n"/>
      <c r="D12" s="56" t="n"/>
      <c r="E12" s="71" t="n"/>
      <c r="F12" s="63" t="n"/>
      <c r="G12" s="72">
        <f>IF(OR(E12="",F12=""),"",E12*F12)</f>
        <v/>
      </c>
      <c r="H12" s="71" t="n"/>
      <c r="I12" s="63" t="n"/>
      <c r="J12" s="72">
        <f>IF(OR(H12="",H12=0,I12=""),"",I12/H12)</f>
        <v/>
      </c>
      <c r="K12" s="41">
        <f>IF(OR(E12="",H12=""),"",IF(H12&gt;=E12,"Y","N"))</f>
        <v/>
      </c>
      <c r="L12" s="72">
        <f>IF(OR(J12="",F12=""),"",F12-J12)</f>
        <v/>
      </c>
      <c r="M12" s="72">
        <f>IF(OR(L12="",E12=""),"",L12*E12)</f>
        <v/>
      </c>
      <c r="N12" s="56" t="n"/>
      <c r="O12" s="56" t="n"/>
      <c r="P12" s="56" t="n"/>
    </row>
    <row r="13" ht="27" customHeight="1">
      <c r="A13" s="70" t="n">
        <v>5</v>
      </c>
      <c r="B13" s="56" t="n"/>
      <c r="C13" s="56" t="n"/>
      <c r="D13" s="56" t="n"/>
      <c r="E13" s="71" t="n"/>
      <c r="F13" s="63" t="n"/>
      <c r="G13" s="72">
        <f>IF(OR(E13="",F13=""),"",E13*F13)</f>
        <v/>
      </c>
      <c r="H13" s="71" t="n"/>
      <c r="I13" s="63" t="n"/>
      <c r="J13" s="72">
        <f>IF(OR(H13="",H13=0,I13=""),"",I13/H13)</f>
        <v/>
      </c>
      <c r="K13" s="41">
        <f>IF(OR(E13="",H13=""),"",IF(H13&gt;=E13,"Y","N"))</f>
        <v/>
      </c>
      <c r="L13" s="72">
        <f>IF(OR(J13="",F13=""),"",F13-J13)</f>
        <v/>
      </c>
      <c r="M13" s="72">
        <f>IF(OR(L13="",E13=""),"",L13*E13)</f>
        <v/>
      </c>
      <c r="N13" s="56" t="n"/>
      <c r="O13" s="56" t="n"/>
      <c r="P13" s="56" t="n"/>
    </row>
    <row r="14" ht="27" customHeight="1">
      <c r="A14" s="70" t="n">
        <v>6</v>
      </c>
      <c r="B14" s="56" t="n"/>
      <c r="C14" s="56" t="n"/>
      <c r="D14" s="56" t="n"/>
      <c r="E14" s="71" t="n"/>
      <c r="F14" s="63" t="n"/>
      <c r="G14" s="72">
        <f>IF(OR(E14="",F14=""),"",E14*F14)</f>
        <v/>
      </c>
      <c r="H14" s="71" t="n"/>
      <c r="I14" s="63" t="n"/>
      <c r="J14" s="72">
        <f>IF(OR(H14="",H14=0,I14=""),"",I14/H14)</f>
        <v/>
      </c>
      <c r="K14" s="41">
        <f>IF(OR(E14="",H14=""),"",IF(H14&gt;=E14,"Y","N"))</f>
        <v/>
      </c>
      <c r="L14" s="72">
        <f>IF(OR(J14="",F14=""),"",F14-J14)</f>
        <v/>
      </c>
      <c r="M14" s="72">
        <f>IF(OR(L14="",E14=""),"",L14*E14)</f>
        <v/>
      </c>
      <c r="N14" s="56" t="n"/>
      <c r="O14" s="56" t="n"/>
      <c r="P14" s="56" t="n"/>
    </row>
    <row r="15" ht="27" customHeight="1">
      <c r="A15" s="70" t="n">
        <v>7</v>
      </c>
      <c r="B15" s="56" t="n"/>
      <c r="C15" s="56" t="n"/>
      <c r="D15" s="56" t="n"/>
      <c r="E15" s="71" t="n"/>
      <c r="F15" s="63" t="n"/>
      <c r="G15" s="72">
        <f>IF(OR(E15="",F15=""),"",E15*F15)</f>
        <v/>
      </c>
      <c r="H15" s="71" t="n"/>
      <c r="I15" s="63" t="n"/>
      <c r="J15" s="72">
        <f>IF(OR(H15="",H15=0,I15=""),"",I15/H15)</f>
        <v/>
      </c>
      <c r="K15" s="41">
        <f>IF(OR(E15="",H15=""),"",IF(H15&gt;=E15,"Y","N"))</f>
        <v/>
      </c>
      <c r="L15" s="72">
        <f>IF(OR(J15="",F15=""),"",F15-J15)</f>
        <v/>
      </c>
      <c r="M15" s="72">
        <f>IF(OR(L15="",E15=""),"",L15*E15)</f>
        <v/>
      </c>
      <c r="N15" s="56" t="n"/>
      <c r="O15" s="56" t="n"/>
      <c r="P15" s="56" t="n"/>
    </row>
    <row r="16" ht="27" customHeight="1">
      <c r="A16" s="70" t="n">
        <v>8</v>
      </c>
      <c r="B16" s="56" t="n"/>
      <c r="C16" s="56" t="n"/>
      <c r="D16" s="56" t="n"/>
      <c r="E16" s="71" t="n"/>
      <c r="F16" s="63" t="n"/>
      <c r="G16" s="72">
        <f>IF(OR(E16="",F16=""),"",E16*F16)</f>
        <v/>
      </c>
      <c r="H16" s="71" t="n"/>
      <c r="I16" s="63" t="n"/>
      <c r="J16" s="72">
        <f>IF(OR(H16="",H16=0,I16=""),"",I16/H16)</f>
        <v/>
      </c>
      <c r="K16" s="41">
        <f>IF(OR(E16="",H16=""),"",IF(H16&gt;=E16,"Y","N"))</f>
        <v/>
      </c>
      <c r="L16" s="72">
        <f>IF(OR(J16="",F16=""),"",F16-J16)</f>
        <v/>
      </c>
      <c r="M16" s="72">
        <f>IF(OR(L16="",E16=""),"",L16*E16)</f>
        <v/>
      </c>
      <c r="N16" s="56" t="n"/>
      <c r="O16" s="56" t="n"/>
      <c r="P16" s="56" t="n"/>
    </row>
    <row r="17" ht="27" customHeight="1">
      <c r="A17" s="70" t="n">
        <v>9</v>
      </c>
      <c r="B17" s="56" t="n"/>
      <c r="C17" s="56" t="n"/>
      <c r="D17" s="56" t="n"/>
      <c r="E17" s="71" t="n"/>
      <c r="F17" s="63" t="n"/>
      <c r="G17" s="72">
        <f>IF(OR(E17="",F17=""),"",E17*F17)</f>
        <v/>
      </c>
      <c r="H17" s="71" t="n"/>
      <c r="I17" s="63" t="n"/>
      <c r="J17" s="72">
        <f>IF(OR(H17="",H17=0,I17=""),"",I17/H17)</f>
        <v/>
      </c>
      <c r="K17" s="41">
        <f>IF(OR(E17="",H17=""),"",IF(H17&gt;=E17,"Y","N"))</f>
        <v/>
      </c>
      <c r="L17" s="72">
        <f>IF(OR(J17="",F17=""),"",F17-J17)</f>
        <v/>
      </c>
      <c r="M17" s="72">
        <f>IF(OR(L17="",E17=""),"",L17*E17)</f>
        <v/>
      </c>
      <c r="N17" s="56" t="n"/>
      <c r="O17" s="56" t="n"/>
      <c r="P17" s="56" t="n"/>
    </row>
    <row r="18" ht="27" customHeight="1">
      <c r="A18" s="70" t="n">
        <v>10</v>
      </c>
      <c r="B18" s="56" t="n"/>
      <c r="C18" s="56" t="n"/>
      <c r="D18" s="56" t="n"/>
      <c r="E18" s="71" t="n"/>
      <c r="F18" s="63" t="n"/>
      <c r="G18" s="72">
        <f>IF(OR(E18="",F18=""),"",E18*F18)</f>
        <v/>
      </c>
      <c r="H18" s="71" t="n"/>
      <c r="I18" s="63" t="n"/>
      <c r="J18" s="72">
        <f>IF(OR(H18="",H18=0,I18=""),"",I18/H18)</f>
        <v/>
      </c>
      <c r="K18" s="41">
        <f>IF(OR(E18="",H18=""),"",IF(H18&gt;=E18,"Y","N"))</f>
        <v/>
      </c>
      <c r="L18" s="72">
        <f>IF(OR(J18="",F18=""),"",F18-J18)</f>
        <v/>
      </c>
      <c r="M18" s="72">
        <f>IF(OR(L18="",E18=""),"",L18*E18)</f>
        <v/>
      </c>
      <c r="N18" s="56" t="n"/>
      <c r="O18" s="56" t="n"/>
      <c r="P18" s="56" t="n"/>
    </row>
    <row r="19" ht="27" customHeight="1">
      <c r="A19" s="70" t="n">
        <v>11</v>
      </c>
      <c r="B19" s="56" t="n"/>
      <c r="C19" s="56" t="n"/>
      <c r="D19" s="56" t="n"/>
      <c r="E19" s="71" t="n"/>
      <c r="F19" s="63" t="n"/>
      <c r="G19" s="72">
        <f>IF(OR(E19="",F19=""),"",E19*F19)</f>
        <v/>
      </c>
      <c r="H19" s="71" t="n"/>
      <c r="I19" s="63" t="n"/>
      <c r="J19" s="72">
        <f>IF(OR(H19="",H19=0,I19=""),"",I19/H19)</f>
        <v/>
      </c>
      <c r="K19" s="41">
        <f>IF(OR(E19="",H19=""),"",IF(H19&gt;=E19,"Y","N"))</f>
        <v/>
      </c>
      <c r="L19" s="72">
        <f>IF(OR(J19="",F19=""),"",F19-J19)</f>
        <v/>
      </c>
      <c r="M19" s="72">
        <f>IF(OR(L19="",E19=""),"",L19*E19)</f>
        <v/>
      </c>
      <c r="N19" s="56" t="n"/>
      <c r="O19" s="56" t="n"/>
      <c r="P19" s="56" t="n"/>
    </row>
    <row r="20" ht="27" customHeight="1">
      <c r="A20" s="70" t="n">
        <v>12</v>
      </c>
      <c r="B20" s="56" t="n"/>
      <c r="C20" s="56" t="n"/>
      <c r="D20" s="56" t="n"/>
      <c r="E20" s="71" t="n"/>
      <c r="F20" s="63" t="n"/>
      <c r="G20" s="72">
        <f>IF(OR(E20="",F20=""),"",E20*F20)</f>
        <v/>
      </c>
      <c r="H20" s="71" t="n"/>
      <c r="I20" s="63" t="n"/>
      <c r="J20" s="72">
        <f>IF(OR(H20="",H20=0,I20=""),"",I20/H20)</f>
        <v/>
      </c>
      <c r="K20" s="41">
        <f>IF(OR(E20="",H20=""),"",IF(H20&gt;=E20,"Y","N"))</f>
        <v/>
      </c>
      <c r="L20" s="72">
        <f>IF(OR(J20="",F20=""),"",F20-J20)</f>
        <v/>
      </c>
      <c r="M20" s="72">
        <f>IF(OR(L20="",E20=""),"",L20*E20)</f>
        <v/>
      </c>
      <c r="N20" s="56" t="n"/>
      <c r="O20" s="56" t="n"/>
      <c r="P20" s="56" t="n"/>
    </row>
    <row r="21" ht="27" customHeight="1">
      <c r="A21" s="70" t="n">
        <v>13</v>
      </c>
      <c r="B21" s="56" t="n"/>
      <c r="C21" s="56" t="n"/>
      <c r="D21" s="56" t="n"/>
      <c r="E21" s="71" t="n"/>
      <c r="F21" s="63" t="n"/>
      <c r="G21" s="72">
        <f>IF(OR(E21="",F21=""),"",E21*F21)</f>
        <v/>
      </c>
      <c r="H21" s="71" t="n"/>
      <c r="I21" s="63" t="n"/>
      <c r="J21" s="72">
        <f>IF(OR(H21="",H21=0,I21=""),"",I21/H21)</f>
        <v/>
      </c>
      <c r="K21" s="41">
        <f>IF(OR(E21="",H21=""),"",IF(H21&gt;=E21,"Y","N"))</f>
        <v/>
      </c>
      <c r="L21" s="72">
        <f>IF(OR(J21="",F21=""),"",F21-J21)</f>
        <v/>
      </c>
      <c r="M21" s="72">
        <f>IF(OR(L21="",E21=""),"",L21*E21)</f>
        <v/>
      </c>
      <c r="N21" s="56" t="n"/>
      <c r="O21" s="56" t="n"/>
      <c r="P21" s="56" t="n"/>
    </row>
    <row r="22" ht="27" customHeight="1">
      <c r="A22" s="70" t="n">
        <v>14</v>
      </c>
      <c r="B22" s="56" t="n"/>
      <c r="C22" s="56" t="n"/>
      <c r="D22" s="56" t="n"/>
      <c r="E22" s="71" t="n"/>
      <c r="F22" s="63" t="n"/>
      <c r="G22" s="72">
        <f>IF(OR(E22="",F22=""),"",E22*F22)</f>
        <v/>
      </c>
      <c r="H22" s="71" t="n"/>
      <c r="I22" s="63" t="n"/>
      <c r="J22" s="72">
        <f>IF(OR(H22="",H22=0,I22=""),"",I22/H22)</f>
        <v/>
      </c>
      <c r="K22" s="41">
        <f>IF(OR(E22="",H22=""),"",IF(H22&gt;=E22,"Y","N"))</f>
        <v/>
      </c>
      <c r="L22" s="72">
        <f>IF(OR(J22="",F22=""),"",F22-J22)</f>
        <v/>
      </c>
      <c r="M22" s="72">
        <f>IF(OR(L22="",E22=""),"",L22*E22)</f>
        <v/>
      </c>
      <c r="N22" s="56" t="n"/>
      <c r="O22" s="56" t="n"/>
      <c r="P22" s="56" t="n"/>
    </row>
    <row r="23" ht="27" customHeight="1">
      <c r="A23" s="70" t="n">
        <v>15</v>
      </c>
      <c r="B23" s="56" t="n"/>
      <c r="C23" s="56" t="n"/>
      <c r="D23" s="56" t="n"/>
      <c r="E23" s="71" t="n"/>
      <c r="F23" s="63" t="n"/>
      <c r="G23" s="72">
        <f>IF(OR(E23="",F23=""),"",E23*F23)</f>
        <v/>
      </c>
      <c r="H23" s="71" t="n"/>
      <c r="I23" s="63" t="n"/>
      <c r="J23" s="72">
        <f>IF(OR(H23="",H23=0,I23=""),"",I23/H23)</f>
        <v/>
      </c>
      <c r="K23" s="41">
        <f>IF(OR(E23="",H23=""),"",IF(H23&gt;=E23,"Y","N"))</f>
        <v/>
      </c>
      <c r="L23" s="72">
        <f>IF(OR(J23="",F23=""),"",F23-J23)</f>
        <v/>
      </c>
      <c r="M23" s="72">
        <f>IF(OR(L23="",E23=""),"",L23*E23)</f>
        <v/>
      </c>
      <c r="N23" s="56" t="n"/>
      <c r="O23" s="56" t="n"/>
      <c r="P23" s="56" t="n"/>
    </row>
    <row r="24" ht="27" customHeight="1">
      <c r="A24" s="70" t="n">
        <v>16</v>
      </c>
      <c r="B24" s="56" t="n"/>
      <c r="C24" s="56" t="n"/>
      <c r="D24" s="56" t="n"/>
      <c r="E24" s="71" t="n"/>
      <c r="F24" s="63" t="n"/>
      <c r="G24" s="72">
        <f>IF(OR(E24="",F24=""),"",E24*F24)</f>
        <v/>
      </c>
      <c r="H24" s="71" t="n"/>
      <c r="I24" s="63" t="n"/>
      <c r="J24" s="72">
        <f>IF(OR(H24="",H24=0,I24=""),"",I24/H24)</f>
        <v/>
      </c>
      <c r="K24" s="41">
        <f>IF(OR(E24="",H24=""),"",IF(H24&gt;=E24,"Y","N"))</f>
        <v/>
      </c>
      <c r="L24" s="72">
        <f>IF(OR(J24="",F24=""),"",F24-J24)</f>
        <v/>
      </c>
      <c r="M24" s="72">
        <f>IF(OR(L24="",E24=""),"",L24*E24)</f>
        <v/>
      </c>
      <c r="N24" s="56" t="n"/>
      <c r="O24" s="56" t="n"/>
      <c r="P24" s="56" t="n"/>
    </row>
    <row r="25" ht="27" customHeight="1">
      <c r="A25" s="70" t="n">
        <v>17</v>
      </c>
      <c r="B25" s="56" t="n"/>
      <c r="C25" s="56" t="n"/>
      <c r="D25" s="56" t="n"/>
      <c r="E25" s="71" t="n"/>
      <c r="F25" s="63" t="n"/>
      <c r="G25" s="72">
        <f>IF(OR(E25="",F25=""),"",E25*F25)</f>
        <v/>
      </c>
      <c r="H25" s="71" t="n"/>
      <c r="I25" s="63" t="n"/>
      <c r="J25" s="72">
        <f>IF(OR(H25="",H25=0,I25=""),"",I25/H25)</f>
        <v/>
      </c>
      <c r="K25" s="41">
        <f>IF(OR(E25="",H25=""),"",IF(H25&gt;=E25,"Y","N"))</f>
        <v/>
      </c>
      <c r="L25" s="72">
        <f>IF(OR(J25="",F25=""),"",F25-J25)</f>
        <v/>
      </c>
      <c r="M25" s="72">
        <f>IF(OR(L25="",E25=""),"",L25*E25)</f>
        <v/>
      </c>
      <c r="N25" s="56" t="n"/>
      <c r="O25" s="56" t="n"/>
      <c r="P25" s="56" t="n"/>
    </row>
    <row r="26" ht="27" customHeight="1">
      <c r="A26" s="70" t="n">
        <v>18</v>
      </c>
      <c r="B26" s="56" t="n"/>
      <c r="C26" s="56" t="n"/>
      <c r="D26" s="56" t="n"/>
      <c r="E26" s="71" t="n"/>
      <c r="F26" s="63" t="n"/>
      <c r="G26" s="72">
        <f>IF(OR(E26="",F26=""),"",E26*F26)</f>
        <v/>
      </c>
      <c r="H26" s="71" t="n"/>
      <c r="I26" s="63" t="n"/>
      <c r="J26" s="72">
        <f>IF(OR(H26="",H26=0,I26=""),"",I26/H26)</f>
        <v/>
      </c>
      <c r="K26" s="41">
        <f>IF(OR(E26="",H26=""),"",IF(H26&gt;=E26,"Y","N"))</f>
        <v/>
      </c>
      <c r="L26" s="72">
        <f>IF(OR(J26="",F26=""),"",F26-J26)</f>
        <v/>
      </c>
      <c r="M26" s="72">
        <f>IF(OR(L26="",E26=""),"",L26*E26)</f>
        <v/>
      </c>
      <c r="N26" s="56" t="n"/>
      <c r="O26" s="56" t="n"/>
      <c r="P26" s="56" t="n"/>
    </row>
    <row r="27">
      <c r="A27" s="73" t="inlineStr">
        <is>
          <t>Total</t>
        </is>
      </c>
      <c r="B27" s="73" t="n"/>
      <c r="C27" s="73" t="n"/>
      <c r="D27" s="73" t="n"/>
      <c r="E27" s="73" t="n"/>
      <c r="F27" s="73" t="n"/>
      <c r="G27" s="74">
        <f>SUM(G9:G26)</f>
        <v/>
      </c>
      <c r="H27" s="73" t="n"/>
      <c r="I27" s="73" t="n"/>
      <c r="J27" s="73" t="n"/>
      <c r="K27" s="73" t="n"/>
      <c r="L27" s="73" t="n"/>
      <c r="M27" s="73">
        <f>SUM(M9:M26)</f>
        <v/>
      </c>
      <c r="N27" s="74" t="n"/>
      <c r="O27" s="73" t="n"/>
      <c r="P27" s="73" t="n"/>
    </row>
    <row r="28">
      <c r="A28" s="35" t="n"/>
      <c r="B28" s="35" t="n"/>
      <c r="C28" s="35" t="n"/>
      <c r="D28" s="35" t="n"/>
      <c r="E28" s="35" t="n"/>
      <c r="F28" s="35" t="n"/>
      <c r="G28" s="35" t="n"/>
      <c r="H28" s="35" t="n"/>
      <c r="I28" s="35" t="n"/>
      <c r="J28" s="35" t="n"/>
      <c r="K28" s="35" t="n"/>
      <c r="L28" s="35" t="n"/>
      <c r="M28" s="35" t="n"/>
      <c r="N28" s="35" t="n"/>
      <c r="O28" s="35" t="n"/>
      <c r="P28" s="35" t="n"/>
    </row>
    <row r="29">
      <c r="A29" s="37" t="inlineStr">
        <is>
          <t>The weighted-average unit cost recomputes as total period purchase cost ÷ total period purchase quantity; compare to the listing unit cost and extend the per-unit difference over the YE quantity. Coverage rule as on &lt;.2&gt;. One invoice per selection is vouched from the purchase report for cost accuracy.</t>
        </is>
      </c>
      <c r="B29" s="35" t="n"/>
      <c r="C29" s="35" t="n"/>
      <c r="D29" s="35" t="n"/>
      <c r="E29" s="35" t="n"/>
      <c r="F29" s="35" t="n"/>
      <c r="G29" s="35" t="n"/>
      <c r="H29" s="35" t="n"/>
      <c r="I29" s="35" t="n"/>
      <c r="J29" s="35" t="n"/>
      <c r="K29" s="35" t="n"/>
      <c r="L29" s="35" t="n"/>
      <c r="M29" s="35" t="n"/>
      <c r="N29" s="35" t="n"/>
      <c r="O29" s="35" t="n"/>
      <c r="P29" s="35" t="n"/>
    </row>
    <row r="30">
      <c r="A30" s="35" t="n"/>
      <c r="B30" s="35" t="n"/>
      <c r="C30" s="35" t="n"/>
      <c r="D30" s="35" t="n"/>
      <c r="E30" s="35" t="n"/>
      <c r="F30" s="35" t="n"/>
      <c r="G30" s="35" t="n"/>
      <c r="H30" s="35" t="n"/>
      <c r="I30" s="35" t="n"/>
      <c r="J30" s="35" t="n"/>
      <c r="K30" s="35" t="n"/>
      <c r="L30" s="35" t="n"/>
      <c r="M30" s="35" t="n"/>
      <c r="N30" s="35" t="n"/>
      <c r="O30" s="35" t="n"/>
      <c r="P30" s="35" t="n"/>
    </row>
    <row r="31">
      <c r="A31" s="57" t="inlineStr">
        <is>
          <t>TM Legends</t>
        </is>
      </c>
      <c r="B31" s="35" t="n"/>
      <c r="C31" s="35" t="n"/>
      <c r="D31" s="35" t="n"/>
      <c r="E31" s="35" t="n"/>
      <c r="F31" s="35" t="n"/>
      <c r="G31" s="35" t="n"/>
      <c r="H31" s="35" t="n"/>
      <c r="I31" s="35" t="n"/>
      <c r="J31" s="35" t="n"/>
      <c r="K31" s="35" t="n"/>
      <c r="L31" s="35" t="n"/>
      <c r="M31" s="35" t="n"/>
      <c r="N31" s="35" t="n"/>
      <c r="O31" s="35" t="n"/>
      <c r="P31" s="35" t="n"/>
    </row>
    <row r="32">
      <c r="A32" s="58" t="inlineStr">
        <is>
          <t>TB</t>
        </is>
      </c>
      <c r="B32" s="41" t="inlineStr">
        <is>
          <t>Agreed to trial balance</t>
        </is>
      </c>
      <c r="C32" s="59" t="n"/>
      <c r="D32" s="60" t="n"/>
      <c r="E32" s="35" t="n"/>
      <c r="F32" s="35" t="n"/>
      <c r="G32" s="35" t="n"/>
      <c r="H32" s="35" t="n"/>
      <c r="I32" s="35" t="n"/>
      <c r="J32" s="35" t="n"/>
      <c r="K32" s="35" t="n"/>
      <c r="L32" s="35" t="n"/>
      <c r="M32" s="35" t="n"/>
      <c r="N32" s="35" t="n"/>
      <c r="O32" s="35" t="n"/>
      <c r="P32" s="35" t="n"/>
    </row>
    <row r="33">
      <c r="A33" s="58" t="inlineStr">
        <is>
          <t>GL</t>
        </is>
      </c>
      <c r="B33" s="41" t="inlineStr">
        <is>
          <t>Agreed to general ledger</t>
        </is>
      </c>
      <c r="C33" s="59" t="n"/>
      <c r="D33" s="60" t="n"/>
      <c r="E33" s="35" t="n"/>
      <c r="F33" s="35" t="n"/>
      <c r="G33" s="35" t="n"/>
      <c r="H33" s="35" t="n"/>
      <c r="I33" s="35" t="n"/>
      <c r="J33" s="35" t="n"/>
      <c r="K33" s="35" t="n"/>
      <c r="L33" s="35" t="n"/>
      <c r="M33" s="35" t="n"/>
      <c r="N33" s="35" t="n"/>
      <c r="O33" s="35" t="n"/>
      <c r="P33" s="35" t="n"/>
    </row>
    <row r="34">
      <c r="A34" s="58" t="inlineStr">
        <is>
          <t>CF</t>
        </is>
      </c>
      <c r="B34" s="41" t="inlineStr">
        <is>
          <t>Confirmed with third party</t>
        </is>
      </c>
      <c r="C34" s="59" t="n"/>
      <c r="D34" s="60" t="n"/>
      <c r="E34" s="35" t="n"/>
      <c r="F34" s="35" t="n"/>
      <c r="G34" s="35" t="n"/>
      <c r="H34" s="35" t="n"/>
      <c r="I34" s="35" t="n"/>
      <c r="J34" s="35" t="n"/>
      <c r="K34" s="35" t="n"/>
      <c r="L34" s="35" t="n"/>
      <c r="M34" s="35" t="n"/>
      <c r="N34" s="35" t="n"/>
      <c r="O34" s="35" t="n"/>
      <c r="P34" s="35" t="n"/>
    </row>
    <row r="35">
      <c r="A35" s="58" t="inlineStr">
        <is>
          <t>V</t>
        </is>
      </c>
      <c r="B35" s="41" t="inlineStr">
        <is>
          <t>Vouched to source document</t>
        </is>
      </c>
      <c r="C35" s="59" t="n"/>
      <c r="D35" s="60" t="n"/>
      <c r="E35" s="35" t="n"/>
      <c r="F35" s="35" t="n"/>
      <c r="G35" s="35" t="n"/>
      <c r="H35" s="35" t="n"/>
      <c r="I35" s="35" t="n"/>
      <c r="J35" s="35" t="n"/>
      <c r="K35" s="35" t="n"/>
      <c r="L35" s="35" t="n"/>
      <c r="M35" s="35" t="n"/>
      <c r="N35" s="35" t="n"/>
      <c r="O35" s="35" t="n"/>
      <c r="P35" s="35" t="n"/>
    </row>
    <row r="36" ht="27.75" customHeight="1">
      <c r="A36" s="58" t="inlineStr">
        <is>
          <t>SR</t>
        </is>
      </c>
      <c r="B36" s="41" t="inlineStr">
        <is>
          <t>Agreed to subsequent bank-cleared receipt</t>
        </is>
      </c>
      <c r="C36" s="59" t="n"/>
      <c r="D36" s="60" t="n"/>
      <c r="E36" s="35" t="n"/>
      <c r="F36" s="35" t="n"/>
      <c r="G36" s="35" t="n"/>
      <c r="H36" s="35" t="n"/>
      <c r="I36" s="35" t="n"/>
      <c r="J36" s="35" t="n"/>
      <c r="K36" s="35" t="n"/>
      <c r="L36" s="35" t="n"/>
      <c r="M36" s="35" t="n"/>
      <c r="N36" s="35" t="n"/>
      <c r="O36" s="35" t="n"/>
      <c r="P36" s="35" t="n"/>
    </row>
    <row r="37">
      <c r="A37" s="58" t="inlineStr">
        <is>
          <t>R</t>
        </is>
      </c>
      <c r="B37" s="41" t="inlineStr">
        <is>
          <t>Recalculated independently</t>
        </is>
      </c>
      <c r="C37" s="59" t="n"/>
      <c r="D37" s="60" t="n"/>
      <c r="E37" s="35" t="n"/>
      <c r="F37" s="35" t="n"/>
      <c r="G37" s="35" t="n"/>
      <c r="H37" s="35" t="n"/>
      <c r="I37" s="35" t="n"/>
      <c r="J37" s="35" t="n"/>
      <c r="K37" s="35" t="n"/>
      <c r="L37" s="35" t="n"/>
      <c r="M37" s="35" t="n"/>
      <c r="N37" s="35" t="n"/>
      <c r="O37" s="35" t="n"/>
      <c r="P37" s="35" t="n"/>
    </row>
    <row r="38">
      <c r="A38" s="58" t="inlineStr">
        <is>
          <t>F</t>
        </is>
      </c>
      <c r="B38" s="41" t="inlineStr">
        <is>
          <t>Footed / cross-cast</t>
        </is>
      </c>
      <c r="C38" s="59" t="n"/>
      <c r="D38" s="60" t="n"/>
      <c r="E38" s="35" t="n"/>
      <c r="F38" s="35" t="n"/>
      <c r="G38" s="35" t="n"/>
      <c r="H38" s="35" t="n"/>
      <c r="I38" s="35" t="n"/>
      <c r="J38" s="35" t="n"/>
      <c r="K38" s="35" t="n"/>
      <c r="L38" s="35" t="n"/>
      <c r="M38" s="35" t="n"/>
      <c r="N38" s="35" t="n"/>
      <c r="O38" s="35" t="n"/>
      <c r="P38" s="35" t="n"/>
    </row>
    <row r="39">
      <c r="A39" s="58" t="inlineStr">
        <is>
          <t>T</t>
        </is>
      </c>
      <c r="B39" s="41" t="inlineStr">
        <is>
          <t>Traced to downstream record</t>
        </is>
      </c>
      <c r="C39" s="59" t="n"/>
      <c r="D39" s="60" t="n"/>
      <c r="E39" s="35" t="n"/>
      <c r="F39" s="35" t="n"/>
      <c r="G39" s="35" t="n"/>
      <c r="H39" s="35" t="n"/>
      <c r="I39" s="35" t="n"/>
      <c r="J39" s="35" t="n"/>
      <c r="K39" s="35" t="n"/>
      <c r="L39" s="35" t="n"/>
      <c r="M39" s="35" t="n"/>
      <c r="N39" s="35" t="n"/>
      <c r="O39" s="35" t="n"/>
      <c r="P39" s="35" t="n"/>
    </row>
    <row r="40">
      <c r="A40" s="58" t="inlineStr">
        <is>
          <t>PBC</t>
        </is>
      </c>
      <c r="B40" s="41" t="inlineStr">
        <is>
          <t>Prepared by client</t>
        </is>
      </c>
      <c r="C40" s="59" t="n"/>
      <c r="D40" s="60" t="n"/>
      <c r="E40" s="35" t="n"/>
      <c r="F40" s="35" t="n"/>
      <c r="G40" s="35" t="n"/>
      <c r="H40" s="35" t="n"/>
      <c r="I40" s="35" t="n"/>
      <c r="J40" s="35" t="n"/>
      <c r="K40" s="35" t="n"/>
      <c r="L40" s="35" t="n"/>
      <c r="M40" s="35" t="n"/>
      <c r="N40" s="35" t="n"/>
      <c r="O40" s="35" t="n"/>
      <c r="P40" s="35" t="n"/>
    </row>
    <row r="41">
      <c r="A41" s="35" t="n"/>
      <c r="B41" s="35" t="n"/>
      <c r="C41" s="35" t="n"/>
      <c r="D41" s="35" t="n"/>
      <c r="E41" s="35" t="n"/>
      <c r="F41" s="35" t="n"/>
      <c r="G41" s="35" t="n"/>
      <c r="H41" s="35" t="n"/>
      <c r="I41" s="35" t="n"/>
      <c r="J41" s="35" t="n"/>
      <c r="K41" s="35" t="n"/>
      <c r="L41" s="35" t="n"/>
      <c r="M41" s="35" t="n"/>
      <c r="N41" s="35" t="n"/>
      <c r="O41" s="35" t="n"/>
      <c r="P41" s="35" t="n"/>
    </row>
    <row r="42">
      <c r="A42" s="37" t="inlineStr">
        <is>
          <t>Before sign-off complete Library Procedures 7-9 (selection &amp; coverage; WA recompute; invoice vouch).</t>
        </is>
      </c>
      <c r="B42" s="35" t="n"/>
      <c r="C42" s="35" t="n"/>
      <c r="D42" s="35" t="n"/>
      <c r="E42" s="35" t="n"/>
      <c r="F42" s="35" t="n"/>
      <c r="G42" s="35" t="n"/>
      <c r="H42" s="35" t="n"/>
      <c r="I42" s="35" t="n"/>
      <c r="J42" s="35" t="n"/>
      <c r="K42" s="35" t="n"/>
      <c r="L42" s="35" t="n"/>
      <c r="M42" s="35" t="n"/>
      <c r="N42" s="35" t="n"/>
      <c r="O42" s="35" t="n"/>
      <c r="P42" s="35" t="n"/>
    </row>
  </sheetData>
  <autoFilter ref="A7:P26"/>
  <mergeCells count="14">
    <mergeCell ref="B33:D33"/>
    <mergeCell ref="A42:P42"/>
    <mergeCell ref="B6:P6"/>
    <mergeCell ref="B36:D36"/>
    <mergeCell ref="B5:P5"/>
    <mergeCell ref="B32:D32"/>
    <mergeCell ref="B35:D35"/>
    <mergeCell ref="B4:P4"/>
    <mergeCell ref="A29:P29"/>
    <mergeCell ref="B38:D38"/>
    <mergeCell ref="B34:D34"/>
    <mergeCell ref="B37:D37"/>
    <mergeCell ref="B40:D40"/>
    <mergeCell ref="B39:D39"/>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autoPageBreaks="0" fitToPage="1"/>
  </sheetPr>
  <dimension ref="A1:H43"/>
  <sheetViews>
    <sheetView showGridLines="0" zoomScale="90" zoomScaleNormal="100" workbookViewId="0">
      <pane ySplit="7" topLeftCell="A8" activePane="bottomLeft" state="frozen"/>
      <selection pane="bottomLeft" activeCell="B25" sqref="B25"/>
    </sheetView>
  </sheetViews>
  <sheetFormatPr baseColWidth="8" defaultColWidth="8.6328125" defaultRowHeight="14.5"/>
  <cols>
    <col width="43.1796875" bestFit="1" customWidth="1" min="1" max="1"/>
    <col width="30.05" customWidth="1" min="2" max="5"/>
    <col width="19" customWidth="1" min="3" max="3"/>
    <col width="37.7" customWidth="1" min="4" max="4"/>
    <col width="36.85" customWidth="1" min="5" max="5"/>
    <col width="30" customWidth="1" min="6" max="6"/>
    <col width="13" customWidth="1" min="7" max="7"/>
    <col width="13" customWidth="1" min="8" max="8"/>
  </cols>
  <sheetData>
    <row r="1" ht="17.5" customHeight="1">
      <c r="A1" s="34" t="inlineStr">
        <is>
          <t>Capitalized Variance Test (Standard Costing)</t>
        </is>
      </c>
      <c r="B1" s="35" t="n"/>
      <c r="C1" s="35" t="n"/>
      <c r="D1" s="35" t="n"/>
      <c r="E1" s="35" t="n"/>
      <c r="F1" s="35" t="n"/>
      <c r="G1" s="35" t="n"/>
      <c r="H1" s="35" t="n"/>
    </row>
    <row r="2">
      <c r="A2" s="46" t="inlineStr">
        <is>
          <t>Client / Entity</t>
        </is>
      </c>
      <c r="B2" s="36" t="inlineStr">
        <is>
          <t>Vaquite Industries, Inc.</t>
        </is>
      </c>
      <c r="C2" s="35" t="n"/>
      <c r="D2" s="46" t="inlineStr">
        <is>
          <t>Year-End</t>
        </is>
      </c>
      <c r="E2" s="47" t="n">
        <v>46022</v>
      </c>
      <c r="F2" s="35" t="n"/>
      <c r="G2" s="46" t="inlineStr">
        <is>
          <t>Currency</t>
        </is>
      </c>
      <c r="H2" s="48" t="inlineStr">
        <is>
          <t>USD</t>
        </is>
      </c>
    </row>
    <row r="3" ht="27" customHeight="1">
      <c r="A3" s="49" t="inlineStr">
        <is>
          <t>Performance Materiality</t>
        </is>
      </c>
      <c r="B3" s="50" t="n">
        <v>23100</v>
      </c>
      <c r="C3" s="35" t="n"/>
      <c r="D3" s="49" t="inlineStr">
        <is>
          <t>Tolerable misstatement / testing threshold</t>
        </is>
      </c>
      <c r="E3" s="50" t="n">
        <v>17400</v>
      </c>
      <c r="F3" s="35" t="n"/>
      <c r="G3" s="35" t="n"/>
      <c r="H3" s="35" t="n"/>
    </row>
    <row r="4" ht="42" customHeight="1">
      <c r="A4" s="51" t="inlineStr">
        <is>
          <t>Purpose:</t>
        </is>
      </c>
      <c r="B4" s="52" t="inlineStr">
        <is>
          <t>Where standard costing is used, variances run to the P&amp;L during the year; at year-end the portion attributable to inventory still on hand must be capitalized so that inventory approximates actual cost (ASC 330; PwC IV 1.3 / 1.4.2).</t>
        </is>
      </c>
      <c r="C4" s="53" t="n"/>
      <c r="D4" s="53" t="n"/>
      <c r="E4" s="53" t="n"/>
      <c r="F4" s="54" t="n"/>
      <c r="G4" s="35" t="n"/>
      <c r="H4" s="35" t="n"/>
    </row>
    <row r="5" ht="27.75" customHeight="1">
      <c r="A5" s="51" t="inlineStr">
        <is>
          <t>Scope:</t>
        </is>
      </c>
      <c r="B5" s="52" t="inlineStr">
        <is>
          <t>All variance accounts (PPV, material usage, labor rate / efficiency, OH spend / volume) and the ratio of ending inventory to total throughput at standard.</t>
        </is>
      </c>
      <c r="C5" s="53" t="n"/>
      <c r="D5" s="53" t="n"/>
      <c r="E5" s="53" t="n"/>
      <c r="F5" s="54" t="n"/>
      <c r="G5" s="35" t="n"/>
      <c r="H5" s="35" t="n"/>
    </row>
    <row r="6" ht="15" customHeight="1">
      <c r="A6" s="51" t="inlineStr">
        <is>
          <t>Assertions:</t>
        </is>
      </c>
      <c r="B6" s="52" t="inlineStr">
        <is>
          <t>Valuation &amp; Allocation; Accuracy</t>
        </is>
      </c>
      <c r="C6" s="53" t="n"/>
      <c r="D6" s="53" t="n"/>
      <c r="E6" s="53" t="n"/>
      <c r="F6" s="54" t="n"/>
      <c r="G6" s="35" t="n"/>
      <c r="H6" s="35" t="n"/>
    </row>
    <row r="7">
      <c r="A7" s="61" t="inlineStr">
        <is>
          <t>A. Variance pool (per GL, full period)</t>
        </is>
      </c>
      <c r="B7" s="35" t="n"/>
      <c r="C7" s="35" t="n"/>
      <c r="D7" s="35" t="n"/>
      <c r="E7" s="35" t="n"/>
      <c r="F7" s="35" t="n"/>
      <c r="G7" s="35" t="n"/>
      <c r="H7" s="35" t="n"/>
    </row>
    <row r="8" ht="30" customHeight="1">
      <c r="A8" s="62" t="inlineStr">
        <is>
          <t>Variance account</t>
        </is>
      </c>
      <c r="B8" s="62" t="inlineStr">
        <is>
          <t>GL account</t>
        </is>
      </c>
      <c r="C8" s="62" t="inlineStr">
        <is>
          <t>Amount (fav) / unfav</t>
        </is>
      </c>
      <c r="D8" s="62" t="inlineStr">
        <is>
          <t>Abnormal portion (expense as incurred)</t>
        </is>
      </c>
      <c r="E8" s="62" t="inlineStr">
        <is>
          <t>Normal variance subject to capitalization</t>
        </is>
      </c>
      <c r="F8" s="62" t="inlineStr">
        <is>
          <t>Comments</t>
        </is>
      </c>
      <c r="G8" s="35" t="n"/>
      <c r="H8" s="35" t="n"/>
    </row>
    <row r="9">
      <c r="A9" s="35" t="n"/>
      <c r="B9" s="35" t="n"/>
      <c r="C9" s="69" t="inlineStr">
        <is>
          <t>TB</t>
        </is>
      </c>
      <c r="D9" s="35" t="n"/>
      <c r="E9" s="69" t="inlineStr">
        <is>
          <t>R</t>
        </is>
      </c>
      <c r="F9" s="35" t="n"/>
      <c r="G9" s="35" t="n"/>
      <c r="H9" s="35" t="n"/>
    </row>
    <row r="10">
      <c r="A10" s="41" t="inlineStr">
        <is>
          <t>Purchase price variance (PPV)</t>
        </is>
      </c>
      <c r="B10" s="56" t="n"/>
      <c r="C10" s="63" t="n"/>
      <c r="D10" s="63" t="n"/>
      <c r="E10" s="72">
        <f>IF(C10="","",C10-IF(D10="",0,D10))</f>
        <v/>
      </c>
      <c r="F10" s="56" t="n"/>
      <c r="G10" s="35" t="n"/>
      <c r="H10" s="35" t="n"/>
    </row>
    <row r="11">
      <c r="A11" s="41" t="inlineStr">
        <is>
          <t>Material usage variance</t>
        </is>
      </c>
      <c r="B11" s="56" t="n"/>
      <c r="C11" s="63" t="n"/>
      <c r="D11" s="63" t="n"/>
      <c r="E11" s="72">
        <f>IF(C11="","",C11-IF(D11="",0,D11))</f>
        <v/>
      </c>
      <c r="F11" s="56" t="n"/>
      <c r="G11" s="35" t="n"/>
      <c r="H11" s="35" t="n"/>
    </row>
    <row r="12">
      <c r="A12" s="41" t="inlineStr">
        <is>
          <t>Labor rate variance</t>
        </is>
      </c>
      <c r="B12" s="56" t="n"/>
      <c r="C12" s="63" t="n"/>
      <c r="D12" s="63" t="n"/>
      <c r="E12" s="72">
        <f>IF(C12="","",C12-IF(D12="",0,D12))</f>
        <v/>
      </c>
      <c r="F12" s="56" t="n"/>
      <c r="G12" s="35" t="n"/>
      <c r="H12" s="35" t="n"/>
    </row>
    <row r="13">
      <c r="A13" s="41" t="inlineStr">
        <is>
          <t>Labor efficiency variance</t>
        </is>
      </c>
      <c r="B13" s="56" t="n"/>
      <c r="C13" s="63" t="n"/>
      <c r="D13" s="63" t="n"/>
      <c r="E13" s="72">
        <f>IF(C13="","",C13-IF(D13="",0,D13))</f>
        <v/>
      </c>
      <c r="F13" s="56" t="n"/>
      <c r="G13" s="35" t="n"/>
      <c r="H13" s="35" t="n"/>
    </row>
    <row r="14">
      <c r="A14" s="41" t="inlineStr">
        <is>
          <t>Overhead spend variance</t>
        </is>
      </c>
      <c r="B14" s="56" t="n"/>
      <c r="C14" s="63" t="n"/>
      <c r="D14" s="63" t="n"/>
      <c r="E14" s="72">
        <f>IF(C14="","",C14-IF(D14="",0,D14))</f>
        <v/>
      </c>
      <c r="F14" s="56" t="n"/>
      <c r="G14" s="35" t="n"/>
      <c r="H14" s="35" t="n"/>
    </row>
    <row r="15">
      <c r="A15" s="41" t="inlineStr">
        <is>
          <t>Overhead volume variance</t>
        </is>
      </c>
      <c r="B15" s="56" t="n"/>
      <c r="C15" s="63" t="n"/>
      <c r="D15" s="63" t="n"/>
      <c r="E15" s="72">
        <f>IF(C15="","",C15-IF(D15="",0,D15))</f>
        <v/>
      </c>
      <c r="F15" s="56" t="n"/>
      <c r="G15" s="35" t="n"/>
      <c r="H15" s="35" t="n"/>
    </row>
    <row r="16">
      <c r="A16" s="56" t="inlineStr">
        <is>
          <t>Other variance</t>
        </is>
      </c>
      <c r="B16" s="56" t="n"/>
      <c r="C16" s="63" t="n"/>
      <c r="D16" s="63" t="n"/>
      <c r="E16" s="72">
        <f>IF(C16="","",C16-IF(D16="",0,D16))</f>
        <v/>
      </c>
      <c r="F16" s="56" t="n"/>
      <c r="G16" s="35" t="n"/>
      <c r="H16" s="35" t="n"/>
    </row>
    <row r="17">
      <c r="A17" s="73" t="inlineStr">
        <is>
          <t>Total</t>
        </is>
      </c>
      <c r="B17" s="73" t="n"/>
      <c r="C17" s="74">
        <f>SUM(C10:C16)</f>
        <v/>
      </c>
      <c r="D17" s="74">
        <f>SUM(D10:D16)</f>
        <v/>
      </c>
      <c r="E17" s="74">
        <f>SUM(E10:E16)</f>
        <v/>
      </c>
      <c r="F17" s="73" t="n"/>
      <c r="G17" s="35" t="n"/>
      <c r="H17" s="35" t="n"/>
    </row>
    <row r="18">
      <c r="A18" s="35" t="n"/>
      <c r="B18" s="35" t="n"/>
      <c r="C18" s="35" t="n"/>
      <c r="D18" s="35" t="n"/>
      <c r="E18" s="35" t="n"/>
      <c r="F18" s="35" t="n"/>
      <c r="G18" s="35" t="n"/>
      <c r="H18" s="35" t="n"/>
    </row>
    <row r="19">
      <c r="A19" s="61" t="inlineStr">
        <is>
          <t>B. Capitalization computation</t>
        </is>
      </c>
      <c r="B19" s="35" t="n"/>
      <c r="C19" s="35" t="n"/>
      <c r="D19" s="35" t="n"/>
      <c r="E19" s="35" t="n"/>
      <c r="F19" s="35" t="n"/>
      <c r="G19" s="35" t="n"/>
      <c r="H19" s="35" t="n"/>
    </row>
    <row r="20">
      <c r="A20" s="35" t="n"/>
      <c r="B20" s="35" t="n"/>
      <c r="C20" s="35" t="n"/>
      <c r="D20" s="35" t="n"/>
      <c r="E20" s="35" t="n"/>
      <c r="F20" s="35" t="n"/>
      <c r="G20" s="35" t="n"/>
      <c r="H20" s="35" t="n"/>
    </row>
    <row r="21">
      <c r="A21" s="41" t="inlineStr">
        <is>
          <t>Ending inventory at standard (on hand)</t>
        </is>
      </c>
      <c r="B21" s="63" t="n"/>
      <c r="C21" s="35" t="n"/>
      <c r="D21" s="35" t="n"/>
      <c r="E21" s="35" t="n"/>
      <c r="F21" s="35" t="n"/>
      <c r="G21" s="35" t="n"/>
      <c r="H21" s="35" t="n"/>
    </row>
    <row r="22" ht="27" customHeight="1">
      <c r="A22" s="41" t="inlineStr">
        <is>
          <t>Cost of sales at standard (relieved in period)</t>
        </is>
      </c>
      <c r="B22" s="63" t="n"/>
      <c r="C22" s="35" t="n"/>
      <c r="D22" s="35" t="n"/>
      <c r="E22" s="35" t="n"/>
      <c r="F22" s="35" t="n"/>
      <c r="G22" s="35" t="n"/>
      <c r="H22" s="35" t="n"/>
    </row>
    <row r="23">
      <c r="A23" s="64" t="inlineStr">
        <is>
          <t>Total throughput at standard</t>
        </is>
      </c>
      <c r="B23" s="75">
        <f>B21+B22</f>
        <v/>
      </c>
      <c r="C23" s="35" t="n"/>
      <c r="D23" s="35" t="n"/>
      <c r="E23" s="35" t="n"/>
      <c r="F23" s="35" t="n"/>
      <c r="G23" s="35" t="n"/>
      <c r="H23" s="35" t="n"/>
    </row>
    <row r="24" ht="27" customHeight="1">
      <c r="A24" s="64" t="inlineStr">
        <is>
          <t>Inventory-on-hand ratio (= ending / throughput)</t>
        </is>
      </c>
      <c r="B24" s="76">
        <f>IF(OR(B23="",B23=0),"",B21/B23)</f>
        <v/>
      </c>
      <c r="C24" s="35" t="n"/>
      <c r="D24" s="35" t="n"/>
      <c r="E24" s="35" t="n"/>
      <c r="F24" s="35" t="n"/>
      <c r="G24" s="35" t="n"/>
      <c r="H24" s="35" t="n"/>
    </row>
    <row r="25">
      <c r="A25" s="41" t="inlineStr">
        <is>
          <t>Normal variance pool (per A)</t>
        </is>
      </c>
      <c r="B25" s="63">
        <f>E17</f>
        <v/>
      </c>
      <c r="C25" s="35" t="n"/>
      <c r="D25" s="35" t="n"/>
      <c r="E25" s="35" t="n"/>
      <c r="F25" s="35" t="n"/>
      <c r="G25" s="35" t="n"/>
      <c r="H25" s="35" t="n"/>
    </row>
    <row r="26" ht="27" customHeight="1">
      <c r="A26" s="64" t="inlineStr">
        <is>
          <t>Variance to capitalize to inventory (= pool × ratio)</t>
        </is>
      </c>
      <c r="B26" s="77">
        <f>IF(OR(B24="",B25=""),"",B25*B24)</f>
        <v/>
      </c>
      <c r="C26" s="35" t="n"/>
      <c r="D26" s="35" t="n"/>
      <c r="E26" s="35" t="n"/>
      <c r="F26" s="35" t="n"/>
      <c r="G26" s="35" t="n"/>
      <c r="H26" s="35" t="n"/>
    </row>
    <row r="27" ht="27" customHeight="1">
      <c r="A27" s="41" t="inlineStr">
        <is>
          <t>Capitalized variance recorded on the balance sheet</t>
        </is>
      </c>
      <c r="B27" s="63" t="n"/>
      <c r="C27" s="35" t="n"/>
      <c r="D27" s="35" t="n"/>
      <c r="E27" s="35" t="n"/>
      <c r="F27" s="35" t="n"/>
      <c r="G27" s="35" t="n"/>
      <c r="H27" s="35" t="n"/>
    </row>
    <row r="28" ht="27" customHeight="1">
      <c r="A28" s="64" t="inlineStr">
        <is>
          <t>Difference (proposed adjustment)</t>
        </is>
      </c>
      <c r="B28" s="77">
        <f>IF(OR(B26="",B27=""),"",B26-B27)</f>
        <v/>
      </c>
      <c r="C28" s="35" t="n"/>
      <c r="D28" s="35" t="n"/>
      <c r="E28" s="35" t="n"/>
      <c r="F28" s="35" t="n"/>
      <c r="G28" s="35" t="n"/>
      <c r="H28" s="35" t="n"/>
    </row>
    <row r="29">
      <c r="A29" s="35" t="n"/>
      <c r="B29" s="35" t="n"/>
      <c r="C29" s="35" t="n"/>
      <c r="D29" s="35" t="n"/>
      <c r="E29" s="35" t="n"/>
      <c r="F29" s="35" t="n"/>
      <c r="G29" s="35" t="n"/>
      <c r="H29" s="35" t="n"/>
    </row>
    <row r="30" ht="27.75" customHeight="1">
      <c r="A30" s="37" t="inlineStr">
        <is>
          <t>Standard cost is acceptable only if, at the balance-sheet date, standard ± capitalized variance reasonably approximates actual cost. Only NORMAL variances are capitalized pro-rata to inventory on hand; ABNORMAL amounts (idle facility, excess spoilage, double freight, rehandling) are period costs expensed as incurred (ASC 330-10-30-3 to 30-8). The remaining pool stays in cost of sales.</t>
        </is>
      </c>
      <c r="B30" s="35" t="n"/>
      <c r="C30" s="35" t="n"/>
      <c r="D30" s="35" t="n"/>
      <c r="E30" s="35" t="n"/>
      <c r="F30" s="35" t="n"/>
      <c r="G30" s="35" t="n"/>
      <c r="H30" s="35" t="n"/>
    </row>
    <row r="31">
      <c r="A31" s="35" t="n"/>
      <c r="B31" s="35" t="n"/>
      <c r="C31" s="35" t="n"/>
      <c r="D31" s="35" t="n"/>
      <c r="E31" s="35" t="n"/>
      <c r="F31" s="35" t="n"/>
      <c r="G31" s="35" t="n"/>
      <c r="H31" s="35" t="n"/>
    </row>
    <row r="32">
      <c r="A32" s="57" t="inlineStr">
        <is>
          <t>TM Legends</t>
        </is>
      </c>
      <c r="B32" s="35" t="n"/>
      <c r="C32" s="35" t="n"/>
      <c r="D32" s="35" t="n"/>
      <c r="E32" s="35" t="n"/>
      <c r="F32" s="35" t="n"/>
      <c r="G32" s="35" t="n"/>
      <c r="H32" s="35" t="n"/>
    </row>
    <row r="33">
      <c r="A33" s="58" t="inlineStr">
        <is>
          <t>TB</t>
        </is>
      </c>
      <c r="B33" s="41" t="inlineStr">
        <is>
          <t>Agreed to trial balance</t>
        </is>
      </c>
      <c r="C33" s="59" t="n"/>
      <c r="D33" s="60" t="n"/>
      <c r="E33" s="35" t="n"/>
      <c r="F33" s="35" t="n"/>
      <c r="G33" s="35" t="n"/>
      <c r="H33" s="35" t="n"/>
    </row>
    <row r="34">
      <c r="A34" s="58" t="inlineStr">
        <is>
          <t>GL</t>
        </is>
      </c>
      <c r="B34" s="41" t="inlineStr">
        <is>
          <t>Agreed to general ledger</t>
        </is>
      </c>
      <c r="C34" s="59" t="n"/>
      <c r="D34" s="60" t="n"/>
      <c r="E34" s="35" t="n"/>
      <c r="F34" s="35" t="n"/>
      <c r="G34" s="35" t="n"/>
      <c r="H34" s="35" t="n"/>
    </row>
    <row r="35">
      <c r="A35" s="58" t="inlineStr">
        <is>
          <t>CF</t>
        </is>
      </c>
      <c r="B35" s="41" t="inlineStr">
        <is>
          <t>Confirmed with third party</t>
        </is>
      </c>
      <c r="C35" s="59" t="n"/>
      <c r="D35" s="60" t="n"/>
      <c r="E35" s="35" t="n"/>
      <c r="F35" s="35" t="n"/>
      <c r="G35" s="35" t="n"/>
      <c r="H35" s="35" t="n"/>
    </row>
    <row r="36">
      <c r="A36" s="58" t="inlineStr">
        <is>
          <t>V</t>
        </is>
      </c>
      <c r="B36" s="41" t="inlineStr">
        <is>
          <t>Vouched to source document</t>
        </is>
      </c>
      <c r="C36" s="59" t="n"/>
      <c r="D36" s="60" t="n"/>
      <c r="E36" s="35" t="n"/>
      <c r="F36" s="35" t="n"/>
      <c r="G36" s="35" t="n"/>
      <c r="H36" s="35" t="n"/>
    </row>
    <row r="37">
      <c r="A37" s="58" t="inlineStr">
        <is>
          <t>SR</t>
        </is>
      </c>
      <c r="B37" s="41" t="inlineStr">
        <is>
          <t>Agreed to subsequent bank-cleared receipt</t>
        </is>
      </c>
      <c r="C37" s="59" t="n"/>
      <c r="D37" s="60" t="n"/>
      <c r="E37" s="35" t="n"/>
      <c r="F37" s="35" t="n"/>
      <c r="G37" s="35" t="n"/>
      <c r="H37" s="35" t="n"/>
    </row>
    <row r="38">
      <c r="A38" s="58" t="inlineStr">
        <is>
          <t>R</t>
        </is>
      </c>
      <c r="B38" s="41" t="inlineStr">
        <is>
          <t>Recalculated independently</t>
        </is>
      </c>
      <c r="C38" s="59" t="n"/>
      <c r="D38" s="60" t="n"/>
      <c r="E38" s="35" t="n"/>
      <c r="F38" s="35" t="n"/>
      <c r="G38" s="35" t="n"/>
      <c r="H38" s="35" t="n"/>
    </row>
    <row r="39">
      <c r="A39" s="58" t="inlineStr">
        <is>
          <t>F</t>
        </is>
      </c>
      <c r="B39" s="41" t="inlineStr">
        <is>
          <t>Footed / cross-cast</t>
        </is>
      </c>
      <c r="C39" s="59" t="n"/>
      <c r="D39" s="60" t="n"/>
      <c r="E39" s="35" t="n"/>
      <c r="F39" s="35" t="n"/>
      <c r="G39" s="35" t="n"/>
      <c r="H39" s="35" t="n"/>
    </row>
    <row r="40">
      <c r="A40" s="58" t="inlineStr">
        <is>
          <t>T</t>
        </is>
      </c>
      <c r="B40" s="41" t="inlineStr">
        <is>
          <t>Traced to downstream record</t>
        </is>
      </c>
      <c r="C40" s="59" t="n"/>
      <c r="D40" s="60" t="n"/>
      <c r="E40" s="35" t="n"/>
      <c r="F40" s="35" t="n"/>
      <c r="G40" s="35" t="n"/>
      <c r="H40" s="35" t="n"/>
    </row>
    <row r="41">
      <c r="A41" s="58" t="inlineStr">
        <is>
          <t>PBC</t>
        </is>
      </c>
      <c r="B41" s="41" t="inlineStr">
        <is>
          <t>Prepared by client</t>
        </is>
      </c>
      <c r="C41" s="59" t="n"/>
      <c r="D41" s="60" t="n"/>
      <c r="E41" s="35" t="n"/>
      <c r="F41" s="35" t="n"/>
      <c r="G41" s="35" t="n"/>
      <c r="H41" s="35" t="n"/>
    </row>
    <row r="42">
      <c r="A42" s="35" t="n"/>
      <c r="B42" s="35" t="n"/>
      <c r="C42" s="35" t="n"/>
      <c r="D42" s="35" t="n"/>
      <c r="E42" s="35" t="n"/>
      <c r="F42" s="35" t="n"/>
      <c r="G42" s="35" t="n"/>
      <c r="H42" s="35" t="n"/>
    </row>
    <row r="43" ht="27.75" customHeight="1">
      <c r="A43" s="37" t="inlineStr">
        <is>
          <t>Before sign-off complete Library Procedures 10-12 (variance pool &amp; abnormal split; ratio computation; recorded capitalized variance vs recomputed).</t>
        </is>
      </c>
      <c r="B43" s="35" t="n"/>
      <c r="C43" s="35" t="n"/>
      <c r="D43" s="35" t="n"/>
      <c r="E43" s="35" t="n"/>
      <c r="F43" s="35" t="n"/>
      <c r="G43" s="35" t="n"/>
      <c r="H43" s="35" t="n"/>
    </row>
  </sheetData>
  <mergeCells count="14">
    <mergeCell ref="B4:F4"/>
    <mergeCell ref="B33:D33"/>
    <mergeCell ref="B36:D36"/>
    <mergeCell ref="B37:D37"/>
    <mergeCell ref="B6:F6"/>
    <mergeCell ref="B41:D41"/>
    <mergeCell ref="B35:D35"/>
    <mergeCell ref="B5:F5"/>
    <mergeCell ref="B40:D40"/>
    <mergeCell ref="B39:D39"/>
    <mergeCell ref="A30:F30"/>
    <mergeCell ref="B38:D38"/>
    <mergeCell ref="B34:D34"/>
    <mergeCell ref="A43:F43"/>
  </mergeCells>
  <printOptions horizontalCentered="0" verticalCentered="0"/>
  <pageMargins left="0.25" right="0.25" top="0.5" bottom="0.5" header="0.2" footer="0.2"/>
  <pageSetup orientation="portrait" paperSize="1" fitToHeight="0" fitToWidth="1" horizontalDpi="300" verticalDpi="300"/>
</worksheet>
</file>

<file path=xl/worksheets/sheet7.xml><?xml version="1.0" encoding="utf-8"?>
<worksheet xmlns="http://schemas.openxmlformats.org/spreadsheetml/2006/main">
  <sheetPr>
    <outlinePr summaryBelow="1" summaryRight="1"/>
    <pageSetUpPr autoPageBreaks="0" fitToPage="1"/>
  </sheetPr>
  <dimension ref="A1:H42"/>
  <sheetViews>
    <sheetView showGridLines="0" zoomScale="90" zoomScaleNormal="100" workbookViewId="0">
      <pane ySplit="7" topLeftCell="A8" activePane="bottomLeft" state="frozen"/>
      <selection pane="bottomLeft" activeCell="A25" sqref="A25"/>
    </sheetView>
  </sheetViews>
  <sheetFormatPr baseColWidth="8" defaultColWidth="8.6328125" defaultRowHeight="14.5"/>
  <cols>
    <col width="42" customWidth="1" min="1" max="1"/>
    <col width="30.05" customWidth="1" min="2" max="6"/>
    <col width="16.45" customWidth="1" min="3" max="3"/>
    <col width="37.7" customWidth="1" min="4" max="4"/>
    <col width="13.05" customWidth="1" min="5" max="5"/>
    <col width="30.9" customWidth="1" min="6" max="6"/>
    <col width="28" customWidth="1" min="7" max="7"/>
    <col width="13" customWidth="1" min="8" max="8"/>
  </cols>
  <sheetData>
    <row r="1" ht="17.5" customHeight="1">
      <c r="A1" s="34" t="inlineStr">
        <is>
          <t>Labor &amp; Overhead Cost Variance</t>
        </is>
      </c>
      <c r="B1" s="35" t="n"/>
      <c r="C1" s="35" t="n"/>
      <c r="D1" s="35" t="n"/>
      <c r="E1" s="35" t="n"/>
      <c r="F1" s="35" t="n"/>
      <c r="G1" s="35" t="n"/>
      <c r="H1" s="35" t="n"/>
    </row>
    <row r="2">
      <c r="A2" s="46" t="inlineStr">
        <is>
          <t>Client / Entity</t>
        </is>
      </c>
      <c r="B2" s="36" t="inlineStr">
        <is>
          <t>Vaquite Industries, Inc.</t>
        </is>
      </c>
      <c r="C2" s="35" t="n"/>
      <c r="D2" s="46" t="inlineStr">
        <is>
          <t>Year-End</t>
        </is>
      </c>
      <c r="E2" s="47" t="n">
        <v>46022</v>
      </c>
      <c r="F2" s="35" t="n"/>
      <c r="G2" s="46" t="inlineStr">
        <is>
          <t>Currency</t>
        </is>
      </c>
      <c r="H2" s="48" t="inlineStr">
        <is>
          <t>USD</t>
        </is>
      </c>
    </row>
    <row r="3" ht="27" customHeight="1">
      <c r="A3" s="49" t="inlineStr">
        <is>
          <t>Performance Materiality</t>
        </is>
      </c>
      <c r="B3" s="50" t="n">
        <v>23100</v>
      </c>
      <c r="C3" s="35" t="n"/>
      <c r="D3" s="49" t="inlineStr">
        <is>
          <t>Tolerable misstatement / testing threshold</t>
        </is>
      </c>
      <c r="E3" s="50" t="n">
        <v>17400</v>
      </c>
      <c r="F3" s="35" t="n"/>
      <c r="G3" s="35" t="n"/>
      <c r="H3" s="35" t="n"/>
    </row>
    <row r="4" ht="27.75" customHeight="1">
      <c r="A4" s="51" t="inlineStr">
        <is>
          <t>Purpose:</t>
        </is>
      </c>
      <c r="B4" s="52" t="inlineStr">
        <is>
          <t>Recompute labor and overhead application, evaluate normal capacity, quantify over/under-absorbed overhead and labor variances, and confirm the capitalizable portion flows to the &lt;.4&gt; pool.</t>
        </is>
      </c>
      <c r="C4" s="53" t="n"/>
      <c r="D4" s="53" t="n"/>
      <c r="E4" s="53" t="n"/>
      <c r="F4" s="53" t="n"/>
      <c r="G4" s="54" t="n"/>
      <c r="H4" s="35" t="n"/>
    </row>
    <row r="5" ht="27.75" customHeight="1">
      <c r="A5" s="51" t="inlineStr">
        <is>
          <t>Scope:</t>
        </is>
      </c>
      <c r="B5" s="52" t="inlineStr">
        <is>
          <t>Labor rates and hours, overhead pools and drivers, applied vs actual amounts, and the entity's normal-capacity assessment (ASC 330-10-30; PwC IV 1.4).</t>
        </is>
      </c>
      <c r="C5" s="53" t="n"/>
      <c r="D5" s="53" t="n"/>
      <c r="E5" s="53" t="n"/>
      <c r="F5" s="53" t="n"/>
      <c r="G5" s="54" t="n"/>
      <c r="H5" s="35" t="n"/>
    </row>
    <row r="6" ht="15" customHeight="1">
      <c r="A6" s="51" t="inlineStr">
        <is>
          <t>Assertions:</t>
        </is>
      </c>
      <c r="B6" s="52" t="inlineStr">
        <is>
          <t>Valuation &amp; Allocation; Accuracy</t>
        </is>
      </c>
      <c r="C6" s="53" t="n"/>
      <c r="D6" s="53" t="n"/>
      <c r="E6" s="53" t="n"/>
      <c r="F6" s="53" t="n"/>
      <c r="G6" s="54" t="n"/>
      <c r="H6" s="35" t="n"/>
    </row>
    <row r="7">
      <c r="A7" s="61" t="inlineStr">
        <is>
          <t>A. Labor variances</t>
        </is>
      </c>
      <c r="B7" s="35" t="n"/>
      <c r="C7" s="35" t="n"/>
      <c r="D7" s="35" t="n"/>
      <c r="E7" s="35" t="n"/>
      <c r="F7" s="35" t="n"/>
      <c r="G7" s="35" t="n"/>
      <c r="H7" s="35" t="n"/>
    </row>
    <row r="8" ht="24" customHeight="1">
      <c r="A8" s="62" t="inlineStr">
        <is>
          <t>Component</t>
        </is>
      </c>
      <c r="B8" s="62" t="inlineStr">
        <is>
          <t>Standard rate / hrs</t>
        </is>
      </c>
      <c r="C8" s="62" t="inlineStr">
        <is>
          <t>Actual rate / hrs</t>
        </is>
      </c>
      <c r="D8" s="62" t="inlineStr">
        <is>
          <t>Standard amount</t>
        </is>
      </c>
      <c r="E8" s="62" t="inlineStr">
        <is>
          <t>Actual amount</t>
        </is>
      </c>
      <c r="F8" s="62" t="inlineStr">
        <is>
          <t>Variance</t>
        </is>
      </c>
      <c r="G8" s="62" t="inlineStr">
        <is>
          <t>Comments</t>
        </is>
      </c>
      <c r="H8" s="35" t="n"/>
    </row>
    <row r="9">
      <c r="A9" s="35" t="n"/>
      <c r="B9" s="35" t="n"/>
      <c r="C9" s="35" t="n"/>
      <c r="D9" s="69" t="inlineStr">
        <is>
          <t>R</t>
        </is>
      </c>
      <c r="E9" s="69" t="inlineStr">
        <is>
          <t>V</t>
        </is>
      </c>
      <c r="F9" s="35" t="n"/>
      <c r="G9" s="35" t="n"/>
      <c r="H9" s="35" t="n"/>
    </row>
    <row r="10" ht="27" customHeight="1">
      <c r="A10" s="41" t="inlineStr">
        <is>
          <t>Labor rate (rate × actual hrs)</t>
        </is>
      </c>
      <c r="B10" s="56" t="n"/>
      <c r="C10" s="56" t="n"/>
      <c r="D10" s="63" t="n"/>
      <c r="E10" s="63" t="n"/>
      <c r="F10" s="72">
        <f>IF(AND(D10="",E10=""),"",E10-D10)</f>
        <v/>
      </c>
      <c r="G10" s="56" t="n"/>
      <c r="H10" s="35" t="n"/>
    </row>
    <row r="11" ht="27" customHeight="1">
      <c r="A11" s="41" t="inlineStr">
        <is>
          <t>Labor efficiency (std rate × hrs diff)</t>
        </is>
      </c>
      <c r="B11" s="56" t="n"/>
      <c r="C11" s="56" t="n"/>
      <c r="D11" s="63" t="n"/>
      <c r="E11" s="63" t="n"/>
      <c r="F11" s="72">
        <f>IF(AND(D11="",E11=""),"",E11-D11)</f>
        <v/>
      </c>
      <c r="G11" s="56" t="n"/>
      <c r="H11" s="35" t="n"/>
    </row>
    <row r="12">
      <c r="A12" s="78" t="inlineStr">
        <is>
          <t>Total direct labor</t>
        </is>
      </c>
      <c r="B12" s="79" t="n"/>
      <c r="C12" s="79" t="n"/>
      <c r="D12" s="75">
        <f>SUM(D10:D11)</f>
        <v/>
      </c>
      <c r="E12" s="75">
        <f>SUM(E10:E11)</f>
        <v/>
      </c>
      <c r="F12" s="75">
        <f>SUM(F10:F11)</f>
        <v/>
      </c>
      <c r="G12" s="79" t="n"/>
      <c r="H12" s="35" t="n"/>
    </row>
    <row r="13">
      <c r="A13" s="35" t="n"/>
      <c r="B13" s="35" t="n"/>
      <c r="C13" s="35" t="n"/>
      <c r="D13" s="35" t="n"/>
      <c r="E13" s="35" t="n"/>
      <c r="F13" s="35" t="n"/>
      <c r="G13" s="35" t="n"/>
      <c r="H13" s="35" t="n"/>
    </row>
    <row r="14">
      <c r="A14" s="61" t="inlineStr">
        <is>
          <t>B. Overhead absorption</t>
        </is>
      </c>
      <c r="B14" s="35" t="n"/>
      <c r="C14" s="35" t="n"/>
      <c r="D14" s="35" t="n"/>
      <c r="E14" s="35" t="n"/>
      <c r="F14" s="35" t="n"/>
      <c r="G14" s="35" t="n"/>
      <c r="H14" s="35" t="n"/>
    </row>
    <row r="15">
      <c r="A15" s="35" t="n"/>
      <c r="B15" s="35" t="n"/>
      <c r="C15" s="35" t="n"/>
      <c r="D15" s="35" t="n"/>
      <c r="E15" s="35" t="n"/>
      <c r="F15" s="35" t="n"/>
      <c r="G15" s="35" t="n"/>
      <c r="H15" s="35" t="n"/>
    </row>
    <row r="16">
      <c r="A16" s="41" t="inlineStr">
        <is>
          <t>OH application rate (per driver)</t>
        </is>
      </c>
      <c r="B16" s="63" t="n"/>
      <c r="C16" s="35" t="n"/>
      <c r="D16" s="35" t="n"/>
      <c r="E16" s="35" t="n"/>
      <c r="F16" s="35" t="n"/>
      <c r="G16" s="35" t="n"/>
      <c r="H16" s="35" t="n"/>
    </row>
    <row r="17">
      <c r="A17" s="41" t="inlineStr">
        <is>
          <t>Driver volume (actual)</t>
        </is>
      </c>
      <c r="B17" s="71" t="n"/>
      <c r="C17" s="35" t="n"/>
      <c r="D17" s="35" t="n"/>
      <c r="E17" s="35" t="n"/>
      <c r="F17" s="35" t="n"/>
      <c r="G17" s="35" t="n"/>
      <c r="H17" s="35" t="n"/>
    </row>
    <row r="18" ht="27" customHeight="1">
      <c r="A18" s="64" t="inlineStr">
        <is>
          <t>Applied overhead (= rate × driver)</t>
        </is>
      </c>
      <c r="B18" s="77">
        <f>IF(OR(B16="",B17=""),"",B16*B17)</f>
        <v/>
      </c>
      <c r="C18" s="35" t="n"/>
      <c r="D18" s="35" t="n"/>
      <c r="E18" s="35" t="n"/>
      <c r="F18" s="35" t="n"/>
      <c r="G18" s="35" t="n"/>
      <c r="H18" s="35" t="n"/>
    </row>
    <row r="19">
      <c r="A19" s="41" t="inlineStr">
        <is>
          <t>Actual overhead incurred</t>
        </is>
      </c>
      <c r="B19" s="63" t="n"/>
      <c r="C19" s="35" t="n"/>
      <c r="D19" s="35" t="n"/>
      <c r="E19" s="35" t="n"/>
      <c r="F19" s="35" t="n"/>
      <c r="G19" s="35" t="n"/>
      <c r="H19" s="35" t="n"/>
    </row>
    <row r="20" ht="27" customHeight="1">
      <c r="A20" s="64" t="inlineStr">
        <is>
          <t>Over / (under) absorbed</t>
        </is>
      </c>
      <c r="B20" s="77">
        <f>IF(OR(B18="",B19=""),"",B18-B19)</f>
        <v/>
      </c>
      <c r="C20" s="35" t="n"/>
      <c r="D20" s="35" t="n"/>
      <c r="E20" s="35" t="n"/>
      <c r="F20" s="35" t="n"/>
      <c r="G20" s="35" t="n"/>
      <c r="H20" s="35" t="n"/>
    </row>
    <row r="21">
      <c r="A21" s="35" t="n"/>
      <c r="B21" s="35" t="n"/>
      <c r="C21" s="35" t="n"/>
      <c r="D21" s="35" t="n"/>
      <c r="E21" s="35" t="n"/>
      <c r="F21" s="35" t="n"/>
      <c r="G21" s="35" t="n"/>
      <c r="H21" s="35" t="n"/>
    </row>
    <row r="22" ht="27" customHeight="1">
      <c r="A22" s="61" t="inlineStr">
        <is>
          <t>C. Normal capacity evaluation (ASC 330-10-30-3 to 30-7)</t>
        </is>
      </c>
      <c r="B22" s="35" t="n"/>
      <c r="C22" s="35" t="n"/>
      <c r="D22" s="35" t="n"/>
      <c r="E22" s="35" t="n"/>
      <c r="F22" s="35" t="n"/>
      <c r="G22" s="35" t="n"/>
      <c r="H22" s="35" t="n"/>
    </row>
    <row r="23" ht="21.75" customHeight="1">
      <c r="A23" s="62" t="inlineStr">
        <is>
          <t>Consideration</t>
        </is>
      </c>
      <c r="B23" s="62" t="inlineStr">
        <is>
          <t>Result (Y/N)</t>
        </is>
      </c>
      <c r="C23" s="62" t="inlineStr">
        <is>
          <t>Basis / evidence</t>
        </is>
      </c>
      <c r="D23" s="62" t="inlineStr">
        <is>
          <t>Effect</t>
        </is>
      </c>
      <c r="E23" s="62" t="n"/>
      <c r="F23" s="62" t="n"/>
      <c r="G23" s="62" t="inlineStr">
        <is>
          <t>Comments</t>
        </is>
      </c>
      <c r="H23" s="35" t="n"/>
    </row>
    <row r="24" ht="27" customHeight="1">
      <c r="A24" s="80" t="inlineStr">
        <is>
          <t>Production within the range of normal capacity</t>
        </is>
      </c>
      <c r="B24" s="56" t="n"/>
      <c r="C24" s="56" t="n"/>
      <c r="D24" s="59" t="n"/>
      <c r="E24" s="60" t="n"/>
      <c r="F24" s="56" t="n"/>
      <c r="G24" s="56" t="n"/>
      <c r="H24" s="35" t="n"/>
    </row>
    <row r="25" ht="27" customHeight="1">
      <c r="A25" s="80" t="inlineStr">
        <is>
          <t>Abnormally LOW production — fixed OH per unit NOT increased (unallocated OH expensed)</t>
        </is>
      </c>
      <c r="B25" s="56" t="n"/>
      <c r="C25" s="56" t="n"/>
      <c r="D25" s="59" t="n"/>
      <c r="E25" s="60" t="n"/>
      <c r="F25" s="56" t="n"/>
      <c r="G25" s="56" t="n"/>
      <c r="H25" s="35" t="n"/>
    </row>
    <row r="26" ht="27" customHeight="1">
      <c r="A26" s="80" t="inlineStr">
        <is>
          <t>Abnormally HIGH production — fixed OH per unit decreased</t>
        </is>
      </c>
      <c r="B26" s="56" t="n"/>
      <c r="C26" s="56" t="n"/>
      <c r="D26" s="59" t="n"/>
      <c r="E26" s="60" t="n"/>
      <c r="F26" s="56" t="n"/>
      <c r="G26" s="56" t="n"/>
      <c r="H26" s="35" t="n"/>
    </row>
    <row r="27" ht="40.5" customHeight="1">
      <c r="A27" s="80" t="inlineStr">
        <is>
          <t>Abnormal costs (idle facility, excess spoilage, double freight, rehandling) expensed as incurred</t>
        </is>
      </c>
      <c r="B27" s="56" t="n"/>
      <c r="C27" s="56" t="n"/>
      <c r="D27" s="59" t="n"/>
      <c r="E27" s="60" t="n"/>
      <c r="F27" s="56" t="n"/>
      <c r="G27" s="56" t="n"/>
      <c r="H27" s="35" t="n"/>
    </row>
    <row r="28">
      <c r="A28" s="35" t="n"/>
      <c r="B28" s="35" t="n"/>
      <c r="C28" s="35" t="n"/>
      <c r="D28" s="35" t="n"/>
      <c r="E28" s="35" t="n"/>
      <c r="F28" s="35" t="n"/>
      <c r="G28" s="35" t="n"/>
      <c r="H28" s="35" t="n"/>
    </row>
    <row r="29" ht="27.75" customHeight="1">
      <c r="A29" s="37" t="inlineStr">
        <is>
          <t>Labor and OH variances (normal portion) join the &lt;.4&gt; variance pool for pro-rata capitalization to inventory on hand; abnormal amounts are period costs. Under-absorption caused by abnormally low production must NOT be pushed into inventory.</t>
        </is>
      </c>
      <c r="B29" s="35" t="n"/>
      <c r="C29" s="35" t="n"/>
      <c r="D29" s="35" t="n"/>
      <c r="E29" s="35" t="n"/>
      <c r="F29" s="35" t="n"/>
      <c r="G29" s="35" t="n"/>
      <c r="H29" s="35" t="n"/>
    </row>
    <row r="30">
      <c r="A30" s="35" t="n"/>
      <c r="B30" s="35" t="n"/>
      <c r="C30" s="35" t="n"/>
      <c r="D30" s="35" t="n"/>
      <c r="E30" s="35" t="n"/>
      <c r="F30" s="35" t="n"/>
      <c r="G30" s="35" t="n"/>
      <c r="H30" s="35" t="n"/>
    </row>
    <row r="31">
      <c r="A31" s="57" t="inlineStr">
        <is>
          <t>TM Legends</t>
        </is>
      </c>
      <c r="B31" s="35" t="n"/>
      <c r="C31" s="35" t="n"/>
      <c r="D31" s="35" t="n"/>
      <c r="E31" s="35" t="n"/>
      <c r="F31" s="35" t="n"/>
      <c r="G31" s="35" t="n"/>
      <c r="H31" s="35" t="n"/>
    </row>
    <row r="32">
      <c r="A32" s="58" t="inlineStr">
        <is>
          <t>TB</t>
        </is>
      </c>
      <c r="B32" s="41" t="inlineStr">
        <is>
          <t>Agreed to trial balance</t>
        </is>
      </c>
      <c r="C32" s="59" t="n"/>
      <c r="D32" s="60" t="n"/>
      <c r="E32" s="35" t="n"/>
      <c r="F32" s="35" t="n"/>
      <c r="G32" s="35" t="n"/>
      <c r="H32" s="35" t="n"/>
    </row>
    <row r="33">
      <c r="A33" s="58" t="inlineStr">
        <is>
          <t>GL</t>
        </is>
      </c>
      <c r="B33" s="41" t="inlineStr">
        <is>
          <t>Agreed to general ledger</t>
        </is>
      </c>
      <c r="C33" s="59" t="n"/>
      <c r="D33" s="60" t="n"/>
      <c r="E33" s="35" t="n"/>
      <c r="F33" s="35" t="n"/>
      <c r="G33" s="35" t="n"/>
      <c r="H33" s="35" t="n"/>
    </row>
    <row r="34">
      <c r="A34" s="58" t="inlineStr">
        <is>
          <t>CF</t>
        </is>
      </c>
      <c r="B34" s="41" t="inlineStr">
        <is>
          <t>Confirmed with third party</t>
        </is>
      </c>
      <c r="C34" s="59" t="n"/>
      <c r="D34" s="60" t="n"/>
      <c r="E34" s="35" t="n"/>
      <c r="F34" s="35" t="n"/>
      <c r="G34" s="35" t="n"/>
      <c r="H34" s="35" t="n"/>
    </row>
    <row r="35">
      <c r="A35" s="58" t="inlineStr">
        <is>
          <t>V</t>
        </is>
      </c>
      <c r="B35" s="41" t="inlineStr">
        <is>
          <t>Vouched to source document</t>
        </is>
      </c>
      <c r="C35" s="59" t="n"/>
      <c r="D35" s="60" t="n"/>
      <c r="E35" s="35" t="n"/>
      <c r="F35" s="35" t="n"/>
      <c r="G35" s="35" t="n"/>
      <c r="H35" s="35" t="n"/>
    </row>
    <row r="36">
      <c r="A36" s="58" t="inlineStr">
        <is>
          <t>SR</t>
        </is>
      </c>
      <c r="B36" s="41" t="inlineStr">
        <is>
          <t>Agreed to subsequent bank-cleared receipt</t>
        </is>
      </c>
      <c r="C36" s="59" t="n"/>
      <c r="D36" s="60" t="n"/>
      <c r="E36" s="35" t="n"/>
      <c r="F36" s="35" t="n"/>
      <c r="G36" s="35" t="n"/>
      <c r="H36" s="35" t="n"/>
    </row>
    <row r="37">
      <c r="A37" s="58" t="inlineStr">
        <is>
          <t>R</t>
        </is>
      </c>
      <c r="B37" s="41" t="inlineStr">
        <is>
          <t>Recalculated independently</t>
        </is>
      </c>
      <c r="C37" s="59" t="n"/>
      <c r="D37" s="60" t="n"/>
      <c r="E37" s="35" t="n"/>
      <c r="F37" s="35" t="n"/>
      <c r="G37" s="35" t="n"/>
      <c r="H37" s="35" t="n"/>
    </row>
    <row r="38">
      <c r="A38" s="58" t="inlineStr">
        <is>
          <t>F</t>
        </is>
      </c>
      <c r="B38" s="41" t="inlineStr">
        <is>
          <t>Footed / cross-cast</t>
        </is>
      </c>
      <c r="C38" s="59" t="n"/>
      <c r="D38" s="60" t="n"/>
      <c r="E38" s="35" t="n"/>
      <c r="F38" s="35" t="n"/>
      <c r="G38" s="35" t="n"/>
      <c r="H38" s="35" t="n"/>
    </row>
    <row r="39">
      <c r="A39" s="58" t="inlineStr">
        <is>
          <t>T</t>
        </is>
      </c>
      <c r="B39" s="41" t="inlineStr">
        <is>
          <t>Traced to downstream record</t>
        </is>
      </c>
      <c r="C39" s="59" t="n"/>
      <c r="D39" s="60" t="n"/>
      <c r="E39" s="35" t="n"/>
      <c r="F39" s="35" t="n"/>
      <c r="G39" s="35" t="n"/>
      <c r="H39" s="35" t="n"/>
    </row>
    <row r="40">
      <c r="A40" s="58" t="inlineStr">
        <is>
          <t>PBC</t>
        </is>
      </c>
      <c r="B40" s="41" t="inlineStr">
        <is>
          <t>Prepared by client</t>
        </is>
      </c>
      <c r="C40" s="59" t="n"/>
      <c r="D40" s="60" t="n"/>
      <c r="E40" s="35" t="n"/>
      <c r="F40" s="35" t="n"/>
      <c r="G40" s="35" t="n"/>
      <c r="H40" s="35" t="n"/>
    </row>
    <row r="41">
      <c r="A41" s="35" t="n"/>
      <c r="B41" s="35" t="n"/>
      <c r="C41" s="35" t="n"/>
      <c r="D41" s="35" t="n"/>
      <c r="E41" s="35" t="n"/>
      <c r="F41" s="35" t="n"/>
      <c r="G41" s="35" t="n"/>
      <c r="H41" s="35" t="n"/>
    </row>
    <row r="42" ht="27.75" customHeight="1">
      <c r="A42" s="37" t="inlineStr">
        <is>
          <t>Before sign-off complete Library Procedures 13-15 (labor variances; OH absorption; normal-capacity evaluation).</t>
        </is>
      </c>
      <c r="B42" s="35" t="n"/>
      <c r="C42" s="35" t="n"/>
      <c r="D42" s="35" t="n"/>
      <c r="E42" s="35" t="n"/>
      <c r="F42" s="35" t="n"/>
      <c r="G42" s="35" t="n"/>
      <c r="H42" s="35" t="n"/>
    </row>
  </sheetData>
  <mergeCells count="18">
    <mergeCell ref="B33:D33"/>
    <mergeCell ref="B36:D36"/>
    <mergeCell ref="B37:D37"/>
    <mergeCell ref="C27:E27"/>
    <mergeCell ref="B5:G5"/>
    <mergeCell ref="B35:D35"/>
    <mergeCell ref="B32:D32"/>
    <mergeCell ref="B6:G6"/>
    <mergeCell ref="B40:D40"/>
    <mergeCell ref="B4:G4"/>
    <mergeCell ref="C26:E26"/>
    <mergeCell ref="A29:G29"/>
    <mergeCell ref="A42:G42"/>
    <mergeCell ref="B39:D39"/>
    <mergeCell ref="B38:D38"/>
    <mergeCell ref="C25:E25"/>
    <mergeCell ref="B34:D34"/>
    <mergeCell ref="C24:E24"/>
  </mergeCells>
  <printOptions horizontalCentered="0" verticalCentered="0"/>
  <pageMargins left="0.25" right="0.25" top="0.5" bottom="0.5" header="0.2" footer="0.2"/>
  <pageSetup orientation="portrait"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J50"/>
  <sheetViews>
    <sheetView showGridLines="0" zoomScale="90" zoomScaleNormal="100" workbookViewId="0">
      <pane xSplit="1" ySplit="7" topLeftCell="B8" activePane="bottomRight" state="frozen"/>
      <selection pane="topRight"/>
      <selection pane="bottomLeft"/>
      <selection pane="bottomRight" activeCell="A4" sqref="A4"/>
    </sheetView>
  </sheetViews>
  <sheetFormatPr baseColWidth="8" defaultColWidth="8.6328125" defaultRowHeight="14.5"/>
  <cols>
    <col width="42" bestFit="1" customWidth="1" min="1" max="1"/>
    <col width="22.4" customWidth="1" min="2" max="2"/>
    <col width="22" customWidth="1" min="3" max="3"/>
    <col width="37.7" customWidth="1" min="4" max="7"/>
    <col width="24.95" customWidth="1" min="5" max="5"/>
    <col width="30.05" customWidth="1" min="6" max="6"/>
    <col width="18.15" customWidth="1" min="7" max="7"/>
    <col width="33.45" customWidth="1" min="8" max="8"/>
    <col width="30.05" customWidth="1" min="9" max="9"/>
    <col width="26" customWidth="1" min="10" max="10"/>
  </cols>
  <sheetData>
    <row r="1" ht="27" customHeight="1">
      <c r="A1" s="34" t="inlineStr">
        <is>
          <t>Finished Goods Cost Buildup &amp; BOM Verification</t>
        </is>
      </c>
      <c r="B1" s="35" t="n"/>
      <c r="C1" s="35" t="n"/>
      <c r="D1" s="35" t="n"/>
      <c r="E1" s="35" t="n"/>
      <c r="F1" s="35" t="n"/>
      <c r="G1" s="35" t="n"/>
      <c r="H1" s="35" t="n"/>
      <c r="I1" s="35" t="n"/>
      <c r="J1" s="35" t="n"/>
    </row>
    <row r="2" ht="27" customHeight="1">
      <c r="A2" s="46" t="inlineStr">
        <is>
          <t>Client / Entity</t>
        </is>
      </c>
      <c r="B2" s="36" t="inlineStr">
        <is>
          <t>Vaquite Industries, Inc.</t>
        </is>
      </c>
      <c r="C2" s="35" t="n"/>
      <c r="D2" s="46" t="inlineStr">
        <is>
          <t>Year-End</t>
        </is>
      </c>
      <c r="E2" s="47" t="n">
        <v>46022</v>
      </c>
      <c r="F2" s="35" t="n"/>
      <c r="G2" s="46" t="inlineStr">
        <is>
          <t>Currency</t>
        </is>
      </c>
      <c r="H2" s="48" t="inlineStr">
        <is>
          <t>USD</t>
        </is>
      </c>
      <c r="I2" s="35" t="n"/>
      <c r="J2" s="35" t="n"/>
    </row>
    <row r="3" ht="27" customHeight="1">
      <c r="A3" s="49" t="inlineStr">
        <is>
          <t>Performance Materiality</t>
        </is>
      </c>
      <c r="B3" s="50" t="n">
        <v>23100</v>
      </c>
      <c r="C3" s="35" t="n"/>
      <c r="D3" s="49" t="inlineStr">
        <is>
          <t>Tolerable misstatement / testing threshold</t>
        </is>
      </c>
      <c r="E3" s="50" t="n">
        <v>17400</v>
      </c>
      <c r="F3" s="35" t="n"/>
      <c r="G3" s="35" t="n"/>
      <c r="H3" s="35" t="n"/>
      <c r="I3" s="35" t="n"/>
      <c r="J3" s="35" t="n"/>
    </row>
    <row r="4" ht="42" customHeight="1">
      <c r="A4" s="51" t="inlineStr">
        <is>
          <t>Purpose:</t>
        </is>
      </c>
      <c r="B4" s="52" t="inlineStr">
        <is>
          <t>Select finished goods from the YE listing, obtain the cost breakup (RM + labor + OH), verify the breakup sums to the FG unit cost, and verify the RM components from the bill of materials (BOM) to the RM inventory listing costs.</t>
        </is>
      </c>
      <c r="C4" s="53" t="n"/>
      <c r="D4" s="53" t="n"/>
      <c r="E4" s="53" t="n"/>
      <c r="F4" s="53" t="n"/>
      <c r="G4" s="53" t="n"/>
      <c r="H4" s="53" t="n"/>
      <c r="I4" s="53" t="n"/>
      <c r="J4" s="54" t="n"/>
    </row>
    <row r="5" ht="27.75" customHeight="1">
      <c r="A5" s="51" t="inlineStr">
        <is>
          <t>Scope:</t>
        </is>
      </c>
      <c r="B5" s="52" t="inlineStr">
        <is>
          <t>FG selections above the testing threshold; BOMs, labor routings and OH rates for each selection.</t>
        </is>
      </c>
      <c r="C5" s="53" t="n"/>
      <c r="D5" s="53" t="n"/>
      <c r="E5" s="53" t="n"/>
      <c r="F5" s="53" t="n"/>
      <c r="G5" s="53" t="n"/>
      <c r="H5" s="53" t="n"/>
      <c r="I5" s="53" t="n"/>
      <c r="J5" s="54" t="n"/>
    </row>
    <row r="6" ht="15" customHeight="1">
      <c r="A6" s="51" t="inlineStr">
        <is>
          <t>Assertions:</t>
        </is>
      </c>
      <c r="B6" s="52" t="inlineStr">
        <is>
          <t>Valuation &amp; Allocation; Accuracy</t>
        </is>
      </c>
      <c r="C6" s="53" t="n"/>
      <c r="D6" s="53" t="n"/>
      <c r="E6" s="53" t="n"/>
      <c r="F6" s="53" t="n"/>
      <c r="G6" s="53" t="n"/>
      <c r="H6" s="53" t="n"/>
      <c r="I6" s="53" t="n"/>
      <c r="J6" s="54" t="n"/>
    </row>
    <row r="7">
      <c r="A7" s="61" t="inlineStr">
        <is>
          <t>A. FG cost breakup (per selection)</t>
        </is>
      </c>
      <c r="B7" s="35" t="n"/>
      <c r="C7" s="35" t="n"/>
      <c r="D7" s="35" t="n"/>
      <c r="E7" s="35" t="n"/>
      <c r="F7" s="35" t="n"/>
      <c r="G7" s="35" t="n"/>
      <c r="H7" s="35" t="n"/>
      <c r="I7" s="35" t="n"/>
      <c r="J7" s="35" t="n"/>
    </row>
    <row r="8" ht="30" customHeight="1">
      <c r="A8" s="62" t="inlineStr">
        <is>
          <t>Sel #</t>
        </is>
      </c>
      <c r="B8" s="62" t="inlineStr">
        <is>
          <t>FG SKU</t>
        </is>
      </c>
      <c r="C8" s="62" t="inlineStr">
        <is>
          <t>Description</t>
        </is>
      </c>
      <c r="D8" s="62" t="inlineStr">
        <is>
          <t>FG unit cost per listing</t>
        </is>
      </c>
      <c r="E8" s="62" t="inlineStr">
        <is>
          <t>RM per breakup</t>
        </is>
      </c>
      <c r="F8" s="62" t="inlineStr">
        <is>
          <t>Labor per breakup</t>
        </is>
      </c>
      <c r="G8" s="62" t="inlineStr">
        <is>
          <t>OH per breakup</t>
        </is>
      </c>
      <c r="H8" s="62" t="inlineStr">
        <is>
          <t>Sum of breakup</t>
        </is>
      </c>
      <c r="I8" s="62" t="inlineStr">
        <is>
          <t>Diff vs listing</t>
        </is>
      </c>
      <c r="J8" s="62" t="inlineStr">
        <is>
          <t>Comments</t>
        </is>
      </c>
    </row>
    <row r="9">
      <c r="A9" s="35" t="n"/>
      <c r="B9" s="35" t="n"/>
      <c r="C9" s="35" t="n"/>
      <c r="D9" s="69" t="inlineStr">
        <is>
          <t>PBC</t>
        </is>
      </c>
      <c r="E9" s="35" t="n"/>
      <c r="F9" s="35" t="n"/>
      <c r="G9" s="35" t="n"/>
      <c r="H9" s="69" t="inlineStr">
        <is>
          <t>R</t>
        </is>
      </c>
      <c r="I9" s="69" t="inlineStr">
        <is>
          <t>R</t>
        </is>
      </c>
      <c r="J9" s="35" t="n"/>
    </row>
    <row r="10" ht="27" customHeight="1">
      <c r="A10" s="70" t="n">
        <v>1</v>
      </c>
      <c r="B10" s="56" t="n"/>
      <c r="C10" s="56" t="n"/>
      <c r="D10" s="63" t="n"/>
      <c r="E10" s="63" t="n"/>
      <c r="F10" s="63" t="n"/>
      <c r="G10" s="63" t="n"/>
      <c r="H10" s="72">
        <f>IF(COUNT(E10:G10)=0,"",SUM(E10:G10))</f>
        <v/>
      </c>
      <c r="I10" s="72">
        <f>IF(OR(D10="",H10=""),"",D10-H10)</f>
        <v/>
      </c>
      <c r="J10" s="56" t="n"/>
    </row>
    <row r="11" ht="27" customHeight="1">
      <c r="A11" s="70" t="n">
        <v>2</v>
      </c>
      <c r="B11" s="56" t="n"/>
      <c r="C11" s="56" t="n"/>
      <c r="D11" s="63" t="n"/>
      <c r="E11" s="63" t="n"/>
      <c r="F11" s="63" t="n"/>
      <c r="G11" s="63" t="n"/>
      <c r="H11" s="72">
        <f>IF(COUNT(E11:G11)=0,"",SUM(E11:G11))</f>
        <v/>
      </c>
      <c r="I11" s="72">
        <f>IF(OR(D11="",H11=""),"",D11-H11)</f>
        <v/>
      </c>
      <c r="J11" s="56" t="n"/>
    </row>
    <row r="12" ht="27" customHeight="1">
      <c r="A12" s="70" t="n">
        <v>3</v>
      </c>
      <c r="B12" s="56" t="n"/>
      <c r="C12" s="56" t="n"/>
      <c r="D12" s="63" t="n"/>
      <c r="E12" s="63" t="n"/>
      <c r="F12" s="63" t="n"/>
      <c r="G12" s="63" t="n"/>
      <c r="H12" s="72">
        <f>IF(COUNT(E12:G12)=0,"",SUM(E12:G12))</f>
        <v/>
      </c>
      <c r="I12" s="72">
        <f>IF(OR(D12="",H12=""),"",D12-H12)</f>
        <v/>
      </c>
      <c r="J12" s="56" t="n"/>
    </row>
    <row r="13" ht="27" customHeight="1">
      <c r="A13" s="70" t="n">
        <v>4</v>
      </c>
      <c r="B13" s="56" t="n"/>
      <c r="C13" s="56" t="n"/>
      <c r="D13" s="63" t="n"/>
      <c r="E13" s="63" t="n"/>
      <c r="F13" s="63" t="n"/>
      <c r="G13" s="63" t="n"/>
      <c r="H13" s="72">
        <f>IF(COUNT(E13:G13)=0,"",SUM(E13:G13))</f>
        <v/>
      </c>
      <c r="I13" s="72">
        <f>IF(OR(D13="",H13=""),"",D13-H13)</f>
        <v/>
      </c>
      <c r="J13" s="56" t="n"/>
    </row>
    <row r="14" ht="27" customHeight="1">
      <c r="A14" s="70" t="n">
        <v>5</v>
      </c>
      <c r="B14" s="56" t="n"/>
      <c r="C14" s="56" t="n"/>
      <c r="D14" s="63" t="n"/>
      <c r="E14" s="63" t="n"/>
      <c r="F14" s="63" t="n"/>
      <c r="G14" s="63" t="n"/>
      <c r="H14" s="72">
        <f>IF(COUNT(E14:G14)=0,"",SUM(E14:G14))</f>
        <v/>
      </c>
      <c r="I14" s="72">
        <f>IF(OR(D14="",H14=""),"",D14-H14)</f>
        <v/>
      </c>
      <c r="J14" s="56" t="n"/>
    </row>
    <row r="15" ht="27" customHeight="1">
      <c r="A15" s="70" t="n">
        <v>6</v>
      </c>
      <c r="B15" s="56" t="n"/>
      <c r="C15" s="56" t="n"/>
      <c r="D15" s="63" t="n"/>
      <c r="E15" s="63" t="n"/>
      <c r="F15" s="63" t="n"/>
      <c r="G15" s="63" t="n"/>
      <c r="H15" s="72">
        <f>IF(COUNT(E15:G15)=0,"",SUM(E15:G15))</f>
        <v/>
      </c>
      <c r="I15" s="72">
        <f>IF(OR(D15="",H15=""),"",D15-H15)</f>
        <v/>
      </c>
      <c r="J15" s="56" t="n"/>
    </row>
    <row r="16" ht="27" customHeight="1">
      <c r="A16" s="70" t="n">
        <v>7</v>
      </c>
      <c r="B16" s="56" t="n"/>
      <c r="C16" s="56" t="n"/>
      <c r="D16" s="63" t="n"/>
      <c r="E16" s="63" t="n"/>
      <c r="F16" s="63" t="n"/>
      <c r="G16" s="63" t="n"/>
      <c r="H16" s="72">
        <f>IF(COUNT(E16:G16)=0,"",SUM(E16:G16))</f>
        <v/>
      </c>
      <c r="I16" s="72">
        <f>IF(OR(D16="",H16=""),"",D16-H16)</f>
        <v/>
      </c>
      <c r="J16" s="56" t="n"/>
    </row>
    <row r="17" ht="27" customHeight="1">
      <c r="A17" s="70" t="n">
        <v>8</v>
      </c>
      <c r="B17" s="56" t="n"/>
      <c r="C17" s="56" t="n"/>
      <c r="D17" s="63" t="n"/>
      <c r="E17" s="63" t="n"/>
      <c r="F17" s="63" t="n"/>
      <c r="G17" s="63" t="n"/>
      <c r="H17" s="72">
        <f>IF(COUNT(E17:G17)=0,"",SUM(E17:G17))</f>
        <v/>
      </c>
      <c r="I17" s="72">
        <f>IF(OR(D17="",H17=""),"",D17-H17)</f>
        <v/>
      </c>
      <c r="J17" s="56" t="n"/>
    </row>
    <row r="18">
      <c r="A18" s="35" t="n"/>
      <c r="B18" s="35" t="n"/>
      <c r="C18" s="35" t="n"/>
      <c r="D18" s="35" t="n"/>
      <c r="E18" s="35" t="n"/>
      <c r="F18" s="35" t="n"/>
      <c r="G18" s="35" t="n"/>
      <c r="H18" s="35" t="n"/>
      <c r="I18" s="35" t="n"/>
      <c r="J18" s="35" t="n"/>
    </row>
    <row r="19" ht="27" customHeight="1">
      <c r="A19" s="61" t="inlineStr">
        <is>
          <t>B. BOM verification — RM components to the RM inventory listing</t>
        </is>
      </c>
      <c r="B19" s="35" t="n"/>
      <c r="C19" s="35" t="n"/>
      <c r="D19" s="35" t="n"/>
      <c r="E19" s="35" t="n"/>
      <c r="F19" s="35" t="n"/>
      <c r="G19" s="35" t="n"/>
      <c r="H19" s="35" t="n"/>
      <c r="I19" s="35" t="n"/>
      <c r="J19" s="35" t="n"/>
    </row>
    <row r="20" ht="31.5" customHeight="1">
      <c r="A20" s="62" t="inlineStr">
        <is>
          <t>FG Sel #</t>
        </is>
      </c>
      <c r="B20" s="62" t="inlineStr">
        <is>
          <t>RM component / SKU</t>
        </is>
      </c>
      <c r="C20" s="62" t="inlineStr">
        <is>
          <t>Component description</t>
        </is>
      </c>
      <c r="D20" s="62" t="inlineStr">
        <is>
          <t>BOM qty per unit</t>
        </is>
      </c>
      <c r="E20" s="62" t="inlineStr">
        <is>
          <t>RM unit cost per RM listing</t>
        </is>
      </c>
      <c r="F20" s="62" t="inlineStr">
        <is>
          <t>Extended (= BOM qty × RM cost)</t>
        </is>
      </c>
      <c r="G20" s="62" t="inlineStr">
        <is>
          <t>Per FG breakup (RM)</t>
        </is>
      </c>
      <c r="H20" s="62" t="inlineStr">
        <is>
          <t>Difference</t>
        </is>
      </c>
      <c r="I20" s="62" t="inlineStr">
        <is>
          <t>Vouched to BOM (Y/N)</t>
        </is>
      </c>
      <c r="J20" s="62" t="inlineStr">
        <is>
          <t>Comments</t>
        </is>
      </c>
    </row>
    <row r="21">
      <c r="A21" s="35" t="n"/>
      <c r="B21" s="35" t="n"/>
      <c r="C21" s="35" t="n"/>
      <c r="D21" s="35" t="n"/>
      <c r="E21" s="69" t="inlineStr">
        <is>
          <t>V</t>
        </is>
      </c>
      <c r="F21" s="69" t="inlineStr">
        <is>
          <t>T</t>
        </is>
      </c>
      <c r="G21" s="69" t="inlineStr">
        <is>
          <t>R</t>
        </is>
      </c>
      <c r="H21" s="35" t="n"/>
      <c r="I21" s="35" t="n"/>
      <c r="J21" s="35" t="n"/>
    </row>
    <row r="22" ht="27" customHeight="1">
      <c r="A22" s="56" t="n"/>
      <c r="B22" s="56" t="n"/>
      <c r="C22" s="56" t="n"/>
      <c r="D22" s="81" t="n"/>
      <c r="E22" s="63" t="n"/>
      <c r="F22" s="72">
        <f>IF(OR(D22="",E22=""),"",D22*E22)</f>
        <v/>
      </c>
      <c r="G22" s="63" t="n"/>
      <c r="H22" s="72">
        <f>IF(OR(F22="",G22=""),"",G22-F22)</f>
        <v/>
      </c>
      <c r="I22" s="56" t="n"/>
      <c r="J22" s="56" t="n"/>
    </row>
    <row r="23" ht="27" customHeight="1">
      <c r="A23" s="56" t="n"/>
      <c r="B23" s="56" t="n"/>
      <c r="C23" s="56" t="n"/>
      <c r="D23" s="81" t="n"/>
      <c r="E23" s="63" t="n"/>
      <c r="F23" s="72">
        <f>IF(OR(D23="",E23=""),"",D23*E23)</f>
        <v/>
      </c>
      <c r="G23" s="63" t="n"/>
      <c r="H23" s="72">
        <f>IF(OR(F23="",G23=""),"",G23-F23)</f>
        <v/>
      </c>
      <c r="I23" s="56" t="n"/>
      <c r="J23" s="56" t="n"/>
    </row>
    <row r="24" ht="27" customHeight="1">
      <c r="A24" s="56" t="n"/>
      <c r="B24" s="56" t="n"/>
      <c r="C24" s="56" t="n"/>
      <c r="D24" s="81" t="n"/>
      <c r="E24" s="63" t="n"/>
      <c r="F24" s="72">
        <f>IF(OR(D24="",E24=""),"",D24*E24)</f>
        <v/>
      </c>
      <c r="G24" s="63" t="n"/>
      <c r="H24" s="72">
        <f>IF(OR(F24="",G24=""),"",G24-F24)</f>
        <v/>
      </c>
      <c r="I24" s="56" t="n"/>
      <c r="J24" s="56" t="n"/>
    </row>
    <row r="25" ht="27" customHeight="1">
      <c r="A25" s="56" t="n"/>
      <c r="B25" s="56" t="n"/>
      <c r="C25" s="56" t="n"/>
      <c r="D25" s="81" t="n"/>
      <c r="E25" s="63" t="n"/>
      <c r="F25" s="72">
        <f>IF(OR(D25="",E25=""),"",D25*E25)</f>
        <v/>
      </c>
      <c r="G25" s="63" t="n"/>
      <c r="H25" s="72">
        <f>IF(OR(F25="",G25=""),"",G25-F25)</f>
        <v/>
      </c>
      <c r="I25" s="56" t="n"/>
      <c r="J25" s="56" t="n"/>
    </row>
    <row r="26" ht="27" customHeight="1">
      <c r="A26" s="56" t="n"/>
      <c r="B26" s="56" t="n"/>
      <c r="C26" s="56" t="n"/>
      <c r="D26" s="81" t="n"/>
      <c r="E26" s="63" t="n"/>
      <c r="F26" s="72">
        <f>IF(OR(D26="",E26=""),"",D26*E26)</f>
        <v/>
      </c>
      <c r="G26" s="63" t="n"/>
      <c r="H26" s="72">
        <f>IF(OR(F26="",G26=""),"",G26-F26)</f>
        <v/>
      </c>
      <c r="I26" s="56" t="n"/>
      <c r="J26" s="56" t="n"/>
    </row>
    <row r="27" ht="27" customHeight="1">
      <c r="A27" s="56" t="n"/>
      <c r="B27" s="56" t="n"/>
      <c r="C27" s="56" t="n"/>
      <c r="D27" s="81" t="n"/>
      <c r="E27" s="63" t="n"/>
      <c r="F27" s="72">
        <f>IF(OR(D27="",E27=""),"",D27*E27)</f>
        <v/>
      </c>
      <c r="G27" s="63" t="n"/>
      <c r="H27" s="72">
        <f>IF(OR(F27="",G27=""),"",G27-F27)</f>
        <v/>
      </c>
      <c r="I27" s="56" t="n"/>
      <c r="J27" s="56" t="n"/>
    </row>
    <row r="28" ht="27" customHeight="1">
      <c r="A28" s="56" t="n"/>
      <c r="B28" s="56" t="n"/>
      <c r="C28" s="56" t="n"/>
      <c r="D28" s="81" t="n"/>
      <c r="E28" s="63" t="n"/>
      <c r="F28" s="72">
        <f>IF(OR(D28="",E28=""),"",D28*E28)</f>
        <v/>
      </c>
      <c r="G28" s="63" t="n"/>
      <c r="H28" s="72">
        <f>IF(OR(F28="",G28=""),"",G28-F28)</f>
        <v/>
      </c>
      <c r="I28" s="56" t="n"/>
      <c r="J28" s="56" t="n"/>
    </row>
    <row r="29" ht="27" customHeight="1">
      <c r="A29" s="56" t="n"/>
      <c r="B29" s="56" t="n"/>
      <c r="C29" s="56" t="n"/>
      <c r="D29" s="81" t="n"/>
      <c r="E29" s="63" t="n"/>
      <c r="F29" s="72">
        <f>IF(OR(D29="",E29=""),"",D29*E29)</f>
        <v/>
      </c>
      <c r="G29" s="63" t="n"/>
      <c r="H29" s="72">
        <f>IF(OR(F29="",G29=""),"",G29-F29)</f>
        <v/>
      </c>
      <c r="I29" s="56" t="n"/>
      <c r="J29" s="56" t="n"/>
    </row>
    <row r="30" ht="27" customHeight="1">
      <c r="A30" s="56" t="n"/>
      <c r="B30" s="56" t="n"/>
      <c r="C30" s="56" t="n"/>
      <c r="D30" s="81" t="n"/>
      <c r="E30" s="63" t="n"/>
      <c r="F30" s="72">
        <f>IF(OR(D30="",E30=""),"",D30*E30)</f>
        <v/>
      </c>
      <c r="G30" s="63" t="n"/>
      <c r="H30" s="72">
        <f>IF(OR(F30="",G30=""),"",G30-F30)</f>
        <v/>
      </c>
      <c r="I30" s="56" t="n"/>
      <c r="J30" s="56" t="n"/>
    </row>
    <row r="31" ht="27" customHeight="1">
      <c r="A31" s="56" t="n"/>
      <c r="B31" s="56" t="n"/>
      <c r="C31" s="56" t="n"/>
      <c r="D31" s="81" t="n"/>
      <c r="E31" s="63" t="n"/>
      <c r="F31" s="72">
        <f>IF(OR(D31="",E31=""),"",D31*E31)</f>
        <v/>
      </c>
      <c r="G31" s="63" t="n"/>
      <c r="H31" s="72">
        <f>IF(OR(F31="",G31=""),"",G31-F31)</f>
        <v/>
      </c>
      <c r="I31" s="56" t="n"/>
      <c r="J31" s="56" t="n"/>
    </row>
    <row r="32" ht="27" customHeight="1">
      <c r="A32" s="56" t="n"/>
      <c r="B32" s="56" t="n"/>
      <c r="C32" s="56" t="n"/>
      <c r="D32" s="81" t="n"/>
      <c r="E32" s="63" t="n"/>
      <c r="F32" s="72">
        <f>IF(OR(D32="",E32=""),"",D32*E32)</f>
        <v/>
      </c>
      <c r="G32" s="63" t="n"/>
      <c r="H32" s="72">
        <f>IF(OR(F32="",G32=""),"",G32-F32)</f>
        <v/>
      </c>
      <c r="I32" s="56" t="n"/>
      <c r="J32" s="56" t="n"/>
    </row>
    <row r="33" ht="27" customHeight="1">
      <c r="A33" s="56" t="n"/>
      <c r="B33" s="56" t="n"/>
      <c r="C33" s="56" t="n"/>
      <c r="D33" s="81" t="n"/>
      <c r="E33" s="63" t="n"/>
      <c r="F33" s="72">
        <f>IF(OR(D33="",E33=""),"",D33*E33)</f>
        <v/>
      </c>
      <c r="G33" s="63" t="n"/>
      <c r="H33" s="72">
        <f>IF(OR(F33="",G33=""),"",G33-F33)</f>
        <v/>
      </c>
      <c r="I33" s="56" t="n"/>
      <c r="J33" s="56" t="n"/>
    </row>
    <row r="34" ht="27" customHeight="1">
      <c r="A34" s="56" t="n"/>
      <c r="B34" s="56" t="n"/>
      <c r="C34" s="56" t="n"/>
      <c r="D34" s="81" t="n"/>
      <c r="E34" s="63" t="n"/>
      <c r="F34" s="72">
        <f>IF(OR(D34="",E34=""),"",D34*E34)</f>
        <v/>
      </c>
      <c r="G34" s="63" t="n"/>
      <c r="H34" s="72">
        <f>IF(OR(F34="",G34=""),"",G34-F34)</f>
        <v/>
      </c>
      <c r="I34" s="56" t="n"/>
      <c r="J34" s="56" t="n"/>
    </row>
    <row r="35" ht="27" customHeight="1">
      <c r="A35" s="56" t="n"/>
      <c r="B35" s="56" t="n"/>
      <c r="C35" s="56" t="n"/>
      <c r="D35" s="81" t="n"/>
      <c r="E35" s="63" t="n"/>
      <c r="F35" s="72">
        <f>IF(OR(D35="",E35=""),"",D35*E35)</f>
        <v/>
      </c>
      <c r="G35" s="63" t="n"/>
      <c r="H35" s="72">
        <f>IF(OR(F35="",G35=""),"",G35-F35)</f>
        <v/>
      </c>
      <c r="I35" s="56" t="n"/>
      <c r="J35" s="56" t="n"/>
    </row>
    <row r="36">
      <c r="A36" s="35" t="n"/>
      <c r="B36" s="35" t="n"/>
      <c r="C36" s="35" t="n"/>
      <c r="D36" s="35" t="n"/>
      <c r="E36" s="35" t="n"/>
      <c r="F36" s="35" t="n"/>
      <c r="G36" s="35" t="n"/>
      <c r="H36" s="35" t="n"/>
      <c r="I36" s="35" t="n"/>
      <c r="J36" s="35" t="n"/>
    </row>
    <row r="37" ht="27.75" customHeight="1">
      <c r="A37" s="37" t="inlineStr">
        <is>
          <t>The breakup must sum to the FG unit cost (diff = 0). Each RM component's cost is verified: BOM quantity × the unit cost of that RM on the RM inventory listing (already tested on &lt;.2&gt;/&lt;.3&gt;) = the RM content in the FG buildup. Labor hours × rates and OH driver × rate agree to &lt;.5&gt; support.</t>
        </is>
      </c>
      <c r="B37" s="35" t="n"/>
      <c r="C37" s="35" t="n"/>
      <c r="D37" s="35" t="n"/>
      <c r="E37" s="35" t="n"/>
      <c r="F37" s="35" t="n"/>
      <c r="G37" s="35" t="n"/>
      <c r="H37" s="35" t="n"/>
      <c r="I37" s="35" t="n"/>
      <c r="J37" s="35" t="n"/>
    </row>
    <row r="38">
      <c r="A38" s="35" t="n"/>
      <c r="B38" s="35" t="n"/>
      <c r="C38" s="35" t="n"/>
      <c r="D38" s="35" t="n"/>
      <c r="E38" s="35" t="n"/>
      <c r="F38" s="35" t="n"/>
      <c r="G38" s="35" t="n"/>
      <c r="H38" s="35" t="n"/>
      <c r="I38" s="35" t="n"/>
      <c r="J38" s="35" t="n"/>
    </row>
    <row r="39">
      <c r="A39" s="57" t="inlineStr">
        <is>
          <t>TM Legends</t>
        </is>
      </c>
      <c r="B39" s="35" t="n"/>
      <c r="C39" s="35" t="n"/>
      <c r="D39" s="35" t="n"/>
      <c r="E39" s="35" t="n"/>
      <c r="F39" s="35" t="n"/>
      <c r="G39" s="35" t="n"/>
      <c r="H39" s="35" t="n"/>
      <c r="I39" s="35" t="n"/>
      <c r="J39" s="35" t="n"/>
    </row>
    <row r="40">
      <c r="A40" s="58" t="inlineStr">
        <is>
          <t>TB</t>
        </is>
      </c>
      <c r="B40" s="41" t="inlineStr">
        <is>
          <t>Agreed to trial balance</t>
        </is>
      </c>
      <c r="C40" s="59" t="n"/>
      <c r="D40" s="60" t="n"/>
      <c r="E40" s="35" t="n"/>
      <c r="F40" s="35" t="n"/>
      <c r="G40" s="35" t="n"/>
      <c r="H40" s="35" t="n"/>
      <c r="I40" s="35" t="n"/>
      <c r="J40" s="35" t="n"/>
    </row>
    <row r="41">
      <c r="A41" s="58" t="inlineStr">
        <is>
          <t>GL</t>
        </is>
      </c>
      <c r="B41" s="41" t="inlineStr">
        <is>
          <t>Agreed to general ledger</t>
        </is>
      </c>
      <c r="C41" s="59" t="n"/>
      <c r="D41" s="60" t="n"/>
      <c r="E41" s="35" t="n"/>
      <c r="F41" s="35" t="n"/>
      <c r="G41" s="35" t="n"/>
      <c r="H41" s="35" t="n"/>
      <c r="I41" s="35" t="n"/>
      <c r="J41" s="35" t="n"/>
    </row>
    <row r="42">
      <c r="A42" s="58" t="inlineStr">
        <is>
          <t>CF</t>
        </is>
      </c>
      <c r="B42" s="41" t="inlineStr">
        <is>
          <t>Confirmed with third party</t>
        </is>
      </c>
      <c r="C42" s="59" t="n"/>
      <c r="D42" s="60" t="n"/>
      <c r="E42" s="35" t="n"/>
      <c r="F42" s="35" t="n"/>
      <c r="G42" s="35" t="n"/>
      <c r="H42" s="35" t="n"/>
      <c r="I42" s="35" t="n"/>
      <c r="J42" s="35" t="n"/>
    </row>
    <row r="43">
      <c r="A43" s="58" t="inlineStr">
        <is>
          <t>V</t>
        </is>
      </c>
      <c r="B43" s="41" t="inlineStr">
        <is>
          <t>Vouched to source document</t>
        </is>
      </c>
      <c r="C43" s="59" t="n"/>
      <c r="D43" s="60" t="n"/>
      <c r="E43" s="35" t="n"/>
      <c r="F43" s="35" t="n"/>
      <c r="G43" s="35" t="n"/>
      <c r="H43" s="35" t="n"/>
      <c r="I43" s="35" t="n"/>
      <c r="J43" s="35" t="n"/>
    </row>
    <row r="44">
      <c r="A44" s="58" t="inlineStr">
        <is>
          <t>SR</t>
        </is>
      </c>
      <c r="B44" s="41" t="inlineStr">
        <is>
          <t>Agreed to subsequent bank-cleared receipt</t>
        </is>
      </c>
      <c r="C44" s="59" t="n"/>
      <c r="D44" s="60" t="n"/>
      <c r="E44" s="35" t="n"/>
      <c r="F44" s="35" t="n"/>
      <c r="G44" s="35" t="n"/>
      <c r="H44" s="35" t="n"/>
      <c r="I44" s="35" t="n"/>
      <c r="J44" s="35" t="n"/>
    </row>
    <row r="45">
      <c r="A45" s="58" t="inlineStr">
        <is>
          <t>R</t>
        </is>
      </c>
      <c r="B45" s="41" t="inlineStr">
        <is>
          <t>Recalculated independently</t>
        </is>
      </c>
      <c r="C45" s="59" t="n"/>
      <c r="D45" s="60" t="n"/>
      <c r="E45" s="35" t="n"/>
      <c r="F45" s="35" t="n"/>
      <c r="G45" s="35" t="n"/>
      <c r="H45" s="35" t="n"/>
      <c r="I45" s="35" t="n"/>
      <c r="J45" s="35" t="n"/>
    </row>
    <row r="46">
      <c r="A46" s="58" t="inlineStr">
        <is>
          <t>F</t>
        </is>
      </c>
      <c r="B46" s="41" t="inlineStr">
        <is>
          <t>Footed / cross-cast</t>
        </is>
      </c>
      <c r="C46" s="59" t="n"/>
      <c r="D46" s="60" t="n"/>
      <c r="E46" s="35" t="n"/>
      <c r="F46" s="35" t="n"/>
      <c r="G46" s="35" t="n"/>
      <c r="H46" s="35" t="n"/>
      <c r="I46" s="35" t="n"/>
      <c r="J46" s="35" t="n"/>
    </row>
    <row r="47">
      <c r="A47" s="58" t="inlineStr">
        <is>
          <t>T</t>
        </is>
      </c>
      <c r="B47" s="41" t="inlineStr">
        <is>
          <t>Traced to downstream record</t>
        </is>
      </c>
      <c r="C47" s="59" t="n"/>
      <c r="D47" s="60" t="n"/>
      <c r="E47" s="35" t="n"/>
      <c r="F47" s="35" t="n"/>
      <c r="G47" s="35" t="n"/>
      <c r="H47" s="35" t="n"/>
      <c r="I47" s="35" t="n"/>
      <c r="J47" s="35" t="n"/>
    </row>
    <row r="48">
      <c r="A48" s="58" t="inlineStr">
        <is>
          <t>PBC</t>
        </is>
      </c>
      <c r="B48" s="41" t="inlineStr">
        <is>
          <t>Prepared by client</t>
        </is>
      </c>
      <c r="C48" s="59" t="n"/>
      <c r="D48" s="60" t="n"/>
      <c r="E48" s="35" t="n"/>
      <c r="F48" s="35" t="n"/>
      <c r="G48" s="35" t="n"/>
      <c r="H48" s="35" t="n"/>
      <c r="I48" s="35" t="n"/>
      <c r="J48" s="35" t="n"/>
    </row>
    <row r="49">
      <c r="A49" s="35" t="n"/>
      <c r="B49" s="35" t="n"/>
      <c r="C49" s="35" t="n"/>
      <c r="D49" s="35" t="n"/>
      <c r="E49" s="35" t="n"/>
      <c r="F49" s="35" t="n"/>
      <c r="G49" s="35" t="n"/>
      <c r="H49" s="35" t="n"/>
      <c r="I49" s="35" t="n"/>
      <c r="J49" s="35" t="n"/>
    </row>
    <row r="50" ht="27.75" customHeight="1">
      <c r="A50" s="37" t="inlineStr">
        <is>
          <t>Before sign-off complete Library Procedures 16-17 (FG breakup sum test; BOM component verification).</t>
        </is>
      </c>
      <c r="B50" s="35" t="n"/>
      <c r="C50" s="35" t="n"/>
      <c r="D50" s="35" t="n"/>
      <c r="E50" s="35" t="n"/>
      <c r="F50" s="35" t="n"/>
      <c r="G50" s="35" t="n"/>
      <c r="H50" s="35" t="n"/>
      <c r="I50" s="35" t="n"/>
      <c r="J50" s="35" t="n"/>
    </row>
  </sheetData>
  <mergeCells count="14">
    <mergeCell ref="B42:D42"/>
    <mergeCell ref="A37:J37"/>
    <mergeCell ref="B47:D47"/>
    <mergeCell ref="B5:J5"/>
    <mergeCell ref="B45:D45"/>
    <mergeCell ref="B46:D46"/>
    <mergeCell ref="B41:D41"/>
    <mergeCell ref="B40:D40"/>
    <mergeCell ref="A50:J50"/>
    <mergeCell ref="B44:D44"/>
    <mergeCell ref="B4:J4"/>
    <mergeCell ref="B43:D43"/>
    <mergeCell ref="B6:J6"/>
    <mergeCell ref="B48:D48"/>
  </mergeCells>
  <printOptions horizontalCentered="0" verticalCentered="0"/>
  <pageMargins left="0.25" right="0.25" top="0.5" bottom="0.5" header="0.2" footer="0.2"/>
  <pageSetup orientation="landscape" paperSize="1" fitToHeight="0" fitToWidth="1" horizontalDpi="300" verticalDpi="300"/>
</worksheet>
</file>

<file path=xl/worksheets/sheet9.xml><?xml version="1.0" encoding="utf-8"?>
<worksheet xmlns="http://schemas.openxmlformats.org/spreadsheetml/2006/main">
  <sheetPr>
    <outlinePr summaryBelow="1" summaryRight="1"/>
    <pageSetUpPr autoPageBreaks="0" fitToPage="1"/>
  </sheetPr>
  <dimension ref="A1:H34"/>
  <sheetViews>
    <sheetView showGridLines="0" zoomScale="90" zoomScaleNormal="100" workbookViewId="0">
      <pane ySplit="7" topLeftCell="A8" activePane="bottomLeft" state="frozen"/>
      <selection pane="bottomLeft" activeCell="A4" sqref="A4:H6"/>
    </sheetView>
  </sheetViews>
  <sheetFormatPr baseColWidth="8" defaultColWidth="8.6328125" defaultRowHeight="14.5"/>
  <cols>
    <col width="42" bestFit="1" customWidth="1" min="1" max="1"/>
    <col width="22.4" customWidth="1" min="2" max="4"/>
    <col width="21.55" customWidth="1" min="3" max="3"/>
    <col width="37.7" customWidth="1" min="4" max="4"/>
    <col width="26.65" customWidth="1" min="5" max="5"/>
    <col width="30.9" customWidth="1" min="6" max="7"/>
    <col width="13" customWidth="1" min="7" max="7"/>
    <col width="26" customWidth="1" min="8" max="8"/>
  </cols>
  <sheetData>
    <row r="1" ht="17.5" customHeight="1">
      <c r="A1" s="34" t="inlineStr">
        <is>
          <t>Obsolescence &amp; Reserve Testing</t>
        </is>
      </c>
      <c r="B1" s="35" t="n"/>
      <c r="C1" s="35" t="n"/>
      <c r="D1" s="35" t="n"/>
      <c r="E1" s="35" t="n"/>
      <c r="F1" s="35" t="n"/>
      <c r="G1" s="35" t="n"/>
      <c r="H1" s="35" t="n"/>
    </row>
    <row r="2" ht="27" customHeight="1">
      <c r="A2" s="46" t="inlineStr">
        <is>
          <t>Client / Entity</t>
        </is>
      </c>
      <c r="B2" s="36" t="inlineStr">
        <is>
          <t>Vaquite Industries, Inc.</t>
        </is>
      </c>
      <c r="C2" s="35" t="n"/>
      <c r="D2" s="46" t="inlineStr">
        <is>
          <t>Year-End</t>
        </is>
      </c>
      <c r="E2" s="47" t="n">
        <v>46022</v>
      </c>
      <c r="F2" s="35" t="n"/>
      <c r="G2" s="46" t="inlineStr">
        <is>
          <t>Currency</t>
        </is>
      </c>
      <c r="H2" s="48" t="inlineStr">
        <is>
          <t>USD</t>
        </is>
      </c>
    </row>
    <row r="3" ht="27" customHeight="1">
      <c r="A3" s="49" t="inlineStr">
        <is>
          <t>Performance Materiality</t>
        </is>
      </c>
      <c r="B3" s="50" t="n">
        <v>23100</v>
      </c>
      <c r="C3" s="35" t="n"/>
      <c r="D3" s="49" t="inlineStr">
        <is>
          <t>Tolerable misstatement / testing threshold</t>
        </is>
      </c>
      <c r="E3" s="50" t="n">
        <v>17400</v>
      </c>
      <c r="F3" s="35" t="n"/>
      <c r="G3" s="35" t="n"/>
      <c r="H3" s="35" t="n"/>
    </row>
    <row r="4" ht="42" customHeight="1">
      <c r="A4" s="51" t="inlineStr">
        <is>
          <t>Purpose:</t>
        </is>
      </c>
      <c r="B4" s="52" t="inlineStr">
        <is>
          <t>Test the excess / obsolete reserve: age the inventory by last-usage / last-sale, recompute the reserve per the entity's methodology, evaluate specific obsolete items, and compare to the recorded reserve.</t>
        </is>
      </c>
      <c r="C4" s="53" t="n"/>
      <c r="D4" s="53" t="n"/>
      <c r="E4" s="53" t="n"/>
      <c r="F4" s="53" t="n"/>
      <c r="G4" s="53" t="n"/>
      <c r="H4" s="54" t="n"/>
    </row>
    <row r="5" ht="27.75" customHeight="1">
      <c r="A5" s="51" t="inlineStr">
        <is>
          <t>Scope:</t>
        </is>
      </c>
      <c r="B5" s="52" t="inlineStr">
        <is>
          <t>Aging / last-usage reports, reserve methodology, and specific obsolete / discontinued item support.</t>
        </is>
      </c>
      <c r="C5" s="53" t="n"/>
      <c r="D5" s="53" t="n"/>
      <c r="E5" s="53" t="n"/>
      <c r="F5" s="53" t="n"/>
      <c r="G5" s="53" t="n"/>
      <c r="H5" s="54" t="n"/>
    </row>
    <row r="6" ht="15" customHeight="1">
      <c r="A6" s="51" t="inlineStr">
        <is>
          <t>Assertions:</t>
        </is>
      </c>
      <c r="B6" s="52" t="inlineStr">
        <is>
          <t>Valuation &amp; Allocation</t>
        </is>
      </c>
      <c r="C6" s="53" t="n"/>
      <c r="D6" s="53" t="n"/>
      <c r="E6" s="53" t="n"/>
      <c r="F6" s="53" t="n"/>
      <c r="G6" s="53" t="n"/>
      <c r="H6" s="54" t="n"/>
    </row>
    <row r="7" ht="27" customHeight="1">
      <c r="A7" s="61" t="inlineStr">
        <is>
          <t>A. Aging / slow-moving analysis and reserve recompute</t>
        </is>
      </c>
      <c r="B7" s="35" t="n"/>
      <c r="C7" s="35" t="n"/>
      <c r="D7" s="35" t="n"/>
      <c r="E7" s="35" t="n"/>
      <c r="F7" s="35" t="n"/>
      <c r="G7" s="35" t="n"/>
      <c r="H7" s="35" t="n"/>
    </row>
    <row r="8" ht="30" customHeight="1">
      <c r="A8" s="62" t="inlineStr">
        <is>
          <t>Aging / usage bucket</t>
        </is>
      </c>
      <c r="B8" s="62" t="inlineStr">
        <is>
          <t>Gross inventory</t>
        </is>
      </c>
      <c r="C8" s="62" t="inlineStr">
        <is>
          <t>Reserve % (methodology)</t>
        </is>
      </c>
      <c r="D8" s="62" t="inlineStr">
        <is>
          <t>Recomputed reserve</t>
        </is>
      </c>
      <c r="E8" s="62" t="inlineStr">
        <is>
          <t>Reserve per books (allocated)</t>
        </is>
      </c>
      <c r="F8" s="62" t="inlineStr">
        <is>
          <t>Difference</t>
        </is>
      </c>
      <c r="G8" s="62" t="inlineStr">
        <is>
          <t>Comments</t>
        </is>
      </c>
      <c r="H8" s="35" t="n"/>
    </row>
    <row r="9">
      <c r="A9" s="35" t="n"/>
      <c r="B9" s="69" t="inlineStr">
        <is>
          <t>PBC</t>
        </is>
      </c>
      <c r="C9" s="35" t="n"/>
      <c r="D9" s="69" t="inlineStr">
        <is>
          <t>R</t>
        </is>
      </c>
      <c r="E9" s="69" t="inlineStr">
        <is>
          <t>TB</t>
        </is>
      </c>
      <c r="F9" s="35" t="n"/>
      <c r="G9" s="35" t="n"/>
      <c r="H9" s="35" t="n"/>
    </row>
    <row r="10" ht="27" customHeight="1">
      <c r="A10" s="41" t="inlineStr">
        <is>
          <t>Active (used / sold &lt; 6 months)</t>
        </is>
      </c>
      <c r="B10" s="63" t="n"/>
      <c r="C10" s="82" t="n"/>
      <c r="D10" s="72">
        <f>IF(OR(B10="",C10=""),"",B10*C10)</f>
        <v/>
      </c>
      <c r="E10" s="63" t="n"/>
      <c r="F10" s="72">
        <f>IF(AND(D10="",E10=""),"",D10-E10)</f>
        <v/>
      </c>
      <c r="G10" s="56" t="n"/>
      <c r="H10" s="35" t="n"/>
    </row>
    <row r="11" ht="27" customHeight="1">
      <c r="A11" s="41" t="inlineStr">
        <is>
          <t>Slow (6-12 months)</t>
        </is>
      </c>
      <c r="B11" s="63" t="n"/>
      <c r="C11" s="82" t="n"/>
      <c r="D11" s="72">
        <f>IF(OR(B11="",C11=""),"",B11*C11)</f>
        <v/>
      </c>
      <c r="E11" s="63" t="n"/>
      <c r="F11" s="72">
        <f>IF(AND(D11="",E11=""),"",D11-E11)</f>
        <v/>
      </c>
      <c r="G11" s="56" t="n"/>
      <c r="H11" s="35" t="n"/>
    </row>
    <row r="12" ht="27" customHeight="1">
      <c r="A12" s="41" t="inlineStr">
        <is>
          <t>Very slow (12-24 months)</t>
        </is>
      </c>
      <c r="B12" s="63" t="n"/>
      <c r="C12" s="82" t="n"/>
      <c r="D12" s="72">
        <f>IF(OR(B12="",C12=""),"",B12*C12)</f>
        <v/>
      </c>
      <c r="E12" s="63" t="n"/>
      <c r="F12" s="72">
        <f>IF(AND(D12="",E12=""),"",D12-E12)</f>
        <v/>
      </c>
      <c r="G12" s="56" t="n"/>
      <c r="H12" s="35" t="n"/>
    </row>
    <row r="13" ht="27" customHeight="1">
      <c r="A13" s="41" t="inlineStr">
        <is>
          <t>No movement &gt; 24 months</t>
        </is>
      </c>
      <c r="B13" s="63" t="n"/>
      <c r="C13" s="82" t="n"/>
      <c r="D13" s="72">
        <f>IF(OR(B13="",C13=""),"",B13*C13)</f>
        <v/>
      </c>
      <c r="E13" s="63" t="n"/>
      <c r="F13" s="72">
        <f>IF(AND(D13="",E13=""),"",D13-E13)</f>
        <v/>
      </c>
      <c r="G13" s="56" t="n"/>
      <c r="H13" s="35" t="n"/>
    </row>
    <row r="14" ht="27" customHeight="1">
      <c r="A14" s="41" t="inlineStr">
        <is>
          <t>Discontinued / superseded (specific)</t>
        </is>
      </c>
      <c r="B14" s="63" t="n"/>
      <c r="C14" s="82" t="n"/>
      <c r="D14" s="72">
        <f>IF(OR(B14="",C14=""),"",B14*C14)</f>
        <v/>
      </c>
      <c r="E14" s="63" t="n"/>
      <c r="F14" s="72">
        <f>IF(AND(D14="",E14=""),"",D14-E14)</f>
        <v/>
      </c>
      <c r="G14" s="56" t="n"/>
      <c r="H14" s="35" t="n"/>
    </row>
    <row r="15">
      <c r="A15" s="73" t="inlineStr">
        <is>
          <t>Total</t>
        </is>
      </c>
      <c r="B15" s="74">
        <f>SUM(B10:B14)</f>
        <v/>
      </c>
      <c r="C15" s="73" t="n"/>
      <c r="D15" s="74">
        <f>SUM(D10:D14)</f>
        <v/>
      </c>
      <c r="E15" s="74">
        <f>SUM(E10:E14)</f>
        <v/>
      </c>
      <c r="F15" s="74">
        <f>SUM(F10:F14)</f>
        <v/>
      </c>
      <c r="G15" s="73" t="n"/>
      <c r="H15" s="35" t="n"/>
    </row>
    <row r="16">
      <c r="A16" s="35" t="n"/>
      <c r="B16" s="35" t="n"/>
      <c r="C16" s="35" t="n"/>
      <c r="D16" s="35" t="n"/>
      <c r="E16" s="35" t="n"/>
      <c r="F16" s="35" t="n"/>
      <c r="G16" s="35" t="n"/>
      <c r="H16" s="35" t="n"/>
    </row>
    <row r="17">
      <c r="A17" s="41" t="inlineStr">
        <is>
          <t>Recomputed reserve (per A)</t>
        </is>
      </c>
      <c r="B17" s="63">
        <f>D15</f>
        <v/>
      </c>
      <c r="C17" s="35" t="n"/>
      <c r="D17" s="35" t="n"/>
      <c r="E17" s="35" t="n"/>
      <c r="F17" s="35" t="n"/>
      <c r="G17" s="35" t="n"/>
      <c r="H17" s="35" t="n"/>
    </row>
    <row r="18">
      <c r="A18" s="41" t="inlineStr">
        <is>
          <t>Reserve per trial balance</t>
        </is>
      </c>
      <c r="B18" s="63" t="n"/>
      <c r="C18" s="35" t="n"/>
      <c r="D18" s="35" t="n"/>
      <c r="E18" s="35" t="n"/>
      <c r="F18" s="35" t="n"/>
      <c r="G18" s="35" t="n"/>
      <c r="H18" s="35" t="n"/>
    </row>
    <row r="19">
      <c r="A19" s="64" t="inlineStr">
        <is>
          <t>Difference (evaluate vs threshold)</t>
        </is>
      </c>
      <c r="B19" s="75">
        <f>B17-B18</f>
        <v/>
      </c>
      <c r="C19" s="35" t="n"/>
      <c r="D19" s="35" t="n"/>
      <c r="E19" s="35" t="n"/>
      <c r="F19" s="35" t="n"/>
      <c r="G19" s="35" t="n"/>
      <c r="H19" s="35" t="n"/>
    </row>
    <row r="20">
      <c r="A20" s="35" t="n"/>
      <c r="B20" s="35" t="n"/>
      <c r="C20" s="35" t="n"/>
      <c r="D20" s="35" t="n"/>
      <c r="E20" s="35" t="n"/>
      <c r="F20" s="35" t="n"/>
      <c r="G20" s="35" t="n"/>
      <c r="H20" s="35" t="n"/>
    </row>
    <row r="21" ht="27.75" customHeight="1">
      <c r="A21" s="37" t="inlineStr">
        <is>
          <t>Corroborate the aging buckets to last-usage / last-sale data, challenge the methodology percentages against historical scrap / sell-through, and add specific reserves for discontinued or superseded items. NRV testing on &lt;.8&gt; is a separate, additional check.</t>
        </is>
      </c>
      <c r="B21" s="35" t="n"/>
      <c r="C21" s="35" t="n"/>
      <c r="D21" s="35" t="n"/>
      <c r="E21" s="35" t="n"/>
      <c r="F21" s="35" t="n"/>
      <c r="G21" s="35" t="n"/>
      <c r="H21" s="35" t="n"/>
    </row>
    <row r="22">
      <c r="A22" s="35" t="n"/>
      <c r="B22" s="35" t="n"/>
      <c r="C22" s="35" t="n"/>
      <c r="D22" s="35" t="n"/>
      <c r="E22" s="35" t="n"/>
      <c r="F22" s="35" t="n"/>
      <c r="G22" s="35" t="n"/>
      <c r="H22" s="35" t="n"/>
    </row>
    <row r="23">
      <c r="A23" s="57" t="inlineStr">
        <is>
          <t>TM Legends</t>
        </is>
      </c>
      <c r="B23" s="35" t="n"/>
      <c r="C23" s="35" t="n"/>
      <c r="D23" s="35" t="n"/>
      <c r="E23" s="35" t="n"/>
      <c r="F23" s="35" t="n"/>
      <c r="G23" s="35" t="n"/>
      <c r="H23" s="35" t="n"/>
    </row>
    <row r="24">
      <c r="A24" s="58" t="inlineStr">
        <is>
          <t>TB</t>
        </is>
      </c>
      <c r="B24" s="41" t="inlineStr">
        <is>
          <t>Agreed to trial balance</t>
        </is>
      </c>
      <c r="C24" s="59" t="n"/>
      <c r="D24" s="60" t="n"/>
      <c r="E24" s="35" t="n"/>
      <c r="F24" s="35" t="n"/>
      <c r="G24" s="35" t="n"/>
      <c r="H24" s="35" t="n"/>
    </row>
    <row r="25">
      <c r="A25" s="58" t="inlineStr">
        <is>
          <t>GL</t>
        </is>
      </c>
      <c r="B25" s="41" t="inlineStr">
        <is>
          <t>Agreed to general ledger</t>
        </is>
      </c>
      <c r="C25" s="59" t="n"/>
      <c r="D25" s="60" t="n"/>
      <c r="E25" s="35" t="n"/>
      <c r="F25" s="35" t="n"/>
      <c r="G25" s="35" t="n"/>
      <c r="H25" s="35" t="n"/>
    </row>
    <row r="26">
      <c r="A26" s="58" t="inlineStr">
        <is>
          <t>CF</t>
        </is>
      </c>
      <c r="B26" s="41" t="inlineStr">
        <is>
          <t>Confirmed with third party</t>
        </is>
      </c>
      <c r="C26" s="59" t="n"/>
      <c r="D26" s="60" t="n"/>
      <c r="E26" s="35" t="n"/>
      <c r="F26" s="35" t="n"/>
      <c r="G26" s="35" t="n"/>
      <c r="H26" s="35" t="n"/>
    </row>
    <row r="27">
      <c r="A27" s="58" t="inlineStr">
        <is>
          <t>V</t>
        </is>
      </c>
      <c r="B27" s="41" t="inlineStr">
        <is>
          <t>Vouched to source document</t>
        </is>
      </c>
      <c r="C27" s="59" t="n"/>
      <c r="D27" s="60" t="n"/>
      <c r="E27" s="35" t="n"/>
      <c r="F27" s="35" t="n"/>
      <c r="G27" s="35" t="n"/>
      <c r="H27" s="35" t="n"/>
    </row>
    <row r="28">
      <c r="A28" s="58" t="inlineStr">
        <is>
          <t>SR</t>
        </is>
      </c>
      <c r="B28" s="41" t="inlineStr">
        <is>
          <t>Agreed to subsequent bank-cleared receipt</t>
        </is>
      </c>
      <c r="C28" s="59" t="n"/>
      <c r="D28" s="60" t="n"/>
      <c r="E28" s="35" t="n"/>
      <c r="F28" s="35" t="n"/>
      <c r="G28" s="35" t="n"/>
      <c r="H28" s="35" t="n"/>
    </row>
    <row r="29">
      <c r="A29" s="58" t="inlineStr">
        <is>
          <t>R</t>
        </is>
      </c>
      <c r="B29" s="41" t="inlineStr">
        <is>
          <t>Recalculated independently</t>
        </is>
      </c>
      <c r="C29" s="59" t="n"/>
      <c r="D29" s="60" t="n"/>
      <c r="E29" s="35" t="n"/>
      <c r="F29" s="35" t="n"/>
      <c r="G29" s="35" t="n"/>
      <c r="H29" s="35" t="n"/>
    </row>
    <row r="30">
      <c r="A30" s="58" t="inlineStr">
        <is>
          <t>F</t>
        </is>
      </c>
      <c r="B30" s="41" t="inlineStr">
        <is>
          <t>Footed / cross-cast</t>
        </is>
      </c>
      <c r="C30" s="59" t="n"/>
      <c r="D30" s="60" t="n"/>
      <c r="E30" s="35" t="n"/>
      <c r="F30" s="35" t="n"/>
      <c r="G30" s="35" t="n"/>
      <c r="H30" s="35" t="n"/>
    </row>
    <row r="31">
      <c r="A31" s="58" t="inlineStr">
        <is>
          <t>T</t>
        </is>
      </c>
      <c r="B31" s="41" t="inlineStr">
        <is>
          <t>Traced to downstream record</t>
        </is>
      </c>
      <c r="C31" s="59" t="n"/>
      <c r="D31" s="60" t="n"/>
      <c r="E31" s="35" t="n"/>
      <c r="F31" s="35" t="n"/>
      <c r="G31" s="35" t="n"/>
      <c r="H31" s="35" t="n"/>
    </row>
    <row r="32">
      <c r="A32" s="58" t="inlineStr">
        <is>
          <t>PBC</t>
        </is>
      </c>
      <c r="B32" s="41" t="inlineStr">
        <is>
          <t>Prepared by client</t>
        </is>
      </c>
      <c r="C32" s="59" t="n"/>
      <c r="D32" s="60" t="n"/>
      <c r="E32" s="35" t="n"/>
      <c r="F32" s="35" t="n"/>
      <c r="G32" s="35" t="n"/>
      <c r="H32" s="35" t="n"/>
    </row>
    <row r="33">
      <c r="A33" s="35" t="n"/>
      <c r="B33" s="35" t="n"/>
      <c r="C33" s="35" t="n"/>
      <c r="D33" s="35" t="n"/>
      <c r="E33" s="35" t="n"/>
      <c r="F33" s="35" t="n"/>
      <c r="G33" s="35" t="n"/>
      <c r="H33" s="35" t="n"/>
    </row>
    <row r="34" ht="27.75" customHeight="1">
      <c r="A34" s="37" t="inlineStr">
        <is>
          <t>Before sign-off complete Library Procedures 18-19 (aging &amp; reserve recompute; specific obsolete items).</t>
        </is>
      </c>
      <c r="B34" s="35" t="n"/>
      <c r="C34" s="35" t="n"/>
      <c r="D34" s="35" t="n"/>
      <c r="E34" s="35" t="n"/>
      <c r="F34" s="35" t="n"/>
      <c r="G34" s="35" t="n"/>
      <c r="H34" s="35" t="n"/>
    </row>
  </sheetData>
  <mergeCells count="14">
    <mergeCell ref="B28:D28"/>
    <mergeCell ref="A21:H21"/>
    <mergeCell ref="B31:D31"/>
    <mergeCell ref="B4:H4"/>
    <mergeCell ref="B32:D32"/>
    <mergeCell ref="B25:D25"/>
    <mergeCell ref="B26:D26"/>
    <mergeCell ref="B27:D27"/>
    <mergeCell ref="B6:H6"/>
    <mergeCell ref="B30:D30"/>
    <mergeCell ref="B29:D29"/>
    <mergeCell ref="B5:H5"/>
    <mergeCell ref="B24:D24"/>
    <mergeCell ref="A34:H34"/>
  </mergeCells>
  <printOptions horizontalCentered="0" verticalCentered="0"/>
  <pageMargins left="0.25" right="0.25" top="0.5" bottom="0.5" header="0.2" footer="0.2"/>
  <pageSetup orientation="portrait" paperSize="1" fitToHeight="0" fitToWidth="1" horizontalDpi="300" verticalDpi="300"/>
</worksheet>
</file>

<file path=xl/worksheets/sheet10.xml><?xml version="1.0" encoding="utf-8"?>
<worksheet xmlns="http://schemas.openxmlformats.org/spreadsheetml/2006/main">
  <sheetPr>
    <outlinePr summaryBelow="1" summaryRight="1"/>
    <pageSetUpPr autoPageBreaks="0" fitToPage="1"/>
  </sheetPr>
  <dimension ref="A1:O42"/>
  <sheetViews>
    <sheetView showGridLines="0" zoomScale="90" zoomScaleNormal="100" workbookViewId="0">
      <pane xSplit="1" ySplit="7" topLeftCell="B8" activePane="bottomRight" state="frozen"/>
      <selection pane="topRight"/>
      <selection pane="bottomLeft"/>
      <selection pane="bottomRight" activeCell="A23" sqref="A23"/>
    </sheetView>
  </sheetViews>
  <sheetFormatPr baseColWidth="8" defaultColWidth="8.6328125" defaultRowHeight="14.5"/>
  <cols>
    <col width="32.59999999999999" bestFit="1" customWidth="1" min="1" max="1"/>
    <col width="22.4" customWidth="1" min="2" max="2"/>
    <col width="20" customWidth="1" min="3" max="3"/>
    <col width="37.7" customWidth="1" min="4" max="4"/>
    <col width="13" customWidth="1" min="5" max="9"/>
    <col width="30.9" customWidth="1" min="6" max="6"/>
    <col width="16.45" customWidth="1" min="7" max="7"/>
    <col width="23.25" customWidth="1" min="8" max="8"/>
    <col width="42" customWidth="1" min="9" max="9"/>
    <col width="37.7" customWidth="1" min="10" max="10"/>
    <col width="30.05" customWidth="1" min="11" max="11"/>
    <col width="11.36328125" customWidth="1" min="12" max="12"/>
    <col width="24.1" customWidth="1" min="13" max="13"/>
    <col width="25.8" customWidth="1" min="14" max="14"/>
    <col width="36" customWidth="1" min="15" max="15"/>
  </cols>
  <sheetData>
    <row r="1" ht="27" customHeight="1">
      <c r="A1" s="34" t="inlineStr">
        <is>
          <t>Net Realizable Value (LCNRV) Testing</t>
        </is>
      </c>
      <c r="B1" s="35" t="n"/>
      <c r="C1" s="35" t="n"/>
      <c r="D1" s="35" t="n"/>
      <c r="E1" s="35" t="n"/>
      <c r="F1" s="35" t="n"/>
      <c r="G1" s="35" t="n"/>
      <c r="H1" s="35" t="n"/>
      <c r="I1" s="35" t="n"/>
      <c r="J1" s="35" t="n"/>
      <c r="K1" s="35" t="n"/>
      <c r="L1" s="35" t="n"/>
      <c r="M1" s="35" t="n"/>
      <c r="N1" s="35" t="n"/>
      <c r="O1" s="35" t="n"/>
    </row>
    <row r="2" ht="27" customHeight="1">
      <c r="A2" s="46" t="inlineStr">
        <is>
          <t>Client / Entity</t>
        </is>
      </c>
      <c r="B2" s="36" t="inlineStr">
        <is>
          <t>Vaquite Industries, Inc.</t>
        </is>
      </c>
      <c r="C2" s="35" t="n"/>
      <c r="D2" s="46" t="inlineStr">
        <is>
          <t>Year-End</t>
        </is>
      </c>
      <c r="E2" s="47" t="n">
        <v>46022</v>
      </c>
      <c r="F2" s="35" t="n"/>
      <c r="G2" s="46" t="inlineStr">
        <is>
          <t>Currency</t>
        </is>
      </c>
      <c r="H2" s="48" t="inlineStr">
        <is>
          <t>USD</t>
        </is>
      </c>
      <c r="I2" s="35" t="n"/>
      <c r="J2" s="35" t="n"/>
      <c r="K2" s="35" t="n"/>
      <c r="L2" s="35" t="n"/>
      <c r="M2" s="35" t="n"/>
      <c r="N2" s="35" t="n"/>
      <c r="O2" s="35" t="n"/>
    </row>
    <row r="3" ht="27" customHeight="1">
      <c r="A3" s="49" t="inlineStr">
        <is>
          <t>Performance Materiality</t>
        </is>
      </c>
      <c r="B3" s="50" t="n">
        <v>23100</v>
      </c>
      <c r="C3" s="35" t="n"/>
      <c r="D3" s="49" t="inlineStr">
        <is>
          <t>Tolerable misstatement / testing threshold</t>
        </is>
      </c>
      <c r="E3" s="50" t="n">
        <v>17400</v>
      </c>
      <c r="F3" s="35" t="n"/>
      <c r="G3" s="35" t="n"/>
      <c r="H3" s="35" t="n"/>
      <c r="I3" s="35" t="n"/>
      <c r="J3" s="35" t="n"/>
      <c r="K3" s="35" t="n"/>
      <c r="L3" s="35" t="n"/>
      <c r="M3" s="35" t="n"/>
      <c r="N3" s="35" t="n"/>
      <c r="O3" s="35" t="n"/>
    </row>
    <row r="4" ht="27.75" customHeight="1">
      <c r="A4" s="51" t="inlineStr">
        <is>
          <t>Purpose:</t>
        </is>
      </c>
      <c r="B4" s="52" t="inlineStr">
        <is>
          <t>Test lower of cost and NRV per SKU: NRV = estimated selling price − costs to complete − costs to sell / dispose / transport; measure any write-down (ASC 330-10-35; PwC IV 1.3.2).</t>
        </is>
      </c>
      <c r="C4" s="53" t="n"/>
      <c r="D4" s="53" t="n"/>
      <c r="E4" s="53" t="n"/>
      <c r="F4" s="53" t="n"/>
      <c r="G4" s="53" t="n"/>
      <c r="H4" s="53" t="n"/>
      <c r="I4" s="53" t="n"/>
      <c r="J4" s="53" t="n"/>
      <c r="K4" s="53" t="n"/>
      <c r="L4" s="53" t="n"/>
      <c r="M4" s="53" t="n"/>
      <c r="N4" s="53" t="n"/>
      <c r="O4" s="54" t="n"/>
    </row>
    <row r="5" ht="42" customHeight="1">
      <c r="A5" s="51" t="inlineStr">
        <is>
          <t>Scope:</t>
        </is>
      </c>
      <c r="B5" s="52" t="inlineStr">
        <is>
          <t>Selections from the YE listing (including slow-moving and low-margin SKUs); recent selling prices and cost-to-complete / cost-to-sell support. RM and WIP are evaluated based on the finished product they will become.</t>
        </is>
      </c>
      <c r="C5" s="53" t="n"/>
      <c r="D5" s="53" t="n"/>
      <c r="E5" s="53" t="n"/>
      <c r="F5" s="53" t="n"/>
      <c r="G5" s="53" t="n"/>
      <c r="H5" s="53" t="n"/>
      <c r="I5" s="53" t="n"/>
      <c r="J5" s="53" t="n"/>
      <c r="K5" s="53" t="n"/>
      <c r="L5" s="53" t="n"/>
      <c r="M5" s="53" t="n"/>
      <c r="N5" s="53" t="n"/>
      <c r="O5" s="54" t="n"/>
    </row>
    <row r="6" ht="15" customHeight="1">
      <c r="A6" s="51" t="inlineStr">
        <is>
          <t>Assertions:</t>
        </is>
      </c>
      <c r="B6" s="52" t="inlineStr">
        <is>
          <t>Valuation &amp; Allocation</t>
        </is>
      </c>
      <c r="C6" s="53" t="n"/>
      <c r="D6" s="53" t="n"/>
      <c r="E6" s="53" t="n"/>
      <c r="F6" s="53" t="n"/>
      <c r="G6" s="53" t="n"/>
      <c r="H6" s="53" t="n"/>
      <c r="I6" s="53" t="n"/>
      <c r="J6" s="53" t="n"/>
      <c r="K6" s="53" t="n"/>
      <c r="L6" s="53" t="n"/>
      <c r="M6" s="53" t="n"/>
      <c r="N6" s="53" t="n"/>
      <c r="O6" s="54" t="n"/>
    </row>
    <row r="7" ht="39.75" customHeight="1">
      <c r="A7" s="55" t="inlineStr">
        <is>
          <t>Sel #</t>
        </is>
      </c>
      <c r="B7" s="55" t="inlineStr">
        <is>
          <t>SKU</t>
        </is>
      </c>
      <c r="C7" s="55" t="inlineStr">
        <is>
          <t>Description</t>
        </is>
      </c>
      <c r="D7" s="55" t="inlineStr">
        <is>
          <t>Qty</t>
        </is>
      </c>
      <c r="E7" s="55" t="inlineStr">
        <is>
          <t>Unit cost</t>
        </is>
      </c>
      <c r="F7" s="55" t="inlineStr">
        <is>
          <t>Selling price (recent / committed)</t>
        </is>
      </c>
      <c r="G7" s="55" t="inlineStr">
        <is>
          <t>Costs to complete</t>
        </is>
      </c>
      <c r="H7" s="55" t="inlineStr">
        <is>
          <t>Costs to sell / transport</t>
        </is>
      </c>
      <c r="I7" s="55" t="inlineStr">
        <is>
          <t>NRV per unit</t>
        </is>
      </c>
      <c r="J7" s="55" t="inlineStr">
        <is>
          <t>Write-down per unit (= max(0, cost − NRV))</t>
        </is>
      </c>
      <c r="K7" s="55" t="inlineStr">
        <is>
          <t>Extended write-down</t>
        </is>
      </c>
      <c r="L7" s="62" t="inlineStr">
        <is>
          <t>Comments</t>
        </is>
      </c>
      <c r="M7" s="62" t="inlineStr">
        <is>
          <t>Selling-price evidence ref</t>
        </is>
      </c>
      <c r="N7" s="62" t="inlineStr">
        <is>
          <t>Evidence SKU / mapped FG SKU</t>
        </is>
      </c>
      <c r="O7" s="62" t="inlineStr">
        <is>
          <t>Mapping basis (exact SKU / approved BOM)</t>
        </is>
      </c>
    </row>
    <row r="8">
      <c r="A8" s="35" t="n"/>
      <c r="B8" s="35" t="n"/>
      <c r="C8" s="35" t="n"/>
      <c r="D8" s="35" t="n"/>
      <c r="E8" s="69" t="inlineStr">
        <is>
          <t>PBC</t>
        </is>
      </c>
      <c r="F8" s="69" t="inlineStr">
        <is>
          <t>V</t>
        </is>
      </c>
      <c r="G8" s="35" t="n"/>
      <c r="H8" s="35" t="n"/>
      <c r="I8" s="69" t="inlineStr">
        <is>
          <t>R</t>
        </is>
      </c>
      <c r="J8" s="35" t="n"/>
      <c r="K8" s="69" t="inlineStr">
        <is>
          <t>R</t>
        </is>
      </c>
      <c r="L8" s="35" t="n"/>
      <c r="M8" s="35" t="inlineStr">
        <is>
          <t>V</t>
        </is>
      </c>
      <c r="N8" s="35" t="inlineStr">
        <is>
          <t>T</t>
        </is>
      </c>
      <c r="O8" s="35" t="inlineStr">
        <is>
          <t>T</t>
        </is>
      </c>
    </row>
    <row r="9" ht="27" customHeight="1">
      <c r="A9" s="70" t="n">
        <v>1</v>
      </c>
      <c r="B9" s="56" t="n"/>
      <c r="C9" s="56" t="n"/>
      <c r="D9" s="71" t="n"/>
      <c r="E9" s="63" t="n"/>
      <c r="F9" s="63" t="n"/>
      <c r="G9" s="63" t="n"/>
      <c r="H9" s="63" t="n"/>
      <c r="I9" s="72">
        <f>IF(F9="","",F9-IF(G9="",0,G9)-IF(H9="",0,H9))</f>
        <v/>
      </c>
      <c r="J9" s="72">
        <f>IF(OR(E9="",I9=""),"",MAX(0,E9-I9))</f>
        <v/>
      </c>
      <c r="K9" s="72">
        <f>IF(OR(J9="",D9=""),"",J9*D9)</f>
        <v/>
      </c>
      <c r="L9" s="56" t="n"/>
      <c r="M9" s="56" t="n"/>
      <c r="N9" s="56" t="n"/>
      <c r="O9" s="56" t="n"/>
    </row>
    <row r="10" ht="27" customHeight="1">
      <c r="A10" s="70" t="n">
        <v>2</v>
      </c>
      <c r="B10" s="56" t="n"/>
      <c r="C10" s="56" t="n"/>
      <c r="D10" s="71" t="n"/>
      <c r="E10" s="63" t="n"/>
      <c r="F10" s="63" t="n"/>
      <c r="G10" s="63" t="n"/>
      <c r="H10" s="63" t="n"/>
      <c r="I10" s="72">
        <f>IF(F10="","",F10-IF(G10="",0,G10)-IF(H10="",0,H10))</f>
        <v/>
      </c>
      <c r="J10" s="72">
        <f>IF(OR(E10="",I10=""),"",MAX(0,E10-I10))</f>
        <v/>
      </c>
      <c r="K10" s="72">
        <f>IF(OR(J10="",D10=""),"",J10*D10)</f>
        <v/>
      </c>
      <c r="L10" s="56" t="n"/>
      <c r="M10" s="56" t="n"/>
      <c r="N10" s="56" t="n"/>
      <c r="O10" s="56" t="n"/>
    </row>
    <row r="11" ht="27" customHeight="1">
      <c r="A11" s="70" t="n">
        <v>3</v>
      </c>
      <c r="B11" s="56" t="n"/>
      <c r="C11" s="56" t="n"/>
      <c r="D11" s="71" t="n"/>
      <c r="E11" s="63" t="n"/>
      <c r="F11" s="63" t="n"/>
      <c r="G11" s="63" t="n"/>
      <c r="H11" s="63" t="n"/>
      <c r="I11" s="72">
        <f>IF(F11="","",F11-IF(G11="",0,G11)-IF(H11="",0,H11))</f>
        <v/>
      </c>
      <c r="J11" s="72">
        <f>IF(OR(E11="",I11=""),"",MAX(0,E11-I11))</f>
        <v/>
      </c>
      <c r="K11" s="72">
        <f>IF(OR(J11="",D11=""),"",J11*D11)</f>
        <v/>
      </c>
      <c r="L11" s="56" t="n"/>
      <c r="M11" s="56" t="n"/>
      <c r="N11" s="56" t="n"/>
      <c r="O11" s="56" t="n"/>
    </row>
    <row r="12" ht="27" customHeight="1">
      <c r="A12" s="70" t="n">
        <v>4</v>
      </c>
      <c r="B12" s="56" t="n"/>
      <c r="C12" s="56" t="n"/>
      <c r="D12" s="71" t="n"/>
      <c r="E12" s="63" t="n"/>
      <c r="F12" s="63" t="n"/>
      <c r="G12" s="63" t="n"/>
      <c r="H12" s="63" t="n"/>
      <c r="I12" s="72">
        <f>IF(F12="","",F12-IF(G12="",0,G12)-IF(H12="",0,H12))</f>
        <v/>
      </c>
      <c r="J12" s="72">
        <f>IF(OR(E12="",I12=""),"",MAX(0,E12-I12))</f>
        <v/>
      </c>
      <c r="K12" s="72">
        <f>IF(OR(J12="",D12=""),"",J12*D12)</f>
        <v/>
      </c>
      <c r="L12" s="56" t="n"/>
      <c r="M12" s="56" t="n"/>
      <c r="N12" s="56" t="n"/>
      <c r="O12" s="56" t="n"/>
    </row>
    <row r="13" ht="27" customHeight="1">
      <c r="A13" s="70" t="n">
        <v>5</v>
      </c>
      <c r="B13" s="56" t="n"/>
      <c r="C13" s="56" t="n"/>
      <c r="D13" s="71" t="n"/>
      <c r="E13" s="63" t="n"/>
      <c r="F13" s="63" t="n"/>
      <c r="G13" s="63" t="n"/>
      <c r="H13" s="63" t="n"/>
      <c r="I13" s="72">
        <f>IF(F13="","",F13-IF(G13="",0,G13)-IF(H13="",0,H13))</f>
        <v/>
      </c>
      <c r="J13" s="72">
        <f>IF(OR(E13="",I13=""),"",MAX(0,E13-I13))</f>
        <v/>
      </c>
      <c r="K13" s="72">
        <f>IF(OR(J13="",D13=""),"",J13*D13)</f>
        <v/>
      </c>
      <c r="L13" s="56" t="n"/>
      <c r="M13" s="56" t="n"/>
      <c r="N13" s="56" t="n"/>
      <c r="O13" s="56" t="n"/>
    </row>
    <row r="14" ht="27" customHeight="1">
      <c r="A14" s="70" t="n">
        <v>6</v>
      </c>
      <c r="B14" s="56" t="n"/>
      <c r="C14" s="56" t="n"/>
      <c r="D14" s="71" t="n"/>
      <c r="E14" s="63" t="n"/>
      <c r="F14" s="63" t="n"/>
      <c r="G14" s="63" t="n"/>
      <c r="H14" s="63" t="n"/>
      <c r="I14" s="72">
        <f>IF(F14="","",F14-IF(G14="",0,G14)-IF(H14="",0,H14))</f>
        <v/>
      </c>
      <c r="J14" s="72">
        <f>IF(OR(E14="",I14=""),"",MAX(0,E14-I14))</f>
        <v/>
      </c>
      <c r="K14" s="72">
        <f>IF(OR(J14="",D14=""),"",J14*D14)</f>
        <v/>
      </c>
      <c r="L14" s="56" t="n"/>
      <c r="M14" s="56" t="n"/>
      <c r="N14" s="56" t="n"/>
      <c r="O14" s="56" t="n"/>
    </row>
    <row r="15" ht="27" customHeight="1">
      <c r="A15" s="70" t="n">
        <v>7</v>
      </c>
      <c r="B15" s="56" t="n"/>
      <c r="C15" s="56" t="n"/>
      <c r="D15" s="71" t="n"/>
      <c r="E15" s="63" t="n"/>
      <c r="F15" s="63" t="n"/>
      <c r="G15" s="63" t="n"/>
      <c r="H15" s="63" t="n"/>
      <c r="I15" s="72">
        <f>IF(F15="","",F15-IF(G15="",0,G15)-IF(H15="",0,H15))</f>
        <v/>
      </c>
      <c r="J15" s="72">
        <f>IF(OR(E15="",I15=""),"",MAX(0,E15-I15))</f>
        <v/>
      </c>
      <c r="K15" s="72">
        <f>IF(OR(J15="",D15=""),"",J15*D15)</f>
        <v/>
      </c>
      <c r="L15" s="56" t="n"/>
      <c r="M15" s="56" t="n"/>
      <c r="N15" s="56" t="n"/>
      <c r="O15" s="56" t="n"/>
    </row>
    <row r="16" ht="27" customHeight="1">
      <c r="A16" s="70" t="n">
        <v>8</v>
      </c>
      <c r="B16" s="56" t="n"/>
      <c r="C16" s="56" t="n"/>
      <c r="D16" s="71" t="n"/>
      <c r="E16" s="63" t="n"/>
      <c r="F16" s="63" t="n"/>
      <c r="G16" s="63" t="n"/>
      <c r="H16" s="63" t="n"/>
      <c r="I16" s="72">
        <f>IF(F16="","",F16-IF(G16="",0,G16)-IF(H16="",0,H16))</f>
        <v/>
      </c>
      <c r="J16" s="72">
        <f>IF(OR(E16="",I16=""),"",MAX(0,E16-I16))</f>
        <v/>
      </c>
      <c r="K16" s="72">
        <f>IF(OR(J16="",D16=""),"",J16*D16)</f>
        <v/>
      </c>
      <c r="L16" s="56" t="n"/>
      <c r="M16" s="56" t="n"/>
      <c r="N16" s="56" t="n"/>
      <c r="O16" s="56" t="n"/>
    </row>
    <row r="17" ht="27" customHeight="1">
      <c r="A17" s="70" t="n">
        <v>9</v>
      </c>
      <c r="B17" s="56" t="n"/>
      <c r="C17" s="56" t="n"/>
      <c r="D17" s="71" t="n"/>
      <c r="E17" s="63" t="n"/>
      <c r="F17" s="63" t="n"/>
      <c r="G17" s="63" t="n"/>
      <c r="H17" s="63" t="n"/>
      <c r="I17" s="72">
        <f>IF(F17="","",F17-IF(G17="",0,G17)-IF(H17="",0,H17))</f>
        <v/>
      </c>
      <c r="J17" s="72">
        <f>IF(OR(E17="",I17=""),"",MAX(0,E17-I17))</f>
        <v/>
      </c>
      <c r="K17" s="72">
        <f>IF(OR(J17="",D17=""),"",J17*D17)</f>
        <v/>
      </c>
      <c r="L17" s="56" t="n"/>
      <c r="M17" s="56" t="n"/>
      <c r="N17" s="56" t="n"/>
      <c r="O17" s="56" t="n"/>
    </row>
    <row r="18" ht="27" customHeight="1">
      <c r="A18" s="70" t="n">
        <v>10</v>
      </c>
      <c r="B18" s="56" t="n"/>
      <c r="C18" s="56" t="n"/>
      <c r="D18" s="71" t="n"/>
      <c r="E18" s="63" t="n"/>
      <c r="F18" s="63" t="n"/>
      <c r="G18" s="63" t="n"/>
      <c r="H18" s="63" t="n"/>
      <c r="I18" s="72">
        <f>IF(F18="","",F18-IF(G18="",0,G18)-IF(H18="",0,H18))</f>
        <v/>
      </c>
      <c r="J18" s="72">
        <f>IF(OR(E18="",I18=""),"",MAX(0,E18-I18))</f>
        <v/>
      </c>
      <c r="K18" s="72">
        <f>IF(OR(J18="",D18=""),"",J18*D18)</f>
        <v/>
      </c>
      <c r="L18" s="56" t="n"/>
      <c r="M18" s="56" t="n"/>
      <c r="N18" s="56" t="n"/>
      <c r="O18" s="56" t="n"/>
    </row>
    <row r="19" ht="27" customHeight="1">
      <c r="A19" s="70" t="n">
        <v>11</v>
      </c>
      <c r="B19" s="56" t="n"/>
      <c r="C19" s="56" t="n"/>
      <c r="D19" s="71" t="n"/>
      <c r="E19" s="63" t="n"/>
      <c r="F19" s="63" t="n"/>
      <c r="G19" s="63" t="n"/>
      <c r="H19" s="63" t="n"/>
      <c r="I19" s="72">
        <f>IF(F19="","",F19-IF(G19="",0,G19)-IF(H19="",0,H19))</f>
        <v/>
      </c>
      <c r="J19" s="72">
        <f>IF(OR(E19="",I19=""),"",MAX(0,E19-I19))</f>
        <v/>
      </c>
      <c r="K19" s="72">
        <f>IF(OR(J19="",D19=""),"",J19*D19)</f>
        <v/>
      </c>
      <c r="L19" s="56" t="n"/>
      <c r="M19" s="56" t="n"/>
      <c r="N19" s="56" t="n"/>
      <c r="O19" s="56" t="n"/>
    </row>
    <row r="20" ht="27" customHeight="1">
      <c r="A20" s="70" t="n">
        <v>12</v>
      </c>
      <c r="B20" s="56" t="n"/>
      <c r="C20" s="56" t="n"/>
      <c r="D20" s="71" t="n"/>
      <c r="E20" s="63" t="n"/>
      <c r="F20" s="63" t="n"/>
      <c r="G20" s="63" t="n"/>
      <c r="H20" s="63" t="n"/>
      <c r="I20" s="72">
        <f>IF(F20="","",F20-IF(G20="",0,G20)-IF(H20="",0,H20))</f>
        <v/>
      </c>
      <c r="J20" s="72">
        <f>IF(OR(E20="",I20=""),"",MAX(0,E20-I20))</f>
        <v/>
      </c>
      <c r="K20" s="72">
        <f>IF(OR(J20="",D20=""),"",J20*D20)</f>
        <v/>
      </c>
      <c r="L20" s="56" t="n"/>
      <c r="M20" s="56" t="n"/>
      <c r="N20" s="56" t="n"/>
      <c r="O20" s="56" t="n"/>
    </row>
    <row r="21" ht="27" customHeight="1">
      <c r="A21" s="70" t="n">
        <v>13</v>
      </c>
      <c r="B21" s="56" t="n"/>
      <c r="C21" s="56" t="n"/>
      <c r="D21" s="71" t="n"/>
      <c r="E21" s="63" t="n"/>
      <c r="F21" s="63" t="n"/>
      <c r="G21" s="63" t="n"/>
      <c r="H21" s="63" t="n"/>
      <c r="I21" s="72">
        <f>IF(F21="","",F21-IF(G21="",0,G21)-IF(H21="",0,H21))</f>
        <v/>
      </c>
      <c r="J21" s="72">
        <f>IF(OR(E21="",I21=""),"",MAX(0,E21-I21))</f>
        <v/>
      </c>
      <c r="K21" s="72">
        <f>IF(OR(J21="",D21=""),"",J21*D21)</f>
        <v/>
      </c>
      <c r="L21" s="56" t="n"/>
      <c r="M21" s="56" t="n"/>
      <c r="N21" s="56" t="n"/>
      <c r="O21" s="56" t="n"/>
    </row>
    <row r="22" ht="27" customHeight="1">
      <c r="A22" s="70" t="n">
        <v>14</v>
      </c>
      <c r="B22" s="56" t="n"/>
      <c r="C22" s="56" t="n"/>
      <c r="D22" s="71" t="n"/>
      <c r="E22" s="63" t="n"/>
      <c r="F22" s="63" t="n"/>
      <c r="G22" s="63" t="n"/>
      <c r="H22" s="63" t="n"/>
      <c r="I22" s="72">
        <f>IF(F22="","",F22-IF(G22="",0,G22)-IF(H22="",0,H22))</f>
        <v/>
      </c>
      <c r="J22" s="72">
        <f>IF(OR(E22="",I22=""),"",MAX(0,E22-I22))</f>
        <v/>
      </c>
      <c r="K22" s="72">
        <f>IF(OR(J22="",D22=""),"",J22*D22)</f>
        <v/>
      </c>
      <c r="L22" s="56" t="n"/>
      <c r="M22" s="56" t="n"/>
      <c r="N22" s="56" t="n"/>
      <c r="O22" s="56" t="n"/>
    </row>
    <row r="23" ht="27" customHeight="1">
      <c r="A23" s="70" t="n">
        <v>15</v>
      </c>
      <c r="B23" s="56" t="n"/>
      <c r="C23" s="56" t="n"/>
      <c r="D23" s="71" t="n"/>
      <c r="E23" s="63" t="n"/>
      <c r="F23" s="63" t="n"/>
      <c r="G23" s="63" t="n"/>
      <c r="H23" s="63" t="n"/>
      <c r="I23" s="72">
        <f>IF(F23="","",F23-IF(G23="",0,G23)-IF(H23="",0,H23))</f>
        <v/>
      </c>
      <c r="J23" s="72">
        <f>IF(OR(E23="",I23=""),"",MAX(0,E23-I23))</f>
        <v/>
      </c>
      <c r="K23" s="72">
        <f>IF(OR(J23="",D23=""),"",J23*D23)</f>
        <v/>
      </c>
      <c r="L23" s="56" t="n"/>
      <c r="M23" s="56" t="n"/>
      <c r="N23" s="56" t="n"/>
      <c r="O23" s="56" t="n"/>
    </row>
    <row r="24" ht="27" customHeight="1">
      <c r="A24" s="70" t="n">
        <v>16</v>
      </c>
      <c r="B24" s="56" t="n"/>
      <c r="C24" s="56" t="n"/>
      <c r="D24" s="71" t="n"/>
      <c r="E24" s="63" t="n"/>
      <c r="F24" s="63" t="n"/>
      <c r="G24" s="63" t="n"/>
      <c r="H24" s="63" t="n"/>
      <c r="I24" s="72">
        <f>IF(F24="","",F24-IF(G24="",0,G24)-IF(H24="",0,H24))</f>
        <v/>
      </c>
      <c r="J24" s="72">
        <f>IF(OR(E24="",I24=""),"",MAX(0,E24-I24))</f>
        <v/>
      </c>
      <c r="K24" s="72">
        <f>IF(OR(J24="",D24=""),"",J24*D24)</f>
        <v/>
      </c>
      <c r="L24" s="56" t="n"/>
      <c r="M24" s="56" t="n"/>
      <c r="N24" s="56" t="n"/>
      <c r="O24" s="56" t="n"/>
    </row>
    <row r="25" ht="27" customHeight="1">
      <c r="A25" s="70" t="n">
        <v>17</v>
      </c>
      <c r="B25" s="56" t="n"/>
      <c r="C25" s="56" t="n"/>
      <c r="D25" s="71" t="n"/>
      <c r="E25" s="63" t="n"/>
      <c r="F25" s="63" t="n"/>
      <c r="G25" s="63" t="n"/>
      <c r="H25" s="63" t="n"/>
      <c r="I25" s="72">
        <f>IF(F25="","",F25-IF(G25="",0,G25)-IF(H25="",0,H25))</f>
        <v/>
      </c>
      <c r="J25" s="72">
        <f>IF(OR(E25="",I25=""),"",MAX(0,E25-I25))</f>
        <v/>
      </c>
      <c r="K25" s="72">
        <f>IF(OR(J25="",D25=""),"",J25*D25)</f>
        <v/>
      </c>
      <c r="L25" s="56" t="n"/>
      <c r="M25" s="56" t="n"/>
      <c r="N25" s="56" t="n"/>
      <c r="O25" s="56" t="n"/>
    </row>
    <row r="26" ht="27" customHeight="1">
      <c r="A26" s="70" t="n">
        <v>18</v>
      </c>
      <c r="B26" s="56" t="n"/>
      <c r="C26" s="56" t="n"/>
      <c r="D26" s="71" t="n"/>
      <c r="E26" s="63" t="n"/>
      <c r="F26" s="63" t="n"/>
      <c r="G26" s="63" t="n"/>
      <c r="H26" s="63" t="n"/>
      <c r="I26" s="72">
        <f>IF(F26="","",F26-IF(G26="",0,G26)-IF(H26="",0,H26))</f>
        <v/>
      </c>
      <c r="J26" s="72">
        <f>IF(OR(E26="",I26=""),"",MAX(0,E26-I26))</f>
        <v/>
      </c>
      <c r="K26" s="72">
        <f>IF(OR(J26="",D26=""),"",J26*D26)</f>
        <v/>
      </c>
      <c r="L26" s="56" t="n"/>
      <c r="M26" s="56" t="n"/>
      <c r="N26" s="56" t="n"/>
      <c r="O26" s="56" t="n"/>
    </row>
    <row r="27">
      <c r="A27" s="73" t="inlineStr">
        <is>
          <t>Total</t>
        </is>
      </c>
      <c r="B27" s="73" t="n"/>
      <c r="C27" s="73" t="n"/>
      <c r="D27" s="73" t="n"/>
      <c r="E27" s="73" t="n"/>
      <c r="F27" s="73" t="n"/>
      <c r="G27" s="73" t="n"/>
      <c r="H27" s="73" t="n"/>
      <c r="I27" s="73" t="n"/>
      <c r="J27" s="73" t="n"/>
      <c r="K27" s="74">
        <f>SUM(K9:K26)</f>
        <v/>
      </c>
      <c r="L27" s="73" t="n"/>
      <c r="M27" s="73" t="n"/>
      <c r="N27" s="73" t="n"/>
      <c r="O27" s="73" t="n"/>
    </row>
    <row r="28">
      <c r="A28" s="35" t="n"/>
      <c r="B28" s="35" t="n"/>
      <c r="C28" s="35" t="n"/>
      <c r="D28" s="35" t="n"/>
      <c r="E28" s="35" t="n"/>
      <c r="F28" s="35" t="n"/>
      <c r="G28" s="35" t="n"/>
      <c r="H28" s="35" t="n"/>
      <c r="I28" s="35" t="n"/>
      <c r="J28" s="35" t="n"/>
      <c r="K28" s="35" t="n"/>
      <c r="L28" s="35" t="n"/>
      <c r="M28" s="35" t="n"/>
      <c r="N28" s="35" t="n"/>
      <c r="O28" s="35" t="n"/>
    </row>
    <row r="29">
      <c r="A29" s="37" t="inlineStr">
        <is>
          <t>NRV is tested at the appropriate unit of account (item-by-item, or by major category where appropriate under the policy). Raw materials and WIP are not written down if the FINISHED goods they will become are expected to sell at or above cost. The extended write-down total is evaluated against the testing threshold with the &lt;.7&gt; reserve.</t>
        </is>
      </c>
      <c r="B29" s="35" t="n"/>
      <c r="C29" s="35" t="n"/>
      <c r="D29" s="35" t="n"/>
      <c r="E29" s="35" t="n"/>
      <c r="F29" s="35" t="n"/>
      <c r="G29" s="35" t="n"/>
      <c r="H29" s="35" t="n"/>
      <c r="I29" s="35" t="n"/>
      <c r="J29" s="35" t="n"/>
      <c r="K29" s="35" t="n"/>
      <c r="L29" s="35" t="n"/>
      <c r="M29" s="35" t="n"/>
      <c r="N29" s="35" t="n"/>
      <c r="O29" s="35" t="n"/>
    </row>
    <row r="30">
      <c r="A30" s="35" t="n"/>
      <c r="B30" s="35" t="n"/>
      <c r="C30" s="35" t="n"/>
      <c r="D30" s="35" t="n"/>
      <c r="E30" s="35" t="n"/>
      <c r="F30" s="35" t="n"/>
      <c r="G30" s="35" t="n"/>
      <c r="H30" s="35" t="n"/>
      <c r="I30" s="35" t="n"/>
      <c r="J30" s="35" t="n"/>
      <c r="K30" s="35" t="n"/>
      <c r="L30" s="35" t="n"/>
      <c r="M30" s="35" t="n"/>
      <c r="N30" s="35" t="n"/>
      <c r="O30" s="35" t="n"/>
    </row>
    <row r="31">
      <c r="A31" s="57" t="inlineStr">
        <is>
          <t>TM Legends</t>
        </is>
      </c>
      <c r="B31" s="35" t="n"/>
      <c r="C31" s="35" t="n"/>
      <c r="D31" s="35" t="n"/>
      <c r="E31" s="35" t="n"/>
      <c r="F31" s="35" t="n"/>
      <c r="G31" s="35" t="n"/>
      <c r="H31" s="35" t="n"/>
      <c r="I31" s="35" t="n"/>
      <c r="J31" s="35" t="n"/>
      <c r="K31" s="35" t="n"/>
      <c r="L31" s="35" t="n"/>
      <c r="M31" s="35" t="n"/>
      <c r="N31" s="35" t="n"/>
      <c r="O31" s="35" t="n"/>
    </row>
    <row r="32">
      <c r="A32" s="58" t="inlineStr">
        <is>
          <t>TB</t>
        </is>
      </c>
      <c r="B32" s="41" t="inlineStr">
        <is>
          <t>Agreed to trial balance</t>
        </is>
      </c>
      <c r="C32" s="59" t="n"/>
      <c r="D32" s="60" t="n"/>
      <c r="E32" s="35" t="n"/>
      <c r="F32" s="35" t="n"/>
      <c r="G32" s="35" t="n"/>
      <c r="H32" s="35" t="n"/>
      <c r="I32" s="35" t="n"/>
      <c r="J32" s="35" t="n"/>
      <c r="K32" s="35" t="n"/>
      <c r="L32" s="35" t="n"/>
      <c r="M32" s="35" t="n"/>
      <c r="N32" s="35" t="n"/>
      <c r="O32" s="35" t="n"/>
    </row>
    <row r="33">
      <c r="A33" s="58" t="inlineStr">
        <is>
          <t>GL</t>
        </is>
      </c>
      <c r="B33" s="41" t="inlineStr">
        <is>
          <t>Agreed to general ledger</t>
        </is>
      </c>
      <c r="C33" s="59" t="n"/>
      <c r="D33" s="60" t="n"/>
      <c r="E33" s="35" t="n"/>
      <c r="F33" s="35" t="n"/>
      <c r="G33" s="35" t="n"/>
      <c r="H33" s="35" t="n"/>
      <c r="I33" s="35" t="n"/>
      <c r="J33" s="35" t="n"/>
      <c r="K33" s="35" t="n"/>
      <c r="L33" s="35" t="n"/>
      <c r="M33" s="35" t="n"/>
      <c r="N33" s="35" t="n"/>
      <c r="O33" s="35" t="n"/>
    </row>
    <row r="34">
      <c r="A34" s="58" t="inlineStr">
        <is>
          <t>CF</t>
        </is>
      </c>
      <c r="B34" s="41" t="inlineStr">
        <is>
          <t>Confirmed with third party</t>
        </is>
      </c>
      <c r="C34" s="59" t="n"/>
      <c r="D34" s="60" t="n"/>
      <c r="E34" s="35" t="n"/>
      <c r="F34" s="35" t="n"/>
      <c r="G34" s="35" t="n"/>
      <c r="H34" s="35" t="n"/>
      <c r="I34" s="35" t="n"/>
      <c r="J34" s="35" t="n"/>
      <c r="K34" s="35" t="n"/>
      <c r="L34" s="35" t="n"/>
      <c r="M34" s="35" t="n"/>
      <c r="N34" s="35" t="n"/>
      <c r="O34" s="35" t="n"/>
    </row>
    <row r="35">
      <c r="A35" s="58" t="inlineStr">
        <is>
          <t>V</t>
        </is>
      </c>
      <c r="B35" s="41" t="inlineStr">
        <is>
          <t>Vouched to source document</t>
        </is>
      </c>
      <c r="C35" s="59" t="n"/>
      <c r="D35" s="60" t="n"/>
      <c r="E35" s="35" t="n"/>
      <c r="F35" s="35" t="n"/>
      <c r="G35" s="35" t="n"/>
      <c r="H35" s="35" t="n"/>
      <c r="I35" s="35" t="n"/>
      <c r="J35" s="35" t="n"/>
      <c r="K35" s="35" t="n"/>
      <c r="L35" s="35" t="n"/>
      <c r="M35" s="35" t="n"/>
      <c r="N35" s="35" t="n"/>
      <c r="O35" s="35" t="n"/>
    </row>
    <row r="36">
      <c r="A36" s="58" t="inlineStr">
        <is>
          <t>SR</t>
        </is>
      </c>
      <c r="B36" s="41" t="inlineStr">
        <is>
          <t>Agreed to subsequent bank-cleared receipt</t>
        </is>
      </c>
      <c r="C36" s="59" t="n"/>
      <c r="D36" s="60" t="n"/>
      <c r="E36" s="35" t="n"/>
      <c r="F36" s="35" t="n"/>
      <c r="G36" s="35" t="n"/>
      <c r="H36" s="35" t="n"/>
      <c r="I36" s="35" t="n"/>
      <c r="J36" s="35" t="n"/>
      <c r="K36" s="35" t="n"/>
      <c r="L36" s="35" t="n"/>
      <c r="M36" s="35" t="n"/>
      <c r="N36" s="35" t="n"/>
      <c r="O36" s="35" t="n"/>
    </row>
    <row r="37">
      <c r="A37" s="58" t="inlineStr">
        <is>
          <t>R</t>
        </is>
      </c>
      <c r="B37" s="41" t="inlineStr">
        <is>
          <t>Recalculated independently</t>
        </is>
      </c>
      <c r="C37" s="59" t="n"/>
      <c r="D37" s="60" t="n"/>
      <c r="E37" s="35" t="n"/>
      <c r="F37" s="35" t="n"/>
      <c r="G37" s="35" t="n"/>
      <c r="H37" s="35" t="n"/>
      <c r="I37" s="35" t="n"/>
      <c r="J37" s="35" t="n"/>
      <c r="K37" s="35" t="n"/>
      <c r="L37" s="35" t="n"/>
      <c r="M37" s="35" t="n"/>
      <c r="N37" s="35" t="n"/>
      <c r="O37" s="35" t="n"/>
    </row>
    <row r="38" ht="27.75" customHeight="1">
      <c r="A38" s="58" t="inlineStr">
        <is>
          <t>F</t>
        </is>
      </c>
      <c r="B38" s="41" t="inlineStr">
        <is>
          <t>Footed / cross-cast</t>
        </is>
      </c>
      <c r="C38" s="59" t="n"/>
      <c r="D38" s="60" t="n"/>
      <c r="E38" s="35" t="n"/>
      <c r="F38" s="35" t="n"/>
      <c r="G38" s="35" t="n"/>
      <c r="H38" s="35" t="n"/>
      <c r="I38" s="35" t="n"/>
      <c r="J38" s="35" t="n"/>
      <c r="K38" s="35" t="n"/>
      <c r="L38" s="35" t="n"/>
      <c r="M38" s="35" t="n"/>
      <c r="N38" s="35" t="n"/>
      <c r="O38" s="35" t="n"/>
    </row>
    <row r="39">
      <c r="A39" s="58" t="inlineStr">
        <is>
          <t>T</t>
        </is>
      </c>
      <c r="B39" s="41" t="inlineStr">
        <is>
          <t>Traced to downstream record</t>
        </is>
      </c>
      <c r="C39" s="59" t="n"/>
      <c r="D39" s="60" t="n"/>
      <c r="E39" s="35" t="n"/>
      <c r="F39" s="35" t="n"/>
      <c r="G39" s="35" t="n"/>
      <c r="H39" s="35" t="n"/>
      <c r="I39" s="35" t="n"/>
      <c r="J39" s="35" t="n"/>
      <c r="K39" s="35" t="n"/>
      <c r="L39" s="35" t="n"/>
      <c r="M39" s="35" t="n"/>
      <c r="N39" s="35" t="n"/>
      <c r="O39" s="35" t="n"/>
    </row>
    <row r="40">
      <c r="A40" s="58" t="inlineStr">
        <is>
          <t>PBC</t>
        </is>
      </c>
      <c r="B40" s="41" t="inlineStr">
        <is>
          <t>Prepared by client</t>
        </is>
      </c>
      <c r="C40" s="59" t="n"/>
      <c r="D40" s="60" t="n"/>
      <c r="E40" s="35" t="n"/>
      <c r="F40" s="35" t="n"/>
      <c r="G40" s="35" t="n"/>
      <c r="H40" s="35" t="n"/>
      <c r="I40" s="35" t="n"/>
      <c r="J40" s="35" t="n"/>
      <c r="K40" s="35" t="n"/>
      <c r="L40" s="35" t="n"/>
      <c r="M40" s="35" t="n"/>
      <c r="N40" s="35" t="n"/>
      <c r="O40" s="35" t="n"/>
    </row>
    <row r="41">
      <c r="A41" s="35" t="n"/>
      <c r="B41" s="35" t="n"/>
      <c r="C41" s="35" t="n"/>
      <c r="D41" s="35" t="n"/>
      <c r="E41" s="35" t="n"/>
      <c r="F41" s="35" t="n"/>
      <c r="G41" s="35" t="n"/>
      <c r="H41" s="35" t="n"/>
      <c r="I41" s="35" t="n"/>
      <c r="J41" s="35" t="n"/>
      <c r="K41" s="35" t="n"/>
      <c r="L41" s="35" t="n"/>
      <c r="M41" s="35" t="n"/>
      <c r="N41" s="35" t="n"/>
      <c r="O41" s="35" t="n"/>
    </row>
    <row r="42">
      <c r="A42" s="37" t="inlineStr">
        <is>
          <t>Before sign-off complete Library Procedures 20-21 (NRV recompute; unit-of-account &amp; RM/WIP evaluation).</t>
        </is>
      </c>
      <c r="B42" s="35" t="n"/>
      <c r="C42" s="35" t="n"/>
      <c r="D42" s="35" t="n"/>
      <c r="E42" s="35" t="n"/>
      <c r="F42" s="35" t="n"/>
      <c r="G42" s="35" t="n"/>
      <c r="H42" s="35" t="n"/>
      <c r="I42" s="35" t="n"/>
      <c r="J42" s="35" t="n"/>
      <c r="K42" s="35" t="n"/>
      <c r="L42" s="35" t="n"/>
      <c r="M42" s="35" t="n"/>
      <c r="N42" s="35" t="n"/>
      <c r="O42" s="35" t="n"/>
    </row>
  </sheetData>
  <autoFilter ref="A7:O26"/>
  <mergeCells count="14">
    <mergeCell ref="B33:D33"/>
    <mergeCell ref="A29:O29"/>
    <mergeCell ref="B4:O4"/>
    <mergeCell ref="B36:D36"/>
    <mergeCell ref="B35:D35"/>
    <mergeCell ref="B32:D32"/>
    <mergeCell ref="B38:D38"/>
    <mergeCell ref="B34:D34"/>
    <mergeCell ref="B37:D37"/>
    <mergeCell ref="A42:O42"/>
    <mergeCell ref="B6:O6"/>
    <mergeCell ref="B40:D40"/>
    <mergeCell ref="B5:O5"/>
    <mergeCell ref="B39:D39"/>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autoPageBreaks="0" fitToPage="1"/>
  </sheetPr>
  <dimension ref="A1:H37"/>
  <sheetViews>
    <sheetView showGridLines="0" topLeftCell="A10" zoomScale="90" zoomScaleNormal="100" workbookViewId="0">
      <pane ySplit="7" topLeftCell="A8" activePane="bottomLeft" state="frozen"/>
      <selection pane="bottomLeft" activeCell="A5" sqref="A5"/>
    </sheetView>
  </sheetViews>
  <sheetFormatPr baseColWidth="8" defaultColWidth="8.6328125" defaultRowHeight="14.5"/>
  <cols>
    <col width="47.6328125" bestFit="1" customWidth="1" min="1" max="1"/>
    <col width="22.4" customWidth="1" min="2" max="3"/>
    <col width="15.6" customWidth="1" min="3" max="3"/>
    <col width="37.7" customWidth="1" min="4" max="4"/>
    <col width="34" customWidth="1" min="5" max="5"/>
    <col width="13" customWidth="1" min="6" max="6"/>
    <col width="13" customWidth="1" min="7" max="7"/>
    <col width="13" customWidth="1" min="8" max="8"/>
  </cols>
  <sheetData>
    <row r="1" ht="17.5" customHeight="1">
      <c r="A1" s="34" t="inlineStr">
        <is>
          <t>Analytics &amp; Disclosures</t>
        </is>
      </c>
      <c r="B1" s="35" t="n"/>
      <c r="C1" s="35" t="n"/>
      <c r="D1" s="35" t="n"/>
      <c r="E1" s="35" t="n"/>
      <c r="F1" s="35" t="n"/>
      <c r="G1" s="35" t="n"/>
      <c r="H1" s="35" t="n"/>
    </row>
    <row r="2" ht="27" customHeight="1">
      <c r="A2" s="46" t="inlineStr">
        <is>
          <t>Client / Entity</t>
        </is>
      </c>
      <c r="B2" s="36" t="inlineStr">
        <is>
          <t>Vaquite Industries, Inc.</t>
        </is>
      </c>
      <c r="C2" s="35" t="n"/>
      <c r="D2" s="46" t="inlineStr">
        <is>
          <t>Year-End</t>
        </is>
      </c>
      <c r="E2" s="47" t="n">
        <v>46022</v>
      </c>
      <c r="F2" s="35" t="n"/>
      <c r="G2" s="46" t="inlineStr">
        <is>
          <t>Currency</t>
        </is>
      </c>
      <c r="H2" s="48" t="inlineStr">
        <is>
          <t>USD</t>
        </is>
      </c>
    </row>
    <row r="3" ht="27" customHeight="1">
      <c r="A3" s="49" t="inlineStr">
        <is>
          <t>Performance Materiality</t>
        </is>
      </c>
      <c r="B3" s="50" t="n">
        <v>23100</v>
      </c>
      <c r="C3" s="35" t="n"/>
      <c r="D3" s="49" t="inlineStr">
        <is>
          <t>Tolerable misstatement / testing threshold</t>
        </is>
      </c>
      <c r="E3" s="50" t="n">
        <v>17400</v>
      </c>
      <c r="F3" s="35" t="n"/>
      <c r="G3" s="35" t="n"/>
      <c r="H3" s="35" t="n"/>
    </row>
    <row r="4" ht="15" customHeight="1">
      <c r="A4" s="51" t="inlineStr">
        <is>
          <t>Purpose:</t>
        </is>
      </c>
      <c r="B4" s="52" t="inlineStr">
        <is>
          <t>Perform inventory analytics and evaluate presentation and disclosure matters.</t>
        </is>
      </c>
      <c r="C4" s="53" t="n"/>
      <c r="D4" s="53" t="n"/>
      <c r="E4" s="54" t="n"/>
      <c r="F4" s="35" t="n"/>
      <c r="G4" s="35" t="n"/>
      <c r="H4" s="35" t="n"/>
    </row>
    <row r="5" ht="27.75" customHeight="1">
      <c r="A5" s="51" t="inlineStr">
        <is>
          <t>Scope:</t>
        </is>
      </c>
      <c r="B5" s="52" t="inlineStr">
        <is>
          <t>Turnover, days on hand, margin and reserve ratios; cost-method, LCNRV, pledging and commitment disclosures.</t>
        </is>
      </c>
      <c r="C5" s="53" t="n"/>
      <c r="D5" s="53" t="n"/>
      <c r="E5" s="54" t="n"/>
      <c r="F5" s="35" t="n"/>
      <c r="G5" s="35" t="n"/>
      <c r="H5" s="35" t="n"/>
    </row>
    <row r="6" ht="15" customHeight="1">
      <c r="A6" s="51" t="inlineStr">
        <is>
          <t>Assertions:</t>
        </is>
      </c>
      <c r="B6" s="52" t="inlineStr">
        <is>
          <t>Valuation &amp; Allocation; Presentation &amp; Disclosure</t>
        </is>
      </c>
      <c r="C6" s="53" t="n"/>
      <c r="D6" s="53" t="n"/>
      <c r="E6" s="54" t="n"/>
      <c r="F6" s="35" t="n"/>
      <c r="G6" s="35" t="n"/>
      <c r="H6" s="35" t="n"/>
    </row>
    <row r="7">
      <c r="A7" s="83" t="inlineStr">
        <is>
          <t>A. Analytics</t>
        </is>
      </c>
      <c r="B7" s="35" t="n"/>
      <c r="C7" s="35" t="n"/>
      <c r="D7" s="35" t="n"/>
      <c r="E7" s="35" t="n"/>
      <c r="F7" s="35" t="n"/>
      <c r="G7" s="35" t="n"/>
      <c r="H7" s="35" t="n"/>
    </row>
    <row r="8" ht="18" customHeight="1">
      <c r="A8" s="62" t="inlineStr">
        <is>
          <t>Metric</t>
        </is>
      </c>
      <c r="B8" s="62" t="inlineStr">
        <is>
          <t>CY</t>
        </is>
      </c>
      <c r="C8" s="62" t="inlineStr">
        <is>
          <t>PY</t>
        </is>
      </c>
      <c r="D8" s="62" t="inlineStr">
        <is>
          <t>Change</t>
        </is>
      </c>
      <c r="E8" s="62" t="inlineStr">
        <is>
          <t>Note</t>
        </is>
      </c>
      <c r="F8" s="35" t="n"/>
      <c r="G8" s="35" t="n"/>
      <c r="H8" s="35" t="n"/>
    </row>
    <row r="9">
      <c r="A9" s="56" t="inlineStr">
        <is>
          <t>Inventory turns</t>
        </is>
      </c>
      <c r="B9" s="56" t="n"/>
      <c r="C9" s="56" t="n"/>
      <c r="D9" s="41">
        <f>IF(OR(B9="",C9=""),"",B9-C9)</f>
        <v/>
      </c>
      <c r="E9" s="56" t="n"/>
      <c r="F9" s="35" t="n"/>
      <c r="G9" s="35" t="n"/>
      <c r="H9" s="35" t="n"/>
    </row>
    <row r="10">
      <c r="A10" s="56" t="inlineStr">
        <is>
          <t>Days on hand</t>
        </is>
      </c>
      <c r="B10" s="56" t="n"/>
      <c r="C10" s="56" t="n"/>
      <c r="D10" s="41">
        <f>IF(OR(B10="",C10=""),"",B10-C10)</f>
        <v/>
      </c>
      <c r="E10" s="56" t="n"/>
      <c r="F10" s="35" t="n"/>
      <c r="G10" s="35" t="n"/>
      <c r="H10" s="35" t="n"/>
    </row>
    <row r="11">
      <c r="A11" s="56" t="inlineStr">
        <is>
          <t>Gross margin %</t>
        </is>
      </c>
      <c r="B11" s="56" t="n"/>
      <c r="C11" s="56" t="n"/>
      <c r="D11" s="41">
        <f>IF(OR(B11="",C11=""),"",B11-C11)</f>
        <v/>
      </c>
      <c r="E11" s="56" t="n"/>
      <c r="F11" s="35" t="n"/>
      <c r="G11" s="35" t="n"/>
      <c r="H11" s="35" t="n"/>
    </row>
    <row r="12">
      <c r="A12" s="41" t="inlineStr">
        <is>
          <t>Reserve as % of gross inventory</t>
        </is>
      </c>
      <c r="B12" s="56" t="n"/>
      <c r="C12" s="56" t="n"/>
      <c r="D12" s="41">
        <f>IF(OR(B12="",C12=""),"",B12-C12)</f>
        <v/>
      </c>
      <c r="E12" s="56" t="n"/>
      <c r="F12" s="35" t="n"/>
      <c r="G12" s="35" t="n"/>
      <c r="H12" s="35" t="n"/>
    </row>
    <row r="13">
      <c r="A13" s="41" t="inlineStr">
        <is>
          <t>Inventory as % of total assets</t>
        </is>
      </c>
      <c r="B13" s="56" t="n"/>
      <c r="C13" s="56" t="n"/>
      <c r="D13" s="41">
        <f>IF(OR(B13="",C13=""),"",B13-C13)</f>
        <v/>
      </c>
      <c r="E13" s="56" t="n"/>
      <c r="F13" s="35" t="n"/>
      <c r="G13" s="35" t="n"/>
      <c r="H13" s="35" t="n"/>
    </row>
    <row r="14">
      <c r="A14" s="41" t="inlineStr">
        <is>
          <t>PPV / variance as % of purchases</t>
        </is>
      </c>
      <c r="B14" s="56" t="n"/>
      <c r="C14" s="56" t="n"/>
      <c r="D14" s="41">
        <f>IF(OR(B14="",C14=""),"",B14-C14)</f>
        <v/>
      </c>
      <c r="E14" s="56" t="n"/>
      <c r="F14" s="35" t="n"/>
      <c r="G14" s="35" t="n"/>
      <c r="H14" s="35" t="n"/>
    </row>
    <row r="15">
      <c r="A15" s="35" t="n"/>
      <c r="B15" s="35" t="n"/>
      <c r="C15" s="35" t="n"/>
      <c r="D15" s="35" t="n"/>
      <c r="E15" s="35" t="n"/>
      <c r="F15" s="35" t="n"/>
      <c r="G15" s="35" t="n"/>
      <c r="H15" s="35" t="n"/>
    </row>
    <row r="16">
      <c r="A16" s="61" t="inlineStr">
        <is>
          <t>B. Disclosure matters</t>
        </is>
      </c>
      <c r="B16" s="35" t="n"/>
      <c r="C16" s="35" t="n"/>
      <c r="D16" s="35" t="n"/>
      <c r="E16" s="35" t="n"/>
      <c r="F16" s="35" t="n"/>
      <c r="G16" s="35" t="n"/>
      <c r="H16" s="35" t="n"/>
    </row>
    <row r="17" ht="18" customHeight="1">
      <c r="A17" s="62" t="inlineStr">
        <is>
          <t>Area</t>
        </is>
      </c>
      <c r="B17" s="62" t="inlineStr">
        <is>
          <t>Relevant? (Y/N)</t>
        </is>
      </c>
      <c r="C17" s="62" t="inlineStr">
        <is>
          <t>Support / source</t>
        </is>
      </c>
      <c r="D17" s="62" t="inlineStr">
        <is>
          <t>Conclusion</t>
        </is>
      </c>
      <c r="E17" s="62" t="inlineStr">
        <is>
          <t>Comments</t>
        </is>
      </c>
      <c r="F17" s="35" t="n"/>
      <c r="G17" s="35" t="n"/>
      <c r="H17" s="35" t="n"/>
    </row>
    <row r="18" ht="27" customHeight="1">
      <c r="A18" s="41" t="inlineStr">
        <is>
          <t>Cost-flow method by category (basis of stating inventory)</t>
        </is>
      </c>
      <c r="B18" s="56" t="n"/>
      <c r="C18" s="56" t="n"/>
      <c r="D18" s="56" t="n"/>
      <c r="E18" s="56" t="n"/>
      <c r="F18" s="35" t="n"/>
      <c r="G18" s="35" t="n"/>
      <c r="H18" s="35" t="n"/>
    </row>
    <row r="19">
      <c r="A19" s="41" t="inlineStr">
        <is>
          <t>LCNRV write-downs and policy</t>
        </is>
      </c>
      <c r="B19" s="56" t="n"/>
      <c r="C19" s="56" t="n"/>
      <c r="D19" s="56" t="n"/>
      <c r="E19" s="56" t="n"/>
      <c r="F19" s="35" t="n"/>
      <c r="G19" s="35" t="n"/>
      <c r="H19" s="35" t="n"/>
    </row>
    <row r="20">
      <c r="A20" s="41" t="inlineStr">
        <is>
          <t>Capitalized variance policy (standard costing)</t>
        </is>
      </c>
      <c r="B20" s="56" t="n"/>
      <c r="C20" s="56" t="n"/>
      <c r="D20" s="56" t="n"/>
      <c r="E20" s="56" t="n"/>
      <c r="F20" s="35" t="n"/>
      <c r="G20" s="35" t="n"/>
      <c r="H20" s="35" t="n"/>
    </row>
    <row r="21">
      <c r="A21" s="41" t="inlineStr">
        <is>
          <t>Pledged inventory / borrowing-base collateral</t>
        </is>
      </c>
      <c r="B21" s="56" t="n"/>
      <c r="C21" s="56" t="n"/>
      <c r="D21" s="56" t="n"/>
      <c r="E21" s="56" t="n"/>
      <c r="F21" s="35" t="n"/>
      <c r="G21" s="35" t="n"/>
      <c r="H21" s="35" t="n"/>
    </row>
    <row r="22">
      <c r="A22" s="41" t="inlineStr">
        <is>
          <t>Consignment (in / out) presentation</t>
        </is>
      </c>
      <c r="B22" s="56" t="n"/>
      <c r="C22" s="56" t="n"/>
      <c r="D22" s="56" t="n"/>
      <c r="E22" s="56" t="n"/>
      <c r="F22" s="35" t="n"/>
      <c r="G22" s="35" t="n"/>
      <c r="H22" s="35" t="n"/>
    </row>
    <row r="23" ht="27" customHeight="1">
      <c r="A23" s="41" t="inlineStr">
        <is>
          <t>Purchase commitments and losses thereon (ASC 330-10-35-17)</t>
        </is>
      </c>
      <c r="B23" s="56" t="n"/>
      <c r="C23" s="56" t="n"/>
      <c r="D23" s="56" t="n"/>
      <c r="E23" s="56" t="n"/>
      <c r="F23" s="35" t="n"/>
      <c r="G23" s="35" t="n"/>
      <c r="H23" s="35" t="n"/>
    </row>
    <row r="24">
      <c r="A24" s="41" t="inlineStr">
        <is>
          <t>LIFO disclosures (if applicable)</t>
        </is>
      </c>
      <c r="B24" s="56" t="n"/>
      <c r="C24" s="56" t="n"/>
      <c r="D24" s="56" t="n"/>
      <c r="E24" s="56" t="n"/>
      <c r="F24" s="35" t="n"/>
      <c r="G24" s="35" t="n"/>
      <c r="H24" s="35" t="n"/>
    </row>
    <row r="25">
      <c r="A25" s="35" t="n"/>
      <c r="B25" s="35" t="n"/>
      <c r="C25" s="35" t="n"/>
      <c r="D25" s="35" t="n"/>
      <c r="E25" s="35" t="n"/>
      <c r="F25" s="35" t="n"/>
      <c r="G25" s="35" t="n"/>
      <c r="H25" s="35" t="n"/>
    </row>
    <row r="26">
      <c r="A26" s="57" t="inlineStr">
        <is>
          <t>TM Legends</t>
        </is>
      </c>
      <c r="B26" s="35" t="n"/>
      <c r="C26" s="35" t="n"/>
      <c r="D26" s="35" t="n"/>
      <c r="E26" s="35" t="n"/>
      <c r="F26" s="35" t="n"/>
      <c r="G26" s="35" t="n"/>
      <c r="H26" s="35" t="n"/>
    </row>
    <row r="27">
      <c r="A27" s="58" t="inlineStr">
        <is>
          <t>TB</t>
        </is>
      </c>
      <c r="B27" s="41" t="inlineStr">
        <is>
          <t>Agreed to trial balance</t>
        </is>
      </c>
      <c r="C27" s="59" t="n"/>
      <c r="D27" s="60" t="n"/>
      <c r="E27" s="35" t="n"/>
      <c r="F27" s="35" t="n"/>
      <c r="G27" s="35" t="n"/>
      <c r="H27" s="35" t="n"/>
    </row>
    <row r="28">
      <c r="A28" s="58" t="inlineStr">
        <is>
          <t>GL</t>
        </is>
      </c>
      <c r="B28" s="41" t="inlineStr">
        <is>
          <t>Agreed to general ledger</t>
        </is>
      </c>
      <c r="C28" s="59" t="n"/>
      <c r="D28" s="60" t="n"/>
      <c r="E28" s="35" t="n"/>
      <c r="F28" s="35" t="n"/>
      <c r="G28" s="35" t="n"/>
      <c r="H28" s="35" t="n"/>
    </row>
    <row r="29">
      <c r="A29" s="58" t="inlineStr">
        <is>
          <t>CF</t>
        </is>
      </c>
      <c r="B29" s="41" t="inlineStr">
        <is>
          <t>Confirmed with third party</t>
        </is>
      </c>
      <c r="C29" s="59" t="n"/>
      <c r="D29" s="60" t="n"/>
      <c r="E29" s="35" t="n"/>
      <c r="F29" s="35" t="n"/>
      <c r="G29" s="35" t="n"/>
      <c r="H29" s="35" t="n"/>
    </row>
    <row r="30">
      <c r="A30" s="58" t="inlineStr">
        <is>
          <t>V</t>
        </is>
      </c>
      <c r="B30" s="41" t="inlineStr">
        <is>
          <t>Vouched to source document</t>
        </is>
      </c>
      <c r="C30" s="59" t="n"/>
      <c r="D30" s="60" t="n"/>
      <c r="E30" s="35" t="n"/>
      <c r="F30" s="35" t="n"/>
      <c r="G30" s="35" t="n"/>
      <c r="H30" s="35" t="n"/>
    </row>
    <row r="31">
      <c r="A31" s="58" t="inlineStr">
        <is>
          <t>SR</t>
        </is>
      </c>
      <c r="B31" s="41" t="inlineStr">
        <is>
          <t>Agreed to subsequent bank-cleared receipt</t>
        </is>
      </c>
      <c r="C31" s="59" t="n"/>
      <c r="D31" s="60" t="n"/>
      <c r="E31" s="35" t="n"/>
      <c r="F31" s="35" t="n"/>
      <c r="G31" s="35" t="n"/>
      <c r="H31" s="35" t="n"/>
    </row>
    <row r="32">
      <c r="A32" s="58" t="inlineStr">
        <is>
          <t>R</t>
        </is>
      </c>
      <c r="B32" s="41" t="inlineStr">
        <is>
          <t>Recalculated independently</t>
        </is>
      </c>
      <c r="C32" s="59" t="n"/>
      <c r="D32" s="60" t="n"/>
      <c r="E32" s="35" t="n"/>
      <c r="F32" s="35" t="n"/>
      <c r="G32" s="35" t="n"/>
      <c r="H32" s="35" t="n"/>
    </row>
    <row r="33">
      <c r="A33" s="58" t="inlineStr">
        <is>
          <t>F</t>
        </is>
      </c>
      <c r="B33" s="41" t="inlineStr">
        <is>
          <t>Footed / cross-cast</t>
        </is>
      </c>
      <c r="C33" s="59" t="n"/>
      <c r="D33" s="60" t="n"/>
      <c r="E33" s="35" t="n"/>
      <c r="F33" s="35" t="n"/>
      <c r="G33" s="35" t="n"/>
      <c r="H33" s="35" t="n"/>
    </row>
    <row r="34">
      <c r="A34" s="58" t="inlineStr">
        <is>
          <t>T</t>
        </is>
      </c>
      <c r="B34" s="41" t="inlineStr">
        <is>
          <t>Traced to downstream record</t>
        </is>
      </c>
      <c r="C34" s="59" t="n"/>
      <c r="D34" s="60" t="n"/>
      <c r="E34" s="35" t="n"/>
      <c r="F34" s="35" t="n"/>
      <c r="G34" s="35" t="n"/>
      <c r="H34" s="35" t="n"/>
    </row>
    <row r="35">
      <c r="A35" s="58" t="inlineStr">
        <is>
          <t>PBC</t>
        </is>
      </c>
      <c r="B35" s="41" t="inlineStr">
        <is>
          <t>Prepared by client</t>
        </is>
      </c>
      <c r="C35" s="59" t="n"/>
      <c r="D35" s="60" t="n"/>
      <c r="E35" s="35" t="n"/>
      <c r="F35" s="35" t="n"/>
      <c r="G35" s="35" t="n"/>
      <c r="H35" s="35" t="n"/>
    </row>
    <row r="36">
      <c r="A36" s="35" t="n"/>
      <c r="B36" s="35" t="n"/>
      <c r="C36" s="35" t="n"/>
      <c r="D36" s="35" t="n"/>
      <c r="E36" s="35" t="n"/>
      <c r="F36" s="35" t="n"/>
      <c r="G36" s="35" t="n"/>
      <c r="H36" s="35" t="n"/>
    </row>
    <row r="37" ht="27.75" customHeight="1">
      <c r="A37" s="37" t="inlineStr">
        <is>
          <t>Before sign-off complete Library Procedures 22-23 (analytics; presentation &amp; disclosure).</t>
        </is>
      </c>
      <c r="B37" s="35" t="n"/>
      <c r="C37" s="35" t="n"/>
      <c r="D37" s="35" t="n"/>
      <c r="E37" s="35" t="n"/>
      <c r="F37" s="35" t="n"/>
      <c r="G37" s="35" t="n"/>
      <c r="H37" s="35" t="n"/>
    </row>
  </sheetData>
  <mergeCells count="13">
    <mergeCell ref="B33:D33"/>
    <mergeCell ref="B28:D28"/>
    <mergeCell ref="B4:E4"/>
    <mergeCell ref="B31:D31"/>
    <mergeCell ref="B35:D35"/>
    <mergeCell ref="B32:D32"/>
    <mergeCell ref="B6:E6"/>
    <mergeCell ref="B27:D27"/>
    <mergeCell ref="A37:E37"/>
    <mergeCell ref="B30:D30"/>
    <mergeCell ref="B5:E5"/>
    <mergeCell ref="B29:D29"/>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12.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84" t="inlineStr">
        <is>
          <t>AUTHORITATIVE PLANNING CONTEXT</t>
        </is>
      </c>
      <c r="B1" s="35" t="n"/>
    </row>
    <row r="2">
      <c r="A2" s="35" t="inlineStr">
        <is>
          <t>Field</t>
        </is>
      </c>
      <c r="B2" s="35" t="inlineStr">
        <is>
          <t>Value</t>
        </is>
      </c>
    </row>
    <row r="3">
      <c r="A3" s="35" t="inlineStr">
        <is>
          <t>Entity Name</t>
        </is>
      </c>
      <c r="B3" s="84" t="inlineStr">
        <is>
          <t>Vaquite Industries, Inc.</t>
        </is>
      </c>
    </row>
    <row r="4">
      <c r="A4" s="84" t="inlineStr">
        <is>
          <t>Financial Statement Date</t>
        </is>
      </c>
      <c r="B4" s="85" t="n">
        <v>46022</v>
      </c>
    </row>
    <row r="5">
      <c r="A5" s="84" t="inlineStr">
        <is>
          <t>Reporting Currency</t>
        </is>
      </c>
      <c r="B5" s="35" t="inlineStr">
        <is>
          <t>USD</t>
        </is>
      </c>
    </row>
    <row r="6">
      <c r="A6" s="84" t="inlineStr">
        <is>
          <t>Overall Materiality</t>
        </is>
      </c>
      <c r="B6" s="86" t="n">
        <v>30700</v>
      </c>
    </row>
    <row r="7">
      <c r="A7" s="84" t="inlineStr">
        <is>
          <t>Performance Materiality</t>
        </is>
      </c>
      <c r="B7" s="86" t="n">
        <v>23100</v>
      </c>
    </row>
    <row r="8">
      <c r="A8" s="84" t="inlineStr">
        <is>
          <t>Tolerable Misstatement</t>
        </is>
      </c>
      <c r="B8" s="86" t="n">
        <v>17400</v>
      </c>
    </row>
    <row r="9">
      <c r="A9" s="84" t="inlineStr">
        <is>
          <t>Individually Significant Threshold</t>
        </is>
      </c>
      <c r="B9" s="86" t="n">
        <v>11600</v>
      </c>
    </row>
    <row r="10">
      <c r="A10" s="35" t="inlineStr">
        <is>
          <t>Posting Threshold</t>
        </is>
      </c>
      <c r="B10" s="86" t="n">
        <v>1000</v>
      </c>
    </row>
    <row r="11">
      <c r="A11" s="84" t="inlineStr">
        <is>
          <t>Clearly Trivial Threshold</t>
        </is>
      </c>
      <c r="B11" s="86" t="n">
        <v>1000</v>
      </c>
    </row>
    <row r="12">
      <c r="A12" s="84" t="inlineStr">
        <is>
          <t>Analytical Precision</t>
        </is>
      </c>
      <c r="B12" s="86" t="n">
        <v>17400</v>
      </c>
    </row>
    <row r="13">
      <c r="A13" s="35" t="n"/>
      <c r="B13" s="35" t="n"/>
    </row>
    <row r="14">
      <c r="A14" s="84" t="inlineStr">
        <is>
          <t>Bound planning records</t>
        </is>
      </c>
      <c r="B14" s="35" t="inlineStr">
        <is>
          <t>Canonical IDs</t>
        </is>
      </c>
    </row>
    <row r="15">
      <c r="A15" s="35" t="inlineStr">
        <is>
          <t>Sampling plan ID</t>
        </is>
      </c>
      <c r="B15" s="35" t="inlineStr">
        <is>
          <t>SAMPLE-INVENTORY</t>
        </is>
      </c>
    </row>
    <row r="16" ht="81" customHeight="1">
      <c r="A16" s="35" t="inlineStr">
        <is>
          <t>Selection IDs</t>
        </is>
      </c>
      <c r="B16" s="84" t="inlineStr">
        <is>
          <t>PROC-INV-VALUATION:Layer 0148; PROC-INV-VALUATION:Layer 0246; PROC-INV-VALUATION:Layer 0077; PROC-INV-VALUATION:LOT-6392; PROC-INV-VALUATION:Layer 0145; PROC-INV-VALUATION:Layer 0144; PROC-INV-VALUATION:Layer 0072; PROC-INV-VALUATION:Layer 0073; PROC-INV-VALUATION:Layer 0245; PROC-INV-VALUATION:Layer 0243; PROC-INV-VALUATION:Layer 0240; PROC-INV-VALUATION:LOT-6395; PROC-INV-VALUATION:Layer 0247; PROC-INV-VALUATION:Layer 0244; PROC-INV-VALUATION:LOT-6359; PROC-INV-VALUATION:Layer 0143; PROC-INV-VALUATION:Layer 0074; PROC-INV-VALUATION:Layer 0146</t>
        </is>
      </c>
    </row>
    <row r="17">
      <c r="A17" s="84" t="inlineStr">
        <is>
          <t>Selection requirements</t>
        </is>
      </c>
      <c r="B17" s="84" t="inlineStr">
        <is>
          <t>qualitative mandatory items; individually significant items</t>
        </is>
      </c>
    </row>
    <row r="18">
      <c r="A18" s="35" t="inlineStr">
        <is>
          <t>Procedure IDs</t>
        </is>
      </c>
      <c r="B18" s="84" t="inlineStr">
        <is>
          <t>PROC-INVENTORY; RESP-INVENTORY-INVENTORY</t>
        </is>
      </c>
    </row>
    <row r="19">
      <c r="A19" s="84" t="inlineStr">
        <is>
          <t>Procedure window IDs</t>
        </is>
      </c>
      <c r="B19" s="84" t="inlineStr">
        <is>
          <t>WIN-INVENTORY-CUTOFF; WIN-INVENTORY-CUTOFF</t>
        </is>
      </c>
    </row>
    <row r="20">
      <c r="A20" s="84" t="inlineStr">
        <is>
          <t>Significant-risk response IDs</t>
        </is>
      </c>
      <c r="B20" s="84" t="inlineStr">
        <is>
          <t>RESP-INVENTORY-INVENTORY</t>
        </is>
      </c>
    </row>
    <row r="21">
      <c r="A21" s="84" t="inlineStr">
        <is>
          <t>Audit team assignments</t>
        </is>
      </c>
      <c r="B21" s="84" t="inlineStr">
        <is>
          <t>preparer: Audit Senior 80A0; reviewer: Audit Manager 403F</t>
        </is>
      </c>
    </row>
  </sheetData>
  <printOptions horizontalCentered="0" verticalCentered="0"/>
  <pageMargins left="0.25" right="0.25" top="0.5" bottom="0.5" header="0.2" footer="0.2"/>
  <pageSetup orientation="portrait" paperSize="1" fitToHeight="0" fitToWidth="1"/>
</worksheet>
</file>

<file path=xl/worksheets/sheet13.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42" customWidth="1" min="2" max="2"/>
    <col width="8.5" customWidth="1" min="3" max="3"/>
    <col width="25" customWidth="1" min="4" max="4"/>
    <col width="34" customWidth="1" min="5" max="5"/>
    <col width="8.5" customWidth="1" min="6" max="6"/>
  </cols>
  <sheetData>
    <row r="1" ht="24" customHeight="1">
      <c r="A1" s="87" t="inlineStr">
        <is>
          <t>WORKPAPER COMPLETION AND SIGN-OFF</t>
        </is>
      </c>
      <c r="B1" s="35" t="n"/>
      <c r="C1" s="35" t="n"/>
      <c r="D1" s="35" t="n"/>
      <c r="E1" s="35" t="n"/>
      <c r="F1" s="35" t="n"/>
    </row>
    <row r="2">
      <c r="A2" s="35" t="n"/>
      <c r="B2" s="35" t="n"/>
      <c r="C2" s="35" t="n"/>
      <c r="D2" s="35" t="n"/>
      <c r="E2" s="35" t="n"/>
      <c r="F2" s="35" t="n"/>
    </row>
    <row r="3" ht="27" customHeight="1">
      <c r="A3" s="35" t="inlineStr">
        <is>
          <t>Workpaper</t>
        </is>
      </c>
      <c r="B3" s="84" t="inlineStr">
        <is>
          <t>inventory/inventory_costing_valuation_workpaper.xlsx</t>
        </is>
      </c>
      <c r="C3" s="35" t="n"/>
      <c r="D3" s="35" t="n"/>
      <c r="E3" s="35" t="n"/>
      <c r="F3" s="35" t="n"/>
    </row>
    <row r="4">
      <c r="A4" s="84" t="inlineStr">
        <is>
          <t>Required completion stage</t>
        </is>
      </c>
      <c r="B4" s="35" t="inlineStr">
        <is>
          <t>prepared</t>
        </is>
      </c>
      <c r="C4" s="35" t="n"/>
      <c r="D4" s="35" t="inlineStr">
        <is>
          <t>Contract version</t>
        </is>
      </c>
      <c r="E4" s="84" t="inlineStr">
        <is>
          <t>workpaper-signoff-v2.1.0</t>
        </is>
      </c>
      <c r="F4" s="35" t="n"/>
    </row>
    <row r="5">
      <c r="A5" s="35" t="n"/>
      <c r="B5" s="35" t="n"/>
      <c r="C5" s="35" t="n"/>
      <c r="D5" s="35" t="n"/>
      <c r="E5" s="35" t="n"/>
      <c r="F5" s="35" t="n"/>
    </row>
    <row r="6">
      <c r="A6" s="88" t="inlineStr">
        <is>
          <t>Assigned preparer</t>
        </is>
      </c>
      <c r="B6" s="89" t="inlineStr">
        <is>
          <t>Audit Senior 80A0</t>
        </is>
      </c>
      <c r="C6" s="35" t="n"/>
      <c r="D6" s="88" t="inlineStr">
        <is>
          <t>Assigned reviewer</t>
        </is>
      </c>
      <c r="E6" s="90" t="inlineStr">
        <is>
          <t>Audit Manager 403F</t>
        </is>
      </c>
      <c r="F6" s="35" t="n"/>
    </row>
    <row r="7">
      <c r="A7" s="88" t="inlineStr">
        <is>
          <t>Preparation state</t>
        </is>
      </c>
      <c r="B7" s="89" t="inlineStr">
        <is>
          <t>Unsigned</t>
        </is>
      </c>
      <c r="C7" s="35" t="n"/>
      <c r="D7" s="88" t="inlineStr">
        <is>
          <t>Review state</t>
        </is>
      </c>
      <c r="E7" s="89" t="inlineStr">
        <is>
          <t>Unsigned</t>
        </is>
      </c>
      <c r="F7" s="35" t="n"/>
    </row>
    <row r="8">
      <c r="A8" s="88" t="inlineStr">
        <is>
          <t>Prepared by</t>
        </is>
      </c>
      <c r="B8" s="89" t="n"/>
      <c r="C8" s="35" t="n"/>
      <c r="D8" s="88" t="inlineStr">
        <is>
          <t>Reviewed by</t>
        </is>
      </c>
      <c r="E8" s="89" t="n"/>
      <c r="F8" s="35" t="n"/>
    </row>
    <row r="9">
      <c r="A9" s="88" t="inlineStr">
        <is>
          <t>Preparation date</t>
        </is>
      </c>
      <c r="B9" s="91" t="n"/>
      <c r="C9" s="35" t="n"/>
      <c r="D9" s="88" t="inlineStr">
        <is>
          <t>Review date</t>
        </is>
      </c>
      <c r="E9" s="91" t="n"/>
      <c r="F9" s="35" t="n"/>
    </row>
    <row r="10">
      <c r="A10" s="35" t="n"/>
      <c r="B10" s="35" t="n"/>
      <c r="C10" s="35" t="n"/>
      <c r="D10" s="35" t="n"/>
      <c r="E10" s="35" t="n"/>
      <c r="F10" s="35" t="n"/>
    </row>
    <row r="11">
      <c r="A11" s="35" t="n"/>
      <c r="B11" s="35" t="n"/>
      <c r="C11" s="35" t="n"/>
      <c r="D11" s="35" t="n"/>
      <c r="E11" s="35" t="n"/>
      <c r="F11" s="35" t="n"/>
    </row>
    <row r="12" ht="50" customHeight="1">
      <c r="A12" s="92"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5" t="n"/>
      <c r="C12" s="35" t="n"/>
      <c r="D12" s="35" t="n"/>
      <c r="E12" s="35" t="n"/>
      <c r="F12" s="35"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xl/worksheets/sheet14.xml><?xml version="1.0" encoding="utf-8"?>
<worksheet xmlns="http://schemas.openxmlformats.org/spreadsheetml/2006/main">
  <sheetPr>
    <outlinePr summaryBelow="1" summaryRight="1"/>
    <pageSetUpPr autoPageBreaks="0" fitToPage="1"/>
  </sheetPr>
  <dimension ref="A1:L11"/>
  <sheetViews>
    <sheetView showGridLines="0" zoomScale="90" zoomScaleNormal="100" workbookViewId="0">
      <selection activeCell="A1" sqref="A1"/>
    </sheetView>
  </sheetViews>
  <sheetFormatPr baseColWidth="8" defaultRowHeight="15"/>
  <cols>
    <col width="39.4" customWidth="1" min="1" max="1"/>
    <col width="42" customWidth="1" min="2" max="2"/>
    <col width="14.75" customWidth="1" min="3" max="3"/>
    <col width="17.3" customWidth="1" min="4" max="4"/>
    <col width="16.45" customWidth="1" min="5" max="5"/>
    <col width="19" customWidth="1" min="6" max="6"/>
    <col width="13.05" customWidth="1" min="7" max="7"/>
    <col width="13.05" customWidth="1" min="8" max="8"/>
    <col width="15.6" customWidth="1" min="9" max="9"/>
    <col width="14.75" customWidth="1" min="10" max="10"/>
    <col width="20.7" customWidth="1" min="11" max="11"/>
    <col width="30.05" customWidth="1" min="12" max="12"/>
  </cols>
  <sheetData>
    <row r="1">
      <c r="A1" s="84" t="inlineStr">
        <is>
          <t>LABOR AND OVERHEAD APPLICATION ANALYSIS</t>
        </is>
      </c>
      <c r="B1" s="35" t="n"/>
      <c r="C1" s="35" t="n"/>
      <c r="D1" s="35" t="n"/>
      <c r="E1" s="35" t="n"/>
      <c r="F1" s="35" t="n"/>
      <c r="G1" s="35" t="n"/>
      <c r="H1" s="35" t="n"/>
      <c r="I1" s="35" t="n"/>
      <c r="J1" s="35" t="n"/>
      <c r="K1" s="35" t="n"/>
      <c r="L1" s="35" t="n"/>
    </row>
    <row r="2">
      <c r="A2" s="35" t="inlineStr">
        <is>
          <t>Entity</t>
        </is>
      </c>
      <c r="B2" s="84" t="inlineStr">
        <is>
          <t>Vaquite Industries, Inc.</t>
        </is>
      </c>
      <c r="C2" s="35" t="n"/>
      <c r="D2" s="35" t="n"/>
      <c r="E2" s="35" t="n"/>
      <c r="F2" s="35" t="n"/>
      <c r="G2" s="35" t="n"/>
      <c r="H2" s="35" t="n"/>
      <c r="I2" s="35" t="n"/>
      <c r="J2" s="35" t="n"/>
      <c r="K2" s="35" t="n"/>
      <c r="L2" s="35" t="n"/>
    </row>
    <row r="3">
      <c r="A3" s="35" t="inlineStr">
        <is>
          <t>Period end</t>
        </is>
      </c>
      <c r="B3" s="35" t="inlineStr">
        <is>
          <t>2025-12-31</t>
        </is>
      </c>
      <c r="C3" s="35" t="n"/>
      <c r="D3" s="35" t="n"/>
      <c r="E3" s="35" t="n"/>
      <c r="F3" s="35" t="n"/>
      <c r="G3" s="35" t="n"/>
      <c r="H3" s="35" t="n"/>
      <c r="I3" s="35" t="n"/>
      <c r="J3" s="35" t="n"/>
      <c r="K3" s="35" t="n"/>
      <c r="L3" s="35" t="n"/>
    </row>
    <row r="4">
      <c r="A4" s="35" t="n"/>
      <c r="B4" s="35" t="n"/>
      <c r="C4" s="35" t="n"/>
      <c r="D4" s="35" t="n"/>
      <c r="E4" s="35" t="n"/>
      <c r="F4" s="35" t="n"/>
      <c r="G4" s="35" t="n"/>
      <c r="H4" s="35" t="n"/>
      <c r="I4" s="35" t="n"/>
      <c r="J4" s="35" t="n"/>
      <c r="K4" s="35" t="n"/>
      <c r="L4" s="35" t="n"/>
    </row>
    <row r="5" ht="27" customHeight="1">
      <c r="A5" s="93" t="inlineStr">
        <is>
          <t>Production order</t>
        </is>
      </c>
      <c r="B5" s="93" t="inlineStr">
        <is>
          <t>Finished SKU</t>
        </is>
      </c>
      <c r="C5" s="93" t="inlineStr">
        <is>
          <t>Units completed</t>
        </is>
      </c>
      <c r="D5" s="94" t="inlineStr">
        <is>
          <t>Direct labor hours</t>
        </is>
      </c>
      <c r="E5" s="93" t="inlineStr">
        <is>
          <t>Direct labor rate</t>
        </is>
      </c>
      <c r="F5" s="94" t="inlineStr">
        <is>
          <t>Applied direct labor</t>
        </is>
      </c>
      <c r="G5" s="93" t="inlineStr">
        <is>
          <t>Machine hours</t>
        </is>
      </c>
      <c r="H5" s="93" t="inlineStr">
        <is>
          <t>Overhead rate</t>
        </is>
      </c>
      <c r="I5" s="93" t="inlineStr">
        <is>
          <t>Applied overhead</t>
        </is>
      </c>
      <c r="J5" s="93" t="inlineStr">
        <is>
          <t>Actual overhead</t>
        </is>
      </c>
      <c r="K5" s="94" t="inlineStr">
        <is>
          <t>Under / (over) applied</t>
        </is>
      </c>
      <c r="L5" s="94" t="inlineStr">
        <is>
          <t>Variance disposition / GL account</t>
        </is>
      </c>
    </row>
    <row r="6">
      <c r="A6" s="35" t="n"/>
      <c r="B6" s="35" t="n"/>
      <c r="C6" s="35" t="n"/>
      <c r="D6" s="35" t="n"/>
      <c r="E6" s="35" t="n"/>
      <c r="F6" s="35" t="n"/>
      <c r="G6" s="35" t="n"/>
      <c r="H6" s="35" t="n"/>
      <c r="I6" s="35" t="n"/>
      <c r="J6" s="35" t="n"/>
      <c r="K6" s="35" t="n"/>
      <c r="L6" s="35" t="n"/>
    </row>
    <row r="7">
      <c r="A7" s="84" t="inlineStr">
        <is>
          <t>CONTROL AND CONCLUSION</t>
        </is>
      </c>
      <c r="B7" s="35" t="n"/>
      <c r="C7" s="35" t="n"/>
      <c r="D7" s="35" t="n"/>
      <c r="E7" s="35" t="n"/>
      <c r="F7" s="35" t="n"/>
      <c r="G7" s="35" t="n"/>
      <c r="H7" s="35" t="n"/>
      <c r="I7" s="35" t="n"/>
      <c r="J7" s="35" t="n"/>
      <c r="K7" s="35" t="n"/>
      <c r="L7" s="35" t="n"/>
    </row>
    <row r="8" ht="67.5" customHeight="1">
      <c r="A8" s="35" t="inlineStr">
        <is>
          <t>Procedure</t>
        </is>
      </c>
      <c r="B8" s="84" t="inlineStr">
        <is>
          <t>Agree labor and machine-hour inputs to production records; recalculate applied costs; reconcile actual-to-applied overhead; verify abnormal and unallocated fixed overhead is expensed.</t>
        </is>
      </c>
      <c r="C8" s="35" t="n"/>
      <c r="D8" s="35" t="n"/>
      <c r="E8" s="35" t="n"/>
      <c r="F8" s="35" t="n"/>
      <c r="G8" s="35" t="n"/>
      <c r="H8" s="35" t="n"/>
      <c r="I8" s="35" t="n"/>
      <c r="J8" s="35" t="n"/>
      <c r="K8" s="35" t="n"/>
      <c r="L8" s="35" t="n"/>
    </row>
    <row r="9">
      <c r="A9" s="84" t="inlineStr">
        <is>
          <t>Prepared by / date</t>
        </is>
      </c>
      <c r="B9" s="35" t="inlineStr"/>
      <c r="C9" s="35" t="n"/>
      <c r="D9" s="35" t="n"/>
      <c r="E9" s="35" t="n"/>
      <c r="F9" s="35" t="n"/>
      <c r="G9" s="35" t="n"/>
      <c r="H9" s="35" t="n"/>
      <c r="I9" s="35" t="n"/>
      <c r="J9" s="35" t="n"/>
      <c r="K9" s="35" t="n"/>
      <c r="L9" s="35" t="n"/>
    </row>
    <row r="10" ht="27" customHeight="1">
      <c r="A10" s="84" t="inlineStr">
        <is>
          <t>Assigned: Audit Senior 80A0 / due 2026-02-19</t>
        </is>
      </c>
      <c r="B10" s="35" t="inlineStr"/>
      <c r="C10" s="35" t="n"/>
      <c r="D10" s="35" t="n"/>
      <c r="E10" s="35" t="n"/>
      <c r="F10" s="35" t="n"/>
      <c r="G10" s="35" t="n"/>
      <c r="H10" s="35" t="n"/>
      <c r="I10" s="35" t="n"/>
      <c r="J10" s="35" t="n"/>
      <c r="K10" s="35" t="n"/>
      <c r="L10" s="35" t="n"/>
    </row>
    <row r="11">
      <c r="A11" s="35" t="inlineStr">
        <is>
          <t>Conclusion</t>
        </is>
      </c>
      <c r="B11" s="35" t="inlineStr"/>
      <c r="C11" s="35" t="n"/>
      <c r="D11" s="35" t="n"/>
      <c r="E11" s="35" t="n"/>
      <c r="F11" s="35" t="n"/>
      <c r="G11" s="35" t="n"/>
      <c r="H11" s="35" t="n"/>
      <c r="I11" s="35" t="n"/>
      <c r="J11" s="35" t="n"/>
      <c r="K11" s="35" t="n"/>
      <c r="L11" s="35" t="n"/>
    </row>
  </sheetData>
  <printOptions horizontalCentered="0" verticalCentered="0"/>
  <pageMargins left="0.25" right="0.25" top="0.5" bottom="0.5" header="0.2" footer="0.2"/>
  <pageSetup orientation="landscape" paperSize="1" fitToHeight="0" fitToWidth="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2026-07-02T09:51:19Z</dcterms:created>
  <dcterms:modified xmlns:dcterms="http://purl.org/dc/terms/" xmlns:xsi="http://www.w3.org/2001/XMLSchema-instance" xsi:type="dcterms:W3CDTF">2026-07-02T10:31:26Z</dcterms:modified>
  <cp:lastModifiedBy>jerry.huang@modusaudit.com</cp:lastModifiedBy>
  <cp:revision>0</cp:revision>
</cp:coreProperties>
</file>